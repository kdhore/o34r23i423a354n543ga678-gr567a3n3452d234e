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20920" windowHeight="1598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0" l="1"/>
  <c r="T19" i="20"/>
  <c r="S15" i="20"/>
  <c r="S14" i="20"/>
  <c r="H40" i="20"/>
  <c r="H39" i="20"/>
  <c r="S39" i="20"/>
  <c r="H38" i="20"/>
  <c r="H35" i="20"/>
  <c r="S42" i="20"/>
  <c r="H34" i="20"/>
  <c r="H33" i="20"/>
  <c r="S36" i="20"/>
  <c r="H30" i="20"/>
  <c r="H29" i="20"/>
  <c r="H28" i="20"/>
  <c r="S40" i="20"/>
  <c r="H27" i="20"/>
  <c r="S3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Y260" i="14"/>
  <c r="AX259" i="14"/>
  <c r="AY14" i="14"/>
  <c r="AX181" i="14"/>
  <c r="AX179" i="14"/>
  <c r="AX260" i="14"/>
  <c r="AX177" i="14"/>
  <c r="AX175" i="14"/>
  <c r="AW259" i="14"/>
  <c r="AX14" i="14"/>
  <c r="AW181" i="14"/>
  <c r="AW179" i="14"/>
  <c r="AW260" i="14"/>
  <c r="AW177" i="14"/>
  <c r="AW175" i="14"/>
  <c r="AV259" i="14"/>
  <c r="AW14" i="14"/>
  <c r="AV181" i="14"/>
  <c r="AV179" i="14"/>
  <c r="AV177" i="14"/>
  <c r="AV175" i="14"/>
  <c r="AV14" i="14"/>
  <c r="AU259" i="14"/>
  <c r="AU181" i="14"/>
  <c r="AU179" i="14"/>
  <c r="AU177" i="14"/>
  <c r="AU175" i="14"/>
  <c r="AU260" i="14"/>
  <c r="AT259" i="14"/>
  <c r="AU14" i="14"/>
  <c r="AT181" i="14"/>
  <c r="AT179" i="14"/>
  <c r="AT177" i="14"/>
  <c r="AT175" i="14"/>
  <c r="AT14" i="14"/>
  <c r="AS259" i="14"/>
  <c r="AS181" i="14"/>
  <c r="AS179" i="14"/>
  <c r="AS260" i="14"/>
  <c r="AS177" i="14"/>
  <c r="AS175" i="14"/>
  <c r="AR259" i="14"/>
  <c r="AS14" i="14"/>
  <c r="AR181" i="14"/>
  <c r="AR179" i="14"/>
  <c r="AR177" i="14"/>
  <c r="AR175" i="14"/>
  <c r="AR260" i="14"/>
  <c r="AR14" i="14"/>
  <c r="AQ259" i="14"/>
  <c r="AQ181" i="14"/>
  <c r="AQ179" i="14"/>
  <c r="AQ177" i="14"/>
  <c r="AQ175" i="14"/>
  <c r="AQ260" i="14"/>
  <c r="AP259" i="14"/>
  <c r="AQ14" i="14"/>
  <c r="AP181" i="14"/>
  <c r="AP179" i="14"/>
  <c r="AP177" i="14"/>
  <c r="AP260" i="14"/>
  <c r="AP175" i="14"/>
  <c r="AO260" i="14"/>
  <c r="AP14" i="14"/>
  <c r="AO259" i="14"/>
  <c r="AO181" i="14"/>
  <c r="AO179" i="14"/>
  <c r="AO177" i="14"/>
  <c r="AO175" i="14"/>
  <c r="AN259" i="14"/>
  <c r="AO14" i="14"/>
  <c r="AN181" i="14"/>
  <c r="AN179" i="14"/>
  <c r="AN177" i="14"/>
  <c r="AN175" i="14"/>
  <c r="AN14" i="14"/>
  <c r="AM259" i="14"/>
  <c r="AM181" i="14"/>
  <c r="AM179" i="14"/>
  <c r="AM177" i="14"/>
  <c r="AM175" i="14"/>
  <c r="AM260" i="14"/>
  <c r="AL259" i="14"/>
  <c r="AM14" i="14"/>
  <c r="AL181" i="14"/>
  <c r="AL179" i="14"/>
  <c r="AL177" i="14"/>
  <c r="AL260" i="14"/>
  <c r="AL175" i="14"/>
  <c r="AL14" i="14"/>
  <c r="AK259" i="14"/>
  <c r="AK181" i="14"/>
  <c r="AK179" i="14"/>
  <c r="AK260" i="14"/>
  <c r="AK177" i="14"/>
  <c r="AK175" i="14"/>
  <c r="AJ259" i="14"/>
  <c r="AK14" i="14"/>
  <c r="AJ181" i="14"/>
  <c r="AJ179" i="14"/>
  <c r="AJ177" i="14"/>
  <c r="AJ175" i="14"/>
  <c r="AJ260" i="14"/>
  <c r="AJ14" i="14"/>
  <c r="AI259" i="14"/>
  <c r="AI181" i="14"/>
  <c r="AI179" i="14"/>
  <c r="AI177" i="14"/>
  <c r="AI175" i="14"/>
  <c r="AI260" i="14"/>
  <c r="AH259" i="14"/>
  <c r="AI14" i="14"/>
  <c r="AH181" i="14"/>
  <c r="AH179" i="14"/>
  <c r="AH177" i="14"/>
  <c r="AH175" i="14"/>
  <c r="AG260" i="14"/>
  <c r="AH14" i="14"/>
  <c r="AG259" i="14"/>
  <c r="AG181" i="14"/>
  <c r="AG179" i="14"/>
  <c r="AG177" i="14"/>
  <c r="AG175" i="14"/>
  <c r="AF259" i="14"/>
  <c r="AG14" i="14"/>
  <c r="AF181" i="14"/>
  <c r="AF179" i="14"/>
  <c r="AF177" i="14"/>
  <c r="AF175" i="14"/>
  <c r="AF14" i="14"/>
  <c r="AE259" i="14"/>
  <c r="AE181" i="14"/>
  <c r="AE179" i="14"/>
  <c r="AE177" i="14"/>
  <c r="AE175" i="14"/>
  <c r="AE260" i="14"/>
  <c r="AE14" i="14"/>
  <c r="AD259" i="14"/>
  <c r="AD181" i="14"/>
  <c r="AD179" i="14"/>
  <c r="AD177" i="14"/>
  <c r="AD175" i="14"/>
  <c r="AC260" i="14"/>
  <c r="AD14" i="14"/>
  <c r="AC259" i="14"/>
  <c r="AC181" i="14"/>
  <c r="AC179" i="14"/>
  <c r="AC177" i="14"/>
  <c r="AC175" i="14"/>
  <c r="AB259" i="14"/>
  <c r="AC14" i="14"/>
  <c r="AB181" i="14"/>
  <c r="AB179" i="14"/>
  <c r="AB177" i="14"/>
  <c r="AB260" i="14"/>
  <c r="AB175" i="14"/>
  <c r="AB14" i="14"/>
  <c r="AA259" i="14"/>
  <c r="AA181" i="14"/>
  <c r="AA179" i="14"/>
  <c r="AA177" i="14"/>
  <c r="AA175" i="14"/>
  <c r="AA260" i="14"/>
  <c r="AA14" i="14"/>
  <c r="Z259" i="14"/>
  <c r="Z181" i="14"/>
  <c r="Z179" i="14"/>
  <c r="Z177" i="14"/>
  <c r="Z175" i="14"/>
  <c r="Y260" i="14"/>
  <c r="Z14" i="14"/>
  <c r="Y259" i="14"/>
  <c r="Y181" i="14"/>
  <c r="Y179" i="14"/>
  <c r="Y177" i="14"/>
  <c r="Y175" i="14"/>
  <c r="X259" i="14"/>
  <c r="Y14" i="14"/>
  <c r="X181" i="14"/>
  <c r="X179" i="14"/>
  <c r="X177" i="14"/>
  <c r="X260" i="14"/>
  <c r="X175" i="14"/>
  <c r="X14" i="14"/>
  <c r="W259" i="14"/>
  <c r="W181" i="14"/>
  <c r="W179" i="14"/>
  <c r="W177" i="14"/>
  <c r="W175" i="14"/>
  <c r="W260" i="14"/>
  <c r="W14" i="14"/>
  <c r="V259" i="14"/>
  <c r="V181" i="14"/>
  <c r="V179" i="14"/>
  <c r="V177" i="14"/>
  <c r="V175" i="14"/>
  <c r="U260" i="14"/>
  <c r="V14" i="14"/>
  <c r="U259" i="14"/>
  <c r="U181" i="14"/>
  <c r="U179" i="14"/>
  <c r="U177" i="14"/>
  <c r="U175" i="14"/>
  <c r="T259" i="14"/>
  <c r="U14" i="14"/>
  <c r="T181" i="14"/>
  <c r="T179" i="14"/>
  <c r="T177" i="14"/>
  <c r="T260" i="14"/>
  <c r="T175" i="14"/>
  <c r="T14" i="14"/>
  <c r="S259" i="14"/>
  <c r="S181" i="14"/>
  <c r="S179" i="14"/>
  <c r="S177" i="14"/>
  <c r="S175" i="14"/>
  <c r="S260" i="14"/>
  <c r="S14" i="14"/>
  <c r="R259" i="14"/>
  <c r="R181" i="14"/>
  <c r="R179" i="14"/>
  <c r="R177" i="14"/>
  <c r="R175" i="14"/>
  <c r="Q260" i="14"/>
  <c r="R14" i="14"/>
  <c r="Q259" i="14"/>
  <c r="Q181" i="14"/>
  <c r="Q179" i="14"/>
  <c r="Q177" i="14"/>
  <c r="Q175" i="14"/>
  <c r="P259" i="14"/>
  <c r="Q14" i="14"/>
  <c r="P181" i="14"/>
  <c r="P179" i="14"/>
  <c r="P177" i="14"/>
  <c r="P260" i="14"/>
  <c r="P175" i="14"/>
  <c r="P14" i="14"/>
  <c r="O259" i="14"/>
  <c r="O181" i="14"/>
  <c r="O179" i="14"/>
  <c r="O177" i="14"/>
  <c r="O175" i="14"/>
  <c r="O260" i="14"/>
  <c r="O14" i="14"/>
  <c r="N259" i="14"/>
  <c r="N181" i="14"/>
  <c r="N179" i="14"/>
  <c r="N177" i="14"/>
  <c r="N175" i="14"/>
  <c r="M260" i="14"/>
  <c r="N14" i="14"/>
  <c r="M259" i="14"/>
  <c r="M181" i="14"/>
  <c r="M179" i="14"/>
  <c r="M177" i="14"/>
  <c r="M175" i="14"/>
  <c r="L259" i="14"/>
  <c r="M14" i="14"/>
  <c r="L181" i="14"/>
  <c r="L179" i="14"/>
  <c r="L177" i="14"/>
  <c r="L260" i="14"/>
  <c r="L175" i="14"/>
  <c r="L14" i="14"/>
  <c r="K259" i="14"/>
  <c r="K181" i="14"/>
  <c r="K179" i="14"/>
  <c r="K177" i="14"/>
  <c r="K175" i="14"/>
  <c r="K260" i="14"/>
  <c r="K14" i="14"/>
  <c r="J259" i="14"/>
  <c r="J181" i="14"/>
  <c r="J179" i="14"/>
  <c r="J177" i="14"/>
  <c r="J175" i="14"/>
  <c r="I260" i="14"/>
  <c r="J14" i="14"/>
  <c r="I259" i="14"/>
  <c r="I181" i="14"/>
  <c r="I179" i="14"/>
  <c r="I177" i="14"/>
  <c r="I175" i="14"/>
  <c r="H259" i="14"/>
  <c r="I14" i="14"/>
  <c r="H181" i="14"/>
  <c r="H179" i="14"/>
  <c r="H177" i="14"/>
  <c r="H260" i="14"/>
  <c r="H175" i="14"/>
  <c r="H14" i="14"/>
  <c r="G259" i="14"/>
  <c r="G181" i="14"/>
  <c r="G179" i="14"/>
  <c r="G177" i="14"/>
  <c r="G175" i="14"/>
  <c r="G260" i="14"/>
  <c r="G14" i="14"/>
  <c r="F259" i="14"/>
  <c r="F181" i="14"/>
  <c r="F179" i="14"/>
  <c r="F177" i="14"/>
  <c r="F175" i="14"/>
  <c r="E260" i="14"/>
  <c r="F14" i="14"/>
  <c r="E259" i="14"/>
  <c r="E181" i="14"/>
  <c r="E179" i="14"/>
  <c r="E177" i="14"/>
  <c r="E175" i="14"/>
  <c r="D259" i="14"/>
  <c r="E14" i="14"/>
  <c r="D181" i="14"/>
  <c r="D179" i="14"/>
  <c r="D177" i="14"/>
  <c r="D260" i="14"/>
  <c r="D175" i="14"/>
  <c r="AZ14" i="15"/>
  <c r="AY259" i="15"/>
  <c r="AY181" i="15"/>
  <c r="AY179" i="15"/>
  <c r="AY177" i="15"/>
  <c r="AY175" i="15"/>
  <c r="AY260" i="15"/>
  <c r="AY14" i="15"/>
  <c r="AX259" i="15"/>
  <c r="AX181" i="15"/>
  <c r="AX179" i="15"/>
  <c r="AX177" i="15"/>
  <c r="AX175" i="15"/>
  <c r="AW260" i="15"/>
  <c r="AX14" i="15"/>
  <c r="AW259" i="15"/>
  <c r="AW181" i="15"/>
  <c r="AW179" i="15"/>
  <c r="AW177" i="15"/>
  <c r="AW175" i="15"/>
  <c r="AV259" i="15"/>
  <c r="AW14" i="15"/>
  <c r="AV181" i="15"/>
  <c r="AV179" i="15"/>
  <c r="AV177" i="15"/>
  <c r="AV260" i="15"/>
  <c r="AV175" i="15"/>
  <c r="AV14" i="15"/>
  <c r="AU259" i="15"/>
  <c r="AU181" i="15"/>
  <c r="AU179" i="15"/>
  <c r="AU177" i="15"/>
  <c r="AU175" i="15"/>
  <c r="AU260" i="15"/>
  <c r="AU14" i="15"/>
  <c r="AT259" i="15"/>
  <c r="AT181" i="15"/>
  <c r="AT179" i="15"/>
  <c r="AT177" i="15"/>
  <c r="AT175" i="15"/>
  <c r="AS260" i="15"/>
  <c r="AT14" i="15"/>
  <c r="AS259" i="15"/>
  <c r="AS181" i="15"/>
  <c r="AS179" i="15"/>
  <c r="AS177" i="15"/>
  <c r="AS175" i="15"/>
  <c r="AR259" i="15"/>
  <c r="AS14" i="15"/>
  <c r="AR181" i="15"/>
  <c r="AR179" i="15"/>
  <c r="AR177" i="15"/>
  <c r="AR260" i="15"/>
  <c r="AR175" i="15"/>
  <c r="AR14" i="15"/>
  <c r="AQ259" i="15"/>
  <c r="AQ181" i="15"/>
  <c r="AQ179" i="15"/>
  <c r="AQ177" i="15"/>
  <c r="AQ175" i="15"/>
  <c r="AQ260" i="15"/>
  <c r="AQ14" i="15"/>
  <c r="AP259" i="15"/>
  <c r="AP181" i="15"/>
  <c r="AP179" i="15"/>
  <c r="AP177" i="15"/>
  <c r="AP175" i="15"/>
  <c r="AO260" i="15"/>
  <c r="AP14" i="15"/>
  <c r="AO259" i="15"/>
  <c r="AO181" i="15"/>
  <c r="AO179" i="15"/>
  <c r="AO177" i="15"/>
  <c r="AO175" i="15"/>
  <c r="AN259" i="15"/>
  <c r="AO14" i="15"/>
  <c r="AN181" i="15"/>
  <c r="AN179" i="15"/>
  <c r="AN177" i="15"/>
  <c r="AN260" i="15"/>
  <c r="AN175" i="15"/>
  <c r="AN14" i="15"/>
  <c r="AM259" i="15"/>
  <c r="AM181" i="15"/>
  <c r="AM179" i="15"/>
  <c r="AM177" i="15"/>
  <c r="AM175" i="15"/>
  <c r="AM260" i="15"/>
  <c r="AM14" i="15"/>
  <c r="AL259" i="15"/>
  <c r="AL181" i="15"/>
  <c r="AL179" i="15"/>
  <c r="AL177" i="15"/>
  <c r="AL175" i="15"/>
  <c r="AK260" i="15"/>
  <c r="AL14" i="15"/>
  <c r="AK259" i="15"/>
  <c r="AK181" i="15"/>
  <c r="AK179" i="15"/>
  <c r="AK177" i="15"/>
  <c r="AK175" i="15"/>
  <c r="AJ259" i="15"/>
  <c r="AK14" i="15"/>
  <c r="AJ181" i="15"/>
  <c r="AJ179" i="15"/>
  <c r="AJ177" i="15"/>
  <c r="AJ260" i="15"/>
  <c r="AJ175" i="15"/>
  <c r="AJ14" i="15"/>
  <c r="AI259" i="15"/>
  <c r="AI181" i="15"/>
  <c r="AI179" i="15"/>
  <c r="AI177" i="15"/>
  <c r="AI175" i="15"/>
  <c r="AI260" i="15"/>
  <c r="AI14" i="15"/>
  <c r="AH259" i="15"/>
  <c r="AH181" i="15"/>
  <c r="AH179" i="15"/>
  <c r="AH177" i="15"/>
  <c r="AH175" i="15"/>
  <c r="AG260" i="15"/>
  <c r="AH14" i="15"/>
  <c r="AG259" i="15"/>
  <c r="AG181" i="15"/>
  <c r="AG179" i="15"/>
  <c r="AG177" i="15"/>
  <c r="AG175" i="15"/>
  <c r="AF259" i="15"/>
  <c r="AG14" i="15"/>
  <c r="AF181" i="15"/>
  <c r="AF179" i="15"/>
  <c r="AF177" i="15"/>
  <c r="AF260" i="15"/>
  <c r="AF175" i="15"/>
  <c r="AF14" i="15"/>
  <c r="AE259" i="15"/>
  <c r="AE181" i="15"/>
  <c r="AE179" i="15"/>
  <c r="AE177" i="15"/>
  <c r="AE175" i="15"/>
  <c r="AE260" i="15"/>
  <c r="AE14" i="15"/>
  <c r="AD259" i="15"/>
  <c r="AD181" i="15"/>
  <c r="AD179" i="15"/>
  <c r="AD177" i="15"/>
  <c r="AD175" i="15"/>
  <c r="AC260" i="15"/>
  <c r="AD14" i="15"/>
  <c r="AC259" i="15"/>
  <c r="AC181" i="15"/>
  <c r="AC179" i="15"/>
  <c r="AC177" i="15"/>
  <c r="AC175" i="15"/>
  <c r="AB259" i="15"/>
  <c r="AC14" i="15"/>
  <c r="AB181" i="15"/>
  <c r="AB179" i="15"/>
  <c r="AB260" i="15"/>
  <c r="AB177" i="15"/>
  <c r="AB175" i="15"/>
  <c r="AB14" i="15"/>
  <c r="AA259" i="15"/>
  <c r="AA181" i="15"/>
  <c r="AA179" i="15"/>
  <c r="AA177" i="15"/>
  <c r="AA175" i="15"/>
  <c r="AA260" i="15"/>
  <c r="AA14" i="15"/>
  <c r="Z259" i="15"/>
  <c r="Z181" i="15"/>
  <c r="Z179" i="15"/>
  <c r="Z177" i="15"/>
  <c r="Z175" i="15"/>
  <c r="Y260" i="15"/>
  <c r="Z14" i="15"/>
  <c r="Y259" i="15"/>
  <c r="Y181" i="15"/>
  <c r="Y179" i="15"/>
  <c r="Y177" i="15"/>
  <c r="Y175" i="15"/>
  <c r="X259" i="15"/>
  <c r="Y14" i="15"/>
  <c r="X181" i="15"/>
  <c r="X179" i="15"/>
  <c r="X260" i="15"/>
  <c r="X177" i="15"/>
  <c r="X175" i="15"/>
  <c r="X14" i="15"/>
  <c r="W259" i="15"/>
  <c r="W181" i="15"/>
  <c r="W179" i="15"/>
  <c r="W177" i="15"/>
  <c r="W175" i="15"/>
  <c r="W260" i="15"/>
  <c r="W14" i="15"/>
  <c r="V259" i="15"/>
  <c r="V181" i="15"/>
  <c r="V179" i="15"/>
  <c r="V177" i="15"/>
  <c r="V175" i="15"/>
  <c r="U259" i="15"/>
  <c r="V14" i="15"/>
  <c r="U181" i="15"/>
  <c r="U179" i="15"/>
  <c r="U260" i="15"/>
  <c r="U177" i="15"/>
  <c r="U175" i="15"/>
  <c r="T259" i="15"/>
  <c r="U14" i="15"/>
  <c r="T181" i="15"/>
  <c r="T179" i="15"/>
  <c r="T177" i="15"/>
  <c r="T260" i="15"/>
  <c r="T175" i="15"/>
  <c r="S259" i="15"/>
  <c r="T14" i="15"/>
  <c r="S181" i="15"/>
  <c r="S179" i="15"/>
  <c r="S177" i="15"/>
  <c r="S175" i="15"/>
  <c r="S14" i="15"/>
  <c r="R259" i="15"/>
  <c r="R181" i="15"/>
  <c r="R179" i="15"/>
  <c r="R177" i="15"/>
  <c r="R175" i="15"/>
  <c r="R260" i="15"/>
  <c r="Q259" i="15"/>
  <c r="R14" i="15"/>
  <c r="Q181" i="15"/>
  <c r="Q179" i="15"/>
  <c r="Q177" i="15"/>
  <c r="Q175" i="15"/>
  <c r="P259" i="15"/>
  <c r="Q14" i="15"/>
  <c r="P181" i="15"/>
  <c r="P179" i="15"/>
  <c r="P260" i="15"/>
  <c r="P177" i="15"/>
  <c r="P175" i="15"/>
  <c r="P14" i="15"/>
  <c r="O259" i="15"/>
  <c r="O181" i="15"/>
  <c r="O179" i="15"/>
  <c r="O177" i="15"/>
  <c r="O175" i="15"/>
  <c r="O260" i="15"/>
  <c r="O14" i="15"/>
  <c r="N259" i="15"/>
  <c r="N181" i="15"/>
  <c r="N179" i="15"/>
  <c r="N177" i="15"/>
  <c r="N175" i="15"/>
  <c r="M259" i="15"/>
  <c r="N14" i="15"/>
  <c r="M181" i="15"/>
  <c r="M179" i="15"/>
  <c r="M260" i="15"/>
  <c r="M177" i="15"/>
  <c r="M175" i="15"/>
  <c r="L259" i="15"/>
  <c r="M14" i="15"/>
  <c r="L181" i="15"/>
  <c r="L179" i="15"/>
  <c r="L177" i="15"/>
  <c r="L260" i="15"/>
  <c r="L175" i="15"/>
  <c r="K259" i="15"/>
  <c r="L14" i="15"/>
  <c r="K181" i="15"/>
  <c r="K179" i="15"/>
  <c r="K177" i="15"/>
  <c r="K175" i="15"/>
  <c r="K14" i="15"/>
  <c r="J259" i="15"/>
  <c r="J181" i="15"/>
  <c r="J179" i="15"/>
  <c r="J177" i="15"/>
  <c r="J175" i="15"/>
  <c r="J260" i="15"/>
  <c r="J14" i="15"/>
  <c r="I259" i="15"/>
  <c r="I181" i="15"/>
  <c r="I179" i="15"/>
  <c r="I260" i="15"/>
  <c r="I177" i="15"/>
  <c r="I175" i="15"/>
  <c r="H259" i="15"/>
  <c r="I14" i="15"/>
  <c r="H181" i="15"/>
  <c r="H179" i="15"/>
  <c r="H177" i="15"/>
  <c r="H260" i="15"/>
  <c r="H175" i="15"/>
  <c r="G259" i="15"/>
  <c r="H14" i="15"/>
  <c r="G181" i="15"/>
  <c r="G179" i="15"/>
  <c r="G177" i="15"/>
  <c r="G175" i="15"/>
  <c r="G14" i="15"/>
  <c r="F259" i="15"/>
  <c r="F181" i="15"/>
  <c r="F179" i="15"/>
  <c r="F177" i="15"/>
  <c r="F175" i="15"/>
  <c r="F260" i="15"/>
  <c r="F14" i="15"/>
  <c r="E259" i="15"/>
  <c r="E181" i="15"/>
  <c r="E179" i="15"/>
  <c r="E260" i="15"/>
  <c r="E177" i="15"/>
  <c r="E175" i="15"/>
  <c r="D259" i="15"/>
  <c r="E14" i="15"/>
  <c r="D181" i="15"/>
  <c r="D179" i="15"/>
  <c r="D177" i="15"/>
  <c r="D260" i="15"/>
  <c r="D175" i="15"/>
  <c r="AY259" i="16"/>
  <c r="AZ14" i="16"/>
  <c r="AY181" i="16"/>
  <c r="AY179" i="16"/>
  <c r="AY177" i="16"/>
  <c r="AY175" i="16"/>
  <c r="AY14" i="16"/>
  <c r="AX259" i="16"/>
  <c r="AX181" i="16"/>
  <c r="AX179" i="16"/>
  <c r="AX177" i="16"/>
  <c r="AX175" i="16"/>
  <c r="AX260" i="16"/>
  <c r="AX14" i="16"/>
  <c r="AW259" i="16"/>
  <c r="AW181" i="16"/>
  <c r="AW179" i="16"/>
  <c r="AW260" i="16"/>
  <c r="AW177" i="16"/>
  <c r="AW175" i="16"/>
  <c r="AV259" i="16"/>
  <c r="AW14" i="16"/>
  <c r="AV181" i="16"/>
  <c r="AV179" i="16"/>
  <c r="AV177" i="16"/>
  <c r="AV260" i="16"/>
  <c r="AV175" i="16"/>
  <c r="AU259" i="16"/>
  <c r="AV14" i="16"/>
  <c r="AU181" i="16"/>
  <c r="AU179" i="16"/>
  <c r="AU177" i="16"/>
  <c r="AU175" i="16"/>
  <c r="AU14" i="16"/>
  <c r="AT259" i="16"/>
  <c r="AT181" i="16"/>
  <c r="AT179" i="16"/>
  <c r="AT177" i="16"/>
  <c r="AT175" i="16"/>
  <c r="AT260" i="16"/>
  <c r="AT14" i="16"/>
  <c r="AS259" i="16"/>
  <c r="AS181" i="16"/>
  <c r="AS179" i="16"/>
  <c r="AS260" i="16"/>
  <c r="AS177" i="16"/>
  <c r="AS175" i="16"/>
  <c r="AR259" i="16"/>
  <c r="AS14" i="16"/>
  <c r="AR181" i="16"/>
  <c r="AR179" i="16"/>
  <c r="AR177" i="16"/>
  <c r="AR260" i="16"/>
  <c r="AR175" i="16"/>
  <c r="AQ259" i="16"/>
  <c r="AR14" i="16"/>
  <c r="AQ181" i="16"/>
  <c r="AQ179" i="16"/>
  <c r="AQ177" i="16"/>
  <c r="AQ175" i="16"/>
  <c r="AQ14" i="16"/>
  <c r="AP259" i="16"/>
  <c r="AP181" i="16"/>
  <c r="AP179" i="16"/>
  <c r="AP177" i="16"/>
  <c r="AP175" i="16"/>
  <c r="AP260" i="16"/>
  <c r="AP14" i="16"/>
  <c r="AO259" i="16"/>
  <c r="AO181" i="16"/>
  <c r="AO179" i="16"/>
  <c r="AO260" i="16"/>
  <c r="AO177" i="16"/>
  <c r="AO175" i="16"/>
  <c r="AN259" i="16"/>
  <c r="AO14" i="16"/>
  <c r="AN181" i="16"/>
  <c r="AN179" i="16"/>
  <c r="AN177" i="16"/>
  <c r="AN260" i="16"/>
  <c r="AN175" i="16"/>
  <c r="AM259" i="16"/>
  <c r="AN14" i="16"/>
  <c r="AM181" i="16"/>
  <c r="AM179" i="16"/>
  <c r="AM177" i="16"/>
  <c r="AM175" i="16"/>
  <c r="AM14" i="16"/>
  <c r="AL259" i="16"/>
  <c r="AL181" i="16"/>
  <c r="AL179" i="16"/>
  <c r="AL177" i="16"/>
  <c r="AL175" i="16"/>
  <c r="AL260" i="16"/>
  <c r="AL14" i="16"/>
  <c r="AK259" i="16"/>
  <c r="AK181" i="16"/>
  <c r="AK179" i="16"/>
  <c r="AK260" i="16"/>
  <c r="AK177" i="16"/>
  <c r="AK175" i="16"/>
  <c r="AJ259" i="16"/>
  <c r="AK14" i="16"/>
  <c r="AJ181" i="16"/>
  <c r="AJ179" i="16"/>
  <c r="AJ177" i="16"/>
  <c r="AJ260" i="16"/>
  <c r="AJ175" i="16"/>
  <c r="AI259" i="16"/>
  <c r="AJ14" i="16"/>
  <c r="AI181" i="16"/>
  <c r="AI179" i="16"/>
  <c r="AI177" i="16"/>
  <c r="AI175" i="16"/>
  <c r="AI14" i="16"/>
  <c r="AH259" i="16"/>
  <c r="AH181" i="16"/>
  <c r="AH179" i="16"/>
  <c r="AH177" i="16"/>
  <c r="AH175" i="16"/>
  <c r="AH260" i="16"/>
  <c r="AH14" i="16"/>
  <c r="AG259" i="16"/>
  <c r="AG181" i="16"/>
  <c r="AG179" i="16"/>
  <c r="AG260" i="16"/>
  <c r="AG177" i="16"/>
  <c r="AG175" i="16"/>
  <c r="AF259" i="16"/>
  <c r="AG14" i="16"/>
  <c r="AF181" i="16"/>
  <c r="AF179" i="16"/>
  <c r="AF177" i="16"/>
  <c r="AF260" i="16"/>
  <c r="AF175" i="16"/>
  <c r="AE259" i="16"/>
  <c r="AF14" i="16"/>
  <c r="AE181" i="16"/>
  <c r="AE179" i="16"/>
  <c r="AE177" i="16"/>
  <c r="AE175" i="16"/>
  <c r="AE14" i="16"/>
  <c r="AD259" i="16"/>
  <c r="AD181" i="16"/>
  <c r="AD179" i="16"/>
  <c r="AD177" i="16"/>
  <c r="AD175" i="16"/>
  <c r="AD260" i="16"/>
  <c r="AD14" i="16"/>
  <c r="AC259" i="16"/>
  <c r="AC181" i="16"/>
  <c r="AC179" i="16"/>
  <c r="AC260" i="16"/>
  <c r="AC177" i="16"/>
  <c r="AC175" i="16"/>
  <c r="AB259" i="16"/>
  <c r="AC14" i="16"/>
  <c r="AB181" i="16"/>
  <c r="AB179" i="16"/>
  <c r="AB177" i="16"/>
  <c r="AB260" i="16"/>
  <c r="AB175" i="16"/>
  <c r="AA259" i="16"/>
  <c r="AB14" i="16"/>
  <c r="AA181" i="16"/>
  <c r="AA179" i="16"/>
  <c r="AA177" i="16"/>
  <c r="AA175" i="16"/>
  <c r="AA14" i="16"/>
  <c r="Z259" i="16"/>
  <c r="Z181" i="16"/>
  <c r="Z179" i="16"/>
  <c r="Z177" i="16"/>
  <c r="Z175" i="16"/>
  <c r="Z260" i="16"/>
  <c r="Z14" i="16"/>
  <c r="Y259" i="16"/>
  <c r="Y181" i="16"/>
  <c r="Y179" i="16"/>
  <c r="Y260" i="16"/>
  <c r="Y177" i="16"/>
  <c r="Y175" i="16"/>
  <c r="X259" i="16"/>
  <c r="Y14" i="16"/>
  <c r="X181" i="16"/>
  <c r="X179" i="16"/>
  <c r="X177" i="16"/>
  <c r="X260" i="16"/>
  <c r="X175" i="16"/>
  <c r="W259" i="16"/>
  <c r="X14" i="16"/>
  <c r="W181" i="16"/>
  <c r="W179" i="16"/>
  <c r="W177" i="16"/>
  <c r="W175" i="16"/>
  <c r="W14" i="16"/>
  <c r="V259" i="16"/>
  <c r="V181" i="16"/>
  <c r="V179" i="16"/>
  <c r="V177" i="16"/>
  <c r="V175" i="16"/>
  <c r="V260" i="16"/>
  <c r="V14" i="16"/>
  <c r="U259" i="16"/>
  <c r="U181" i="16"/>
  <c r="U179" i="16"/>
  <c r="U260" i="16"/>
  <c r="U177" i="16"/>
  <c r="U175" i="16"/>
  <c r="T259" i="16"/>
  <c r="U14" i="16"/>
  <c r="T181" i="16"/>
  <c r="T179" i="16"/>
  <c r="T177" i="16"/>
  <c r="T260" i="16"/>
  <c r="T175" i="16"/>
  <c r="S259" i="16"/>
  <c r="T14" i="16"/>
  <c r="S181" i="16"/>
  <c r="S179" i="16"/>
  <c r="S177" i="16"/>
  <c r="S175" i="16"/>
  <c r="S14" i="16"/>
  <c r="R259" i="16"/>
  <c r="R181" i="16"/>
  <c r="R179" i="16"/>
  <c r="R177" i="16"/>
  <c r="R175" i="16"/>
  <c r="R260" i="16"/>
  <c r="R14" i="16"/>
  <c r="Q259" i="16"/>
  <c r="Q181" i="16"/>
  <c r="Q179" i="16"/>
  <c r="Q260" i="16"/>
  <c r="Q177" i="16"/>
  <c r="Q175" i="16"/>
  <c r="P259" i="16"/>
  <c r="Q14" i="16"/>
  <c r="P181" i="16"/>
  <c r="P179" i="16"/>
  <c r="P177" i="16"/>
  <c r="P260" i="16"/>
  <c r="P175" i="16"/>
  <c r="O259" i="16"/>
  <c r="P14" i="16"/>
  <c r="O181" i="16"/>
  <c r="O179" i="16"/>
  <c r="O177" i="16"/>
  <c r="O175" i="16"/>
  <c r="O14" i="16"/>
  <c r="N259" i="16"/>
  <c r="N181" i="16"/>
  <c r="N179" i="16"/>
  <c r="N177" i="16"/>
  <c r="N175" i="16"/>
  <c r="N260" i="16"/>
  <c r="N14" i="16"/>
  <c r="M259" i="16"/>
  <c r="M181" i="16"/>
  <c r="M179" i="16"/>
  <c r="M260" i="16"/>
  <c r="M177" i="16"/>
  <c r="M175" i="16"/>
  <c r="L259" i="16"/>
  <c r="M14" i="16"/>
  <c r="L181" i="16"/>
  <c r="L179" i="16"/>
  <c r="L177" i="16"/>
  <c r="L175" i="16"/>
  <c r="L14" i="16"/>
  <c r="K259" i="16"/>
  <c r="K181" i="16"/>
  <c r="K179" i="16"/>
  <c r="K177" i="16"/>
  <c r="K175" i="16"/>
  <c r="K260" i="16"/>
  <c r="K14" i="16"/>
  <c r="J259" i="16"/>
  <c r="J181" i="16"/>
  <c r="J179" i="16"/>
  <c r="J177" i="16"/>
  <c r="J175" i="16"/>
  <c r="J260" i="16"/>
  <c r="J14" i="16"/>
  <c r="I259" i="16"/>
  <c r="I181" i="16"/>
  <c r="I179" i="16"/>
  <c r="I260" i="16"/>
  <c r="I177" i="16"/>
  <c r="I175" i="16"/>
  <c r="H259" i="16"/>
  <c r="I14" i="16"/>
  <c r="H181" i="16"/>
  <c r="H179" i="16"/>
  <c r="H177" i="16"/>
  <c r="H260" i="16"/>
  <c r="H175" i="16"/>
  <c r="H14" i="16"/>
  <c r="G259" i="16"/>
  <c r="G181" i="16"/>
  <c r="G179" i="16"/>
  <c r="G177" i="16"/>
  <c r="G175" i="16"/>
  <c r="G260" i="16"/>
  <c r="G14" i="16"/>
  <c r="F259" i="16"/>
  <c r="F181" i="16"/>
  <c r="F179" i="16"/>
  <c r="F177" i="16"/>
  <c r="F175" i="16"/>
  <c r="F260" i="16"/>
  <c r="F14" i="16"/>
  <c r="E259" i="16"/>
  <c r="E181" i="16"/>
  <c r="E179" i="16"/>
  <c r="E260" i="16"/>
  <c r="E177" i="16"/>
  <c r="E175" i="16"/>
  <c r="D259" i="16"/>
  <c r="E14" i="16"/>
  <c r="D181" i="16"/>
  <c r="D179" i="16"/>
  <c r="D177" i="16"/>
  <c r="D260" i="16"/>
  <c r="D175" i="16"/>
  <c r="AY14" i="17"/>
  <c r="AY15" i="17"/>
  <c r="AY16" i="17"/>
  <c r="AY17" i="17"/>
  <c r="AY29" i="17"/>
  <c r="AX14" i="17"/>
  <c r="AX15" i="17"/>
  <c r="AX16" i="17"/>
  <c r="AX17" i="17"/>
  <c r="AX29" i="17"/>
  <c r="AW14" i="17"/>
  <c r="AW15" i="17"/>
  <c r="AW16" i="17"/>
  <c r="AW10" i="17"/>
  <c r="AW13" i="17"/>
  <c r="AW17" i="17"/>
  <c r="AW29" i="17"/>
  <c r="AV14" i="17"/>
  <c r="AV15" i="17"/>
  <c r="AV10" i="17"/>
  <c r="AV13" i="17"/>
  <c r="AV16" i="17"/>
  <c r="AV17" i="17"/>
  <c r="AV29" i="17"/>
  <c r="AU15" i="17"/>
  <c r="AU16" i="17"/>
  <c r="AU21" i="17"/>
  <c r="AU22" i="17"/>
  <c r="AU29" i="17"/>
  <c r="AU33" i="17"/>
  <c r="AT14" i="17"/>
  <c r="AT15" i="17"/>
  <c r="AT16" i="17"/>
  <c r="AU17" i="17"/>
  <c r="AT10" i="17"/>
  <c r="AT13" i="17"/>
  <c r="AU14" i="17"/>
  <c r="AU10" i="17"/>
  <c r="AU13" i="17"/>
  <c r="AT17" i="17"/>
  <c r="AT29" i="17"/>
  <c r="AS14" i="17"/>
  <c r="AS15" i="17"/>
  <c r="AS10" i="17"/>
  <c r="AS13" i="17"/>
  <c r="AS16" i="17"/>
  <c r="AS17" i="17"/>
  <c r="AS29" i="17"/>
  <c r="AR14" i="17"/>
  <c r="AR15" i="17"/>
  <c r="AR16" i="17"/>
  <c r="AR10" i="17"/>
  <c r="AR13" i="17"/>
  <c r="AR17" i="17"/>
  <c r="AR29" i="17"/>
  <c r="AQ14" i="17"/>
  <c r="AQ15" i="17"/>
  <c r="AQ16" i="17"/>
  <c r="AQ17" i="17"/>
  <c r="AQ29" i="17"/>
  <c r="AP14" i="17"/>
  <c r="AP10" i="17"/>
  <c r="AP15" i="17"/>
  <c r="AP16" i="17"/>
  <c r="AP13" i="17"/>
  <c r="AP17" i="17"/>
  <c r="AP29" i="17"/>
  <c r="AO14" i="17"/>
  <c r="AO15" i="17"/>
  <c r="AO16" i="17"/>
  <c r="AO10" i="17"/>
  <c r="AO13" i="17"/>
  <c r="AO17" i="17"/>
  <c r="AO29" i="17"/>
  <c r="AN14" i="17"/>
  <c r="AN10" i="17"/>
  <c r="AN15" i="17"/>
  <c r="AN16" i="17"/>
  <c r="AN13" i="17"/>
  <c r="AO22" i="17"/>
  <c r="AN17" i="17"/>
  <c r="AN29" i="17"/>
  <c r="AM14" i="17"/>
  <c r="AM15" i="17"/>
  <c r="AM16" i="17"/>
  <c r="AM10" i="17"/>
  <c r="AM13" i="17"/>
  <c r="AM17" i="17"/>
  <c r="AM29" i="17"/>
  <c r="AL14" i="17"/>
  <c r="AL10" i="17"/>
  <c r="AL15" i="17"/>
  <c r="AL16" i="17"/>
  <c r="AL13" i="17"/>
  <c r="AL17" i="17"/>
  <c r="AL29" i="17"/>
  <c r="AK14" i="17"/>
  <c r="AK15" i="17"/>
  <c r="AK16" i="17"/>
  <c r="AK10" i="17"/>
  <c r="AK13" i="17"/>
  <c r="AK17" i="17"/>
  <c r="AK29" i="17"/>
  <c r="AJ14" i="17"/>
  <c r="AJ10" i="17"/>
  <c r="AJ15" i="17"/>
  <c r="AJ16" i="17"/>
  <c r="AJ13" i="17"/>
  <c r="AK22" i="17"/>
  <c r="AJ17" i="17"/>
  <c r="AJ29" i="17"/>
  <c r="AI14" i="17"/>
  <c r="AI15" i="17"/>
  <c r="AI16" i="17"/>
  <c r="AI10" i="17"/>
  <c r="AI13" i="17"/>
  <c r="AI17" i="17"/>
  <c r="AI29" i="17"/>
  <c r="AH14" i="17"/>
  <c r="AH10" i="17"/>
  <c r="AH15" i="17"/>
  <c r="AH16" i="17"/>
  <c r="AH13" i="17"/>
  <c r="AH17" i="17"/>
  <c r="AH29" i="17"/>
  <c r="AG14" i="17"/>
  <c r="AG15" i="17"/>
  <c r="AG16" i="17"/>
  <c r="AG10" i="17"/>
  <c r="AG13" i="17"/>
  <c r="AG17" i="17"/>
  <c r="AG29" i="17"/>
  <c r="AF14" i="17"/>
  <c r="AF10" i="17"/>
  <c r="AF15" i="17"/>
  <c r="AF16" i="17"/>
  <c r="AF13" i="17"/>
  <c r="AG22" i="17"/>
  <c r="AF17" i="17"/>
  <c r="AF29" i="17"/>
  <c r="AE14" i="17"/>
  <c r="AE15" i="17"/>
  <c r="AE16" i="17"/>
  <c r="AE10" i="17"/>
  <c r="AE13" i="17"/>
  <c r="AE17" i="17"/>
  <c r="AE29" i="17"/>
  <c r="AD14" i="17"/>
  <c r="AD10" i="17"/>
  <c r="AD15" i="17"/>
  <c r="AD16" i="17"/>
  <c r="AD13" i="17"/>
  <c r="AD17" i="17"/>
  <c r="AD29" i="17"/>
  <c r="AC14" i="17"/>
  <c r="AC15" i="17"/>
  <c r="AC16" i="17"/>
  <c r="AC17" i="17"/>
  <c r="AC29" i="17"/>
  <c r="AB14" i="17"/>
  <c r="AB15" i="17"/>
  <c r="AB16" i="17"/>
  <c r="AB10" i="17"/>
  <c r="AB13" i="17"/>
  <c r="AB17" i="17"/>
  <c r="AB29" i="17"/>
  <c r="AA14" i="17"/>
  <c r="AA15" i="17"/>
  <c r="AA16" i="17"/>
  <c r="AA17" i="17"/>
  <c r="AA29" i="17"/>
  <c r="Z14" i="17"/>
  <c r="Z15" i="17"/>
  <c r="Z16" i="17"/>
  <c r="Z10" i="17"/>
  <c r="Z13" i="17"/>
  <c r="Z17" i="17"/>
  <c r="Z29" i="17"/>
  <c r="Y14" i="17"/>
  <c r="Y15" i="17"/>
  <c r="Y16" i="17"/>
  <c r="Y17" i="17"/>
  <c r="Y29" i="17"/>
  <c r="X14" i="17"/>
  <c r="X15" i="17"/>
  <c r="X16" i="17"/>
  <c r="X10" i="17"/>
  <c r="X13" i="17"/>
  <c r="X17" i="17"/>
  <c r="X22" i="17"/>
  <c r="X29" i="17"/>
  <c r="W14" i="17"/>
  <c r="W10" i="17"/>
  <c r="W15" i="17"/>
  <c r="W16" i="17"/>
  <c r="W13" i="17"/>
  <c r="X21" i="17"/>
  <c r="W17" i="17"/>
  <c r="W29" i="17"/>
  <c r="V14" i="17"/>
  <c r="V15" i="17"/>
  <c r="V16" i="17"/>
  <c r="V10" i="17"/>
  <c r="V13" i="17"/>
  <c r="V17" i="17"/>
  <c r="V29" i="17"/>
  <c r="U14" i="17"/>
  <c r="U10" i="17"/>
  <c r="U15" i="17"/>
  <c r="U16" i="17"/>
  <c r="U13" i="17"/>
  <c r="V22" i="17"/>
  <c r="U17" i="17"/>
  <c r="U29" i="17"/>
  <c r="T14" i="17"/>
  <c r="T15" i="17"/>
  <c r="T16" i="17"/>
  <c r="T10" i="17"/>
  <c r="T13" i="17"/>
  <c r="T17" i="17"/>
  <c r="T29" i="17"/>
  <c r="S14" i="17"/>
  <c r="S10" i="17"/>
  <c r="S15" i="17"/>
  <c r="S16" i="17"/>
  <c r="S13" i="17"/>
  <c r="T21" i="17"/>
  <c r="S17" i="17"/>
  <c r="S29" i="17"/>
  <c r="R14" i="17"/>
  <c r="R15" i="17"/>
  <c r="R10" i="17"/>
  <c r="R13" i="17"/>
  <c r="R16" i="17"/>
  <c r="R17" i="17"/>
  <c r="R29" i="17"/>
  <c r="Q14" i="17"/>
  <c r="Q15" i="17"/>
  <c r="Q10" i="17"/>
  <c r="Q13" i="17"/>
  <c r="Q16" i="17"/>
  <c r="Q17" i="17"/>
  <c r="Q29" i="17"/>
  <c r="P14" i="17"/>
  <c r="P15" i="17"/>
  <c r="P10" i="17"/>
  <c r="P13" i="17"/>
  <c r="P16" i="17"/>
  <c r="P17" i="17"/>
  <c r="P29" i="17"/>
  <c r="O14" i="17"/>
  <c r="O15" i="17"/>
  <c r="O10" i="17"/>
  <c r="O13" i="17"/>
  <c r="O16" i="17"/>
  <c r="O17" i="17"/>
  <c r="O29" i="17"/>
  <c r="N14" i="17"/>
  <c r="N15" i="17"/>
  <c r="N10" i="17"/>
  <c r="N13" i="17"/>
  <c r="N16" i="17"/>
  <c r="N17" i="17"/>
  <c r="N29" i="17"/>
  <c r="M14" i="17"/>
  <c r="M15" i="17"/>
  <c r="M10" i="17"/>
  <c r="M13" i="17"/>
  <c r="M16" i="17"/>
  <c r="M17" i="17"/>
  <c r="M29" i="17"/>
  <c r="L14" i="17"/>
  <c r="L15" i="17"/>
  <c r="L10" i="17"/>
  <c r="L13" i="17"/>
  <c r="L16" i="17"/>
  <c r="L17" i="17"/>
  <c r="L29" i="17"/>
  <c r="K14" i="17"/>
  <c r="K15" i="17"/>
  <c r="K10" i="17"/>
  <c r="K13" i="17"/>
  <c r="K16" i="17"/>
  <c r="K17" i="17"/>
  <c r="K29" i="17"/>
  <c r="J14" i="17"/>
  <c r="J15" i="17"/>
  <c r="J10" i="17"/>
  <c r="J13" i="17"/>
  <c r="J16" i="17"/>
  <c r="J17" i="17"/>
  <c r="J29" i="17"/>
  <c r="I14" i="17"/>
  <c r="I15" i="17"/>
  <c r="I10" i="17"/>
  <c r="I13" i="17"/>
  <c r="I16" i="17"/>
  <c r="I17" i="17"/>
  <c r="I29" i="17"/>
  <c r="H14" i="17"/>
  <c r="H15" i="17"/>
  <c r="H10" i="17"/>
  <c r="H13" i="17"/>
  <c r="H16" i="17"/>
  <c r="H17" i="17"/>
  <c r="H29" i="17"/>
  <c r="G14" i="17"/>
  <c r="G15" i="17"/>
  <c r="G10" i="17"/>
  <c r="G13" i="17"/>
  <c r="G16" i="17"/>
  <c r="G17" i="17"/>
  <c r="G29" i="17"/>
  <c r="F15" i="17"/>
  <c r="F17" i="17"/>
  <c r="F21" i="17"/>
  <c r="F23" i="17"/>
  <c r="F22" i="17"/>
  <c r="F29" i="17"/>
  <c r="F33" i="17"/>
  <c r="F39" i="17"/>
  <c r="F44" i="17"/>
  <c r="F50" i="17"/>
  <c r="F55" i="17"/>
  <c r="F61" i="17"/>
  <c r="E14" i="17"/>
  <c r="E15" i="17"/>
  <c r="F16" i="17"/>
  <c r="E16" i="17"/>
  <c r="E17" i="17"/>
  <c r="E27" i="17"/>
  <c r="E29" i="17"/>
  <c r="D14" i="17"/>
  <c r="D15" i="17"/>
  <c r="D16" i="17"/>
  <c r="D10" i="17"/>
  <c r="D17" i="17"/>
  <c r="D27" i="17"/>
  <c r="D29" i="17"/>
  <c r="D30" i="17"/>
  <c r="AY14" i="18"/>
  <c r="AY15" i="18"/>
  <c r="AY10" i="18"/>
  <c r="AY13" i="18"/>
  <c r="AY16" i="18"/>
  <c r="AY17" i="18"/>
  <c r="AY29" i="18"/>
  <c r="AX14" i="18"/>
  <c r="AX15" i="18"/>
  <c r="AX10" i="18"/>
  <c r="AX13" i="18"/>
  <c r="AY21" i="18"/>
  <c r="AX16" i="18"/>
  <c r="AX17" i="18"/>
  <c r="AX29" i="18"/>
  <c r="AW14" i="18"/>
  <c r="AW15" i="18"/>
  <c r="AW10" i="18"/>
  <c r="AW13" i="18"/>
  <c r="AX21" i="18"/>
  <c r="AW16" i="18"/>
  <c r="AW17" i="18"/>
  <c r="AW29" i="18"/>
  <c r="AV14" i="18"/>
  <c r="AV15" i="18"/>
  <c r="AV10" i="18"/>
  <c r="AV13" i="18"/>
  <c r="AW21" i="18"/>
  <c r="AV16" i="18"/>
  <c r="AV17" i="18"/>
  <c r="AV29" i="18"/>
  <c r="AU14" i="18"/>
  <c r="AU15" i="18"/>
  <c r="AU10" i="18"/>
  <c r="AU13" i="18"/>
  <c r="AV21" i="18"/>
  <c r="AU16" i="18"/>
  <c r="AU17" i="18"/>
  <c r="AU29" i="18"/>
  <c r="AT14" i="18"/>
  <c r="AT15" i="18"/>
  <c r="AT10" i="18"/>
  <c r="AT13" i="18"/>
  <c r="AU21" i="18"/>
  <c r="AT16" i="18"/>
  <c r="AT17" i="18"/>
  <c r="AT29" i="18"/>
  <c r="AS14" i="18"/>
  <c r="AS15" i="18"/>
  <c r="AS10" i="18"/>
  <c r="AS13" i="18"/>
  <c r="AT21" i="18"/>
  <c r="AS16" i="18"/>
  <c r="AS17" i="18"/>
  <c r="AS29" i="18"/>
  <c r="AR14" i="18"/>
  <c r="AR15" i="18"/>
  <c r="AR10" i="18"/>
  <c r="AR13" i="18"/>
  <c r="AS21" i="18"/>
  <c r="AR16" i="18"/>
  <c r="AR17" i="18"/>
  <c r="AR29" i="18"/>
  <c r="AQ14" i="18"/>
  <c r="AQ15" i="18"/>
  <c r="AQ10" i="18"/>
  <c r="AQ13" i="18"/>
  <c r="AR21" i="18"/>
  <c r="AQ16" i="18"/>
  <c r="AQ17" i="18"/>
  <c r="AQ29" i="18"/>
  <c r="AP14" i="18"/>
  <c r="AP15" i="18"/>
  <c r="AP10" i="18"/>
  <c r="AP13" i="18"/>
  <c r="AQ21" i="18"/>
  <c r="AP16" i="18"/>
  <c r="AP17" i="18"/>
  <c r="AP29" i="18"/>
  <c r="AO14" i="18"/>
  <c r="AO15" i="18"/>
  <c r="AO10" i="18"/>
  <c r="AO13" i="18"/>
  <c r="AP21" i="18"/>
  <c r="AO16" i="18"/>
  <c r="AO17" i="18"/>
  <c r="AO29" i="18"/>
  <c r="AN14" i="18"/>
  <c r="AN15" i="18"/>
  <c r="AN10" i="18"/>
  <c r="AN13" i="18"/>
  <c r="AO21" i="18"/>
  <c r="AN16" i="18"/>
  <c r="AN17" i="18"/>
  <c r="AN29" i="18"/>
  <c r="AM14" i="18"/>
  <c r="AM15" i="18"/>
  <c r="AM10" i="18"/>
  <c r="AM13" i="18"/>
  <c r="AN21" i="18"/>
  <c r="AM16" i="18"/>
  <c r="AM17" i="18"/>
  <c r="AM29" i="18"/>
  <c r="AL14" i="18"/>
  <c r="AL15" i="18"/>
  <c r="AL10" i="18"/>
  <c r="AL13" i="18"/>
  <c r="AM21" i="18"/>
  <c r="AL16" i="18"/>
  <c r="AL17" i="18"/>
  <c r="AL29" i="18"/>
  <c r="AK14" i="18"/>
  <c r="AK15" i="18"/>
  <c r="AK10" i="18"/>
  <c r="AK13" i="18"/>
  <c r="AL21" i="18"/>
  <c r="AK16" i="18"/>
  <c r="AK17" i="18"/>
  <c r="AK29" i="18"/>
  <c r="AJ14" i="18"/>
  <c r="AJ15" i="18"/>
  <c r="AJ10" i="18"/>
  <c r="AJ13" i="18"/>
  <c r="AK21" i="18"/>
  <c r="AJ16" i="18"/>
  <c r="AJ17" i="18"/>
  <c r="AJ29" i="18"/>
  <c r="AI14" i="18"/>
  <c r="AI15" i="18"/>
  <c r="AI10" i="18"/>
  <c r="AI13" i="18"/>
  <c r="AJ21" i="18"/>
  <c r="AI16" i="18"/>
  <c r="AI17" i="18"/>
  <c r="AI29" i="18"/>
  <c r="AH14" i="18"/>
  <c r="AH15" i="18"/>
  <c r="AH10" i="18"/>
  <c r="AH13" i="18"/>
  <c r="AI21" i="18"/>
  <c r="AH16" i="18"/>
  <c r="AH17" i="18"/>
  <c r="AH29" i="18"/>
  <c r="AG14" i="18"/>
  <c r="AG15" i="18"/>
  <c r="AG10" i="18"/>
  <c r="AG13" i="18"/>
  <c r="AH21" i="18"/>
  <c r="AG16" i="18"/>
  <c r="AG17" i="18"/>
  <c r="AG29" i="18"/>
  <c r="AF14" i="18"/>
  <c r="AF15" i="18"/>
  <c r="AF10" i="18"/>
  <c r="AF13" i="18"/>
  <c r="AG21" i="18"/>
  <c r="AF16" i="18"/>
  <c r="AF17" i="18"/>
  <c r="AF29" i="18"/>
  <c r="AE14" i="18"/>
  <c r="AE15" i="18"/>
  <c r="AE10" i="18"/>
  <c r="AE13" i="18"/>
  <c r="AF21" i="18"/>
  <c r="AE16" i="18"/>
  <c r="AE17" i="18"/>
  <c r="AE29" i="18"/>
  <c r="AD14" i="18"/>
  <c r="AD15" i="18"/>
  <c r="AD10" i="18"/>
  <c r="AD13" i="18"/>
  <c r="AE21" i="18"/>
  <c r="AD16" i="18"/>
  <c r="AD17" i="18"/>
  <c r="AD29" i="18"/>
  <c r="AC14" i="18"/>
  <c r="AC15" i="18"/>
  <c r="AC10" i="18"/>
  <c r="AC13" i="18"/>
  <c r="AD21" i="18"/>
  <c r="AC16" i="18"/>
  <c r="AC17" i="18"/>
  <c r="AC29" i="18"/>
  <c r="AB14" i="18"/>
  <c r="AB15" i="18"/>
  <c r="AB10" i="18"/>
  <c r="AB13" i="18"/>
  <c r="AC21" i="18"/>
  <c r="AB16" i="18"/>
  <c r="AB17" i="18"/>
  <c r="AB29" i="18"/>
  <c r="AA14" i="18"/>
  <c r="AA15" i="18"/>
  <c r="AA10" i="18"/>
  <c r="AA13" i="18"/>
  <c r="AA16" i="18"/>
  <c r="AA17" i="18"/>
  <c r="AA29" i="18"/>
  <c r="Z14" i="18"/>
  <c r="Z15" i="18"/>
  <c r="Z10" i="18"/>
  <c r="Z13" i="18"/>
  <c r="Z16" i="18"/>
  <c r="Z17" i="18"/>
  <c r="Z29" i="18"/>
  <c r="Z55" i="18"/>
  <c r="Y14" i="18"/>
  <c r="Y15" i="18"/>
  <c r="Y16" i="18"/>
  <c r="Y10" i="18"/>
  <c r="Y13" i="18"/>
  <c r="Z21" i="18"/>
  <c r="Y17" i="18"/>
  <c r="Y29" i="18"/>
  <c r="X14" i="18"/>
  <c r="X15" i="18"/>
  <c r="X16" i="18"/>
  <c r="X10" i="18"/>
  <c r="X13" i="18"/>
  <c r="Y21" i="18"/>
  <c r="Y55" i="18"/>
  <c r="X17" i="18"/>
  <c r="X29" i="18"/>
  <c r="W14" i="18"/>
  <c r="W15" i="18"/>
  <c r="W10" i="18"/>
  <c r="W13" i="18"/>
  <c r="W16" i="18"/>
  <c r="W17" i="18"/>
  <c r="W29" i="18"/>
  <c r="V14" i="18"/>
  <c r="V15" i="18"/>
  <c r="V10" i="18"/>
  <c r="V13" i="18"/>
  <c r="V16" i="18"/>
  <c r="V17" i="18"/>
  <c r="V29" i="18"/>
  <c r="V55" i="18"/>
  <c r="U14" i="18"/>
  <c r="U15" i="18"/>
  <c r="U16" i="18"/>
  <c r="U10" i="18"/>
  <c r="U13" i="18"/>
  <c r="V21" i="18"/>
  <c r="U17" i="18"/>
  <c r="U29" i="18"/>
  <c r="T14" i="18"/>
  <c r="T15" i="18"/>
  <c r="T16" i="18"/>
  <c r="T10" i="18"/>
  <c r="T13" i="18"/>
  <c r="U21" i="18"/>
  <c r="U55" i="18"/>
  <c r="T17" i="18"/>
  <c r="T29" i="18"/>
  <c r="S14" i="18"/>
  <c r="S15" i="18"/>
  <c r="S10" i="18"/>
  <c r="S13" i="18"/>
  <c r="S16" i="18"/>
  <c r="S17" i="18"/>
  <c r="S29" i="18"/>
  <c r="R14" i="18"/>
  <c r="R15" i="18"/>
  <c r="R10" i="18"/>
  <c r="R13" i="18"/>
  <c r="R16" i="18"/>
  <c r="R17" i="18"/>
  <c r="R29" i="18"/>
  <c r="R55" i="18"/>
  <c r="Q14" i="18"/>
  <c r="Q15" i="18"/>
  <c r="Q16" i="18"/>
  <c r="Q10" i="18"/>
  <c r="Q13" i="18"/>
  <c r="R21" i="18"/>
  <c r="Q17" i="18"/>
  <c r="Q29" i="18"/>
  <c r="P14" i="18"/>
  <c r="P15" i="18"/>
  <c r="P16" i="18"/>
  <c r="P10" i="18"/>
  <c r="P13" i="18"/>
  <c r="Q21" i="18"/>
  <c r="Q55" i="18"/>
  <c r="P17" i="18"/>
  <c r="P29" i="18"/>
  <c r="O14" i="18"/>
  <c r="O15" i="18"/>
  <c r="O10" i="18"/>
  <c r="O13" i="18"/>
  <c r="O16" i="18"/>
  <c r="O17" i="18"/>
  <c r="O29" i="18"/>
  <c r="N14" i="18"/>
  <c r="N15" i="18"/>
  <c r="N10" i="18"/>
  <c r="N13" i="18"/>
  <c r="N16" i="18"/>
  <c r="N17" i="18"/>
  <c r="N29" i="18"/>
  <c r="N55" i="18"/>
  <c r="M14" i="18"/>
  <c r="M15" i="18"/>
  <c r="M16" i="18"/>
  <c r="M10" i="18"/>
  <c r="M13" i="18"/>
  <c r="N21" i="18"/>
  <c r="M17" i="18"/>
  <c r="M29" i="18"/>
  <c r="L14" i="18"/>
  <c r="L15" i="18"/>
  <c r="L16" i="18"/>
  <c r="L10" i="18"/>
  <c r="L13" i="18"/>
  <c r="M21" i="18"/>
  <c r="M55" i="18"/>
  <c r="L17" i="18"/>
  <c r="L29" i="18"/>
  <c r="K14" i="18"/>
  <c r="K15" i="18"/>
  <c r="K10" i="18"/>
  <c r="K13" i="18"/>
  <c r="K16" i="18"/>
  <c r="K17" i="18"/>
  <c r="K29" i="18"/>
  <c r="J14" i="18"/>
  <c r="J15" i="18"/>
  <c r="J10" i="18"/>
  <c r="J13" i="18"/>
  <c r="J16" i="18"/>
  <c r="J17" i="18"/>
  <c r="J29" i="18"/>
  <c r="J55" i="18"/>
  <c r="I14" i="18"/>
  <c r="I15" i="18"/>
  <c r="I16" i="18"/>
  <c r="I10" i="18"/>
  <c r="I13" i="18"/>
  <c r="J21" i="18"/>
  <c r="I17" i="18"/>
  <c r="I29" i="18"/>
  <c r="H14" i="18"/>
  <c r="H15" i="18"/>
  <c r="H16" i="18"/>
  <c r="H17" i="18"/>
  <c r="H29" i="18"/>
  <c r="G14" i="18"/>
  <c r="G15" i="18"/>
  <c r="G16" i="18"/>
  <c r="G17" i="18"/>
  <c r="G29" i="18"/>
  <c r="F14" i="18"/>
  <c r="F10" i="18"/>
  <c r="F13" i="18"/>
  <c r="F15" i="18"/>
  <c r="F16" i="18"/>
  <c r="F17" i="18"/>
  <c r="F29" i="18"/>
  <c r="E14" i="18"/>
  <c r="E10" i="18"/>
  <c r="E15" i="18"/>
  <c r="E16" i="18"/>
  <c r="E13" i="18"/>
  <c r="E17" i="18"/>
  <c r="E27" i="18"/>
  <c r="E30" i="18"/>
  <c r="E29" i="18"/>
  <c r="D14" i="18"/>
  <c r="D15" i="18"/>
  <c r="D16" i="18"/>
  <c r="D17" i="18"/>
  <c r="AZ17" i="18"/>
  <c r="D21" i="18"/>
  <c r="D23" i="18"/>
  <c r="D27" i="18"/>
  <c r="D30" i="18"/>
  <c r="D29" i="18"/>
  <c r="D44" i="18"/>
  <c r="D50" i="18"/>
  <c r="B21" i="17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B22" i="17"/>
  <c r="K21" i="18"/>
  <c r="P21" i="18"/>
  <c r="P22" i="18"/>
  <c r="Q61" i="18"/>
  <c r="AA21" i="18"/>
  <c r="AA22" i="18"/>
  <c r="V24" i="17"/>
  <c r="V34" i="17"/>
  <c r="V40" i="17"/>
  <c r="V45" i="17"/>
  <c r="V51" i="17"/>
  <c r="V56" i="17"/>
  <c r="V62" i="17"/>
  <c r="L21" i="18"/>
  <c r="M61" i="18"/>
  <c r="W21" i="18"/>
  <c r="AB21" i="18"/>
  <c r="S21" i="18"/>
  <c r="X21" i="18"/>
  <c r="Y61" i="18"/>
  <c r="G22" i="18"/>
  <c r="G21" i="18"/>
  <c r="O21" i="18"/>
  <c r="T21" i="18"/>
  <c r="U61" i="18"/>
  <c r="AC44" i="18"/>
  <c r="AC23" i="18"/>
  <c r="AC33" i="18"/>
  <c r="AE44" i="18"/>
  <c r="AE23" i="18"/>
  <c r="AE33" i="18"/>
  <c r="AG44" i="18"/>
  <c r="AG23" i="18"/>
  <c r="AG33" i="18"/>
  <c r="AI44" i="18"/>
  <c r="AI23" i="18"/>
  <c r="AI33" i="18"/>
  <c r="AK44" i="18"/>
  <c r="AK23" i="18"/>
  <c r="AK33" i="18"/>
  <c r="AM44" i="18"/>
  <c r="AM23" i="18"/>
  <c r="AM33" i="18"/>
  <c r="AO44" i="18"/>
  <c r="AO23" i="18"/>
  <c r="AO33" i="18"/>
  <c r="AQ44" i="18"/>
  <c r="AQ23" i="18"/>
  <c r="AQ33" i="18"/>
  <c r="AR44" i="18"/>
  <c r="AR23" i="18"/>
  <c r="AR33" i="18"/>
  <c r="AU44" i="18"/>
  <c r="AU23" i="18"/>
  <c r="AU33" i="18"/>
  <c r="AW44" i="18"/>
  <c r="AW23" i="18"/>
  <c r="AW33" i="18"/>
  <c r="AY44" i="18"/>
  <c r="AY23" i="18"/>
  <c r="AY33" i="18"/>
  <c r="D13" i="17"/>
  <c r="T33" i="17"/>
  <c r="T23" i="17"/>
  <c r="T55" i="17"/>
  <c r="T44" i="17"/>
  <c r="X24" i="17"/>
  <c r="X34" i="17"/>
  <c r="X40" i="17"/>
  <c r="X45" i="17"/>
  <c r="X51" i="17"/>
  <c r="X56" i="17"/>
  <c r="X62" i="17"/>
  <c r="AG24" i="17"/>
  <c r="AG34" i="17"/>
  <c r="AG40" i="17"/>
  <c r="AG45" i="17"/>
  <c r="AG51" i="17"/>
  <c r="AG56" i="17"/>
  <c r="AG62" i="17"/>
  <c r="AK24" i="17"/>
  <c r="AK34" i="17"/>
  <c r="AK40" i="17"/>
  <c r="AK45" i="17"/>
  <c r="AK51" i="17"/>
  <c r="AK56" i="17"/>
  <c r="AK62" i="17"/>
  <c r="AO24" i="17"/>
  <c r="AO34" i="17"/>
  <c r="AO40" i="17"/>
  <c r="AO45" i="17"/>
  <c r="AO51" i="17"/>
  <c r="AO56" i="17"/>
  <c r="AO62" i="17"/>
  <c r="AX21" i="17"/>
  <c r="D21" i="17"/>
  <c r="AP21" i="17"/>
  <c r="AL21" i="17"/>
  <c r="AH21" i="17"/>
  <c r="AV21" i="17"/>
  <c r="AN21" i="17"/>
  <c r="AJ21" i="17"/>
  <c r="AF21" i="17"/>
  <c r="D33" i="18"/>
  <c r="D55" i="18"/>
  <c r="F27" i="18"/>
  <c r="G10" i="18"/>
  <c r="G13" i="18"/>
  <c r="Q22" i="18"/>
  <c r="AD22" i="18"/>
  <c r="AH22" i="18"/>
  <c r="AL22" i="18"/>
  <c r="AP22" i="18"/>
  <c r="AT22" i="18"/>
  <c r="AX22" i="18"/>
  <c r="T22" i="17"/>
  <c r="X33" i="17"/>
  <c r="X23" i="17"/>
  <c r="X55" i="17"/>
  <c r="X44" i="17"/>
  <c r="AW22" i="17"/>
  <c r="AW21" i="17"/>
  <c r="J61" i="18"/>
  <c r="M44" i="18"/>
  <c r="M23" i="18"/>
  <c r="M33" i="18"/>
  <c r="N61" i="18"/>
  <c r="Q44" i="18"/>
  <c r="Q23" i="18"/>
  <c r="Q33" i="18"/>
  <c r="R61" i="18"/>
  <c r="U44" i="18"/>
  <c r="U23" i="18"/>
  <c r="U33" i="18"/>
  <c r="V61" i="18"/>
  <c r="Y44" i="18"/>
  <c r="Y23" i="18"/>
  <c r="Y33" i="18"/>
  <c r="Z61" i="18"/>
  <c r="AD44" i="18"/>
  <c r="AD23" i="18"/>
  <c r="AD33" i="18"/>
  <c r="AF44" i="18"/>
  <c r="AF23" i="18"/>
  <c r="AF33" i="18"/>
  <c r="AH44" i="18"/>
  <c r="AH23" i="18"/>
  <c r="AH33" i="18"/>
  <c r="AJ44" i="18"/>
  <c r="AJ23" i="18"/>
  <c r="AJ33" i="18"/>
  <c r="AL44" i="18"/>
  <c r="AL23" i="18"/>
  <c r="AL33" i="18"/>
  <c r="AN44" i="18"/>
  <c r="AN23" i="18"/>
  <c r="AN33" i="18"/>
  <c r="AP44" i="18"/>
  <c r="AP23" i="18"/>
  <c r="AP33" i="18"/>
  <c r="AS44" i="18"/>
  <c r="AS23" i="18"/>
  <c r="AS33" i="18"/>
  <c r="AT44" i="18"/>
  <c r="AT23" i="18"/>
  <c r="AT33" i="18"/>
  <c r="AV44" i="18"/>
  <c r="AV23" i="18"/>
  <c r="AV33" i="18"/>
  <c r="AX44" i="18"/>
  <c r="AX23" i="18"/>
  <c r="AX33" i="18"/>
  <c r="D10" i="18"/>
  <c r="H10" i="18"/>
  <c r="H13" i="18"/>
  <c r="AC55" i="18"/>
  <c r="AD55" i="18"/>
  <c r="AE55" i="18"/>
  <c r="AF55" i="18"/>
  <c r="AG55" i="18"/>
  <c r="AH55" i="18"/>
  <c r="AI55" i="18"/>
  <c r="AJ55" i="18"/>
  <c r="AK55" i="18"/>
  <c r="AL55" i="18"/>
  <c r="AM55" i="18"/>
  <c r="AN55" i="18"/>
  <c r="AO55" i="18"/>
  <c r="AP55" i="18"/>
  <c r="AQ55" i="18"/>
  <c r="AR55" i="18"/>
  <c r="AS55" i="18"/>
  <c r="AT55" i="18"/>
  <c r="AU55" i="18"/>
  <c r="AV55" i="18"/>
  <c r="AW55" i="18"/>
  <c r="AX55" i="18"/>
  <c r="AY55" i="18"/>
  <c r="AT22" i="17"/>
  <c r="D22" i="17"/>
  <c r="F21" i="18"/>
  <c r="J44" i="18"/>
  <c r="J23" i="18"/>
  <c r="J33" i="18"/>
  <c r="N44" i="18"/>
  <c r="N23" i="18"/>
  <c r="N33" i="18"/>
  <c r="R44" i="18"/>
  <c r="R23" i="18"/>
  <c r="R33" i="18"/>
  <c r="V44" i="18"/>
  <c r="V23" i="18"/>
  <c r="V33" i="18"/>
  <c r="Z44" i="18"/>
  <c r="Z23" i="18"/>
  <c r="Z33" i="18"/>
  <c r="I21" i="17"/>
  <c r="I22" i="17"/>
  <c r="K21" i="17"/>
  <c r="K22" i="17"/>
  <c r="M21" i="17"/>
  <c r="M22" i="17"/>
  <c r="O21" i="17"/>
  <c r="O22" i="17"/>
  <c r="Q21" i="17"/>
  <c r="Q22" i="17"/>
  <c r="S22" i="17"/>
  <c r="S21" i="17"/>
  <c r="V21" i="17"/>
  <c r="F46" i="17"/>
  <c r="F56" i="17"/>
  <c r="F34" i="17"/>
  <c r="F45" i="17"/>
  <c r="F51" i="17"/>
  <c r="F24" i="17"/>
  <c r="H21" i="17"/>
  <c r="H22" i="17"/>
  <c r="J21" i="17"/>
  <c r="J22" i="17"/>
  <c r="L21" i="17"/>
  <c r="L22" i="17"/>
  <c r="N21" i="17"/>
  <c r="N22" i="17"/>
  <c r="P21" i="17"/>
  <c r="P22" i="17"/>
  <c r="R21" i="17"/>
  <c r="R22" i="17"/>
  <c r="U22" i="17"/>
  <c r="U21" i="17"/>
  <c r="W22" i="17"/>
  <c r="W21" i="17"/>
  <c r="Y22" i="17"/>
  <c r="Y21" i="17"/>
  <c r="AA22" i="17"/>
  <c r="AA21" i="17"/>
  <c r="AC22" i="17"/>
  <c r="AC21" i="17"/>
  <c r="AE21" i="17"/>
  <c r="AI21" i="17"/>
  <c r="AM21" i="17"/>
  <c r="AQ22" i="17"/>
  <c r="AS21" i="17"/>
  <c r="AZ17" i="17"/>
  <c r="AF22" i="17"/>
  <c r="AJ22" i="17"/>
  <c r="AN22" i="17"/>
  <c r="AS22" i="17"/>
  <c r="AV22" i="17"/>
  <c r="AG21" i="17"/>
  <c r="AK21" i="17"/>
  <c r="AO21" i="17"/>
  <c r="E30" i="17"/>
  <c r="F27" i="17"/>
  <c r="AE22" i="17"/>
  <c r="AH22" i="17"/>
  <c r="AI22" i="17"/>
  <c r="AL22" i="17"/>
  <c r="AM22" i="17"/>
  <c r="AP22" i="17"/>
  <c r="AQ21" i="17"/>
  <c r="AU39" i="17"/>
  <c r="AU23" i="17"/>
  <c r="AU44" i="17"/>
  <c r="AU55" i="17"/>
  <c r="Y10" i="17"/>
  <c r="Y13" i="17"/>
  <c r="AA10" i="17"/>
  <c r="AA13" i="17"/>
  <c r="AC10" i="17"/>
  <c r="AC13" i="17"/>
  <c r="H8" i="20"/>
  <c r="E10" i="17"/>
  <c r="E13" i="17"/>
  <c r="F14" i="17"/>
  <c r="F10" i="17"/>
  <c r="F13" i="17"/>
  <c r="AT21" i="17"/>
  <c r="AX22" i="17"/>
  <c r="AU56" i="17"/>
  <c r="AU62" i="17"/>
  <c r="AU24" i="17"/>
  <c r="AU34" i="17"/>
  <c r="AU40" i="17"/>
  <c r="AU45" i="17"/>
  <c r="AU51" i="17"/>
  <c r="AX10" i="17"/>
  <c r="AX13" i="17"/>
  <c r="AY10" i="17"/>
  <c r="AY13" i="17"/>
  <c r="AH260" i="14"/>
  <c r="AQ10" i="17"/>
  <c r="AQ13" i="17"/>
  <c r="AZ259" i="16"/>
  <c r="L260" i="16"/>
  <c r="AZ260" i="16"/>
  <c r="AZ259" i="15"/>
  <c r="AZ259" i="14"/>
  <c r="S9" i="20"/>
  <c r="Q260" i="15"/>
  <c r="S31" i="20"/>
  <c r="T32" i="20"/>
  <c r="S7" i="20"/>
  <c r="H7" i="20"/>
  <c r="S8" i="20"/>
  <c r="H9" i="20"/>
  <c r="S10" i="20"/>
  <c r="H10" i="20"/>
  <c r="O260" i="16"/>
  <c r="S260" i="16"/>
  <c r="W260" i="16"/>
  <c r="AA260" i="16"/>
  <c r="AE260" i="16"/>
  <c r="AI260" i="16"/>
  <c r="AM260" i="16"/>
  <c r="AQ260" i="16"/>
  <c r="AU260" i="16"/>
  <c r="AY260" i="16"/>
  <c r="G260" i="15"/>
  <c r="AZ260" i="15"/>
  <c r="K260" i="15"/>
  <c r="N260" i="15"/>
  <c r="AH260" i="15"/>
  <c r="AP260" i="15"/>
  <c r="AX260" i="15"/>
  <c r="J260" i="14"/>
  <c r="R260" i="14"/>
  <c r="AZ260" i="14"/>
  <c r="Z260" i="14"/>
  <c r="AF260" i="14"/>
  <c r="AV260" i="14"/>
  <c r="T43" i="20"/>
  <c r="BA14" i="16"/>
  <c r="BA14" i="15"/>
  <c r="S260" i="15"/>
  <c r="V260" i="15"/>
  <c r="Z260" i="15"/>
  <c r="AD260" i="15"/>
  <c r="AL260" i="15"/>
  <c r="AT260" i="15"/>
  <c r="BA14" i="14"/>
  <c r="F260" i="14"/>
  <c r="N260" i="14"/>
  <c r="V260" i="14"/>
  <c r="AD260" i="14"/>
  <c r="AN260" i="14"/>
  <c r="AT260" i="14"/>
  <c r="B22" i="18"/>
  <c r="K22" i="18"/>
  <c r="K34" i="18"/>
  <c r="K40" i="18"/>
  <c r="K56" i="18"/>
  <c r="K62" i="18"/>
  <c r="K24" i="18"/>
  <c r="K45" i="18"/>
  <c r="K51" i="18"/>
  <c r="Z21" i="17"/>
  <c r="Z22" i="17"/>
  <c r="AM24" i="17"/>
  <c r="AM34" i="17"/>
  <c r="AM40" i="17"/>
  <c r="AM45" i="17"/>
  <c r="AM51" i="17"/>
  <c r="AM56" i="17"/>
  <c r="AM62" i="17"/>
  <c r="AK33" i="17"/>
  <c r="AK23" i="17"/>
  <c r="AK55" i="17"/>
  <c r="AK44" i="17"/>
  <c r="AS23" i="17"/>
  <c r="AS33" i="17"/>
  <c r="AS55" i="17"/>
  <c r="AS44" i="17"/>
  <c r="AA24" i="17"/>
  <c r="AA45" i="17"/>
  <c r="AA51" i="17"/>
  <c r="AA34" i="17"/>
  <c r="AA40" i="17"/>
  <c r="AA56" i="17"/>
  <c r="AA62" i="17"/>
  <c r="J23" i="17"/>
  <c r="J44" i="17"/>
  <c r="J55" i="17"/>
  <c r="J33" i="17"/>
  <c r="AK22" i="18"/>
  <c r="T11" i="20"/>
  <c r="T45" i="20"/>
  <c r="AT23" i="17"/>
  <c r="AT44" i="17"/>
  <c r="AT33" i="17"/>
  <c r="AT55" i="17"/>
  <c r="AB21" i="17"/>
  <c r="AB22" i="17"/>
  <c r="AP24" i="17"/>
  <c r="AP45" i="17"/>
  <c r="AP51" i="17"/>
  <c r="AP34" i="17"/>
  <c r="AP40" i="17"/>
  <c r="AP56" i="17"/>
  <c r="AP62" i="17"/>
  <c r="AH24" i="17"/>
  <c r="AH45" i="17"/>
  <c r="AH51" i="17"/>
  <c r="AH34" i="17"/>
  <c r="AH40" i="17"/>
  <c r="AH56" i="17"/>
  <c r="AH62" i="17"/>
  <c r="AO33" i="17"/>
  <c r="AO23" i="17"/>
  <c r="AO55" i="17"/>
  <c r="AO44" i="17"/>
  <c r="AS56" i="17"/>
  <c r="AS62" i="17"/>
  <c r="AS24" i="17"/>
  <c r="AS34" i="17"/>
  <c r="AS40" i="17"/>
  <c r="AS45" i="17"/>
  <c r="AS51" i="17"/>
  <c r="AI33" i="17"/>
  <c r="AI23" i="17"/>
  <c r="AI55" i="17"/>
  <c r="AI44" i="17"/>
  <c r="AA33" i="17"/>
  <c r="AA44" i="17"/>
  <c r="AA55" i="17"/>
  <c r="AA23" i="17"/>
  <c r="W33" i="17"/>
  <c r="W44" i="17"/>
  <c r="W55" i="17"/>
  <c r="W23" i="17"/>
  <c r="R56" i="17"/>
  <c r="R62" i="17"/>
  <c r="R34" i="17"/>
  <c r="R40" i="17"/>
  <c r="R45" i="17"/>
  <c r="R51" i="17"/>
  <c r="R24" i="17"/>
  <c r="N56" i="17"/>
  <c r="N62" i="17"/>
  <c r="N34" i="17"/>
  <c r="N40" i="17"/>
  <c r="N45" i="17"/>
  <c r="N51" i="17"/>
  <c r="N24" i="17"/>
  <c r="J56" i="17"/>
  <c r="J62" i="17"/>
  <c r="J34" i="17"/>
  <c r="J40" i="17"/>
  <c r="J45" i="17"/>
  <c r="J51" i="17"/>
  <c r="J24" i="17"/>
  <c r="Q56" i="17"/>
  <c r="Q62" i="17"/>
  <c r="Q34" i="17"/>
  <c r="Q40" i="17"/>
  <c r="Q45" i="17"/>
  <c r="Q51" i="17"/>
  <c r="Q24" i="17"/>
  <c r="M56" i="17"/>
  <c r="M62" i="17"/>
  <c r="M34" i="17"/>
  <c r="M40" i="17"/>
  <c r="M45" i="17"/>
  <c r="M51" i="17"/>
  <c r="M24" i="17"/>
  <c r="I56" i="17"/>
  <c r="I62" i="17"/>
  <c r="I34" i="17"/>
  <c r="I40" i="17"/>
  <c r="I45" i="17"/>
  <c r="I51" i="17"/>
  <c r="I24" i="17"/>
  <c r="Z50" i="18"/>
  <c r="R39" i="18"/>
  <c r="J50" i="18"/>
  <c r="AY61" i="18"/>
  <c r="AU61" i="18"/>
  <c r="AQ61" i="18"/>
  <c r="AM61" i="18"/>
  <c r="AI61" i="18"/>
  <c r="AE61" i="18"/>
  <c r="AZ10" i="18"/>
  <c r="D13" i="18"/>
  <c r="AV39" i="18"/>
  <c r="AS50" i="18"/>
  <c r="AN39" i="18"/>
  <c r="AJ50" i="18"/>
  <c r="AF39" i="18"/>
  <c r="Y39" i="18"/>
  <c r="Q50" i="18"/>
  <c r="AW23" i="17"/>
  <c r="AW33" i="17"/>
  <c r="AW44" i="17"/>
  <c r="AW55" i="17"/>
  <c r="AX34" i="18"/>
  <c r="AX40" i="18"/>
  <c r="AX56" i="18"/>
  <c r="AX62" i="18"/>
  <c r="AX24" i="18"/>
  <c r="AX45" i="18"/>
  <c r="AX51" i="18"/>
  <c r="AT34" i="18"/>
  <c r="AT40" i="18"/>
  <c r="AT56" i="18"/>
  <c r="AT62" i="18"/>
  <c r="AT24" i="18"/>
  <c r="AT45" i="18"/>
  <c r="AT51" i="18"/>
  <c r="AP34" i="18"/>
  <c r="AP40" i="18"/>
  <c r="AP56" i="18"/>
  <c r="AP62" i="18"/>
  <c r="AP24" i="18"/>
  <c r="AP45" i="18"/>
  <c r="AP51" i="18"/>
  <c r="AL34" i="18"/>
  <c r="AL40" i="18"/>
  <c r="AL56" i="18"/>
  <c r="AL62" i="18"/>
  <c r="AL24" i="18"/>
  <c r="AL45" i="18"/>
  <c r="AL51" i="18"/>
  <c r="AH34" i="18"/>
  <c r="AH40" i="18"/>
  <c r="AH56" i="18"/>
  <c r="AH62" i="18"/>
  <c r="AH24" i="18"/>
  <c r="AH45" i="18"/>
  <c r="AH51" i="18"/>
  <c r="AD34" i="18"/>
  <c r="AD40" i="18"/>
  <c r="AD56" i="18"/>
  <c r="AD62" i="18"/>
  <c r="AD24" i="18"/>
  <c r="AD45" i="18"/>
  <c r="AD51" i="18"/>
  <c r="Q34" i="18"/>
  <c r="Q40" i="18"/>
  <c r="Q56" i="18"/>
  <c r="Q24" i="18"/>
  <c r="Q45" i="18"/>
  <c r="Q51" i="18"/>
  <c r="D61" i="18"/>
  <c r="AF33" i="17"/>
  <c r="AF44" i="17"/>
  <c r="AF55" i="17"/>
  <c r="AF23" i="17"/>
  <c r="AH33" i="17"/>
  <c r="AH44" i="17"/>
  <c r="AH55" i="17"/>
  <c r="AH23" i="17"/>
  <c r="AX23" i="17"/>
  <c r="AX44" i="17"/>
  <c r="AX33" i="17"/>
  <c r="AX55" i="17"/>
  <c r="T39" i="17"/>
  <c r="AW50" i="18"/>
  <c r="AR39" i="18"/>
  <c r="AO50" i="18"/>
  <c r="AK39" i="18"/>
  <c r="AG50" i="18"/>
  <c r="AC39" i="18"/>
  <c r="T44" i="18"/>
  <c r="T23" i="18"/>
  <c r="T33" i="18"/>
  <c r="T55" i="18"/>
  <c r="G24" i="18"/>
  <c r="G45" i="18"/>
  <c r="G51" i="18"/>
  <c r="G34" i="18"/>
  <c r="G40" i="18"/>
  <c r="G56" i="18"/>
  <c r="G62" i="18"/>
  <c r="X44" i="18"/>
  <c r="X23" i="18"/>
  <c r="X33" i="18"/>
  <c r="X55" i="18"/>
  <c r="AB44" i="18"/>
  <c r="AB23" i="18"/>
  <c r="AB33" i="18"/>
  <c r="AB55" i="18"/>
  <c r="AA34" i="18"/>
  <c r="AA40" i="18"/>
  <c r="AA56" i="18"/>
  <c r="AA62" i="18"/>
  <c r="AA24" i="18"/>
  <c r="AA45" i="18"/>
  <c r="AA51" i="18"/>
  <c r="P34" i="18"/>
  <c r="P40" i="18"/>
  <c r="P56" i="18"/>
  <c r="P62" i="18"/>
  <c r="P24" i="18"/>
  <c r="P45" i="18"/>
  <c r="P51" i="18"/>
  <c r="D22" i="18"/>
  <c r="Z22" i="18"/>
  <c r="V22" i="18"/>
  <c r="R22" i="18"/>
  <c r="N22" i="18"/>
  <c r="J22" i="18"/>
  <c r="G21" i="17"/>
  <c r="G22" i="17"/>
  <c r="AU35" i="17"/>
  <c r="AE24" i="17"/>
  <c r="AE34" i="17"/>
  <c r="AE40" i="17"/>
  <c r="AE45" i="17"/>
  <c r="AE51" i="17"/>
  <c r="AE56" i="17"/>
  <c r="AE62" i="17"/>
  <c r="AN24" i="17"/>
  <c r="AN45" i="17"/>
  <c r="AN51" i="17"/>
  <c r="AN34" i="17"/>
  <c r="AN40" i="17"/>
  <c r="AN56" i="17"/>
  <c r="AN62" i="17"/>
  <c r="AE33" i="17"/>
  <c r="AE23" i="17"/>
  <c r="AE55" i="17"/>
  <c r="AE44" i="17"/>
  <c r="W24" i="17"/>
  <c r="W45" i="17"/>
  <c r="W51" i="17"/>
  <c r="W34" i="17"/>
  <c r="W40" i="17"/>
  <c r="W56" i="17"/>
  <c r="W62" i="17"/>
  <c r="R23" i="17"/>
  <c r="R44" i="17"/>
  <c r="R55" i="17"/>
  <c r="R33" i="17"/>
  <c r="N23" i="17"/>
  <c r="N44" i="17"/>
  <c r="N55" i="17"/>
  <c r="N33" i="17"/>
  <c r="V33" i="17"/>
  <c r="V23" i="17"/>
  <c r="V55" i="17"/>
  <c r="V44" i="17"/>
  <c r="Q23" i="17"/>
  <c r="Q44" i="17"/>
  <c r="Q55" i="17"/>
  <c r="Q33" i="17"/>
  <c r="M23" i="17"/>
  <c r="M44" i="17"/>
  <c r="M55" i="17"/>
  <c r="M33" i="17"/>
  <c r="I23" i="17"/>
  <c r="I44" i="17"/>
  <c r="I55" i="17"/>
  <c r="I33" i="17"/>
  <c r="V39" i="18"/>
  <c r="N50" i="18"/>
  <c r="F33" i="18"/>
  <c r="F55" i="18"/>
  <c r="F23" i="18"/>
  <c r="F44" i="18"/>
  <c r="AX61" i="18"/>
  <c r="AT61" i="18"/>
  <c r="AP61" i="18"/>
  <c r="AL61" i="18"/>
  <c r="AH61" i="18"/>
  <c r="AD61" i="18"/>
  <c r="AX39" i="18"/>
  <c r="AX35" i="18"/>
  <c r="AT46" i="18"/>
  <c r="AT50" i="18"/>
  <c r="AP39" i="18"/>
  <c r="AP35" i="18"/>
  <c r="AL46" i="18"/>
  <c r="AL50" i="18"/>
  <c r="AH39" i="18"/>
  <c r="AH35" i="18"/>
  <c r="AD46" i="18"/>
  <c r="AD50" i="18"/>
  <c r="U39" i="18"/>
  <c r="M50" i="18"/>
  <c r="AW56" i="17"/>
  <c r="AW62" i="17"/>
  <c r="AW24" i="17"/>
  <c r="AW45" i="17"/>
  <c r="AW51" i="17"/>
  <c r="AW34" i="17"/>
  <c r="AW40" i="17"/>
  <c r="X39" i="17"/>
  <c r="X35" i="17"/>
  <c r="AW22" i="18"/>
  <c r="AS22" i="18"/>
  <c r="AO22" i="18"/>
  <c r="AG22" i="18"/>
  <c r="AC22" i="18"/>
  <c r="M22" i="18"/>
  <c r="D39" i="18"/>
  <c r="AJ33" i="17"/>
  <c r="AJ44" i="17"/>
  <c r="AJ55" i="17"/>
  <c r="AJ23" i="17"/>
  <c r="AL33" i="17"/>
  <c r="AL44" i="17"/>
  <c r="AL55" i="17"/>
  <c r="AL23" i="17"/>
  <c r="T50" i="17"/>
  <c r="E21" i="17"/>
  <c r="E22" i="17"/>
  <c r="AY50" i="18"/>
  <c r="AU39" i="18"/>
  <c r="AQ50" i="18"/>
  <c r="AM39" i="18"/>
  <c r="AI50" i="18"/>
  <c r="AE39" i="18"/>
  <c r="O22" i="18"/>
  <c r="S22" i="18"/>
  <c r="W22" i="18"/>
  <c r="L22" i="18"/>
  <c r="AA44" i="18"/>
  <c r="AA23" i="18"/>
  <c r="AA33" i="18"/>
  <c r="AA55" i="18"/>
  <c r="P44" i="18"/>
  <c r="P23" i="18"/>
  <c r="P33" i="18"/>
  <c r="P55" i="18"/>
  <c r="AY22" i="17"/>
  <c r="AY21" i="17"/>
  <c r="AU57" i="17"/>
  <c r="AU61" i="17"/>
  <c r="AL24" i="17"/>
  <c r="AL45" i="17"/>
  <c r="AL51" i="17"/>
  <c r="AL34" i="17"/>
  <c r="AL40" i="17"/>
  <c r="AL56" i="17"/>
  <c r="AL62" i="17"/>
  <c r="F30" i="17"/>
  <c r="G27" i="17"/>
  <c r="AG33" i="17"/>
  <c r="AG23" i="17"/>
  <c r="AG55" i="17"/>
  <c r="AG44" i="17"/>
  <c r="AJ24" i="17"/>
  <c r="AJ45" i="17"/>
  <c r="AJ51" i="17"/>
  <c r="AJ34" i="17"/>
  <c r="AJ40" i="17"/>
  <c r="AJ56" i="17"/>
  <c r="AJ62" i="17"/>
  <c r="AQ24" i="17"/>
  <c r="AQ34" i="17"/>
  <c r="AQ40" i="17"/>
  <c r="AQ45" i="17"/>
  <c r="AQ51" i="17"/>
  <c r="AQ56" i="17"/>
  <c r="AQ62" i="17"/>
  <c r="AC33" i="17"/>
  <c r="AC44" i="17"/>
  <c r="AC55" i="17"/>
  <c r="AC23" i="17"/>
  <c r="Y33" i="17"/>
  <c r="Y44" i="17"/>
  <c r="Y55" i="17"/>
  <c r="Y23" i="17"/>
  <c r="U33" i="17"/>
  <c r="U44" i="17"/>
  <c r="U55" i="17"/>
  <c r="U23" i="17"/>
  <c r="P56" i="17"/>
  <c r="P62" i="17"/>
  <c r="P34" i="17"/>
  <c r="P40" i="17"/>
  <c r="P45" i="17"/>
  <c r="P51" i="17"/>
  <c r="P24" i="17"/>
  <c r="L56" i="17"/>
  <c r="L62" i="17"/>
  <c r="L34" i="17"/>
  <c r="L40" i="17"/>
  <c r="L45" i="17"/>
  <c r="L51" i="17"/>
  <c r="L24" i="17"/>
  <c r="H56" i="17"/>
  <c r="H62" i="17"/>
  <c r="H34" i="17"/>
  <c r="H40" i="17"/>
  <c r="H45" i="17"/>
  <c r="H51" i="17"/>
  <c r="H24" i="17"/>
  <c r="F40" i="17"/>
  <c r="F35" i="17"/>
  <c r="S33" i="17"/>
  <c r="S44" i="17"/>
  <c r="S23" i="17"/>
  <c r="S55" i="17"/>
  <c r="O56" i="17"/>
  <c r="O62" i="17"/>
  <c r="O34" i="17"/>
  <c r="O40" i="17"/>
  <c r="O45" i="17"/>
  <c r="O51" i="17"/>
  <c r="O24" i="17"/>
  <c r="K56" i="17"/>
  <c r="K62" i="17"/>
  <c r="K34" i="17"/>
  <c r="K40" i="17"/>
  <c r="K45" i="17"/>
  <c r="K51" i="17"/>
  <c r="K24" i="17"/>
  <c r="Z39" i="18"/>
  <c r="R50" i="18"/>
  <c r="J39" i="18"/>
  <c r="D34" i="17"/>
  <c r="D40" i="17"/>
  <c r="D56" i="17"/>
  <c r="D62" i="17"/>
  <c r="D24" i="17"/>
  <c r="D45" i="17"/>
  <c r="D51" i="17"/>
  <c r="AW61" i="18"/>
  <c r="AS61" i="18"/>
  <c r="AO61" i="18"/>
  <c r="AK61" i="18"/>
  <c r="AG61" i="18"/>
  <c r="AC61" i="18"/>
  <c r="AV50" i="18"/>
  <c r="AS39" i="18"/>
  <c r="AN50" i="18"/>
  <c r="AJ39" i="18"/>
  <c r="AF50" i="18"/>
  <c r="Y50" i="18"/>
  <c r="Q39" i="18"/>
  <c r="Q35" i="18"/>
  <c r="X50" i="17"/>
  <c r="X46" i="17"/>
  <c r="T24" i="17"/>
  <c r="T34" i="17"/>
  <c r="T40" i="17"/>
  <c r="T45" i="17"/>
  <c r="T51" i="17"/>
  <c r="T56" i="17"/>
  <c r="T62" i="17"/>
  <c r="AV22" i="18"/>
  <c r="AR22" i="18"/>
  <c r="AN22" i="18"/>
  <c r="AJ22" i="18"/>
  <c r="AF22" i="18"/>
  <c r="Y22" i="18"/>
  <c r="H22" i="18"/>
  <c r="H21" i="18"/>
  <c r="AN33" i="17"/>
  <c r="AN44" i="17"/>
  <c r="AN55" i="17"/>
  <c r="AN23" i="17"/>
  <c r="AP33" i="17"/>
  <c r="AP44" i="17"/>
  <c r="AP55" i="17"/>
  <c r="AP23" i="17"/>
  <c r="T61" i="17"/>
  <c r="AZ10" i="17"/>
  <c r="AW39" i="18"/>
  <c r="AR50" i="18"/>
  <c r="AO39" i="18"/>
  <c r="AK50" i="18"/>
  <c r="AG39" i="18"/>
  <c r="AC50" i="18"/>
  <c r="O44" i="18"/>
  <c r="O23" i="18"/>
  <c r="O33" i="18"/>
  <c r="O55" i="18"/>
  <c r="S44" i="18"/>
  <c r="S23" i="18"/>
  <c r="S33" i="18"/>
  <c r="S55" i="18"/>
  <c r="W44" i="18"/>
  <c r="W23" i="18"/>
  <c r="W33" i="18"/>
  <c r="W55" i="18"/>
  <c r="L44" i="18"/>
  <c r="L23" i="18"/>
  <c r="L33" i="18"/>
  <c r="L55" i="18"/>
  <c r="AR21" i="17"/>
  <c r="AR22" i="17"/>
  <c r="AX56" i="17"/>
  <c r="AX62" i="17"/>
  <c r="AX34" i="17"/>
  <c r="AX40" i="17"/>
  <c r="AX24" i="17"/>
  <c r="AX45" i="17"/>
  <c r="AX51" i="17"/>
  <c r="AD22" i="17"/>
  <c r="AD21" i="17"/>
  <c r="AU46" i="17"/>
  <c r="AU50" i="17"/>
  <c r="AQ23" i="17"/>
  <c r="AQ33" i="17"/>
  <c r="AQ55" i="17"/>
  <c r="AQ44" i="17"/>
  <c r="AI24" i="17"/>
  <c r="AI34" i="17"/>
  <c r="AI40" i="17"/>
  <c r="AI45" i="17"/>
  <c r="AI51" i="17"/>
  <c r="AI56" i="17"/>
  <c r="AI62" i="17"/>
  <c r="AV56" i="17"/>
  <c r="AV62" i="17"/>
  <c r="AV34" i="17"/>
  <c r="AV40" i="17"/>
  <c r="AV24" i="17"/>
  <c r="AV45" i="17"/>
  <c r="AV51" i="17"/>
  <c r="AF24" i="17"/>
  <c r="AF45" i="17"/>
  <c r="AF51" i="17"/>
  <c r="AF34" i="17"/>
  <c r="AF40" i="17"/>
  <c r="AF56" i="17"/>
  <c r="AF62" i="17"/>
  <c r="AM33" i="17"/>
  <c r="AM23" i="17"/>
  <c r="AM55" i="17"/>
  <c r="AM44" i="17"/>
  <c r="AC24" i="17"/>
  <c r="AC45" i="17"/>
  <c r="AC51" i="17"/>
  <c r="AC34" i="17"/>
  <c r="AC40" i="17"/>
  <c r="AC56" i="17"/>
  <c r="AC62" i="17"/>
  <c r="Y24" i="17"/>
  <c r="Y45" i="17"/>
  <c r="Y51" i="17"/>
  <c r="Y34" i="17"/>
  <c r="Y40" i="17"/>
  <c r="Y56" i="17"/>
  <c r="Y62" i="17"/>
  <c r="U24" i="17"/>
  <c r="U45" i="17"/>
  <c r="U51" i="17"/>
  <c r="U34" i="17"/>
  <c r="U40" i="17"/>
  <c r="U56" i="17"/>
  <c r="U62" i="17"/>
  <c r="P23" i="17"/>
  <c r="P44" i="17"/>
  <c r="P55" i="17"/>
  <c r="P33" i="17"/>
  <c r="L23" i="17"/>
  <c r="L44" i="17"/>
  <c r="L55" i="17"/>
  <c r="L33" i="17"/>
  <c r="H23" i="17"/>
  <c r="H44" i="17"/>
  <c r="H55" i="17"/>
  <c r="H33" i="17"/>
  <c r="F62" i="17"/>
  <c r="F57" i="17"/>
  <c r="S24" i="17"/>
  <c r="S56" i="17"/>
  <c r="S62" i="17"/>
  <c r="S45" i="17"/>
  <c r="S51" i="17"/>
  <c r="S34" i="17"/>
  <c r="S40" i="17"/>
  <c r="O23" i="17"/>
  <c r="O44" i="17"/>
  <c r="O55" i="17"/>
  <c r="O33" i="17"/>
  <c r="K23" i="17"/>
  <c r="K44" i="17"/>
  <c r="K55" i="17"/>
  <c r="K33" i="17"/>
  <c r="V50" i="18"/>
  <c r="N39" i="18"/>
  <c r="AT56" i="17"/>
  <c r="AT62" i="17"/>
  <c r="AT24" i="17"/>
  <c r="AT34" i="17"/>
  <c r="AT40" i="17"/>
  <c r="AT45" i="17"/>
  <c r="AT51" i="17"/>
  <c r="AV61" i="18"/>
  <c r="AR61" i="18"/>
  <c r="AN61" i="18"/>
  <c r="AJ61" i="18"/>
  <c r="AF61" i="18"/>
  <c r="I21" i="18"/>
  <c r="I22" i="18"/>
  <c r="AX50" i="18"/>
  <c r="AT39" i="18"/>
  <c r="AT35" i="18"/>
  <c r="AP50" i="18"/>
  <c r="AL39" i="18"/>
  <c r="AL35" i="18"/>
  <c r="AH50" i="18"/>
  <c r="AD39" i="18"/>
  <c r="AD35" i="18"/>
  <c r="U50" i="18"/>
  <c r="M39" i="18"/>
  <c r="X57" i="17"/>
  <c r="X61" i="17"/>
  <c r="AY22" i="18"/>
  <c r="AU22" i="18"/>
  <c r="AQ22" i="18"/>
  <c r="AM22" i="18"/>
  <c r="AI22" i="18"/>
  <c r="AE22" i="18"/>
  <c r="U22" i="18"/>
  <c r="F30" i="18"/>
  <c r="G27" i="18"/>
  <c r="AV23" i="17"/>
  <c r="AV44" i="17"/>
  <c r="AV33" i="17"/>
  <c r="AV55" i="17"/>
  <c r="AZ21" i="17"/>
  <c r="D44" i="17"/>
  <c r="D23" i="17"/>
  <c r="D33" i="17"/>
  <c r="D55" i="17"/>
  <c r="AY39" i="18"/>
  <c r="AU50" i="18"/>
  <c r="AQ39" i="18"/>
  <c r="AM50" i="18"/>
  <c r="AI39" i="18"/>
  <c r="AE50" i="18"/>
  <c r="F22" i="18"/>
  <c r="T22" i="18"/>
  <c r="G33" i="18"/>
  <c r="G55" i="18"/>
  <c r="G23" i="18"/>
  <c r="G44" i="18"/>
  <c r="X22" i="18"/>
  <c r="AB22" i="18"/>
  <c r="K44" i="18"/>
  <c r="K23" i="18"/>
  <c r="K33" i="18"/>
  <c r="K55" i="18"/>
  <c r="G50" i="18"/>
  <c r="G46" i="18"/>
  <c r="T34" i="18"/>
  <c r="T40" i="18"/>
  <c r="T56" i="18"/>
  <c r="T62" i="18"/>
  <c r="T24" i="18"/>
  <c r="T45" i="18"/>
  <c r="T51" i="18"/>
  <c r="AV39" i="17"/>
  <c r="AV35" i="17"/>
  <c r="AM34" i="18"/>
  <c r="AM56" i="18"/>
  <c r="AM24" i="18"/>
  <c r="AM45" i="18"/>
  <c r="K46" i="17"/>
  <c r="K50" i="17"/>
  <c r="O46" i="17"/>
  <c r="O50" i="17"/>
  <c r="H39" i="17"/>
  <c r="H35" i="17"/>
  <c r="L39" i="17"/>
  <c r="L35" i="17"/>
  <c r="P39" i="17"/>
  <c r="P35" i="17"/>
  <c r="AM50" i="17"/>
  <c r="AM46" i="17"/>
  <c r="AD24" i="17"/>
  <c r="AD45" i="17"/>
  <c r="AD51" i="17"/>
  <c r="AD56" i="17"/>
  <c r="AD62" i="17"/>
  <c r="AD34" i="17"/>
  <c r="AD40" i="17"/>
  <c r="L39" i="18"/>
  <c r="W39" i="18"/>
  <c r="S39" i="18"/>
  <c r="S35" i="18"/>
  <c r="O39" i="18"/>
  <c r="AP50" i="17"/>
  <c r="AP46" i="17"/>
  <c r="AN50" i="17"/>
  <c r="AN46" i="17"/>
  <c r="Y34" i="18"/>
  <c r="Y56" i="18"/>
  <c r="Y24" i="18"/>
  <c r="Y45" i="18"/>
  <c r="AR34" i="18"/>
  <c r="AR56" i="18"/>
  <c r="AR24" i="18"/>
  <c r="AR45" i="18"/>
  <c r="S35" i="17"/>
  <c r="S39" i="17"/>
  <c r="U57" i="17"/>
  <c r="U61" i="17"/>
  <c r="Y57" i="17"/>
  <c r="Y61" i="17"/>
  <c r="AC57" i="17"/>
  <c r="AC61" i="17"/>
  <c r="AG57" i="17"/>
  <c r="AG61" i="17"/>
  <c r="AY56" i="17"/>
  <c r="AY62" i="17"/>
  <c r="AY45" i="17"/>
  <c r="AY51" i="17"/>
  <c r="AY24" i="17"/>
  <c r="AY34" i="17"/>
  <c r="AY40" i="17"/>
  <c r="P46" i="18"/>
  <c r="P50" i="18"/>
  <c r="AA46" i="18"/>
  <c r="AA50" i="18"/>
  <c r="O34" i="18"/>
  <c r="O40" i="18"/>
  <c r="O56" i="18"/>
  <c r="O62" i="18"/>
  <c r="O24" i="18"/>
  <c r="O45" i="18"/>
  <c r="O51" i="18"/>
  <c r="AL35" i="17"/>
  <c r="AL39" i="17"/>
  <c r="AJ35" i="17"/>
  <c r="AJ39" i="17"/>
  <c r="AC34" i="18"/>
  <c r="AC56" i="18"/>
  <c r="AC24" i="18"/>
  <c r="AC45" i="18"/>
  <c r="AW34" i="18"/>
  <c r="AW56" i="18"/>
  <c r="AW24" i="18"/>
  <c r="AW45" i="18"/>
  <c r="I61" i="17"/>
  <c r="I57" i="17"/>
  <c r="M61" i="17"/>
  <c r="M57" i="17"/>
  <c r="Q61" i="17"/>
  <c r="Q57" i="17"/>
  <c r="V57" i="17"/>
  <c r="V61" i="17"/>
  <c r="N61" i="17"/>
  <c r="N57" i="17"/>
  <c r="R61" i="17"/>
  <c r="R57" i="17"/>
  <c r="AE57" i="17"/>
  <c r="AE61" i="17"/>
  <c r="G56" i="17"/>
  <c r="G62" i="17"/>
  <c r="G34" i="17"/>
  <c r="G40" i="17"/>
  <c r="G45" i="17"/>
  <c r="G51" i="17"/>
  <c r="G24" i="17"/>
  <c r="R34" i="18"/>
  <c r="R56" i="18"/>
  <c r="R24" i="18"/>
  <c r="R45" i="18"/>
  <c r="AB61" i="18"/>
  <c r="AB57" i="18"/>
  <c r="X61" i="18"/>
  <c r="T61" i="18"/>
  <c r="T57" i="18"/>
  <c r="T35" i="17"/>
  <c r="AX46" i="17"/>
  <c r="AX50" i="17"/>
  <c r="AH50" i="17"/>
  <c r="AH46" i="17"/>
  <c r="AF50" i="17"/>
  <c r="AF46" i="17"/>
  <c r="AW61" i="17"/>
  <c r="AW57" i="17"/>
  <c r="W50" i="17"/>
  <c r="W46" i="17"/>
  <c r="AA50" i="17"/>
  <c r="AA46" i="17"/>
  <c r="AT57" i="17"/>
  <c r="AT61" i="17"/>
  <c r="J46" i="17"/>
  <c r="J50" i="17"/>
  <c r="AS39" i="17"/>
  <c r="AS35" i="17"/>
  <c r="K46" i="18"/>
  <c r="K50" i="18"/>
  <c r="F24" i="18"/>
  <c r="F45" i="18"/>
  <c r="F51" i="18"/>
  <c r="F34" i="18"/>
  <c r="F40" i="18"/>
  <c r="F56" i="18"/>
  <c r="F62" i="18"/>
  <c r="D46" i="17"/>
  <c r="D50" i="17"/>
  <c r="AV46" i="17"/>
  <c r="AV50" i="17"/>
  <c r="U34" i="18"/>
  <c r="U56" i="18"/>
  <c r="U24" i="18"/>
  <c r="U45" i="18"/>
  <c r="AQ34" i="18"/>
  <c r="AQ56" i="18"/>
  <c r="AQ24" i="18"/>
  <c r="AQ45" i="18"/>
  <c r="AH46" i="18"/>
  <c r="AP46" i="18"/>
  <c r="AX46" i="18"/>
  <c r="H61" i="17"/>
  <c r="H57" i="17"/>
  <c r="L61" i="17"/>
  <c r="L57" i="17"/>
  <c r="P61" i="17"/>
  <c r="P57" i="17"/>
  <c r="AM57" i="17"/>
  <c r="AM61" i="17"/>
  <c r="AQ50" i="17"/>
  <c r="AQ46" i="17"/>
  <c r="AR56" i="17"/>
  <c r="AR62" i="17"/>
  <c r="AR45" i="17"/>
  <c r="AR51" i="17"/>
  <c r="AR24" i="17"/>
  <c r="AR34" i="17"/>
  <c r="AR40" i="17"/>
  <c r="T57" i="17"/>
  <c r="AP35" i="17"/>
  <c r="AP39" i="17"/>
  <c r="AN35" i="17"/>
  <c r="AN39" i="17"/>
  <c r="AF34" i="18"/>
  <c r="AF56" i="18"/>
  <c r="AF24" i="18"/>
  <c r="AF45" i="18"/>
  <c r="AV34" i="18"/>
  <c r="AV56" i="18"/>
  <c r="AV24" i="18"/>
  <c r="AV45" i="18"/>
  <c r="S61" i="17"/>
  <c r="S57" i="17"/>
  <c r="U50" i="17"/>
  <c r="U46" i="17"/>
  <c r="Y50" i="17"/>
  <c r="Y46" i="17"/>
  <c r="AC50" i="17"/>
  <c r="AC46" i="17"/>
  <c r="P61" i="18"/>
  <c r="P57" i="18"/>
  <c r="AA61" i="18"/>
  <c r="AA57" i="18"/>
  <c r="L34" i="18"/>
  <c r="L40" i="18"/>
  <c r="L56" i="18"/>
  <c r="L62" i="18"/>
  <c r="L24" i="18"/>
  <c r="L45" i="18"/>
  <c r="L51" i="18"/>
  <c r="E24" i="17"/>
  <c r="AZ24" i="17"/>
  <c r="E34" i="17"/>
  <c r="E40" i="17"/>
  <c r="E56" i="17"/>
  <c r="E62" i="17"/>
  <c r="E45" i="17"/>
  <c r="E51" i="17"/>
  <c r="AG34" i="18"/>
  <c r="AG56" i="18"/>
  <c r="AG24" i="18"/>
  <c r="AG45" i="18"/>
  <c r="AH57" i="18"/>
  <c r="AP57" i="18"/>
  <c r="AX57" i="18"/>
  <c r="F57" i="18"/>
  <c r="F61" i="18"/>
  <c r="I46" i="17"/>
  <c r="I50" i="17"/>
  <c r="M46" i="17"/>
  <c r="M50" i="17"/>
  <c r="Q46" i="17"/>
  <c r="Q50" i="17"/>
  <c r="N46" i="17"/>
  <c r="N50" i="17"/>
  <c r="R46" i="17"/>
  <c r="R50" i="17"/>
  <c r="G23" i="17"/>
  <c r="G44" i="17"/>
  <c r="G55" i="17"/>
  <c r="G33" i="17"/>
  <c r="V34" i="18"/>
  <c r="V56" i="18"/>
  <c r="V24" i="18"/>
  <c r="V45" i="18"/>
  <c r="AB39" i="18"/>
  <c r="AB35" i="18"/>
  <c r="X39" i="18"/>
  <c r="T39" i="18"/>
  <c r="T35" i="18"/>
  <c r="AH35" i="17"/>
  <c r="AH39" i="17"/>
  <c r="AF35" i="17"/>
  <c r="AF39" i="17"/>
  <c r="AW46" i="17"/>
  <c r="AW50" i="17"/>
  <c r="Q46" i="18"/>
  <c r="W35" i="17"/>
  <c r="W39" i="17"/>
  <c r="AA35" i="17"/>
  <c r="AA39" i="17"/>
  <c r="AI39" i="17"/>
  <c r="AI35" i="17"/>
  <c r="AO39" i="17"/>
  <c r="AO35" i="17"/>
  <c r="AT39" i="17"/>
  <c r="AT35" i="17"/>
  <c r="AK34" i="18"/>
  <c r="AK56" i="18"/>
  <c r="AK24" i="18"/>
  <c r="AK45" i="18"/>
  <c r="AK39" i="17"/>
  <c r="AK35" i="17"/>
  <c r="K61" i="18"/>
  <c r="K57" i="18"/>
  <c r="AB34" i="18"/>
  <c r="AB40" i="18"/>
  <c r="AB56" i="18"/>
  <c r="AB62" i="18"/>
  <c r="AB24" i="18"/>
  <c r="AB45" i="18"/>
  <c r="AB51" i="18"/>
  <c r="G57" i="18"/>
  <c r="G61" i="18"/>
  <c r="D61" i="17"/>
  <c r="D57" i="17"/>
  <c r="AE34" i="18"/>
  <c r="AE56" i="18"/>
  <c r="AE24" i="18"/>
  <c r="AE45" i="18"/>
  <c r="AU34" i="18"/>
  <c r="AU56" i="18"/>
  <c r="AU24" i="18"/>
  <c r="AU45" i="18"/>
  <c r="I34" i="18"/>
  <c r="I40" i="18"/>
  <c r="I24" i="18"/>
  <c r="I45" i="18"/>
  <c r="I51" i="18"/>
  <c r="I56" i="18"/>
  <c r="I62" i="18"/>
  <c r="K39" i="17"/>
  <c r="K35" i="17"/>
  <c r="O39" i="17"/>
  <c r="O35" i="17"/>
  <c r="H46" i="17"/>
  <c r="H50" i="17"/>
  <c r="L46" i="17"/>
  <c r="L50" i="17"/>
  <c r="P46" i="17"/>
  <c r="P50" i="17"/>
  <c r="AQ57" i="17"/>
  <c r="AQ61" i="17"/>
  <c r="AR23" i="17"/>
  <c r="AR55" i="17"/>
  <c r="AR33" i="17"/>
  <c r="AR44" i="17"/>
  <c r="L50" i="18"/>
  <c r="W46" i="18"/>
  <c r="W50" i="18"/>
  <c r="S50" i="18"/>
  <c r="O46" i="18"/>
  <c r="O50" i="18"/>
  <c r="H33" i="18"/>
  <c r="H55" i="18"/>
  <c r="H44" i="18"/>
  <c r="H23" i="18"/>
  <c r="AJ34" i="18"/>
  <c r="AJ56" i="18"/>
  <c r="AJ24" i="18"/>
  <c r="AJ45" i="18"/>
  <c r="AZ22" i="17"/>
  <c r="U35" i="17"/>
  <c r="U39" i="17"/>
  <c r="Y35" i="17"/>
  <c r="Y39" i="17"/>
  <c r="AC35" i="17"/>
  <c r="AC39" i="17"/>
  <c r="AG39" i="17"/>
  <c r="AG35" i="17"/>
  <c r="P39" i="18"/>
  <c r="P35" i="18"/>
  <c r="AA39" i="18"/>
  <c r="AA35" i="18"/>
  <c r="W34" i="18"/>
  <c r="W40" i="18"/>
  <c r="W56" i="18"/>
  <c r="W62" i="18"/>
  <c r="W24" i="18"/>
  <c r="W45" i="18"/>
  <c r="W51" i="18"/>
  <c r="E23" i="17"/>
  <c r="AZ23" i="17"/>
  <c r="E44" i="17"/>
  <c r="E33" i="17"/>
  <c r="E55" i="17"/>
  <c r="AL57" i="17"/>
  <c r="AL61" i="17"/>
  <c r="AJ57" i="17"/>
  <c r="AJ61" i="17"/>
  <c r="AO34" i="18"/>
  <c r="AO56" i="18"/>
  <c r="AO24" i="18"/>
  <c r="AO45" i="18"/>
  <c r="F39" i="18"/>
  <c r="V39" i="17"/>
  <c r="V35" i="17"/>
  <c r="AE39" i="17"/>
  <c r="AE35" i="17"/>
  <c r="J34" i="18"/>
  <c r="J56" i="18"/>
  <c r="J24" i="18"/>
  <c r="J45" i="18"/>
  <c r="Z34" i="18"/>
  <c r="Z56" i="18"/>
  <c r="Z24" i="18"/>
  <c r="Z45" i="18"/>
  <c r="AX61" i="17"/>
  <c r="AX57" i="17"/>
  <c r="Q62" i="18"/>
  <c r="Q57" i="18"/>
  <c r="AW39" i="17"/>
  <c r="AW35" i="17"/>
  <c r="E22" i="18"/>
  <c r="E21" i="18"/>
  <c r="AI50" i="17"/>
  <c r="AI46" i="17"/>
  <c r="AO50" i="17"/>
  <c r="AO46" i="17"/>
  <c r="AB24" i="17"/>
  <c r="AB34" i="17"/>
  <c r="AB40" i="17"/>
  <c r="AB45" i="17"/>
  <c r="AB51" i="17"/>
  <c r="AB56" i="17"/>
  <c r="AB62" i="17"/>
  <c r="AT46" i="17"/>
  <c r="AT50" i="17"/>
  <c r="J39" i="17"/>
  <c r="J35" i="17"/>
  <c r="AS46" i="17"/>
  <c r="AS50" i="17"/>
  <c r="AK50" i="17"/>
  <c r="AK46" i="17"/>
  <c r="Z24" i="17"/>
  <c r="Z34" i="17"/>
  <c r="Z40" i="17"/>
  <c r="Z45" i="17"/>
  <c r="Z51" i="17"/>
  <c r="Z56" i="17"/>
  <c r="Z62" i="17"/>
  <c r="K39" i="18"/>
  <c r="K35" i="18"/>
  <c r="X34" i="18"/>
  <c r="X40" i="18"/>
  <c r="X56" i="18"/>
  <c r="X62" i="18"/>
  <c r="X24" i="18"/>
  <c r="X45" i="18"/>
  <c r="X51" i="18"/>
  <c r="G35" i="18"/>
  <c r="G39" i="18"/>
  <c r="D39" i="17"/>
  <c r="D35" i="17"/>
  <c r="AV61" i="17"/>
  <c r="AV57" i="17"/>
  <c r="H27" i="18"/>
  <c r="G30" i="18"/>
  <c r="AI34" i="18"/>
  <c r="AI56" i="18"/>
  <c r="AI24" i="18"/>
  <c r="AI45" i="18"/>
  <c r="AY34" i="18"/>
  <c r="AY56" i="18"/>
  <c r="AY24" i="18"/>
  <c r="AY45" i="18"/>
  <c r="I44" i="18"/>
  <c r="I23" i="18"/>
  <c r="I33" i="18"/>
  <c r="I55" i="18"/>
  <c r="K61" i="17"/>
  <c r="K57" i="17"/>
  <c r="O61" i="17"/>
  <c r="O57" i="17"/>
  <c r="AM39" i="17"/>
  <c r="AM35" i="17"/>
  <c r="AQ39" i="17"/>
  <c r="AQ35" i="17"/>
  <c r="AD33" i="17"/>
  <c r="AD23" i="17"/>
  <c r="AD55" i="17"/>
  <c r="AD44" i="17"/>
  <c r="L61" i="18"/>
  <c r="L57" i="18"/>
  <c r="W61" i="18"/>
  <c r="S61" i="18"/>
  <c r="S57" i="18"/>
  <c r="O61" i="18"/>
  <c r="O57" i="18"/>
  <c r="AP57" i="17"/>
  <c r="AP61" i="17"/>
  <c r="AN57" i="17"/>
  <c r="AN61" i="17"/>
  <c r="H24" i="18"/>
  <c r="H45" i="18"/>
  <c r="H51" i="18"/>
  <c r="H56" i="18"/>
  <c r="H62" i="18"/>
  <c r="H34" i="18"/>
  <c r="H40" i="18"/>
  <c r="AN34" i="18"/>
  <c r="AN56" i="18"/>
  <c r="AN24" i="18"/>
  <c r="AN45" i="18"/>
  <c r="S46" i="17"/>
  <c r="S50" i="17"/>
  <c r="AG50" i="17"/>
  <c r="AG46" i="17"/>
  <c r="G30" i="17"/>
  <c r="H27" i="17"/>
  <c r="AY23" i="17"/>
  <c r="AY55" i="17"/>
  <c r="AY44" i="17"/>
  <c r="AY33" i="17"/>
  <c r="S34" i="18"/>
  <c r="S40" i="18"/>
  <c r="S56" i="18"/>
  <c r="S62" i="18"/>
  <c r="S24" i="18"/>
  <c r="S45" i="18"/>
  <c r="S51" i="18"/>
  <c r="T46" i="17"/>
  <c r="AL50" i="17"/>
  <c r="AL46" i="17"/>
  <c r="AJ50" i="17"/>
  <c r="AJ46" i="17"/>
  <c r="M34" i="18"/>
  <c r="M56" i="18"/>
  <c r="M24" i="18"/>
  <c r="M45" i="18"/>
  <c r="AS34" i="18"/>
  <c r="AS56" i="18"/>
  <c r="AS24" i="18"/>
  <c r="AS45" i="18"/>
  <c r="AD57" i="18"/>
  <c r="AL57" i="18"/>
  <c r="AT57" i="18"/>
  <c r="F50" i="18"/>
  <c r="F46" i="18"/>
  <c r="I39" i="17"/>
  <c r="I35" i="17"/>
  <c r="M39" i="17"/>
  <c r="M35" i="17"/>
  <c r="Q39" i="17"/>
  <c r="Q35" i="17"/>
  <c r="V50" i="17"/>
  <c r="V46" i="17"/>
  <c r="N39" i="17"/>
  <c r="N35" i="17"/>
  <c r="R39" i="17"/>
  <c r="R35" i="17"/>
  <c r="AE50" i="17"/>
  <c r="AE46" i="17"/>
  <c r="N34" i="18"/>
  <c r="N56" i="18"/>
  <c r="N24" i="18"/>
  <c r="N45" i="18"/>
  <c r="D24" i="18"/>
  <c r="D45" i="18"/>
  <c r="D56" i="18"/>
  <c r="D34" i="18"/>
  <c r="AB46" i="18"/>
  <c r="AB50" i="18"/>
  <c r="X46" i="18"/>
  <c r="X50" i="18"/>
  <c r="T46" i="18"/>
  <c r="T50" i="18"/>
  <c r="AX39" i="17"/>
  <c r="AX35" i="17"/>
  <c r="AH57" i="17"/>
  <c r="AH61" i="17"/>
  <c r="AF57" i="17"/>
  <c r="AF61" i="17"/>
  <c r="W57" i="17"/>
  <c r="W61" i="17"/>
  <c r="AA57" i="17"/>
  <c r="AA61" i="17"/>
  <c r="AI57" i="17"/>
  <c r="AI61" i="17"/>
  <c r="AO57" i="17"/>
  <c r="AO61" i="17"/>
  <c r="AB33" i="17"/>
  <c r="AB23" i="17"/>
  <c r="AB55" i="17"/>
  <c r="AB44" i="17"/>
  <c r="J61" i="17"/>
  <c r="J57" i="17"/>
  <c r="AS57" i="17"/>
  <c r="AS61" i="17"/>
  <c r="AK57" i="17"/>
  <c r="AK61" i="17"/>
  <c r="Z33" i="17"/>
  <c r="Z23" i="17"/>
  <c r="Z55" i="17"/>
  <c r="Z44" i="17"/>
  <c r="Z50" i="17"/>
  <c r="Z46" i="17"/>
  <c r="D51" i="18"/>
  <c r="D46" i="18"/>
  <c r="M62" i="18"/>
  <c r="M57" i="18"/>
  <c r="AI62" i="18"/>
  <c r="AI57" i="18"/>
  <c r="E33" i="18"/>
  <c r="E55" i="18"/>
  <c r="E44" i="18"/>
  <c r="E23" i="18"/>
  <c r="AZ23" i="18"/>
  <c r="AZ21" i="18"/>
  <c r="J51" i="18"/>
  <c r="J46" i="18"/>
  <c r="AO62" i="18"/>
  <c r="AO57" i="18"/>
  <c r="H50" i="18"/>
  <c r="H46" i="18"/>
  <c r="G46" i="17"/>
  <c r="G50" i="17"/>
  <c r="AG40" i="18"/>
  <c r="AG35" i="18"/>
  <c r="AF40" i="18"/>
  <c r="AF35" i="18"/>
  <c r="AW51" i="18"/>
  <c r="AW46" i="18"/>
  <c r="AC51" i="18"/>
  <c r="AC46" i="18"/>
  <c r="AR62" i="18"/>
  <c r="AR57" i="18"/>
  <c r="Y62" i="18"/>
  <c r="Y57" i="18"/>
  <c r="L35" i="18"/>
  <c r="AM62" i="18"/>
  <c r="AM57" i="18"/>
  <c r="Z57" i="17"/>
  <c r="Z61" i="17"/>
  <c r="N62" i="18"/>
  <c r="N57" i="18"/>
  <c r="AS40" i="18"/>
  <c r="AS35" i="18"/>
  <c r="M40" i="18"/>
  <c r="M35" i="18"/>
  <c r="AD35" i="17"/>
  <c r="AD39" i="17"/>
  <c r="I46" i="18"/>
  <c r="I50" i="18"/>
  <c r="AY40" i="18"/>
  <c r="AY35" i="18"/>
  <c r="E24" i="18"/>
  <c r="E45" i="18"/>
  <c r="E51" i="18"/>
  <c r="E34" i="18"/>
  <c r="E40" i="18"/>
  <c r="E56" i="18"/>
  <c r="E62" i="18"/>
  <c r="AO40" i="18"/>
  <c r="AO35" i="18"/>
  <c r="AJ62" i="18"/>
  <c r="AJ57" i="18"/>
  <c r="AR61" i="17"/>
  <c r="AR57" i="17"/>
  <c r="AE62" i="18"/>
  <c r="AE57" i="18"/>
  <c r="V40" i="18"/>
  <c r="V35" i="18"/>
  <c r="AG51" i="18"/>
  <c r="AG46" i="18"/>
  <c r="AF51" i="18"/>
  <c r="AF46" i="18"/>
  <c r="U62" i="18"/>
  <c r="U57" i="18"/>
  <c r="Y40" i="18"/>
  <c r="Y35" i="18"/>
  <c r="AM40" i="18"/>
  <c r="AM35" i="18"/>
  <c r="AB50" i="17"/>
  <c r="AB46" i="17"/>
  <c r="D40" i="18"/>
  <c r="D35" i="18"/>
  <c r="AZ22" i="18"/>
  <c r="N40" i="18"/>
  <c r="N35" i="18"/>
  <c r="AS51" i="18"/>
  <c r="AS46" i="18"/>
  <c r="M51" i="18"/>
  <c r="M46" i="18"/>
  <c r="AN51" i="18"/>
  <c r="AN46" i="18"/>
  <c r="W57" i="18"/>
  <c r="AD50" i="17"/>
  <c r="AD46" i="17"/>
  <c r="I57" i="18"/>
  <c r="I61" i="18"/>
  <c r="AY51" i="18"/>
  <c r="AY46" i="18"/>
  <c r="AI51" i="18"/>
  <c r="AI46" i="18"/>
  <c r="Z62" i="18"/>
  <c r="Z57" i="18"/>
  <c r="J62" i="18"/>
  <c r="J57" i="18"/>
  <c r="AO51" i="18"/>
  <c r="AO46" i="18"/>
  <c r="E61" i="17"/>
  <c r="E57" i="17"/>
  <c r="AJ40" i="18"/>
  <c r="AJ35" i="18"/>
  <c r="H35" i="18"/>
  <c r="H39" i="18"/>
  <c r="S46" i="18"/>
  <c r="L46" i="18"/>
  <c r="AU40" i="18"/>
  <c r="AU35" i="18"/>
  <c r="AE40" i="18"/>
  <c r="AE35" i="18"/>
  <c r="AK40" i="18"/>
  <c r="AK35" i="18"/>
  <c r="X35" i="18"/>
  <c r="V51" i="18"/>
  <c r="V46" i="18"/>
  <c r="G39" i="17"/>
  <c r="G35" i="17"/>
  <c r="AQ40" i="18"/>
  <c r="AQ35" i="18"/>
  <c r="U40" i="18"/>
  <c r="U35" i="18"/>
  <c r="X57" i="18"/>
  <c r="R51" i="18"/>
  <c r="R46" i="18"/>
  <c r="AW62" i="18"/>
  <c r="AW57" i="18"/>
  <c r="AC62" i="18"/>
  <c r="AC57" i="18"/>
  <c r="AR51" i="18"/>
  <c r="AR46" i="18"/>
  <c r="Y51" i="18"/>
  <c r="Y46" i="18"/>
  <c r="O35" i="18"/>
  <c r="W35" i="18"/>
  <c r="AM51" i="18"/>
  <c r="AM46" i="18"/>
  <c r="AS62" i="18"/>
  <c r="AS57" i="18"/>
  <c r="AY46" i="17"/>
  <c r="AY50" i="17"/>
  <c r="AN62" i="18"/>
  <c r="AN57" i="18"/>
  <c r="AY62" i="18"/>
  <c r="AY57" i="18"/>
  <c r="Z51" i="18"/>
  <c r="Z46" i="18"/>
  <c r="E46" i="17"/>
  <c r="E50" i="17"/>
  <c r="AR39" i="17"/>
  <c r="AR35" i="17"/>
  <c r="V62" i="18"/>
  <c r="V57" i="18"/>
  <c r="AV40" i="18"/>
  <c r="AV35" i="18"/>
  <c r="R62" i="18"/>
  <c r="R57" i="18"/>
  <c r="AB39" i="17"/>
  <c r="AB35" i="17"/>
  <c r="AZ24" i="18"/>
  <c r="AY61" i="17"/>
  <c r="AY57" i="17"/>
  <c r="AN40" i="18"/>
  <c r="AN35" i="18"/>
  <c r="AI40" i="18"/>
  <c r="AI35" i="18"/>
  <c r="F35" i="18"/>
  <c r="H57" i="18"/>
  <c r="H61" i="18"/>
  <c r="AU62" i="18"/>
  <c r="AU57" i="18"/>
  <c r="AK62" i="18"/>
  <c r="AK57" i="18"/>
  <c r="AV51" i="18"/>
  <c r="AV46" i="18"/>
  <c r="AQ62" i="18"/>
  <c r="AQ57" i="18"/>
  <c r="R40" i="18"/>
  <c r="R35" i="18"/>
  <c r="AR40" i="18"/>
  <c r="AR35" i="18"/>
  <c r="Z39" i="17"/>
  <c r="Z35" i="17"/>
  <c r="AB57" i="17"/>
  <c r="AB61" i="17"/>
  <c r="D62" i="18"/>
  <c r="D57" i="18"/>
  <c r="N51" i="18"/>
  <c r="N46" i="18"/>
  <c r="AY39" i="17"/>
  <c r="AY35" i="17"/>
  <c r="H30" i="17"/>
  <c r="I27" i="17"/>
  <c r="AD57" i="17"/>
  <c r="AD61" i="17"/>
  <c r="I39" i="18"/>
  <c r="I35" i="18"/>
  <c r="I27" i="18"/>
  <c r="H30" i="18"/>
  <c r="Z40" i="18"/>
  <c r="Z35" i="18"/>
  <c r="J40" i="18"/>
  <c r="J35" i="18"/>
  <c r="E39" i="17"/>
  <c r="E35" i="17"/>
  <c r="AJ51" i="18"/>
  <c r="AJ46" i="18"/>
  <c r="AR46" i="17"/>
  <c r="AR50" i="17"/>
  <c r="AU51" i="18"/>
  <c r="AU46" i="18"/>
  <c r="AE51" i="18"/>
  <c r="AE46" i="18"/>
  <c r="AK51" i="18"/>
  <c r="AK46" i="18"/>
  <c r="G61" i="17"/>
  <c r="G57" i="17"/>
  <c r="AG62" i="18"/>
  <c r="AG57" i="18"/>
  <c r="AV62" i="18"/>
  <c r="AV57" i="18"/>
  <c r="AF62" i="18"/>
  <c r="AF57" i="18"/>
  <c r="AQ51" i="18"/>
  <c r="AQ46" i="18"/>
  <c r="U51" i="18"/>
  <c r="U46" i="18"/>
  <c r="AW40" i="18"/>
  <c r="AW35" i="18"/>
  <c r="AC40" i="18"/>
  <c r="AC35" i="18"/>
  <c r="E57" i="18"/>
  <c r="E61" i="18"/>
  <c r="J27" i="18"/>
  <c r="I30" i="18"/>
  <c r="E35" i="18"/>
  <c r="E39" i="18"/>
  <c r="I30" i="17"/>
  <c r="J27" i="17"/>
  <c r="E50" i="18"/>
  <c r="E46" i="18"/>
  <c r="J30" i="17"/>
  <c r="K27" i="17"/>
  <c r="K27" i="18"/>
  <c r="J30" i="18"/>
  <c r="L27" i="18"/>
  <c r="K30" i="18"/>
  <c r="K30" i="17"/>
  <c r="L27" i="17"/>
  <c r="L30" i="17"/>
  <c r="M27" i="17"/>
  <c r="M27" i="18"/>
  <c r="L30" i="18"/>
  <c r="N27" i="18"/>
  <c r="M30" i="18"/>
  <c r="M30" i="17"/>
  <c r="N27" i="17"/>
  <c r="N30" i="17"/>
  <c r="O27" i="17"/>
  <c r="O27" i="18"/>
  <c r="N30" i="18"/>
  <c r="P27" i="18"/>
  <c r="O30" i="18"/>
  <c r="O30" i="17"/>
  <c r="P27" i="17"/>
  <c r="P30" i="17"/>
  <c r="Q27" i="17"/>
  <c r="Q27" i="18"/>
  <c r="P30" i="18"/>
  <c r="R27" i="18"/>
  <c r="Q30" i="18"/>
  <c r="Q30" i="17"/>
  <c r="R27" i="17"/>
  <c r="S27" i="17"/>
  <c r="R30" i="17"/>
  <c r="S27" i="18"/>
  <c r="R30" i="18"/>
  <c r="T27" i="18"/>
  <c r="S30" i="18"/>
  <c r="S30" i="17"/>
  <c r="T27" i="17"/>
  <c r="U27" i="17"/>
  <c r="T30" i="17"/>
  <c r="U27" i="18"/>
  <c r="T30" i="18"/>
  <c r="V27" i="18"/>
  <c r="U30" i="18"/>
  <c r="U30" i="17"/>
  <c r="V27" i="17"/>
  <c r="W27" i="17"/>
  <c r="V30" i="17"/>
  <c r="W27" i="18"/>
  <c r="V30" i="18"/>
  <c r="X27" i="18"/>
  <c r="W30" i="18"/>
  <c r="W30" i="17"/>
  <c r="X27" i="17"/>
  <c r="Y27" i="17"/>
  <c r="X30" i="17"/>
  <c r="Y27" i="18"/>
  <c r="X30" i="18"/>
  <c r="Z27" i="18"/>
  <c r="Y30" i="18"/>
  <c r="Y30" i="17"/>
  <c r="Z27" i="17"/>
  <c r="AA27" i="17"/>
  <c r="Z30" i="17"/>
  <c r="AA27" i="18"/>
  <c r="Z30" i="18"/>
  <c r="AB27" i="18"/>
  <c r="AA30" i="18"/>
  <c r="AA30" i="17"/>
  <c r="AB27" i="17"/>
  <c r="AC27" i="17"/>
  <c r="AB30" i="17"/>
  <c r="AC27" i="18"/>
  <c r="AB30" i="18"/>
  <c r="AD27" i="18"/>
  <c r="AC30" i="18"/>
  <c r="AD27" i="17"/>
  <c r="AC30" i="17"/>
  <c r="AE27" i="17"/>
  <c r="AD30" i="17"/>
  <c r="AE27" i="18"/>
  <c r="AD30" i="18"/>
  <c r="AF27" i="18"/>
  <c r="AE30" i="18"/>
  <c r="AF27" i="17"/>
  <c r="AE30" i="17"/>
  <c r="AG27" i="18"/>
  <c r="AF30" i="18"/>
  <c r="AF30" i="17"/>
  <c r="AG27" i="17"/>
  <c r="AH27" i="17"/>
  <c r="AG30" i="17"/>
  <c r="AH27" i="18"/>
  <c r="AG30" i="18"/>
  <c r="AH30" i="17"/>
  <c r="AI27" i="17"/>
  <c r="AI27" i="18"/>
  <c r="AH30" i="18"/>
  <c r="AJ27" i="18"/>
  <c r="AI30" i="18"/>
  <c r="AJ27" i="17"/>
  <c r="AI30" i="17"/>
  <c r="AJ30" i="17"/>
  <c r="AK27" i="17"/>
  <c r="AK27" i="18"/>
  <c r="AJ30" i="18"/>
  <c r="AL27" i="18"/>
  <c r="AK30" i="18"/>
  <c r="AL27" i="17"/>
  <c r="AK30" i="17"/>
  <c r="AL30" i="17"/>
  <c r="AM27" i="17"/>
  <c r="AM27" i="18"/>
  <c r="AL30" i="18"/>
  <c r="AN27" i="18"/>
  <c r="AM30" i="18"/>
  <c r="AN27" i="17"/>
  <c r="AM30" i="17"/>
  <c r="AN30" i="17"/>
  <c r="AO27" i="17"/>
  <c r="AO27" i="18"/>
  <c r="AN30" i="18"/>
  <c r="AP27" i="18"/>
  <c r="AO30" i="18"/>
  <c r="AP27" i="17"/>
  <c r="AO30" i="17"/>
  <c r="AP30" i="17"/>
  <c r="AQ27" i="17"/>
  <c r="AQ27" i="18"/>
  <c r="AP30" i="18"/>
  <c r="AR27" i="18"/>
  <c r="AQ30" i="18"/>
  <c r="AR27" i="17"/>
  <c r="AQ30" i="17"/>
  <c r="AR30" i="17"/>
  <c r="AS27" i="17"/>
  <c r="AS27" i="18"/>
  <c r="AR30" i="18"/>
  <c r="AT27" i="18"/>
  <c r="AS30" i="18"/>
  <c r="AS30" i="17"/>
  <c r="AT27" i="17"/>
  <c r="AT30" i="17"/>
  <c r="AU27" i="17"/>
  <c r="AU27" i="18"/>
  <c r="AT30" i="18"/>
  <c r="AV27" i="18"/>
  <c r="AU30" i="18"/>
  <c r="AU30" i="17"/>
  <c r="AV27" i="17"/>
  <c r="AV30" i="17"/>
  <c r="AW27" i="17"/>
  <c r="AW27" i="18"/>
  <c r="AV30" i="18"/>
  <c r="AX27" i="18"/>
  <c r="AW30" i="18"/>
  <c r="AW30" i="17"/>
  <c r="AX27" i="17"/>
  <c r="AX30" i="17"/>
  <c r="AY27" i="17"/>
  <c r="AY30" i="17"/>
  <c r="AZ30" i="17"/>
  <c r="AY27" i="18"/>
  <c r="AY30" i="18"/>
  <c r="AX30" i="18"/>
  <c r="AZ30" i="18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10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<sst xmlns="http://schemas.openxmlformats.org/spreadsheetml/2006/main" count="2629" uniqueCount="414">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</sst>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2032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1300</v>
      </c>
      <c r="E39" s="15" t="s">
        <v>166</v>
      </c>
      <c r="F39" s="15" t="s">
        <v>6</v>
      </c>
      <c r="G39" s="15">
        <f t="shared" si="3"/>
        <v>1300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1250</v>
      </c>
      <c r="E63" s="15" t="s">
        <v>166</v>
      </c>
      <c r="F63" s="15" t="s">
        <v>6</v>
      </c>
      <c r="G63" s="15">
        <f t="shared" si="3"/>
        <v>1250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5000</v>
      </c>
      <c r="E76" s="15" t="s">
        <v>166</v>
      </c>
      <c r="F76" s="15" t="s">
        <v>6</v>
      </c>
      <c r="G76" s="15">
        <f t="shared" si="5"/>
        <v>5000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2715.1559815170017</v>
      </c>
      <c r="D6" s="87">
        <v>2715.1559815170017</v>
      </c>
      <c r="E6" s="87">
        <v>2715.1559815170017</v>
      </c>
      <c r="F6" s="87">
        <v>2715.1559815170017</v>
      </c>
      <c r="G6" s="87">
        <v>2715.1559815170017</v>
      </c>
      <c r="H6" s="87">
        <v>2715.1559815170017</v>
      </c>
      <c r="I6" s="87">
        <v>2715.1559815170017</v>
      </c>
      <c r="J6" s="87">
        <v>2715.1559815170017</v>
      </c>
      <c r="K6" s="87">
        <v>2715.1559815170017</v>
      </c>
      <c r="L6" s="87">
        <v>2715.1559815170017</v>
      </c>
      <c r="M6" s="87">
        <v>2715.1559815170017</v>
      </c>
      <c r="N6" s="87">
        <v>2715.1559815170017</v>
      </c>
    </row>
    <row r="7" spans="2:14">
      <c r="B7" s="36" t="s">
        <v>105</v>
      </c>
      <c r="C7" s="88">
        <v>5.3010178943021047E-20</v>
      </c>
      <c r="D7" s="89">
        <v>5.3010178943021047E-20</v>
      </c>
      <c r="E7" s="89">
        <v>5.3010178943021047E-20</v>
      </c>
      <c r="F7" s="89">
        <v>5.3010178943021047E-20</v>
      </c>
      <c r="G7" s="89">
        <v>5.3010178943021047E-20</v>
      </c>
      <c r="H7" s="89">
        <v>5.3010178943021047E-20</v>
      </c>
      <c r="I7" s="89">
        <v>5.3010178943021047E-20</v>
      </c>
      <c r="J7" s="89">
        <v>5.3010178943021047E-20</v>
      </c>
      <c r="K7" s="89">
        <v>5.3010178943021047E-20</v>
      </c>
      <c r="L7" s="89">
        <v>5.3010178943021047E-20</v>
      </c>
      <c r="M7" s="89">
        <v>5.3010178943021047E-20</v>
      </c>
      <c r="N7" s="89">
        <v>5.3010178943021047E-20</v>
      </c>
    </row>
    <row r="8" spans="2:14">
      <c r="B8" s="36" t="s">
        <v>106</v>
      </c>
      <c r="C8" s="88">
        <v>140</v>
      </c>
      <c r="D8" s="89">
        <v>140</v>
      </c>
      <c r="E8" s="89">
        <v>140</v>
      </c>
      <c r="F8" s="89">
        <v>140</v>
      </c>
      <c r="G8" s="89">
        <v>140</v>
      </c>
      <c r="H8" s="89">
        <v>140</v>
      </c>
      <c r="I8" s="89">
        <v>140</v>
      </c>
      <c r="J8" s="89">
        <v>140</v>
      </c>
      <c r="K8" s="89">
        <v>140</v>
      </c>
      <c r="L8" s="89">
        <v>140</v>
      </c>
      <c r="M8" s="89">
        <v>140</v>
      </c>
      <c r="N8" s="89">
        <v>140</v>
      </c>
    </row>
    <row r="9" spans="2:14">
      <c r="B9" s="36" t="s">
        <v>107</v>
      </c>
      <c r="C9" s="88">
        <v>789.99999999999591</v>
      </c>
      <c r="D9" s="89">
        <v>789.99999999999591</v>
      </c>
      <c r="E9" s="89">
        <v>789.99999999999591</v>
      </c>
      <c r="F9" s="89">
        <v>789.99999999999591</v>
      </c>
      <c r="G9" s="89">
        <v>789.99999999999591</v>
      </c>
      <c r="H9" s="89">
        <v>789.99999999999591</v>
      </c>
      <c r="I9" s="89">
        <v>789.99999999999591</v>
      </c>
      <c r="J9" s="89">
        <v>789.99999999999591</v>
      </c>
      <c r="K9" s="89">
        <v>789.99999999999591</v>
      </c>
      <c r="L9" s="89">
        <v>789.99999999999591</v>
      </c>
      <c r="M9" s="89">
        <v>789.99999999999591</v>
      </c>
      <c r="N9" s="89">
        <v>789.99999999999591</v>
      </c>
    </row>
    <row r="10" spans="2:14">
      <c r="B10" s="36" t="s">
        <v>108</v>
      </c>
      <c r="C10" s="88">
        <v>3.159857735765755E-20</v>
      </c>
      <c r="D10" s="89">
        <v>3.159857735765755E-20</v>
      </c>
      <c r="E10" s="89">
        <v>3.159857735765755E-20</v>
      </c>
      <c r="F10" s="89">
        <v>3.159857735765755E-20</v>
      </c>
      <c r="G10" s="89">
        <v>3.159857735765755E-20</v>
      </c>
      <c r="H10" s="89">
        <v>3.159857735765755E-20</v>
      </c>
      <c r="I10" s="89">
        <v>3.159857735765755E-20</v>
      </c>
      <c r="J10" s="89">
        <v>3.159857735765755E-20</v>
      </c>
      <c r="K10" s="89">
        <v>3.159857735765755E-20</v>
      </c>
      <c r="L10" s="89">
        <v>3.159857735765755E-20</v>
      </c>
      <c r="M10" s="89">
        <v>3.159857735765755E-20</v>
      </c>
      <c r="N10" s="89">
        <v>3.159857735765755E-20</v>
      </c>
    </row>
    <row r="11" spans="2:14">
      <c r="B11" s="37" t="s">
        <v>109</v>
      </c>
      <c r="C11" s="88">
        <v>5.3019995387451204E-20</v>
      </c>
      <c r="D11" s="89">
        <v>5.3019995387451204E-20</v>
      </c>
      <c r="E11" s="89">
        <v>5.3019995387451204E-20</v>
      </c>
      <c r="F11" s="89">
        <v>5.3019995387451204E-20</v>
      </c>
      <c r="G11" s="89">
        <v>5.3019995387451204E-20</v>
      </c>
      <c r="H11" s="89">
        <v>5.3019995387451204E-20</v>
      </c>
      <c r="I11" s="89">
        <v>5.3019995387451204E-20</v>
      </c>
      <c r="J11" s="89">
        <v>5.3019995387451204E-20</v>
      </c>
      <c r="K11" s="89">
        <v>5.3019995387451204E-20</v>
      </c>
      <c r="L11" s="89">
        <v>5.3019995387451204E-20</v>
      </c>
      <c r="M11" s="89">
        <v>5.3019995387451204E-20</v>
      </c>
      <c r="N11" s="89">
        <v>5.3019995387451204E-20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0.56135879651256892</v>
      </c>
      <c r="E17" s="90">
        <v>1</v>
      </c>
      <c r="F17" s="90">
        <v>0.77329217430248087</v>
      </c>
      <c r="G17" s="90">
        <v>0.8</v>
      </c>
      <c r="H17" s="90">
        <v>0.98522555209239293</v>
      </c>
      <c r="I17" s="29" t="s">
        <v>110</v>
      </c>
    </row>
    <row r="18" spans="2:33">
      <c r="B18" s="36" t="s">
        <v>105</v>
      </c>
      <c r="C18" s="91">
        <v>1.2</v>
      </c>
      <c r="D18" s="91">
        <v>0.64183267566259206</v>
      </c>
      <c r="E18" s="91">
        <v>1</v>
      </c>
      <c r="F18" s="91">
        <v>0.77036196060886941</v>
      </c>
      <c r="G18" s="91">
        <v>0.8</v>
      </c>
      <c r="H18" s="91">
        <v>0.89889124555514677</v>
      </c>
      <c r="I18" s="29" t="s">
        <v>110</v>
      </c>
    </row>
    <row r="19" spans="2:33">
      <c r="B19" s="36" t="s">
        <v>106</v>
      </c>
      <c r="C19" s="91">
        <v>1.2</v>
      </c>
      <c r="D19" s="91">
        <v>0.68220555384181636</v>
      </c>
      <c r="E19" s="91">
        <v>1</v>
      </c>
      <c r="F19" s="91">
        <v>0.83735641921569348</v>
      </c>
      <c r="G19" s="91">
        <v>0.8</v>
      </c>
      <c r="H19" s="91">
        <v>0.9925072845895706</v>
      </c>
      <c r="I19" s="29" t="s">
        <v>110</v>
      </c>
    </row>
    <row r="20" spans="2:33">
      <c r="B20" s="36" t="s">
        <v>107</v>
      </c>
      <c r="C20" s="91">
        <v>1.2</v>
      </c>
      <c r="D20" s="91">
        <v>0.64842028777147498</v>
      </c>
      <c r="E20" s="91">
        <v>1</v>
      </c>
      <c r="F20" s="91">
        <v>0.80769566448738261</v>
      </c>
      <c r="G20" s="91">
        <v>0.8</v>
      </c>
      <c r="H20" s="91">
        <v>0.96697104120329036</v>
      </c>
    </row>
    <row r="21" spans="2:33">
      <c r="B21" s="36" t="s">
        <v>108</v>
      </c>
      <c r="C21" s="91">
        <v>1.2</v>
      </c>
      <c r="D21" s="91">
        <v>0.70828557808788806</v>
      </c>
      <c r="E21" s="91">
        <v>1</v>
      </c>
      <c r="F21" s="91">
        <v>0.73586771063150702</v>
      </c>
      <c r="G21" s="91">
        <v>0.8</v>
      </c>
      <c r="H21" s="91">
        <v>0.7634498431751261</v>
      </c>
    </row>
    <row r="22" spans="2:33">
      <c r="B22" s="37" t="s">
        <v>109</v>
      </c>
      <c r="C22" s="91">
        <v>1.2</v>
      </c>
      <c r="D22" s="91">
        <v>0.68261367999957345</v>
      </c>
      <c r="E22" s="91">
        <v>1</v>
      </c>
      <c r="F22" s="91">
        <v>0.74533439869878504</v>
      </c>
      <c r="G22" s="91">
        <v>0.8</v>
      </c>
      <c r="H22" s="91">
        <v>0.80805511739799651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2027</v>
      </c>
      <c r="E28" s="49"/>
      <c r="F28" s="45">
        <f>basic_info!$D$5-4</f>
        <v>2028</v>
      </c>
      <c r="G28" s="49"/>
      <c r="H28" s="45">
        <f>basic_info!$D$5-3</f>
        <v>2029</v>
      </c>
      <c r="I28" s="49"/>
      <c r="J28" s="45">
        <f>basic_info!$D$5-2</f>
        <v>2030</v>
      </c>
      <c r="K28" s="49"/>
      <c r="L28" s="45">
        <f>basic_info!$D$5-1</f>
        <v>2031</v>
      </c>
      <c r="N28" s="45">
        <f>basic_info!$D$5</f>
        <v>2032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2032</v>
      </c>
      <c r="D30" s="44">
        <v>0.66081657635867597</v>
      </c>
      <c r="E30" s="35">
        <v>0.66081657635867597</v>
      </c>
      <c r="F30" s="47">
        <v>0.72379884448625331</v>
      </c>
      <c r="G30" s="46">
        <v>0.72379884448625331</v>
      </c>
      <c r="H30" s="47">
        <v>0.69143952821589572</v>
      </c>
      <c r="I30" s="46">
        <v>0.69143952821589572</v>
      </c>
      <c r="J30" s="47">
        <v>0.79834376345265456</v>
      </c>
      <c r="K30" s="46">
        <v>0.79834376345265456</v>
      </c>
      <c r="L30" s="47">
        <v>0.94619245980522715</v>
      </c>
      <c r="M30" s="46">
        <v>0.94619245980522715</v>
      </c>
      <c r="N30" s="60"/>
      <c r="O30" s="71" t="s">
        <v>162</v>
      </c>
      <c r="P30" s="41">
        <f>M30+K30+I30+E30+G30</f>
        <v>3.8205911723187067</v>
      </c>
      <c r="Q30" s="70"/>
    </row>
    <row r="31" spans="2:33">
      <c r="B31" s="36"/>
      <c r="C31" s="47">
        <f>basic_info!$D$5+1</f>
        <v>2033</v>
      </c>
      <c r="D31" s="76"/>
      <c r="E31" s="75"/>
      <c r="F31" s="69">
        <v>0.68604024631083016</v>
      </c>
      <c r="G31" s="79">
        <v>0.68604024631083016</v>
      </c>
      <c r="H31" s="61">
        <v>0.69892836613039744</v>
      </c>
      <c r="I31" s="62">
        <v>0.69892836613039744</v>
      </c>
      <c r="J31" s="61">
        <v>0.72958384051727887</v>
      </c>
      <c r="K31" s="62">
        <v>0.72958384051727887</v>
      </c>
      <c r="L31" s="61">
        <v>0.88436510431531268</v>
      </c>
      <c r="M31" s="62">
        <v>0.88436510431531268</v>
      </c>
      <c r="N31" s="63">
        <v>0.81005940912065588</v>
      </c>
      <c r="O31" s="89">
        <v>0.81005940912065588</v>
      </c>
      <c r="P31" s="63">
        <f>O31+M31+K31+I31+G31</f>
        <v>3.808976966394475</v>
      </c>
    </row>
    <row r="32" spans="2:33">
      <c r="B32" s="36"/>
      <c r="C32" s="47">
        <f>basic_info!$D$5+2</f>
        <v>2034</v>
      </c>
      <c r="D32" s="76"/>
      <c r="E32" s="75"/>
      <c r="F32" s="75"/>
      <c r="G32" s="75"/>
      <c r="H32" s="69">
        <v>0.64970057869851594</v>
      </c>
      <c r="I32" s="79">
        <v>0.64970057869851594</v>
      </c>
      <c r="J32" s="61">
        <v>0.71232034054491844</v>
      </c>
      <c r="K32" s="62">
        <v>0.71232034054491844</v>
      </c>
      <c r="L32" s="61">
        <v>0.80679373337835147</v>
      </c>
      <c r="M32" s="62">
        <v>0.80679373337835147</v>
      </c>
      <c r="N32" s="63">
        <v>0.79105931339882707</v>
      </c>
      <c r="O32" s="89">
        <v>0.79105931339882707</v>
      </c>
      <c r="P32" s="63">
        <f>O32+M32+K32+I32</f>
        <v>2.9598739660206128</v>
      </c>
    </row>
    <row r="33" spans="2:17">
      <c r="B33" s="36"/>
      <c r="C33" s="47">
        <f>basic_info!$D$5+3</f>
        <v>2035</v>
      </c>
      <c r="D33" s="76"/>
      <c r="E33" s="75"/>
      <c r="F33" s="75"/>
      <c r="G33" s="75"/>
      <c r="H33" s="75"/>
      <c r="I33" s="75"/>
      <c r="J33" s="69">
        <v>0.66346635976135726</v>
      </c>
      <c r="K33" s="79">
        <v>0.66346635976135726</v>
      </c>
      <c r="L33" s="61">
        <v>0.78732311045330217</v>
      </c>
      <c r="M33" s="62">
        <v>0.78732311045330217</v>
      </c>
      <c r="N33" s="63">
        <v>0.76298126753191375</v>
      </c>
      <c r="O33" s="89">
        <v>0.76298126753191375</v>
      </c>
      <c r="P33" s="63">
        <f>O33+M33+K33</f>
        <v>2.2137707377465734</v>
      </c>
    </row>
    <row r="34" spans="2:17">
      <c r="B34" s="36"/>
      <c r="C34" s="47">
        <f>basic_info!$D$5+4</f>
        <v>2036</v>
      </c>
      <c r="D34" s="76"/>
      <c r="E34" s="75"/>
      <c r="F34" s="75"/>
      <c r="G34" s="75"/>
      <c r="H34" s="75"/>
      <c r="I34" s="75"/>
      <c r="J34" s="75"/>
      <c r="K34" s="75"/>
      <c r="L34" s="69">
        <v>0.74404547180831448</v>
      </c>
      <c r="M34" s="79">
        <v>0.74404547180831448</v>
      </c>
      <c r="N34" s="63">
        <v>0.69721272056293226</v>
      </c>
      <c r="O34" s="89">
        <v>0.69721272056293226</v>
      </c>
      <c r="P34" s="63">
        <f>O34+M34</f>
        <v>1.4412581923712469</v>
      </c>
    </row>
    <row r="35" spans="2:17">
      <c r="B35" s="37"/>
      <c r="C35" s="72">
        <f>basic_info!$D$5+5</f>
        <v>2037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0.65119834536612031</v>
      </c>
      <c r="O35" s="89">
        <v>0.65119834536612031</v>
      </c>
      <c r="P35" s="65">
        <f>O35</f>
        <v>0.65119834536612031</v>
      </c>
    </row>
    <row r="36" spans="2:17">
      <c r="B36" s="41" t="s">
        <v>113</v>
      </c>
      <c r="C36" s="36">
        <f>basic_info!$D$5</f>
        <v>2032</v>
      </c>
      <c r="D36" s="44">
        <v>0.96112931388616563</v>
      </c>
      <c r="E36" s="35">
        <v>0.96112931388616563</v>
      </c>
      <c r="F36" s="73">
        <v>0.89988736013715631</v>
      </c>
      <c r="G36" s="74">
        <v>0.89988736013715631</v>
      </c>
      <c r="H36" s="73">
        <v>1.053586334277947</v>
      </c>
      <c r="I36" s="74">
        <v>1.053586334277947</v>
      </c>
      <c r="J36" s="73">
        <v>1.0072098965412106</v>
      </c>
      <c r="K36" s="74">
        <v>1.0072098965412106</v>
      </c>
      <c r="L36" s="66">
        <v>1.1529275049158922</v>
      </c>
      <c r="M36" s="67">
        <v>1.1529275049158922</v>
      </c>
      <c r="N36" s="68"/>
      <c r="O36" s="71" t="s">
        <v>162</v>
      </c>
      <c r="P36" s="41">
        <f>M36+K36+I36+E36+G36</f>
        <v>5.0747404097583715</v>
      </c>
      <c r="Q36" s="70"/>
    </row>
    <row r="37" spans="2:17">
      <c r="B37" s="36"/>
      <c r="C37" s="47">
        <f>basic_info!$D$5+1</f>
        <v>2033</v>
      </c>
      <c r="D37" s="76"/>
      <c r="E37" s="75"/>
      <c r="F37" s="69">
        <v>0.86972962859272962</v>
      </c>
      <c r="G37" s="79">
        <v>0.86972962859272962</v>
      </c>
      <c r="H37" s="61">
        <v>1.0074343602156002</v>
      </c>
      <c r="I37" s="62">
        <v>1.0074343602156002</v>
      </c>
      <c r="J37" s="61">
        <v>0.97524463386379778</v>
      </c>
      <c r="K37" s="62">
        <v>0.97524463386379778</v>
      </c>
      <c r="L37" s="61">
        <v>1.1000244643116297</v>
      </c>
      <c r="M37" s="62">
        <v>1.1000244643116297</v>
      </c>
      <c r="N37" s="61">
        <v>0.99638980004158262</v>
      </c>
      <c r="O37" s="89">
        <v>0.99638980004158262</v>
      </c>
      <c r="P37" s="63">
        <f>O37+M37+K37+I37+G37</f>
        <v>4.9488228870253401</v>
      </c>
    </row>
    <row r="38" spans="2:17">
      <c r="B38" s="36"/>
      <c r="C38" s="47">
        <f>basic_info!$D$5+2</f>
        <v>2034</v>
      </c>
      <c r="D38" s="76"/>
      <c r="E38" s="75"/>
      <c r="F38" s="75"/>
      <c r="G38" s="75"/>
      <c r="H38" s="69">
        <v>0.9264638961553574</v>
      </c>
      <c r="I38" s="79">
        <v>0.9264638961553574</v>
      </c>
      <c r="J38" s="61">
        <v>0.9730984368342821</v>
      </c>
      <c r="K38" s="62">
        <v>0.9730984368342821</v>
      </c>
      <c r="L38" s="61">
        <v>1.0442678920247443</v>
      </c>
      <c r="M38" s="62">
        <v>1.0442678920247443</v>
      </c>
      <c r="N38" s="61">
        <v>0.98077290688446384</v>
      </c>
      <c r="O38" s="89">
        <v>0.98077290688446384</v>
      </c>
      <c r="P38" s="63">
        <f>O38+M38+K38+I38</f>
        <v>3.9246031318988481</v>
      </c>
    </row>
    <row r="39" spans="2:17">
      <c r="B39" s="36"/>
      <c r="C39" s="47">
        <f>basic_info!$D$5+3</f>
        <v>2035</v>
      </c>
      <c r="D39" s="76"/>
      <c r="E39" s="75"/>
      <c r="F39" s="75"/>
      <c r="G39" s="75"/>
      <c r="H39" s="75"/>
      <c r="I39" s="75"/>
      <c r="J39" s="69">
        <v>0.8868314356505872</v>
      </c>
      <c r="K39" s="79">
        <v>0.8868314356505872</v>
      </c>
      <c r="L39" s="61">
        <v>0.99109879015775826</v>
      </c>
      <c r="M39" s="62">
        <v>0.99109879015775826</v>
      </c>
      <c r="N39" s="61">
        <v>0.95913227098070553</v>
      </c>
      <c r="O39" s="89">
        <v>0.95913227098070553</v>
      </c>
      <c r="P39" s="63">
        <f>O39+M39+K39</f>
        <v>2.8370624967890508</v>
      </c>
    </row>
    <row r="40" spans="2:17">
      <c r="B40" s="36"/>
      <c r="C40" s="47">
        <f>basic_info!$D$5+4</f>
        <v>2036</v>
      </c>
      <c r="D40" s="76"/>
      <c r="E40" s="75"/>
      <c r="F40" s="75"/>
      <c r="G40" s="75"/>
      <c r="H40" s="75"/>
      <c r="I40" s="75"/>
      <c r="J40" s="75"/>
      <c r="K40" s="75"/>
      <c r="L40" s="69">
        <v>0.90685486632585532</v>
      </c>
      <c r="M40" s="79">
        <v>0.90685486632585532</v>
      </c>
      <c r="N40" s="61">
        <v>0.96722108921344618</v>
      </c>
      <c r="O40" s="89">
        <v>0.96722108921344618</v>
      </c>
      <c r="P40" s="63">
        <f>O40+M40</f>
        <v>1.8740759555393014</v>
      </c>
    </row>
    <row r="41" spans="2:17">
      <c r="B41" s="37"/>
      <c r="C41" s="72">
        <f>basic_info!$D$5+5</f>
        <v>2037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0.95287734881043429</v>
      </c>
      <c r="O41" s="89">
        <v>0.95287734881043429</v>
      </c>
      <c r="P41" s="64">
        <f>O41</f>
        <v>0.95287734881043429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8.3333333333333321</v>
      </c>
      <c r="D47" s="92">
        <v>8.3333333333333321</v>
      </c>
      <c r="E47" s="92">
        <v>8.3333333333333321</v>
      </c>
      <c r="F47" s="92">
        <v>8.3333333333333321</v>
      </c>
      <c r="G47" s="92">
        <v>8.3333333333333321</v>
      </c>
      <c r="H47" s="92">
        <v>8.3333333333333321</v>
      </c>
      <c r="I47" s="92">
        <v>8.3333333333333321</v>
      </c>
      <c r="J47" s="92">
        <v>8.3333333333333321</v>
      </c>
      <c r="K47" s="92">
        <v>8.3333333333333321</v>
      </c>
      <c r="L47" s="92">
        <v>8.3333333333333321</v>
      </c>
      <c r="M47" s="92">
        <v>8.3333333333333321</v>
      </c>
      <c r="N47" s="92">
        <v>8.3333333333333321</v>
      </c>
      <c r="O47" s="33">
        <f>SUM(C47:N47)</f>
        <v>99.999999999999957</v>
      </c>
    </row>
    <row r="48" spans="2:17">
      <c r="B48" s="37" t="s">
        <v>113</v>
      </c>
      <c r="C48" s="92">
        <v>8.3333333333333339</v>
      </c>
      <c r="D48" s="92">
        <v>8.3333333333333339</v>
      </c>
      <c r="E48" s="92">
        <v>8.3333333333333339</v>
      </c>
      <c r="F48" s="92">
        <v>8.3333333333333339</v>
      </c>
      <c r="G48" s="92">
        <v>8.3333333333333339</v>
      </c>
      <c r="H48" s="92">
        <v>8.3333333333333339</v>
      </c>
      <c r="I48" s="92">
        <v>8.3333333333333339</v>
      </c>
      <c r="J48" s="92">
        <v>8.3333333333333339</v>
      </c>
      <c r="K48" s="92">
        <v>8.3333333333333339</v>
      </c>
      <c r="L48" s="92">
        <v>8.3333333333333339</v>
      </c>
      <c r="M48" s="92">
        <v>8.3333333333333339</v>
      </c>
      <c r="N48" s="92">
        <v>8.3333333333333339</v>
      </c>
      <c r="O48" s="33">
        <f>SUM(C48:N48)</f>
        <v>99.999999999999986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1.1142313173771533E-21</v>
      </c>
      <c r="D6" s="93">
        <v>61.206701925494279</v>
      </c>
      <c r="E6" s="93">
        <v>7.2632602393493287E-23</v>
      </c>
      <c r="F6" s="93">
        <v>2.5549775997488123E-23</v>
      </c>
      <c r="G6" s="93">
        <v>38.793298074505721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68.935960982544117</v>
      </c>
      <c r="D7" s="93">
        <v>19.230077198479549</v>
      </c>
      <c r="E7" s="93">
        <v>1.3285840227951271</v>
      </c>
      <c r="F7" s="93">
        <v>10.505377796181213</v>
      </c>
      <c r="G7" s="93">
        <v>0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7.1388678491820234E-21</v>
      </c>
      <c r="D8" s="93">
        <v>7.0069043938215381E-21</v>
      </c>
      <c r="E8" s="93">
        <v>100</v>
      </c>
      <c r="F8" s="93">
        <v>0</v>
      </c>
      <c r="G8" s="93">
        <v>0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75.949367088607474</v>
      </c>
      <c r="D9" s="93">
        <v>1.0194507075223555E-21</v>
      </c>
      <c r="E9" s="93">
        <v>0</v>
      </c>
      <c r="F9" s="93">
        <v>24.05063291139253</v>
      </c>
      <c r="G9" s="93">
        <v>0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30.042965369005035</v>
      </c>
      <c r="D10" s="93">
        <v>39.263156095712148</v>
      </c>
      <c r="E10" s="93">
        <v>0</v>
      </c>
      <c r="F10" s="93">
        <v>30.693878535282817</v>
      </c>
      <c r="G10" s="93">
        <v>0</v>
      </c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13.845530058912024</v>
      </c>
      <c r="D11" s="94">
        <v>72.112074703934596</v>
      </c>
      <c r="E11" s="94">
        <v>1.5879843530055939</v>
      </c>
      <c r="F11" s="94">
        <v>12.454410884147785</v>
      </c>
      <c r="G11" s="94">
        <v>0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39.908758119175189</v>
      </c>
      <c r="D19" s="44">
        <f>100-$C$19</f>
        <v>60.091241880824811</v>
      </c>
      <c r="E19" s="94">
        <v>43.092530670417773</v>
      </c>
      <c r="F19" s="33">
        <f>100-$E$19</f>
        <v>56.907469329582227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14.397149660694334</v>
      </c>
      <c r="D27" s="93">
        <v>29.004723101819465</v>
      </c>
      <c r="E27" s="93">
        <v>22.345477286192072</v>
      </c>
      <c r="F27" s="93">
        <v>15.436194451861818</v>
      </c>
      <c r="G27" s="95">
        <v>12.863484595838326</v>
      </c>
      <c r="N27" s="50"/>
      <c r="O27" s="50"/>
      <c r="P27" s="50"/>
    </row>
    <row r="28" spans="2:16">
      <c r="B28" s="45" t="s">
        <v>46</v>
      </c>
      <c r="C28" s="93">
        <v>17.590698754174397</v>
      </c>
      <c r="D28" s="93">
        <v>70.995276898180521</v>
      </c>
      <c r="E28" s="93">
        <v>77.654522713807921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68.012151585131278</v>
      </c>
      <c r="D29" s="93">
        <v>0</v>
      </c>
      <c r="E29" s="93">
        <v>0</v>
      </c>
      <c r="F29" s="93">
        <v>84.563805548138191</v>
      </c>
      <c r="G29" s="95">
        <v>87.136515404161685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99.999999999999986</v>
      </c>
      <c r="E30" s="98">
        <f>SUM($E$27:$E$29)</f>
        <v>100</v>
      </c>
      <c r="F30" s="98">
        <f>SUM($F$27:$F$29)</f>
        <v>100.00000000000001</v>
      </c>
      <c r="G30" s="96">
        <f>SUM($G$27:$G$29)</f>
        <v>100.00000000000001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35.719146007987469</v>
      </c>
      <c r="D37" s="93">
        <v>35.719146007987469</v>
      </c>
      <c r="E37" s="93">
        <v>35.719146007987469</v>
      </c>
      <c r="F37" s="93">
        <v>35.719146007987469</v>
      </c>
      <c r="G37" s="93">
        <v>35.719146007987469</v>
      </c>
      <c r="H37" s="93">
        <v>35.719146007987469</v>
      </c>
      <c r="I37" s="93">
        <v>35.719146007987469</v>
      </c>
      <c r="J37" s="93">
        <v>35.719146007987469</v>
      </c>
      <c r="K37" s="93">
        <v>35.719146007987469</v>
      </c>
      <c r="L37" s="93">
        <v>35.719146007987469</v>
      </c>
      <c r="M37" s="93">
        <v>35.719146007987469</v>
      </c>
      <c r="N37" s="95">
        <v>35.719146007987469</v>
      </c>
    </row>
    <row r="38" spans="2:14">
      <c r="B38" s="45" t="s">
        <v>46</v>
      </c>
      <c r="C38" s="93">
        <v>42.857142857142854</v>
      </c>
      <c r="D38" s="93">
        <v>42.857142857142854</v>
      </c>
      <c r="E38" s="93">
        <v>42.857142857142854</v>
      </c>
      <c r="F38" s="93">
        <v>42.857142857142854</v>
      </c>
      <c r="G38" s="93">
        <v>42.857142857142854</v>
      </c>
      <c r="H38" s="93">
        <v>42.857142857142854</v>
      </c>
      <c r="I38" s="93">
        <v>42.857142857142854</v>
      </c>
      <c r="J38" s="93">
        <v>42.857142857142854</v>
      </c>
      <c r="K38" s="93">
        <v>42.857142857142854</v>
      </c>
      <c r="L38" s="93">
        <v>42.857142857142854</v>
      </c>
      <c r="M38" s="93">
        <v>42.857142857142854</v>
      </c>
      <c r="N38" s="95">
        <v>42.857142857142854</v>
      </c>
    </row>
    <row r="39" spans="2:14">
      <c r="B39" s="45" t="s">
        <v>59</v>
      </c>
      <c r="C39" s="94">
        <v>44.872505702688763</v>
      </c>
      <c r="D39" s="94">
        <v>44.872505702688763</v>
      </c>
      <c r="E39" s="94">
        <v>44.872505702688763</v>
      </c>
      <c r="F39" s="94">
        <v>44.872505702688763</v>
      </c>
      <c r="G39" s="94">
        <v>44.872505702688763</v>
      </c>
      <c r="H39" s="94">
        <v>44.872505702688763</v>
      </c>
      <c r="I39" s="94">
        <v>44.872505702688763</v>
      </c>
      <c r="J39" s="94">
        <v>44.872505702688763</v>
      </c>
      <c r="K39" s="94">
        <v>44.872505702688763</v>
      </c>
      <c r="L39" s="94">
        <v>44.872505702688763</v>
      </c>
      <c r="M39" s="94">
        <v>44.872505702688763</v>
      </c>
      <c r="N39" s="89">
        <v>44.872505702688763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61625.198109799421</v>
      </c>
      <c r="L7" s="182"/>
      <c r="M7" s="182" t="s">
        <v>356</v>
      </c>
      <c r="S7" s="187">
        <f>SUM(ORA!$D$127:$O$127)</f>
        <v>263762039.4299171</v>
      </c>
    </row>
    <row r="8" spans="1:20">
      <c r="A8" s="182"/>
      <c r="B8" s="182" t="s">
        <v>357</v>
      </c>
      <c r="G8" s="185"/>
      <c r="H8" s="188">
        <f>SUM(POJ!$D$116:$O$116)</f>
        <v>42661.054253660128</v>
      </c>
      <c r="L8" s="182"/>
      <c r="M8" s="182" t="s">
        <v>357</v>
      </c>
      <c r="S8" s="189">
        <f>SUM(POJ!$D$127:$O$127)</f>
        <v>298627379.77562094</v>
      </c>
    </row>
    <row r="9" spans="1:20">
      <c r="A9" s="182"/>
      <c r="B9" s="182" t="s">
        <v>358</v>
      </c>
      <c r="G9" s="185"/>
      <c r="H9" s="188">
        <f>SUM(ROJ!$D$116:$O$116)</f>
        <v>27411.632652783228</v>
      </c>
      <c r="L9" s="182"/>
      <c r="M9" s="182" t="s">
        <v>358</v>
      </c>
      <c r="S9" s="189">
        <f>SUM(ROJ!$D$127:$O$127)</f>
        <v>208328408.16115257</v>
      </c>
    </row>
    <row r="10" spans="1:20">
      <c r="A10" s="182"/>
      <c r="B10" s="182" t="s">
        <v>359</v>
      </c>
      <c r="G10" s="185"/>
      <c r="H10" s="190">
        <f>SUM(FCOJ!$D$116:$O$116)</f>
        <v>31167.989082707867</v>
      </c>
      <c r="L10" s="182"/>
      <c r="M10" s="182" t="s">
        <v>359</v>
      </c>
      <c r="S10" s="191">
        <f>SUM(FCOJ!$D$127:$O$127)</f>
        <v>156806959.85448435</v>
      </c>
    </row>
    <row r="11" spans="1:20">
      <c r="A11" s="182"/>
      <c r="B11" s="182"/>
      <c r="G11" s="185"/>
      <c r="M11" s="182" t="s">
        <v>360</v>
      </c>
      <c r="T11" s="192">
        <f>SUM($S$7:$S$10)</f>
        <v>927524787.22117496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165034.58354835643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3.8205911723187067</v>
      </c>
      <c r="L14" s="182"/>
      <c r="M14" s="182" t="s">
        <v>365</v>
      </c>
      <c r="S14" s="187">
        <f>SUM(grove!$C$58:$AX$63)</f>
        <v>214728200.10464257</v>
      </c>
    </row>
    <row r="15" spans="1:20">
      <c r="A15" s="182"/>
      <c r="B15" s="182" t="s">
        <v>366</v>
      </c>
      <c r="G15" s="185"/>
      <c r="H15" s="190">
        <f>raw_materials!$P$36</f>
        <v>5.0747404097583715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5942.5697433709438</v>
      </c>
    </row>
    <row r="16" spans="1:20">
      <c r="A16" s="182"/>
      <c r="B16" s="182" t="s">
        <v>368</v>
      </c>
      <c r="G16" s="185"/>
      <c r="H16" s="194">
        <v>43133.376286023471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10374.649180010589</v>
      </c>
    </row>
    <row r="17" spans="1:21">
      <c r="A17" s="182"/>
      <c r="B17" s="182" t="s">
        <v>370</v>
      </c>
      <c r="G17" s="185"/>
      <c r="H17" s="195">
        <v>58903.790618700368</v>
      </c>
      <c r="L17" s="182"/>
      <c r="M17" s="182" t="s">
        <v>371</v>
      </c>
      <c r="S17" s="189">
        <v>32106953.984706193</v>
      </c>
    </row>
    <row r="18" spans="1:21">
      <c r="A18" s="182"/>
      <c r="B18" s="182" t="s">
        <v>372</v>
      </c>
      <c r="G18" s="185"/>
      <c r="H18" s="196">
        <v>27820.389808617139</v>
      </c>
      <c r="L18" s="182"/>
      <c r="M18" s="182" t="s">
        <v>373</v>
      </c>
      <c r="S18" s="191">
        <v>1612.8670172297138</v>
      </c>
    </row>
    <row r="19" spans="1:21">
      <c r="A19" s="182"/>
      <c r="B19" s="182" t="s">
        <v>374</v>
      </c>
      <c r="G19" s="185"/>
      <c r="H19" s="195">
        <v>1211.2020053771448</v>
      </c>
      <c r="L19" s="182"/>
      <c r="M19" s="182" t="s">
        <v>375</v>
      </c>
      <c r="S19" s="197" t="s">
        <v>376</v>
      </c>
      <c r="T19" s="198">
        <f>SUM($S$14:$S$18)</f>
        <v>246853084.17528939</v>
      </c>
      <c r="U19" s="100" t="s">
        <v>377</v>
      </c>
    </row>
    <row r="20" spans="1:21">
      <c r="A20" s="182"/>
      <c r="B20" s="182" t="s">
        <v>378</v>
      </c>
      <c r="G20" s="185"/>
      <c r="H20" s="190">
        <v>0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86266752.572047025</v>
      </c>
    </row>
    <row r="23" spans="1:21">
      <c r="A23" s="182"/>
      <c r="B23" s="182" t="s">
        <v>382</v>
      </c>
      <c r="G23" s="185"/>
      <c r="H23" s="186">
        <f>SUM(raw_materials!$O$31:$O$35)</f>
        <v>3.7125110559804497</v>
      </c>
      <c r="L23" s="182"/>
      <c r="M23" s="182" t="s">
        <v>383</v>
      </c>
      <c r="S23" s="189">
        <v>58903790.618700407</v>
      </c>
    </row>
    <row r="24" spans="1:21">
      <c r="A24" s="182"/>
      <c r="B24" s="182" t="s">
        <v>384</v>
      </c>
      <c r="G24" s="185"/>
      <c r="H24" s="190">
        <f>SUM(raw_materials!$O$37:$O$41)</f>
        <v>4.8563934159306328</v>
      </c>
      <c r="L24" s="182"/>
      <c r="M24" s="182" t="s">
        <v>385</v>
      </c>
      <c r="S24" s="191">
        <v>18083253.375601135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163253796.56634858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10662912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30435392.964016166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0</v>
      </c>
      <c r="L30" s="182"/>
      <c r="M30" s="182" t="s">
        <v>395</v>
      </c>
      <c r="S30" s="189">
        <v>2621753.1876932867</v>
      </c>
    </row>
    <row r="31" spans="1:21">
      <c r="L31" s="182"/>
      <c r="M31" s="182" t="s">
        <v>396</v>
      </c>
      <c r="S31" s="191">
        <f>SUM(ORA!D138:O138)+SUM(POJ!D138:O138)+SUM(ROJ!D138:O138)+SUM(FCOJ!D138:O138)</f>
        <v>111377247.3124969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155097305.46420634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27407500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0</v>
      </c>
    </row>
    <row r="41" spans="1:21">
      <c r="L41" s="182"/>
      <c r="M41" s="182" t="s">
        <v>409</v>
      </c>
      <c r="S41" s="189">
        <v>9270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53889270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308431331.01533067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0.60277167719587332</v>
      </c>
      <c r="D5" s="100">
        <v>0.54114683518462126</v>
      </c>
      <c r="E5" s="100">
        <v>0.54108923213806592</v>
      </c>
      <c r="F5" s="100">
        <v>1.1738726385943752</v>
      </c>
      <c r="G5" s="100">
        <v>0.74875166747910982</v>
      </c>
      <c r="H5" s="100">
        <v>0.58876663451287026</v>
      </c>
      <c r="I5" s="100">
        <v>0.61118669396438807</v>
      </c>
      <c r="J5" s="100">
        <v>0.64175065317090152</v>
      </c>
      <c r="K5" s="100">
        <v>0.71340538703912204</v>
      </c>
      <c r="L5" s="100">
        <v>0.61382052133311216</v>
      </c>
      <c r="M5" s="100">
        <v>0.60744145058897803</v>
      </c>
      <c r="N5" s="100">
        <v>0.69604641583853688</v>
      </c>
    </row>
    <row r="6" spans="2:14">
      <c r="B6" s="171" t="s">
        <v>105</v>
      </c>
      <c r="C6" s="100">
        <v>0.72237980877110941</v>
      </c>
      <c r="D6" s="100">
        <v>0.75623431468637259</v>
      </c>
      <c r="E6" s="100">
        <v>0.70117946951200294</v>
      </c>
      <c r="F6" s="100">
        <v>0.73332749137391795</v>
      </c>
      <c r="G6" s="100">
        <v>0.71801723851805288</v>
      </c>
      <c r="H6" s="100">
        <v>0.70399135567683524</v>
      </c>
      <c r="I6" s="100">
        <v>0.68698588921213166</v>
      </c>
      <c r="J6" s="100">
        <v>0.66404467214019969</v>
      </c>
      <c r="K6" s="100">
        <v>0.72989219141465111</v>
      </c>
      <c r="L6" s="100">
        <v>0.64285005365029602</v>
      </c>
      <c r="M6" s="100">
        <v>0.70052517961870153</v>
      </c>
      <c r="N6" s="100">
        <v>0.69243281315726601</v>
      </c>
    </row>
    <row r="7" spans="2:14">
      <c r="B7" s="171" t="s">
        <v>106</v>
      </c>
      <c r="C7" s="100">
        <v>0.76685620892085538</v>
      </c>
      <c r="D7" s="100">
        <v>0.8437425148359029</v>
      </c>
      <c r="E7" s="100">
        <v>0.72748088929907229</v>
      </c>
      <c r="F7" s="100">
        <v>0.77612822262418957</v>
      </c>
      <c r="G7" s="100">
        <v>0.75166374856371843</v>
      </c>
      <c r="H7" s="100">
        <v>0.71936545719068923</v>
      </c>
      <c r="I7" s="100">
        <v>0.75155687427944529</v>
      </c>
      <c r="J7" s="100">
        <v>0.73043215608437739</v>
      </c>
      <c r="K7" s="100">
        <v>0.68626677619132515</v>
      </c>
      <c r="L7" s="100">
        <v>0.71861212457777446</v>
      </c>
      <c r="M7" s="100">
        <v>0.82003374303074084</v>
      </c>
      <c r="N7" s="100">
        <v>0.73963367811376168</v>
      </c>
    </row>
    <row r="8" spans="2:14">
      <c r="B8" s="171" t="s">
        <v>107</v>
      </c>
      <c r="C8" s="100">
        <v>0.80917733639990552</v>
      </c>
      <c r="D8" s="100">
        <v>0.7032878648504185</v>
      </c>
      <c r="E8" s="100">
        <v>0.7073394125318635</v>
      </c>
      <c r="F8" s="100">
        <v>0.72736664420212416</v>
      </c>
      <c r="G8" s="100">
        <v>0.64852464539359245</v>
      </c>
      <c r="H8" s="100">
        <v>0.86495402431294088</v>
      </c>
      <c r="I8" s="100">
        <v>0.7306326800227706</v>
      </c>
      <c r="J8" s="100">
        <v>0.70865187411040254</v>
      </c>
      <c r="K8" s="100">
        <v>0.90276523259210362</v>
      </c>
      <c r="L8" s="100">
        <v>0.6834489861087466</v>
      </c>
      <c r="M8" s="100">
        <v>0.65325454302681396</v>
      </c>
      <c r="N8" s="100">
        <v>0.67437590295992778</v>
      </c>
    </row>
    <row r="9" spans="2:14">
      <c r="B9" s="171" t="s">
        <v>108</v>
      </c>
      <c r="C9" s="100">
        <v>2.0219005262851715</v>
      </c>
      <c r="D9" s="100">
        <v>2.0764022445678711</v>
      </c>
      <c r="E9" s="100">
        <v>2.1049808299541475</v>
      </c>
      <c r="F9" s="100">
        <v>2.0367438530921937</v>
      </c>
      <c r="G9" s="100">
        <v>2.1077084457874298</v>
      </c>
      <c r="H9" s="100">
        <v>2.0398036813735962</v>
      </c>
      <c r="I9" s="100">
        <v>2.0773009335994721</v>
      </c>
      <c r="J9" s="100">
        <v>2.0572102999687196</v>
      </c>
      <c r="K9" s="100">
        <v>2.0590288317203522</v>
      </c>
      <c r="L9" s="100">
        <v>2.0726833438873293</v>
      </c>
      <c r="M9" s="100">
        <v>2.0431394851207734</v>
      </c>
      <c r="N9" s="100">
        <v>2.0912620282173155</v>
      </c>
    </row>
    <row r="10" spans="2:14">
      <c r="B10" s="171" t="s">
        <v>109</v>
      </c>
      <c r="C10" s="100">
        <v>0.6771714985370636</v>
      </c>
      <c r="D10" s="100">
        <v>0.61236178874969482</v>
      </c>
      <c r="E10" s="100">
        <v>0.60678481459617617</v>
      </c>
      <c r="F10" s="100">
        <v>0.61728404760360722</v>
      </c>
      <c r="G10" s="100">
        <v>0.62323141694068906</v>
      </c>
      <c r="H10" s="100">
        <v>0.63680410385131836</v>
      </c>
      <c r="I10" s="100">
        <v>0.67059165835380552</v>
      </c>
      <c r="J10" s="100">
        <v>0.63946214914321897</v>
      </c>
      <c r="K10" s="100">
        <v>0.64090121388435362</v>
      </c>
      <c r="L10" s="100">
        <v>0.65618240833282471</v>
      </c>
      <c r="M10" s="100">
        <v>0.62029365897178657</v>
      </c>
      <c r="N10" s="100">
        <v>0.69184540510177617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0.36615115236674678</v>
      </c>
      <c r="D14" s="101">
        <v>0.36751025916389063</v>
      </c>
      <c r="E14" s="101">
        <v>0.36886554168284541</v>
      </c>
      <c r="F14" s="101">
        <v>0.37021318640624218</v>
      </c>
      <c r="G14" s="101">
        <v>0.37154940130807296</v>
      </c>
      <c r="H14" s="100">
        <v>0.37287042652375935</v>
      </c>
      <c r="I14" s="100">
        <v>0.37417254492972413</v>
      </c>
      <c r="J14" s="100">
        <v>0.37545209260269807</v>
      </c>
      <c r="K14" s="100">
        <v>0.37670546912933039</v>
      </c>
      <c r="L14" s="100">
        <v>0.37792914773709396</v>
      </c>
      <c r="M14" s="100">
        <v>0.37911968521797912</v>
      </c>
      <c r="N14" s="100">
        <v>0.38027373161705141</v>
      </c>
    </row>
    <row r="15" spans="2:14">
      <c r="B15" s="170" t="s">
        <v>318</v>
      </c>
      <c r="C15" s="100">
        <v>1.1248053505119875</v>
      </c>
      <c r="D15" s="100">
        <v>1.1277875900041112</v>
      </c>
      <c r="E15" s="100">
        <v>1.1307614380192237</v>
      </c>
      <c r="F15" s="100">
        <v>1.1337185266923961</v>
      </c>
      <c r="G15" s="100">
        <v>1.1366505353164265</v>
      </c>
      <c r="H15" s="100">
        <v>1.1395492137547878</v>
      </c>
      <c r="I15" s="100">
        <v>1.1424064056560057</v>
      </c>
      <c r="J15" s="100">
        <v>1.1452140714041403</v>
      </c>
      <c r="K15" s="100">
        <v>1.1479643107407977</v>
      </c>
      <c r="L15" s="100">
        <v>1.150649384995013</v>
      </c>
      <c r="M15" s="100">
        <v>1.153261738858455</v>
      </c>
      <c r="N15" s="100">
        <v>1.1557940216446858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0.60277167719587332</v>
      </c>
      <c r="D19" s="100">
        <f t="shared" ref="D19:N20" si="0">D5</f>
        <v>0.54114683518462126</v>
      </c>
      <c r="E19" s="100">
        <f t="shared" si="0"/>
        <v>0.54108923213806592</v>
      </c>
      <c r="F19" s="100">
        <f t="shared" si="0"/>
        <v>1.1738726385943752</v>
      </c>
      <c r="G19" s="100">
        <f t="shared" si="0"/>
        <v>0.74875166747910982</v>
      </c>
      <c r="H19" s="100">
        <f t="shared" si="0"/>
        <v>0.58876663451287026</v>
      </c>
      <c r="I19" s="100">
        <f t="shared" si="0"/>
        <v>0.61118669396438807</v>
      </c>
      <c r="J19" s="100">
        <f t="shared" si="0"/>
        <v>0.64175065317090152</v>
      </c>
      <c r="K19" s="100">
        <f t="shared" si="0"/>
        <v>0.71340538703912204</v>
      </c>
      <c r="L19" s="100">
        <f t="shared" si="0"/>
        <v>0.61382052133311216</v>
      </c>
      <c r="M19" s="100">
        <f t="shared" si="0"/>
        <v>0.60744145058897803</v>
      </c>
      <c r="N19" s="100">
        <f t="shared" si="0"/>
        <v>0.69604641583853688</v>
      </c>
    </row>
    <row r="20" spans="2:14">
      <c r="B20" s="173" t="s">
        <v>105</v>
      </c>
      <c r="C20" s="100">
        <f>C6</f>
        <v>0.72237980877110941</v>
      </c>
      <c r="D20" s="100">
        <f t="shared" si="0"/>
        <v>0.75623431468637259</v>
      </c>
      <c r="E20" s="100">
        <f t="shared" si="0"/>
        <v>0.70117946951200294</v>
      </c>
      <c r="F20" s="100">
        <f t="shared" si="0"/>
        <v>0.73332749137391795</v>
      </c>
      <c r="G20" s="100">
        <f t="shared" si="0"/>
        <v>0.71801723851805288</v>
      </c>
      <c r="H20" s="100">
        <f t="shared" si="0"/>
        <v>0.70399135567683524</v>
      </c>
      <c r="I20" s="100">
        <f t="shared" si="0"/>
        <v>0.68698588921213166</v>
      </c>
      <c r="J20" s="100">
        <f t="shared" si="0"/>
        <v>0.66404467214019969</v>
      </c>
      <c r="K20" s="100">
        <f t="shared" si="0"/>
        <v>0.72989219141465111</v>
      </c>
      <c r="L20" s="100">
        <f t="shared" si="0"/>
        <v>0.64285005365029602</v>
      </c>
      <c r="M20" s="100">
        <f t="shared" si="0"/>
        <v>0.70052517961870153</v>
      </c>
      <c r="N20" s="100">
        <f t="shared" si="0"/>
        <v>0.69243281315726601</v>
      </c>
    </row>
    <row r="21" spans="2:14">
      <c r="B21" s="173" t="s">
        <v>106</v>
      </c>
      <c r="C21" s="100">
        <f t="shared" ref="C21:N22" si="1">C7</f>
        <v>0.76685620892085538</v>
      </c>
      <c r="D21" s="100">
        <f t="shared" si="1"/>
        <v>0.8437425148359029</v>
      </c>
      <c r="E21" s="100">
        <f t="shared" si="1"/>
        <v>0.72748088929907229</v>
      </c>
      <c r="F21" s="100">
        <f t="shared" si="1"/>
        <v>0.77612822262418957</v>
      </c>
      <c r="G21" s="100">
        <f t="shared" si="1"/>
        <v>0.75166374856371843</v>
      </c>
      <c r="H21" s="100">
        <f t="shared" si="1"/>
        <v>0.71936545719068923</v>
      </c>
      <c r="I21" s="100">
        <f t="shared" si="1"/>
        <v>0.75155687427944529</v>
      </c>
      <c r="J21" s="100">
        <f t="shared" si="1"/>
        <v>0.73043215608437739</v>
      </c>
      <c r="K21" s="100">
        <f t="shared" si="1"/>
        <v>0.68626677619132515</v>
      </c>
      <c r="L21" s="100">
        <f t="shared" si="1"/>
        <v>0.71861212457777446</v>
      </c>
      <c r="M21" s="100">
        <f t="shared" si="1"/>
        <v>0.82003374303074084</v>
      </c>
      <c r="N21" s="100">
        <f t="shared" si="1"/>
        <v>0.73963367811376168</v>
      </c>
    </row>
    <row r="22" spans="2:14">
      <c r="B22" s="173" t="s">
        <v>107</v>
      </c>
      <c r="C22" s="100">
        <f t="shared" si="1"/>
        <v>0.80917733639990552</v>
      </c>
      <c r="D22" s="100">
        <f t="shared" si="1"/>
        <v>0.7032878648504185</v>
      </c>
      <c r="E22" s="100">
        <f t="shared" si="1"/>
        <v>0.7073394125318635</v>
      </c>
      <c r="F22" s="100">
        <f t="shared" si="1"/>
        <v>0.72736664420212416</v>
      </c>
      <c r="G22" s="100">
        <f t="shared" si="1"/>
        <v>0.64852464539359245</v>
      </c>
      <c r="H22" s="100">
        <f t="shared" si="1"/>
        <v>0.86495402431294088</v>
      </c>
      <c r="I22" s="100">
        <f t="shared" si="1"/>
        <v>0.7306326800227706</v>
      </c>
      <c r="J22" s="100">
        <f t="shared" si="1"/>
        <v>0.70865187411040254</v>
      </c>
      <c r="K22" s="100">
        <f t="shared" si="1"/>
        <v>0.90276523259210362</v>
      </c>
      <c r="L22" s="100">
        <f t="shared" si="1"/>
        <v>0.6834489861087466</v>
      </c>
      <c r="M22" s="100">
        <f t="shared" si="1"/>
        <v>0.65325454302681396</v>
      </c>
      <c r="N22" s="100">
        <f t="shared" si="1"/>
        <v>0.67437590295992778</v>
      </c>
    </row>
    <row r="23" spans="2:14">
      <c r="B23" s="173" t="s">
        <v>108</v>
      </c>
      <c r="C23" s="100">
        <f>C9*C14</f>
        <v>0.74032120767024734</v>
      </c>
      <c r="D23" s="100">
        <f t="shared" ref="D23:N24" si="2">D9*D14</f>
        <v>0.76309912702962257</v>
      </c>
      <c r="E23" s="100">
        <f t="shared" si="2"/>
        <v>0.77645489407304213</v>
      </c>
      <c r="F23" s="100">
        <f t="shared" si="2"/>
        <v>0.75402943174658821</v>
      </c>
      <c r="G23" s="100">
        <f t="shared" si="2"/>
        <v>0.78311781116428847</v>
      </c>
      <c r="H23" s="100">
        <f t="shared" si="2"/>
        <v>0.76058246869850732</v>
      </c>
      <c r="I23" s="100">
        <f t="shared" si="2"/>
        <v>0.77726897690980634</v>
      </c>
      <c r="J23" s="100">
        <f t="shared" si="2"/>
        <v>0.77238391204708001</v>
      </c>
      <c r="K23" s="100">
        <f t="shared" si="2"/>
        <v>0.77564742200403236</v>
      </c>
      <c r="L23" s="100">
        <f t="shared" si="2"/>
        <v>0.78332744968420842</v>
      </c>
      <c r="M23" s="100">
        <f t="shared" si="2"/>
        <v>0.77459439845541156</v>
      </c>
      <c r="N23" s="100">
        <f t="shared" si="2"/>
        <v>0.79525201525924205</v>
      </c>
    </row>
    <row r="24" spans="2:14">
      <c r="B24" s="173" t="s">
        <v>109</v>
      </c>
      <c r="C24" s="100">
        <f>C10*C15</f>
        <v>0.76168612476870967</v>
      </c>
      <c r="D24" s="100">
        <f t="shared" si="2"/>
        <v>0.69061402594462495</v>
      </c>
      <c r="E24" s="100">
        <f t="shared" si="2"/>
        <v>0.68612886952100016</v>
      </c>
      <c r="F24" s="100">
        <f t="shared" si="2"/>
        <v>0.69982636099988049</v>
      </c>
      <c r="G24" s="100">
        <f t="shared" si="2"/>
        <v>0.70839632369164918</v>
      </c>
      <c r="H24" s="100">
        <f t="shared" si="2"/>
        <v>0.72566961585959211</v>
      </c>
      <c r="I24" s="100">
        <f t="shared" si="2"/>
        <v>0.76608820608287109</v>
      </c>
      <c r="J24" s="100">
        <f t="shared" si="2"/>
        <v>0.73232105132914738</v>
      </c>
      <c r="K24" s="100">
        <f t="shared" si="2"/>
        <v>0.73573172024969258</v>
      </c>
      <c r="L24" s="100">
        <f t="shared" si="2"/>
        <v>0.7550358845927112</v>
      </c>
      <c r="M24" s="100">
        <f t="shared" si="2"/>
        <v>0.71536094374867598</v>
      </c>
      <c r="N24" s="100">
        <f t="shared" si="2"/>
        <v>0.79963078311897873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1</v>
      </c>
      <c r="D28" s="100">
        <f>IF(D19&lt;=raw_materials!$D17,raw_materials!$C17,IF(D19&lt;=raw_materials!$F17,raw_materials!$E17,IF(D19&lt;=raw_materials!$H17,raw_materials!$G17,0)))</f>
        <v>1.2</v>
      </c>
      <c r="E28" s="100">
        <f>IF(E19&lt;=raw_materials!$D17,raw_materials!$C17,IF(E19&lt;=raw_materials!$F17,raw_materials!$E17,IF(E19&lt;=raw_materials!$H17,raw_materials!$G17,0)))</f>
        <v>1.2</v>
      </c>
      <c r="F28" s="100">
        <f>IF(F19&lt;=raw_materials!$D17,raw_materials!$C17,IF(F19&lt;=raw_materials!$F17,raw_materials!$E17,IF(F19&lt;=raw_materials!$H17,raw_materials!$G17,0)))</f>
        <v>0</v>
      </c>
      <c r="G28" s="100">
        <f>IF(G19&lt;=raw_materials!$D17,raw_materials!$C17,IF(G19&lt;=raw_materials!$F17,raw_materials!$E17,IF(G19&lt;=raw_materials!$H17,raw_materials!$G17,0)))</f>
        <v>1</v>
      </c>
      <c r="H28" s="100">
        <f>IF(H19&lt;=raw_materials!$D17,raw_materials!$C17,IF(H19&lt;=raw_materials!$F17,raw_materials!$E17,IF(H19&lt;=raw_materials!$H17,raw_materials!$G17,0)))</f>
        <v>1</v>
      </c>
      <c r="I28" s="100">
        <f>IF(I19&lt;=raw_materials!$D17,raw_materials!$C17,IF(I19&lt;=raw_materials!$F17,raw_materials!$E17,IF(I19&lt;=raw_materials!$H17,raw_materials!$G17,0)))</f>
        <v>1</v>
      </c>
      <c r="J28" s="100">
        <f>IF(J19&lt;=raw_materials!$D17,raw_materials!$C17,IF(J19&lt;=raw_materials!$F17,raw_materials!$E17,IF(J19&lt;=raw_materials!$H17,raw_materials!$G17,0)))</f>
        <v>1</v>
      </c>
      <c r="K28" s="100">
        <f>IF(K19&lt;=raw_materials!$D17,raw_materials!$C17,IF(K19&lt;=raw_materials!$F17,raw_materials!$E17,IF(K19&lt;=raw_materials!$H17,raw_materials!$G17,0)))</f>
        <v>1</v>
      </c>
      <c r="L28" s="100">
        <f>IF(L19&lt;=raw_materials!$D17,raw_materials!$C17,IF(L19&lt;=raw_materials!$F17,raw_materials!$E17,IF(L19&lt;=raw_materials!$H17,raw_materials!$G17,0)))</f>
        <v>1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1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1</v>
      </c>
      <c r="D29" s="100">
        <f>IF(D20&lt;=raw_materials!$D18,raw_materials!$C18,IF(D20&lt;=raw_materials!$F18,raw_materials!$E18,IF(D20&lt;=raw_materials!$H18,raw_materials!$G18,0)))</f>
        <v>1</v>
      </c>
      <c r="E29" s="100">
        <f>IF(E20&lt;=raw_materials!$D18,raw_materials!$C18,IF(E20&lt;=raw_materials!$F18,raw_materials!$E18,IF(E20&lt;=raw_materials!$H18,raw_materials!$G18,0)))</f>
        <v>1</v>
      </c>
      <c r="F29" s="100">
        <f>IF(F20&lt;=raw_materials!$D18,raw_materials!$C18,IF(F20&lt;=raw_materials!$F18,raw_materials!$E18,IF(F20&lt;=raw_materials!$H18,raw_materials!$G18,0)))</f>
        <v>1</v>
      </c>
      <c r="G29" s="100">
        <f>IF(G20&lt;=raw_materials!$D18,raw_materials!$C18,IF(G20&lt;=raw_materials!$F18,raw_materials!$E18,IF(G20&lt;=raw_materials!$H18,raw_materials!$G18,0)))</f>
        <v>1</v>
      </c>
      <c r="H29" s="100">
        <f>IF(H20&lt;=raw_materials!$D18,raw_materials!$C18,IF(H20&lt;=raw_materials!$F18,raw_materials!$E18,IF(H20&lt;=raw_materials!$H18,raw_materials!$G18,0)))</f>
        <v>1</v>
      </c>
      <c r="I29" s="100">
        <f>IF(I20&lt;=raw_materials!$D18,raw_materials!$C18,IF(I20&lt;=raw_materials!$F18,raw_materials!$E18,IF(I20&lt;=raw_materials!$H18,raw_materials!$G18,0)))</f>
        <v>1</v>
      </c>
      <c r="J29" s="100">
        <f>IF(J20&lt;=raw_materials!$D18,raw_materials!$C18,IF(J20&lt;=raw_materials!$F18,raw_materials!$E18,IF(J20&lt;=raw_materials!$H18,raw_materials!$G18,0)))</f>
        <v>1</v>
      </c>
      <c r="K29" s="100">
        <f>IF(K20&lt;=raw_materials!$D18,raw_materials!$C18,IF(K20&lt;=raw_materials!$F18,raw_materials!$E18,IF(K20&lt;=raw_materials!$H18,raw_materials!$G18,0)))</f>
        <v>1</v>
      </c>
      <c r="L29" s="100">
        <f>IF(L20&lt;=raw_materials!$D18,raw_materials!$C18,IF(L20&lt;=raw_materials!$F18,raw_materials!$E18,IF(L20&lt;=raw_materials!$H18,raw_materials!$G18,0)))</f>
        <v>1</v>
      </c>
      <c r="M29" s="100">
        <f>IF(M20&lt;=raw_materials!$D18,raw_materials!$C18,IF(M20&lt;=raw_materials!$F18,raw_materials!$E18,IF(M20&lt;=raw_materials!$H18,raw_materials!$G18,0)))</f>
        <v>1</v>
      </c>
      <c r="N29" s="100">
        <f>IF(N20&lt;=raw_materials!$D18,raw_materials!$C18,IF(N20&lt;=raw_materials!$F18,raw_materials!$E18,IF(N20&lt;=raw_materials!$H18,raw_materials!$G18,0)))</f>
        <v>1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1</v>
      </c>
      <c r="D30" s="100">
        <f>IF(D21&lt;=raw_materials!$D19,raw_materials!$C19,IF(D21&lt;=raw_materials!$F19,raw_materials!$E19,IF(D21&lt;=raw_materials!$H19,raw_materials!$G19,0)))</f>
        <v>0.8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1</v>
      </c>
      <c r="G30" s="100">
        <f>IF(G21&lt;=raw_materials!$D19,raw_materials!$C19,IF(G21&lt;=raw_materials!$F19,raw_materials!$E19,IF(G21&lt;=raw_materials!$H19,raw_materials!$G19,0)))</f>
        <v>1</v>
      </c>
      <c r="H30" s="100">
        <f>IF(H21&lt;=raw_materials!$D19,raw_materials!$C19,IF(H21&lt;=raw_materials!$F19,raw_materials!$E19,IF(H21&lt;=raw_materials!$H19,raw_materials!$G19,0)))</f>
        <v>1</v>
      </c>
      <c r="I30" s="100">
        <f>IF(I21&lt;=raw_materials!$D19,raw_materials!$C19,IF(I21&lt;=raw_materials!$F19,raw_materials!$E19,IF(I21&lt;=raw_materials!$H19,raw_materials!$G19,0)))</f>
        <v>1</v>
      </c>
      <c r="J30" s="100">
        <f>IF(J21&lt;=raw_materials!$D19,raw_materials!$C19,IF(J21&lt;=raw_materials!$F19,raw_materials!$E19,IF(J21&lt;=raw_materials!$H19,raw_materials!$G19,0)))</f>
        <v>1</v>
      </c>
      <c r="K30" s="100">
        <f>IF(K21&lt;=raw_materials!$D19,raw_materials!$C19,IF(K21&lt;=raw_materials!$F19,raw_materials!$E19,IF(K21&lt;=raw_materials!$H19,raw_materials!$G19,0)))</f>
        <v>1</v>
      </c>
      <c r="L30" s="100">
        <f>IF(L21&lt;=raw_materials!$D19,raw_materials!$C19,IF(L21&lt;=raw_materials!$F19,raw_materials!$E19,IF(L21&lt;=raw_materials!$H19,raw_materials!$G19,0)))</f>
        <v>1</v>
      </c>
      <c r="M30" s="100">
        <f>IF(M21&lt;=raw_materials!$D19,raw_materials!$C19,IF(M21&lt;=raw_materials!$F19,raw_materials!$E19,IF(M21&lt;=raw_materials!$H19,raw_materials!$G19,0)))</f>
        <v>1</v>
      </c>
      <c r="N30" s="100">
        <f>IF(N21&lt;=raw_materials!$D19,raw_materials!$C19,IF(N21&lt;=raw_materials!$F19,raw_materials!$E19,IF(N21&lt;=raw_materials!$H19,raw_materials!$G19,0)))</f>
        <v>1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0.8</v>
      </c>
      <c r="D31" s="100">
        <f>IF(D22&lt;=raw_materials!$D20,raw_materials!$C20,IF(D22&lt;=raw_materials!$F20,raw_materials!$E20,IF(D22&lt;=raw_materials!$H20,raw_materials!$G20,0)))</f>
        <v>1</v>
      </c>
      <c r="E31" s="100">
        <f>IF(E22&lt;=raw_materials!$D20,raw_materials!$C20,IF(E22&lt;=raw_materials!$F20,raw_materials!$E20,IF(E22&lt;=raw_materials!$H20,raw_materials!$G20,0)))</f>
        <v>1</v>
      </c>
      <c r="F31" s="100">
        <f>IF(F22&lt;=raw_materials!$D20,raw_materials!$C20,IF(F22&lt;=raw_materials!$F20,raw_materials!$E20,IF(F22&lt;=raw_materials!$H20,raw_materials!$G20,0)))</f>
        <v>1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0.8</v>
      </c>
      <c r="I31" s="100">
        <f>IF(I22&lt;=raw_materials!$D20,raw_materials!$C20,IF(I22&lt;=raw_materials!$F20,raw_materials!$E20,IF(I22&lt;=raw_materials!$H20,raw_materials!$G20,0)))</f>
        <v>1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0.8</v>
      </c>
      <c r="L31" s="100">
        <f>IF(L22&lt;=raw_materials!$D20,raw_materials!$C20,IF(L22&lt;=raw_materials!$F20,raw_materials!$E20,IF(L22&lt;=raw_materials!$H20,raw_materials!$G20,0)))</f>
        <v>1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0.8</v>
      </c>
      <c r="D32" s="100">
        <f>IF(D23&lt;=raw_materials!$D21,raw_materials!$C21,IF(D23&lt;=raw_materials!$F21,raw_materials!$E21,IF(D23&lt;=raw_materials!$H21,raw_materials!$G21,0)))</f>
        <v>0.8</v>
      </c>
      <c r="E32" s="100">
        <f>IF(E23&lt;=raw_materials!$D21,raw_materials!$C21,IF(E23&lt;=raw_materials!$F21,raw_materials!$E21,IF(E23&lt;=raw_materials!$H21,raw_materials!$G21,0)))</f>
        <v>0</v>
      </c>
      <c r="F32" s="100">
        <f>IF(F23&lt;=raw_materials!$D21,raw_materials!$C21,IF(F23&lt;=raw_materials!$F21,raw_materials!$E21,IF(F23&lt;=raw_materials!$H21,raw_materials!$G21,0)))</f>
        <v>0.8</v>
      </c>
      <c r="G32" s="100">
        <f>IF(G23&lt;=raw_materials!$D21,raw_materials!$C21,IF(G23&lt;=raw_materials!$F21,raw_materials!$E21,IF(G23&lt;=raw_materials!$H21,raw_materials!$G21,0)))</f>
        <v>0</v>
      </c>
      <c r="H32" s="100">
        <f>IF(H23&lt;=raw_materials!$D21,raw_materials!$C21,IF(H23&lt;=raw_materials!$F21,raw_materials!$E21,IF(H23&lt;=raw_materials!$H21,raw_materials!$G21,0)))</f>
        <v>0.8</v>
      </c>
      <c r="I32" s="100">
        <f>IF(I23&lt;=raw_materials!$D21,raw_materials!$C21,IF(I23&lt;=raw_materials!$F21,raw_materials!$E21,IF(I23&lt;=raw_materials!$H21,raw_materials!$G21,0)))</f>
        <v>0</v>
      </c>
      <c r="J32" s="100">
        <f>IF(J23&lt;=raw_materials!$D21,raw_materials!$C21,IF(J23&lt;=raw_materials!$F21,raw_materials!$E21,IF(J23&lt;=raw_materials!$H21,raw_materials!$G21,0)))</f>
        <v>0</v>
      </c>
      <c r="K32" s="100">
        <f>IF(K23&lt;=raw_materials!$D21,raw_materials!$C21,IF(K23&lt;=raw_materials!$F21,raw_materials!$E21,IF(K23&lt;=raw_materials!$H21,raw_materials!$G21,0)))</f>
        <v>0</v>
      </c>
      <c r="L32" s="100">
        <f>IF(L23&lt;=raw_materials!$D21,raw_materials!$C21,IF(L23&lt;=raw_materials!$F21,raw_materials!$E21,IF(L23&lt;=raw_materials!$H21,raw_materials!$G21,0)))</f>
        <v>0</v>
      </c>
      <c r="M32" s="100">
        <f>IF(M23&lt;=raw_materials!$D21,raw_materials!$C21,IF(M23&lt;=raw_materials!$F21,raw_materials!$E21,IF(M23&lt;=raw_materials!$H21,raw_materials!$G21,0)))</f>
        <v>0</v>
      </c>
      <c r="N32" s="100">
        <f>IF(N23&lt;=raw_materials!$D21,raw_materials!$C21,IF(N23&lt;=raw_materials!$F21,raw_materials!$E21,IF(N23&lt;=raw_materials!$H21,raw_materials!$G21,0)))</f>
        <v>0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0.8</v>
      </c>
      <c r="D33" s="100">
        <f>IF(D24&lt;=raw_materials!$D22,raw_materials!$C22,IF(D24&lt;=raw_materials!$F22,raw_materials!$E22,IF(D24&lt;=raw_materials!$H22,raw_materials!$G22,0)))</f>
        <v>1</v>
      </c>
      <c r="E33" s="100">
        <f>IF(E24&lt;=raw_materials!$D22,raw_materials!$C22,IF(E24&lt;=raw_materials!$F22,raw_materials!$E22,IF(E24&lt;=raw_materials!$H22,raw_materials!$G22,0)))</f>
        <v>1</v>
      </c>
      <c r="F33" s="100">
        <f>IF(F24&lt;=raw_materials!$D22,raw_materials!$C22,IF(F24&lt;=raw_materials!$F22,raw_materials!$E22,IF(F24&lt;=raw_materials!$H22,raw_materials!$G22,0)))</f>
        <v>1</v>
      </c>
      <c r="G33" s="100">
        <f>IF(G24&lt;=raw_materials!$D22,raw_materials!$C22,IF(G24&lt;=raw_materials!$F22,raw_materials!$E22,IF(G24&lt;=raw_materials!$H22,raw_materials!$G22,0)))</f>
        <v>1</v>
      </c>
      <c r="H33" s="100">
        <f>IF(H24&lt;=raw_materials!$D22,raw_materials!$C22,IF(H24&lt;=raw_materials!$F22,raw_materials!$E22,IF(H24&lt;=raw_materials!$H22,raw_materials!$G22,0)))</f>
        <v>1</v>
      </c>
      <c r="I33" s="100">
        <f>IF(I24&lt;=raw_materials!$D22,raw_materials!$C22,IF(I24&lt;=raw_materials!$F22,raw_materials!$E22,IF(I24&lt;=raw_materials!$H22,raw_materials!$G22,0)))</f>
        <v>0.8</v>
      </c>
      <c r="J33" s="100">
        <f>IF(J24&lt;=raw_materials!$D22,raw_materials!$C22,IF(J24&lt;=raw_materials!$F22,raw_materials!$E22,IF(J24&lt;=raw_materials!$H22,raw_materials!$G22,0)))</f>
        <v>1</v>
      </c>
      <c r="K33" s="100">
        <f>IF(K24&lt;=raw_materials!$D22,raw_materials!$C22,IF(K24&lt;=raw_materials!$F22,raw_materials!$E22,IF(K24&lt;=raw_materials!$H22,raw_materials!$G22,0)))</f>
        <v>1</v>
      </c>
      <c r="L33" s="100">
        <f>IF(L24&lt;=raw_materials!$D22,raw_materials!$C22,IF(L24&lt;=raw_materials!$F22,raw_materials!$E22,IF(L24&lt;=raw_materials!$H22,raw_materials!$G22,0)))</f>
        <v>0.8</v>
      </c>
      <c r="M33" s="100">
        <f>IF(M24&lt;=raw_materials!$D22,raw_materials!$C22,IF(M24&lt;=raw_materials!$F22,raw_materials!$E22,IF(M24&lt;=raw_materials!$H22,raw_materials!$G22,0)))</f>
        <v>1</v>
      </c>
      <c r="N33" s="100">
        <f>IF(N24&lt;=raw_materials!$D22,raw_materials!$C22,IF(N24&lt;=raw_materials!$F22,raw_materials!$E22,IF(N24&lt;=raw_materials!$H22,raw_materials!$G22,0)))</f>
        <v>0.8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25054.902514011505</v>
      </c>
      <c r="D38" s="100">
        <v>25109.81675262624</v>
      </c>
      <c r="E38" s="100">
        <v>17615.313738968809</v>
      </c>
      <c r="F38" s="100">
        <v>17653.751630931863</v>
      </c>
      <c r="G38" s="100">
        <v>25274.541764850626</v>
      </c>
      <c r="H38" s="100">
        <v>25329.41483434946</v>
      </c>
      <c r="I38" s="100">
        <v>25384.255583806131</v>
      </c>
      <c r="J38" s="100">
        <v>25439.055203174696</v>
      </c>
      <c r="K38" s="100">
        <v>25493.804885647136</v>
      </c>
      <c r="L38" s="100">
        <v>25548.495829201689</v>
      </c>
      <c r="M38" s="100">
        <v>25603.119238151201</v>
      </c>
      <c r="N38" s="100">
        <v>25657.666324691218</v>
      </c>
      <c r="O38" s="100">
        <v>2571.2128310447647</v>
      </c>
      <c r="P38" s="100">
        <v>2576.6496428023556</v>
      </c>
      <c r="Q38" s="100">
        <v>25820.761922544945</v>
      </c>
      <c r="R38" s="100">
        <v>2587.4916053205225</v>
      </c>
      <c r="S38" s="100">
        <v>25928.950094808049</v>
      </c>
      <c r="T38" s="100">
        <v>25982.855339308269</v>
      </c>
      <c r="U38" s="100">
        <v>18225.636168145524</v>
      </c>
      <c r="V38" s="100">
        <v>18263.171289864724</v>
      </c>
      <c r="W38" s="100">
        <v>26143.711499307632</v>
      </c>
      <c r="X38" s="100">
        <v>26197.014871775551</v>
      </c>
      <c r="Y38" s="100">
        <v>26250.146217950878</v>
      </c>
      <c r="Z38" s="100">
        <v>26303.096964916222</v>
      </c>
      <c r="AA38" s="100">
        <v>26355.858567616488</v>
      </c>
      <c r="AB38" s="100">
        <v>26408.422510375025</v>
      </c>
      <c r="AC38" s="100">
        <v>26460.780308405316</v>
      </c>
      <c r="AD38" s="100">
        <v>26512.923509318131</v>
      </c>
      <c r="AE38" s="100">
        <v>18595.390586236659</v>
      </c>
      <c r="AF38" s="100">
        <v>18631.572736860497</v>
      </c>
      <c r="AG38" s="100">
        <v>26667.981522929855</v>
      </c>
      <c r="AH38" s="100">
        <v>26719.182511895149</v>
      </c>
      <c r="AI38" s="100">
        <v>26770.127180149142</v>
      </c>
      <c r="AJ38" s="100">
        <v>26820.807301044035</v>
      </c>
      <c r="AK38" s="100">
        <v>26871.21469072756</v>
      </c>
      <c r="AL38" s="100">
        <v>26921.341209603564</v>
      </c>
      <c r="AM38" s="100">
        <v>26971.178763785614</v>
      </c>
      <c r="AN38" s="100">
        <v>27020.719306543244</v>
      </c>
      <c r="AO38" s="100">
        <v>27069.954839740756</v>
      </c>
      <c r="AP38" s="100">
        <v>27118.877415268147</v>
      </c>
      <c r="AQ38" s="100">
        <v>27167.47913646403</v>
      </c>
      <c r="AR38" s="100">
        <v>27215.752159530173</v>
      </c>
      <c r="AS38" s="100">
        <v>27263.688694937566</v>
      </c>
      <c r="AT38" s="100">
        <v>27311.281008823513</v>
      </c>
      <c r="AU38" s="100">
        <v>27358.521424379818</v>
      </c>
      <c r="AV38" s="100">
        <v>27405.40232323145</v>
      </c>
      <c r="AW38" s="100">
        <v>27451.916146805794</v>
      </c>
      <c r="AX38" s="100">
        <v>27498.055397691911</v>
      </c>
    </row>
    <row r="39" spans="2:50">
      <c r="B39" s="170" t="s">
        <v>105</v>
      </c>
      <c r="C39" s="100">
        <v>15032.941508406904</v>
      </c>
      <c r="D39" s="100">
        <v>15065.890051575743</v>
      </c>
      <c r="E39" s="100">
        <v>15098.84034768755</v>
      </c>
      <c r="F39" s="100">
        <v>15131.787112227312</v>
      </c>
      <c r="G39" s="100">
        <v>15164.725058910377</v>
      </c>
      <c r="H39" s="100">
        <v>15197.648900609674</v>
      </c>
      <c r="I39" s="100">
        <v>15230.553350283679</v>
      </c>
      <c r="J39" s="100">
        <v>15263.433121904818</v>
      </c>
      <c r="K39" s="100">
        <v>15296.282931388283</v>
      </c>
      <c r="L39" s="100">
        <v>15329.097497521014</v>
      </c>
      <c r="M39" s="100">
        <v>15361.87154289072</v>
      </c>
      <c r="N39" s="100">
        <v>15394.599794814729</v>
      </c>
      <c r="O39" s="100">
        <v>15427.276986268587</v>
      </c>
      <c r="P39" s="100">
        <v>15459.897856814132</v>
      </c>
      <c r="Q39" s="100">
        <v>10844.720007468877</v>
      </c>
      <c r="R39" s="100">
        <v>10867.464742346194</v>
      </c>
      <c r="S39" s="100">
        <v>15557.370056884829</v>
      </c>
      <c r="T39" s="100">
        <v>15589.713203584963</v>
      </c>
      <c r="U39" s="100">
        <v>15621.973858410449</v>
      </c>
      <c r="V39" s="100">
        <v>15654.14681988405</v>
      </c>
      <c r="W39" s="100">
        <v>15686.226899584581</v>
      </c>
      <c r="X39" s="100">
        <v>15718.208923065331</v>
      </c>
      <c r="Y39" s="100">
        <v>15750.087730770527</v>
      </c>
      <c r="Z39" s="100">
        <v>15781.858178949733</v>
      </c>
      <c r="AA39" s="100">
        <v>15813.515140569893</v>
      </c>
      <c r="AB39" s="100">
        <v>15845.053506225015</v>
      </c>
      <c r="AC39" s="100">
        <v>15876.468185043188</v>
      </c>
      <c r="AD39" s="100">
        <v>15907.754105590879</v>
      </c>
      <c r="AE39" s="100">
        <v>15938.90621677428</v>
      </c>
      <c r="AF39" s="100">
        <v>15969.919488737569</v>
      </c>
      <c r="AG39" s="100">
        <v>16000.788913757913</v>
      </c>
      <c r="AH39" s="100">
        <v>16031.509507137089</v>
      </c>
      <c r="AI39" s="100">
        <v>16062.076308089485</v>
      </c>
      <c r="AJ39" s="100">
        <v>16092.48438062642</v>
      </c>
      <c r="AK39" s="100">
        <v>16122.728814436536</v>
      </c>
      <c r="AL39" s="100">
        <v>16152.80472576214</v>
      </c>
      <c r="AM39" s="100">
        <v>16182.707258271368</v>
      </c>
      <c r="AN39" s="100">
        <v>16212.431583925947</v>
      </c>
      <c r="AO39" s="100">
        <v>16241.972903844453</v>
      </c>
      <c r="AP39" s="100">
        <v>16271.326449160888</v>
      </c>
      <c r="AQ39" s="100">
        <v>16300.487481878417</v>
      </c>
      <c r="AR39" s="100">
        <v>16329.451295718105</v>
      </c>
      <c r="AS39" s="100">
        <v>16358.213216962538</v>
      </c>
      <c r="AT39" s="100">
        <v>16386.768605294106</v>
      </c>
      <c r="AU39" s="100">
        <v>16415.112854627889</v>
      </c>
      <c r="AV39" s="100">
        <v>16443.241393938872</v>
      </c>
      <c r="AW39" s="100">
        <v>16471.149688083475</v>
      </c>
      <c r="AX39" s="100">
        <v>16498.833238615145</v>
      </c>
    </row>
    <row r="40" spans="2:50">
      <c r="B40" s="170" t="s">
        <v>106</v>
      </c>
      <c r="C40" s="100">
        <v>5010.9805028023011</v>
      </c>
      <c r="D40" s="100">
        <v>5021.9633505252477</v>
      </c>
      <c r="E40" s="100">
        <v>5032.946782562517</v>
      </c>
      <c r="F40" s="100">
        <v>5043.9290374091042</v>
      </c>
      <c r="G40" s="100">
        <v>2021.9633411880502</v>
      </c>
      <c r="H40" s="100">
        <v>5065.8829668698918</v>
      </c>
      <c r="I40" s="100">
        <v>5076.851116761226</v>
      </c>
      <c r="J40" s="100">
        <v>5087.8110406349388</v>
      </c>
      <c r="K40" s="100">
        <v>5098.7609771294274</v>
      </c>
      <c r="L40" s="100">
        <v>5109.6991658403376</v>
      </c>
      <c r="M40" s="100">
        <v>5120.6238476302397</v>
      </c>
      <c r="N40" s="100">
        <v>5131.5332649382435</v>
      </c>
      <c r="O40" s="100">
        <v>5142.4256620895294</v>
      </c>
      <c r="P40" s="100">
        <v>5153.2992856047113</v>
      </c>
      <c r="Q40" s="100">
        <v>2065.6609538035959</v>
      </c>
      <c r="R40" s="100">
        <v>5174.9832106410449</v>
      </c>
      <c r="S40" s="100">
        <v>5185.7900189616103</v>
      </c>
      <c r="T40" s="100">
        <v>5196.5710678616542</v>
      </c>
      <c r="U40" s="100">
        <v>5207.3246194701496</v>
      </c>
      <c r="V40" s="100">
        <v>5218.0489399613498</v>
      </c>
      <c r="W40" s="100">
        <v>5228.7422998615266</v>
      </c>
      <c r="X40" s="100">
        <v>5239.40297435511</v>
      </c>
      <c r="Y40" s="100">
        <v>5250.0292435901756</v>
      </c>
      <c r="Z40" s="100">
        <v>5260.6193929832443</v>
      </c>
      <c r="AA40" s="100">
        <v>5271.1717135232975</v>
      </c>
      <c r="AB40" s="100">
        <v>5281.6845020750052</v>
      </c>
      <c r="AC40" s="100">
        <v>5292.156061681063</v>
      </c>
      <c r="AD40" s="100">
        <v>3711.8092913045384</v>
      </c>
      <c r="AE40" s="100">
        <v>3719.0781172473316</v>
      </c>
      <c r="AF40" s="100">
        <v>5323.3064962458566</v>
      </c>
      <c r="AG40" s="100">
        <v>5333.5963045859717</v>
      </c>
      <c r="AH40" s="100">
        <v>5343.8365023790293</v>
      </c>
      <c r="AI40" s="100">
        <v>5354.0254360298286</v>
      </c>
      <c r="AJ40" s="100">
        <v>5364.1614602088066</v>
      </c>
      <c r="AK40" s="100">
        <v>5374.2429381455113</v>
      </c>
      <c r="AL40" s="100">
        <v>5384.2682419207131</v>
      </c>
      <c r="AM40" s="100">
        <v>5394.2357527571221</v>
      </c>
      <c r="AN40" s="100">
        <v>5404.1438613086484</v>
      </c>
      <c r="AO40" s="100">
        <v>5413.9909679481507</v>
      </c>
      <c r="AP40" s="100">
        <v>5423.7754830536296</v>
      </c>
      <c r="AQ40" s="100">
        <v>5433.4958272928061</v>
      </c>
      <c r="AR40" s="100">
        <v>5443.150431906035</v>
      </c>
      <c r="AS40" s="100">
        <v>5452.7377389875128</v>
      </c>
      <c r="AT40" s="100">
        <v>2184.9024807058813</v>
      </c>
      <c r="AU40" s="100">
        <v>5471.7042848759638</v>
      </c>
      <c r="AV40" s="100">
        <v>5481.0804646462902</v>
      </c>
      <c r="AW40" s="100">
        <v>5490.3832293611586</v>
      </c>
      <c r="AX40" s="100">
        <v>5499.611079538382</v>
      </c>
    </row>
    <row r="41" spans="2:50">
      <c r="B41" s="170" t="s">
        <v>107</v>
      </c>
      <c r="C41" s="100">
        <v>1202.6353206725523</v>
      </c>
      <c r="D41" s="100">
        <v>1205.2712041260595</v>
      </c>
      <c r="E41" s="100">
        <v>3019.7680695375102</v>
      </c>
      <c r="F41" s="100">
        <v>3026.3574224454624</v>
      </c>
      <c r="G41" s="100">
        <v>3032.9450117820752</v>
      </c>
      <c r="H41" s="100">
        <v>3039.5297801219349</v>
      </c>
      <c r="I41" s="100">
        <v>3046.1106700567357</v>
      </c>
      <c r="J41" s="100">
        <v>3052.6866243809636</v>
      </c>
      <c r="K41" s="100">
        <v>3059.2565862776564</v>
      </c>
      <c r="L41" s="100">
        <v>3065.8194995042027</v>
      </c>
      <c r="M41" s="100">
        <v>2150.6620160047005</v>
      </c>
      <c r="N41" s="100">
        <v>3078.9199589629461</v>
      </c>
      <c r="O41" s="100">
        <v>3085.4553972537178</v>
      </c>
      <c r="P41" s="100">
        <v>1236.7918285451308</v>
      </c>
      <c r="Q41" s="100">
        <v>3098.4914307053937</v>
      </c>
      <c r="R41" s="100">
        <v>3104.9899263846269</v>
      </c>
      <c r="S41" s="100">
        <v>3111.4740113769658</v>
      </c>
      <c r="T41" s="100">
        <v>3117.9426407169926</v>
      </c>
      <c r="U41" s="100">
        <v>3124.3947716820899</v>
      </c>
      <c r="V41" s="100">
        <v>3130.8293639768099</v>
      </c>
      <c r="W41" s="100">
        <v>3137.2453799169161</v>
      </c>
      <c r="X41" s="100">
        <v>3143.6417846130662</v>
      </c>
      <c r="Y41" s="100">
        <v>1260.0070184616422</v>
      </c>
      <c r="Z41" s="100">
        <v>315.63716357899466</v>
      </c>
      <c r="AA41" s="100">
        <v>3162.7030281139782</v>
      </c>
      <c r="AB41" s="100">
        <v>3169.010701245003</v>
      </c>
      <c r="AC41" s="100">
        <v>317.52936370086377</v>
      </c>
      <c r="AD41" s="100">
        <v>3181.5508211181759</v>
      </c>
      <c r="AE41" s="100">
        <v>3187.7812433548561</v>
      </c>
      <c r="AF41" s="100">
        <v>3193.9838977475138</v>
      </c>
      <c r="AG41" s="100">
        <v>1280.0631131006332</v>
      </c>
      <c r="AH41" s="100">
        <v>3206.3019014274178</v>
      </c>
      <c r="AI41" s="100">
        <v>3212.4152616178967</v>
      </c>
      <c r="AJ41" s="100">
        <v>321.84968761252844</v>
      </c>
      <c r="AK41" s="100">
        <v>322.45457628873072</v>
      </c>
      <c r="AL41" s="100">
        <v>3230.5609451524278</v>
      </c>
      <c r="AM41" s="100">
        <v>3236.5414516542737</v>
      </c>
      <c r="AN41" s="100">
        <v>3242.486316785189</v>
      </c>
      <c r="AO41" s="100">
        <v>3248.3945807688906</v>
      </c>
      <c r="AP41" s="100">
        <v>1301.7061159328712</v>
      </c>
      <c r="AQ41" s="100">
        <v>3260.0974963756835</v>
      </c>
      <c r="AR41" s="100">
        <v>3265.8902591436208</v>
      </c>
      <c r="AS41" s="100">
        <v>3271.6426433925076</v>
      </c>
      <c r="AT41" s="100">
        <v>3277.3537210588215</v>
      </c>
      <c r="AU41" s="100">
        <v>3283.0225709255783</v>
      </c>
      <c r="AV41" s="100">
        <v>3288.648278787774</v>
      </c>
      <c r="AW41" s="100">
        <v>3294.2299376166952</v>
      </c>
      <c r="AX41" s="100">
        <v>3299.7666477230291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2715.1559815170017</v>
      </c>
      <c r="D48" s="100">
        <v>2715.1559815170017</v>
      </c>
      <c r="E48" s="100">
        <v>2715.1559815170017</v>
      </c>
      <c r="F48" s="100">
        <v>2715.1559815170017</v>
      </c>
      <c r="G48" s="100">
        <v>3258.1871778204018</v>
      </c>
      <c r="H48" s="100">
        <v>3258.1871778204018</v>
      </c>
      <c r="I48" s="100">
        <v>3258.1871778204018</v>
      </c>
      <c r="J48" s="100">
        <v>3258.1871778204018</v>
      </c>
      <c r="K48" s="100">
        <v>3258.1871778204018</v>
      </c>
      <c r="L48" s="100">
        <v>3258.1871778204018</v>
      </c>
      <c r="M48" s="100">
        <v>3258.1871778204018</v>
      </c>
      <c r="N48" s="100">
        <v>3258.1871778204018</v>
      </c>
      <c r="O48" s="100">
        <v>0</v>
      </c>
      <c r="P48" s="100">
        <v>0</v>
      </c>
      <c r="Q48" s="100">
        <v>0</v>
      </c>
      <c r="R48" s="100">
        <v>0</v>
      </c>
      <c r="S48" s="100">
        <v>2715.1559815170017</v>
      </c>
      <c r="T48" s="100">
        <v>2715.1559815170017</v>
      </c>
      <c r="U48" s="100">
        <v>2715.1559815170017</v>
      </c>
      <c r="V48" s="100">
        <v>2715.1559815170017</v>
      </c>
      <c r="W48" s="100">
        <v>2715.1559815170017</v>
      </c>
      <c r="X48" s="100">
        <v>2715.1559815170017</v>
      </c>
      <c r="Y48" s="100">
        <v>2715.1559815170017</v>
      </c>
      <c r="Z48" s="100">
        <v>2715.1559815170017</v>
      </c>
      <c r="AA48" s="100">
        <v>2715.1559815170017</v>
      </c>
      <c r="AB48" s="100">
        <v>2715.1559815170017</v>
      </c>
      <c r="AC48" s="100">
        <v>2715.1559815170017</v>
      </c>
      <c r="AD48" s="100">
        <v>2715.1559815170017</v>
      </c>
      <c r="AE48" s="100">
        <v>2715.1559815170017</v>
      </c>
      <c r="AF48" s="100">
        <v>2715.1559815170017</v>
      </c>
      <c r="AG48" s="100">
        <v>2715.1559815170017</v>
      </c>
      <c r="AH48" s="100">
        <v>2715.1559815170017</v>
      </c>
      <c r="AI48" s="100">
        <v>2715.1559815170017</v>
      </c>
      <c r="AJ48" s="100">
        <v>2715.1559815170017</v>
      </c>
      <c r="AK48" s="100">
        <v>2715.1559815170017</v>
      </c>
      <c r="AL48" s="100">
        <v>2715.1559815170017</v>
      </c>
      <c r="AM48" s="100">
        <v>2715.1559815170017</v>
      </c>
      <c r="AN48" s="100">
        <v>2715.1559815170017</v>
      </c>
      <c r="AO48" s="100">
        <v>2715.1559815170017</v>
      </c>
      <c r="AP48" s="100">
        <v>2715.1559815170017</v>
      </c>
      <c r="AQ48" s="100">
        <v>2715.1559815170017</v>
      </c>
      <c r="AR48" s="100">
        <v>2715.1559815170017</v>
      </c>
      <c r="AS48" s="100">
        <v>2715.1559815170017</v>
      </c>
      <c r="AT48" s="100">
        <v>2715.1559815170017</v>
      </c>
      <c r="AU48" s="100">
        <v>2715.1559815170017</v>
      </c>
      <c r="AV48" s="100">
        <v>2715.1559815170017</v>
      </c>
      <c r="AW48" s="100">
        <v>2715.1559815170017</v>
      </c>
      <c r="AX48" s="100">
        <v>2715.1559815170017</v>
      </c>
    </row>
    <row r="49" spans="2:51">
      <c r="B49" s="99" t="s">
        <v>105</v>
      </c>
      <c r="C49" s="100">
        <v>5.3010178943021047E-20</v>
      </c>
      <c r="D49" s="100">
        <v>5.3010178943021047E-20</v>
      </c>
      <c r="E49" s="100">
        <v>5.3010178943021047E-20</v>
      </c>
      <c r="F49" s="100">
        <v>5.3010178943021047E-20</v>
      </c>
      <c r="G49" s="100">
        <v>5.3010178943021047E-20</v>
      </c>
      <c r="H49" s="100">
        <v>5.3010178943021047E-20</v>
      </c>
      <c r="I49" s="100">
        <v>5.3010178943021047E-20</v>
      </c>
      <c r="J49" s="100">
        <v>5.3010178943021047E-20</v>
      </c>
      <c r="K49" s="100">
        <v>5.3010178943021047E-20</v>
      </c>
      <c r="L49" s="100">
        <v>5.3010178943021047E-20</v>
      </c>
      <c r="M49" s="100">
        <v>5.3010178943021047E-20</v>
      </c>
      <c r="N49" s="100">
        <v>5.3010178943021047E-20</v>
      </c>
      <c r="O49" s="100">
        <v>5.3010178943021047E-20</v>
      </c>
      <c r="P49" s="100">
        <v>5.3010178943021047E-20</v>
      </c>
      <c r="Q49" s="100">
        <v>5.3010178943021047E-20</v>
      </c>
      <c r="R49" s="100">
        <v>5.3010178943021047E-20</v>
      </c>
      <c r="S49" s="100">
        <v>5.3010178943021047E-20</v>
      </c>
      <c r="T49" s="100">
        <v>5.3010178943021047E-20</v>
      </c>
      <c r="U49" s="100">
        <v>5.3010178943021047E-20</v>
      </c>
      <c r="V49" s="100">
        <v>5.3010178943021047E-20</v>
      </c>
      <c r="W49" s="100">
        <v>5.3010178943021047E-20</v>
      </c>
      <c r="X49" s="100">
        <v>5.3010178943021047E-20</v>
      </c>
      <c r="Y49" s="100">
        <v>5.3010178943021047E-20</v>
      </c>
      <c r="Z49" s="100">
        <v>5.3010178943021047E-20</v>
      </c>
      <c r="AA49" s="100">
        <v>5.3010178943021047E-20</v>
      </c>
      <c r="AB49" s="100">
        <v>5.3010178943021047E-20</v>
      </c>
      <c r="AC49" s="100">
        <v>5.3010178943021047E-20</v>
      </c>
      <c r="AD49" s="100">
        <v>5.3010178943021047E-20</v>
      </c>
      <c r="AE49" s="100">
        <v>5.3010178943021047E-20</v>
      </c>
      <c r="AF49" s="100">
        <v>5.3010178943021047E-20</v>
      </c>
      <c r="AG49" s="100">
        <v>5.3010178943021047E-20</v>
      </c>
      <c r="AH49" s="100">
        <v>5.3010178943021047E-20</v>
      </c>
      <c r="AI49" s="100">
        <v>5.3010178943021047E-20</v>
      </c>
      <c r="AJ49" s="100">
        <v>5.3010178943021047E-20</v>
      </c>
      <c r="AK49" s="100">
        <v>5.3010178943021047E-20</v>
      </c>
      <c r="AL49" s="100">
        <v>5.3010178943021047E-20</v>
      </c>
      <c r="AM49" s="100">
        <v>5.3010178943021047E-20</v>
      </c>
      <c r="AN49" s="100">
        <v>5.3010178943021047E-20</v>
      </c>
      <c r="AO49" s="100">
        <v>5.3010178943021047E-20</v>
      </c>
      <c r="AP49" s="100">
        <v>5.3010178943021047E-20</v>
      </c>
      <c r="AQ49" s="100">
        <v>5.3010178943021047E-20</v>
      </c>
      <c r="AR49" s="100">
        <v>5.3010178943021047E-20</v>
      </c>
      <c r="AS49" s="100">
        <v>5.3010178943021047E-20</v>
      </c>
      <c r="AT49" s="100">
        <v>5.3010178943021047E-20</v>
      </c>
      <c r="AU49" s="100">
        <v>5.3010178943021047E-20</v>
      </c>
      <c r="AV49" s="100">
        <v>5.3010178943021047E-20</v>
      </c>
      <c r="AW49" s="100">
        <v>5.3010178943021047E-20</v>
      </c>
      <c r="AX49" s="100">
        <v>5.3010178943021047E-20</v>
      </c>
    </row>
    <row r="50" spans="2:51">
      <c r="B50" s="99" t="s">
        <v>106</v>
      </c>
      <c r="C50" s="100">
        <v>140</v>
      </c>
      <c r="D50" s="100">
        <v>140</v>
      </c>
      <c r="E50" s="100">
        <v>140</v>
      </c>
      <c r="F50" s="100">
        <v>140</v>
      </c>
      <c r="G50" s="100">
        <v>112</v>
      </c>
      <c r="H50" s="100">
        <v>112</v>
      </c>
      <c r="I50" s="100">
        <v>112</v>
      </c>
      <c r="J50" s="100">
        <v>112</v>
      </c>
      <c r="K50" s="100">
        <v>140</v>
      </c>
      <c r="L50" s="100">
        <v>140</v>
      </c>
      <c r="M50" s="100">
        <v>140</v>
      </c>
      <c r="N50" s="100">
        <v>140</v>
      </c>
      <c r="O50" s="100">
        <v>140</v>
      </c>
      <c r="P50" s="100">
        <v>140</v>
      </c>
      <c r="Q50" s="100">
        <v>140</v>
      </c>
      <c r="R50" s="100">
        <v>140</v>
      </c>
      <c r="S50" s="100">
        <v>140</v>
      </c>
      <c r="T50" s="100">
        <v>140</v>
      </c>
      <c r="U50" s="100">
        <v>140</v>
      </c>
      <c r="V50" s="100">
        <v>140</v>
      </c>
      <c r="W50" s="100">
        <v>140</v>
      </c>
      <c r="X50" s="100">
        <v>140</v>
      </c>
      <c r="Y50" s="100">
        <v>140</v>
      </c>
      <c r="Z50" s="100">
        <v>140</v>
      </c>
      <c r="AA50" s="100">
        <v>140</v>
      </c>
      <c r="AB50" s="100">
        <v>140</v>
      </c>
      <c r="AC50" s="100">
        <v>140</v>
      </c>
      <c r="AD50" s="100">
        <v>140</v>
      </c>
      <c r="AE50" s="100">
        <v>140</v>
      </c>
      <c r="AF50" s="100">
        <v>140</v>
      </c>
      <c r="AG50" s="100">
        <v>140</v>
      </c>
      <c r="AH50" s="100">
        <v>140</v>
      </c>
      <c r="AI50" s="100">
        <v>140</v>
      </c>
      <c r="AJ50" s="100">
        <v>140</v>
      </c>
      <c r="AK50" s="100">
        <v>140</v>
      </c>
      <c r="AL50" s="100">
        <v>140</v>
      </c>
      <c r="AM50" s="100">
        <v>140</v>
      </c>
      <c r="AN50" s="100">
        <v>140</v>
      </c>
      <c r="AO50" s="100">
        <v>140</v>
      </c>
      <c r="AP50" s="100">
        <v>140</v>
      </c>
      <c r="AQ50" s="100">
        <v>140</v>
      </c>
      <c r="AR50" s="100">
        <v>140</v>
      </c>
      <c r="AS50" s="100">
        <v>140</v>
      </c>
      <c r="AT50" s="100">
        <v>140</v>
      </c>
      <c r="AU50" s="100">
        <v>140</v>
      </c>
      <c r="AV50" s="100">
        <v>140</v>
      </c>
      <c r="AW50" s="100">
        <v>140</v>
      </c>
      <c r="AX50" s="100">
        <v>140</v>
      </c>
      <c r="AY50" s="112"/>
    </row>
    <row r="51" spans="2:51">
      <c r="B51" s="99" t="s">
        <v>107</v>
      </c>
      <c r="C51" s="100">
        <v>631.99999999999682</v>
      </c>
      <c r="D51" s="100">
        <v>631.99999999999682</v>
      </c>
      <c r="E51" s="100">
        <v>631.99999999999682</v>
      </c>
      <c r="F51" s="100">
        <v>631.99999999999682</v>
      </c>
      <c r="G51" s="100">
        <v>789.99999999999591</v>
      </c>
      <c r="H51" s="100">
        <v>789.99999999999591</v>
      </c>
      <c r="I51" s="100">
        <v>789.99999999999591</v>
      </c>
      <c r="J51" s="100">
        <v>789.99999999999591</v>
      </c>
      <c r="K51" s="100">
        <v>789.99999999999591</v>
      </c>
      <c r="L51" s="100">
        <v>789.99999999999591</v>
      </c>
      <c r="M51" s="100">
        <v>789.99999999999591</v>
      </c>
      <c r="N51" s="100">
        <v>789.99999999999591</v>
      </c>
      <c r="O51" s="100">
        <v>789.99999999999591</v>
      </c>
      <c r="P51" s="100">
        <v>789.99999999999591</v>
      </c>
      <c r="Q51" s="100">
        <v>789.99999999999591</v>
      </c>
      <c r="R51" s="100">
        <v>789.99999999999591</v>
      </c>
      <c r="S51" s="100">
        <v>789.99999999999591</v>
      </c>
      <c r="T51" s="100">
        <v>789.99999999999591</v>
      </c>
      <c r="U51" s="100">
        <v>789.99999999999591</v>
      </c>
      <c r="V51" s="100">
        <v>789.99999999999591</v>
      </c>
      <c r="W51" s="100">
        <v>631.99999999999682</v>
      </c>
      <c r="X51" s="100">
        <v>631.99999999999682</v>
      </c>
      <c r="Y51" s="100">
        <v>631.99999999999682</v>
      </c>
      <c r="Z51" s="100">
        <v>315.63716357899466</v>
      </c>
      <c r="AA51" s="100">
        <v>789.99999999999591</v>
      </c>
      <c r="AB51" s="100">
        <v>789.99999999999591</v>
      </c>
      <c r="AC51" s="100">
        <v>317.52936370086377</v>
      </c>
      <c r="AD51" s="100">
        <v>789.99999999999591</v>
      </c>
      <c r="AE51" s="100">
        <v>789.99999999999591</v>
      </c>
      <c r="AF51" s="100">
        <v>789.99999999999591</v>
      </c>
      <c r="AG51" s="100">
        <v>789.99999999999591</v>
      </c>
      <c r="AH51" s="100">
        <v>789.99999999999591</v>
      </c>
      <c r="AI51" s="100">
        <v>631.99999999999682</v>
      </c>
      <c r="AJ51" s="100">
        <v>321.84968761252844</v>
      </c>
      <c r="AK51" s="100">
        <v>322.45457628873072</v>
      </c>
      <c r="AL51" s="100">
        <v>631.99999999999682</v>
      </c>
      <c r="AM51" s="100">
        <v>789.99999999999591</v>
      </c>
      <c r="AN51" s="100">
        <v>789.99999999999591</v>
      </c>
      <c r="AO51" s="100">
        <v>789.99999999999591</v>
      </c>
      <c r="AP51" s="100">
        <v>789.99999999999591</v>
      </c>
      <c r="AQ51" s="100">
        <v>789.99999999999591</v>
      </c>
      <c r="AR51" s="100">
        <v>789.99999999999591</v>
      </c>
      <c r="AS51" s="100">
        <v>789.99999999999591</v>
      </c>
      <c r="AT51" s="100">
        <v>789.99999999999591</v>
      </c>
      <c r="AU51" s="100">
        <v>789.99999999999591</v>
      </c>
      <c r="AV51" s="100">
        <v>789.99999999999591</v>
      </c>
      <c r="AW51" s="100">
        <v>789.99999999999591</v>
      </c>
      <c r="AX51" s="100">
        <v>789.99999999999591</v>
      </c>
      <c r="AY51" s="111"/>
    </row>
    <row r="52" spans="2:51">
      <c r="B52" s="99" t="s">
        <v>108</v>
      </c>
      <c r="C52" s="100">
        <v>2.5278861886126041E-20</v>
      </c>
      <c r="D52" s="100">
        <v>2.5278861886126041E-20</v>
      </c>
      <c r="E52" s="100">
        <v>2.5278861886126041E-20</v>
      </c>
      <c r="F52" s="100">
        <v>2.5278861886126041E-20</v>
      </c>
      <c r="G52" s="100">
        <v>2.5278861886126041E-20</v>
      </c>
      <c r="H52" s="100">
        <v>2.5278861886126041E-20</v>
      </c>
      <c r="I52" s="100">
        <v>2.5278861886126041E-20</v>
      </c>
      <c r="J52" s="100">
        <v>2.5278861886126041E-20</v>
      </c>
      <c r="K52" s="100">
        <v>0</v>
      </c>
      <c r="L52" s="100">
        <v>0</v>
      </c>
      <c r="M52" s="100">
        <v>0</v>
      </c>
      <c r="N52" s="100">
        <v>0</v>
      </c>
      <c r="O52" s="100">
        <v>2.5278861886126041E-20</v>
      </c>
      <c r="P52" s="100">
        <v>2.5278861886126041E-20</v>
      </c>
      <c r="Q52" s="100">
        <v>2.5278861886126041E-20</v>
      </c>
      <c r="R52" s="100">
        <v>2.5278861886126041E-20</v>
      </c>
      <c r="S52" s="100">
        <v>0</v>
      </c>
      <c r="T52" s="100">
        <v>0</v>
      </c>
      <c r="U52" s="100">
        <v>0</v>
      </c>
      <c r="V52" s="100">
        <v>0</v>
      </c>
      <c r="W52" s="100">
        <v>2.5278861886126041E-20</v>
      </c>
      <c r="X52" s="100">
        <v>2.5278861886126041E-20</v>
      </c>
      <c r="Y52" s="100">
        <v>2.5278861886126041E-20</v>
      </c>
      <c r="Z52" s="100">
        <v>2.5278861886126041E-20</v>
      </c>
      <c r="AA52" s="100">
        <v>0</v>
      </c>
      <c r="AB52" s="100">
        <v>0</v>
      </c>
      <c r="AC52" s="100">
        <v>0</v>
      </c>
      <c r="AD52" s="100">
        <v>0</v>
      </c>
      <c r="AE52" s="100">
        <v>0</v>
      </c>
      <c r="AF52" s="100">
        <v>0</v>
      </c>
      <c r="AG52" s="100">
        <v>0</v>
      </c>
      <c r="AH52" s="100">
        <v>0</v>
      </c>
      <c r="AI52" s="100">
        <v>0</v>
      </c>
      <c r="AJ52" s="100">
        <v>0</v>
      </c>
      <c r="AK52" s="100">
        <v>0</v>
      </c>
      <c r="AL52" s="100">
        <v>0</v>
      </c>
      <c r="AM52" s="100">
        <v>0</v>
      </c>
      <c r="AN52" s="100">
        <v>0</v>
      </c>
      <c r="AO52" s="100">
        <v>0</v>
      </c>
      <c r="AP52" s="100">
        <v>0</v>
      </c>
      <c r="AQ52" s="100">
        <v>0</v>
      </c>
      <c r="AR52" s="100">
        <v>0</v>
      </c>
      <c r="AS52" s="100">
        <v>0</v>
      </c>
      <c r="AT52" s="100">
        <v>0</v>
      </c>
      <c r="AU52" s="100">
        <v>0</v>
      </c>
      <c r="AV52" s="100">
        <v>0</v>
      </c>
      <c r="AW52" s="100">
        <v>0</v>
      </c>
      <c r="AX52" s="100">
        <v>0</v>
      </c>
    </row>
    <row r="53" spans="2:51">
      <c r="B53" s="99" t="s">
        <v>109</v>
      </c>
      <c r="C53" s="100">
        <v>4.2415996309960964E-20</v>
      </c>
      <c r="D53" s="100">
        <v>4.2415996309960964E-20</v>
      </c>
      <c r="E53" s="100">
        <v>4.2415996309960964E-20</v>
      </c>
      <c r="F53" s="100">
        <v>4.2415996309960964E-20</v>
      </c>
      <c r="G53" s="100">
        <v>5.3019995387451204E-20</v>
      </c>
      <c r="H53" s="100">
        <v>5.3019995387451204E-20</v>
      </c>
      <c r="I53" s="100">
        <v>5.3019995387451204E-20</v>
      </c>
      <c r="J53" s="100">
        <v>5.3019995387451204E-20</v>
      </c>
      <c r="K53" s="100">
        <v>5.3019995387451204E-20</v>
      </c>
      <c r="L53" s="100">
        <v>5.3019995387451204E-20</v>
      </c>
      <c r="M53" s="100">
        <v>5.3019995387451204E-20</v>
      </c>
      <c r="N53" s="100">
        <v>5.3019995387451204E-20</v>
      </c>
      <c r="O53" s="100">
        <v>5.3019995387451204E-20</v>
      </c>
      <c r="P53" s="100">
        <v>5.3019995387451204E-20</v>
      </c>
      <c r="Q53" s="100">
        <v>5.3019995387451204E-20</v>
      </c>
      <c r="R53" s="100">
        <v>5.3019995387451204E-20</v>
      </c>
      <c r="S53" s="100">
        <v>5.3019995387451204E-20</v>
      </c>
      <c r="T53" s="100">
        <v>5.3019995387451204E-20</v>
      </c>
      <c r="U53" s="100">
        <v>5.3019995387451204E-20</v>
      </c>
      <c r="V53" s="100">
        <v>5.3019995387451204E-20</v>
      </c>
      <c r="W53" s="100">
        <v>5.3019995387451204E-20</v>
      </c>
      <c r="X53" s="100">
        <v>5.3019995387451204E-20</v>
      </c>
      <c r="Y53" s="100">
        <v>5.3019995387451204E-20</v>
      </c>
      <c r="Z53" s="100">
        <v>5.3019995387451204E-20</v>
      </c>
      <c r="AA53" s="100">
        <v>4.2415996309960964E-20</v>
      </c>
      <c r="AB53" s="100">
        <v>4.2415996309960964E-20</v>
      </c>
      <c r="AC53" s="100">
        <v>4.2415996309960964E-20</v>
      </c>
      <c r="AD53" s="100">
        <v>4.2415996309960964E-20</v>
      </c>
      <c r="AE53" s="100">
        <v>5.3019995387451204E-20</v>
      </c>
      <c r="AF53" s="100">
        <v>5.3019995387451204E-20</v>
      </c>
      <c r="AG53" s="100">
        <v>5.3019995387451204E-20</v>
      </c>
      <c r="AH53" s="100">
        <v>5.3019995387451204E-20</v>
      </c>
      <c r="AI53" s="100">
        <v>5.3019995387451204E-20</v>
      </c>
      <c r="AJ53" s="100">
        <v>5.3019995387451204E-20</v>
      </c>
      <c r="AK53" s="100">
        <v>5.3019995387451204E-20</v>
      </c>
      <c r="AL53" s="100">
        <v>5.3019995387451204E-20</v>
      </c>
      <c r="AM53" s="100">
        <v>4.2415996309960964E-20</v>
      </c>
      <c r="AN53" s="100">
        <v>4.2415996309960964E-20</v>
      </c>
      <c r="AO53" s="100">
        <v>4.2415996309960964E-20</v>
      </c>
      <c r="AP53" s="100">
        <v>4.2415996309960964E-20</v>
      </c>
      <c r="AQ53" s="100">
        <v>5.3019995387451204E-20</v>
      </c>
      <c r="AR53" s="100">
        <v>5.3019995387451204E-20</v>
      </c>
      <c r="AS53" s="100">
        <v>5.3019995387451204E-20</v>
      </c>
      <c r="AT53" s="100">
        <v>5.3019995387451204E-20</v>
      </c>
      <c r="AU53" s="100">
        <v>4.2415996309960964E-20</v>
      </c>
      <c r="AV53" s="100">
        <v>4.2415996309960964E-20</v>
      </c>
      <c r="AW53" s="100">
        <v>4.2415996309960964E-20</v>
      </c>
      <c r="AX53" s="100">
        <v>4.2415996309960964E-20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3273238.2496548216</v>
      </c>
      <c r="D58" s="100">
        <v>3273238.2496548216</v>
      </c>
      <c r="E58" s="100">
        <v>3273238.2496548216</v>
      </c>
      <c r="F58" s="100">
        <v>3273238.2496548216</v>
      </c>
      <c r="G58" s="100">
        <v>3526315.3594332468</v>
      </c>
      <c r="H58" s="100">
        <v>3526315.3594332468</v>
      </c>
      <c r="I58" s="100">
        <v>3526315.3594332468</v>
      </c>
      <c r="J58" s="100">
        <v>3526315.3594332468</v>
      </c>
      <c r="K58" s="100">
        <v>3525939.9964178666</v>
      </c>
      <c r="L58" s="100">
        <v>3525939.9964178666</v>
      </c>
      <c r="M58" s="100">
        <v>3525939.9964178666</v>
      </c>
      <c r="N58" s="100">
        <v>3525939.9964178666</v>
      </c>
      <c r="O58" s="100">
        <v>0</v>
      </c>
      <c r="P58" s="100">
        <v>0</v>
      </c>
      <c r="Q58" s="100">
        <v>0</v>
      </c>
      <c r="R58" s="100">
        <v>0</v>
      </c>
      <c r="S58" s="100">
        <v>4065955.1372534684</v>
      </c>
      <c r="T58" s="100">
        <v>4065955.1372534684</v>
      </c>
      <c r="U58" s="100">
        <v>4065955.1372534684</v>
      </c>
      <c r="V58" s="100">
        <v>4065955.1372534684</v>
      </c>
      <c r="W58" s="100">
        <v>3197186.4988305084</v>
      </c>
      <c r="X58" s="100">
        <v>3197186.4988305084</v>
      </c>
      <c r="Y58" s="100">
        <v>3197186.4988305084</v>
      </c>
      <c r="Z58" s="100">
        <v>3197186.4988305084</v>
      </c>
      <c r="AA58" s="100">
        <v>3318934.4158820189</v>
      </c>
      <c r="AB58" s="100">
        <v>3318934.4158820189</v>
      </c>
      <c r="AC58" s="100">
        <v>3318934.4158820189</v>
      </c>
      <c r="AD58" s="100">
        <v>3318934.4158820189</v>
      </c>
      <c r="AE58" s="100">
        <v>3484906.2491988321</v>
      </c>
      <c r="AF58" s="100">
        <v>3484906.2491988321</v>
      </c>
      <c r="AG58" s="100">
        <v>3484906.2491988321</v>
      </c>
      <c r="AH58" s="100">
        <v>3484906.2491988321</v>
      </c>
      <c r="AI58" s="100">
        <v>3874013.8077314477</v>
      </c>
      <c r="AJ58" s="100">
        <v>3874013.8077314477</v>
      </c>
      <c r="AK58" s="100">
        <v>3874013.8077314477</v>
      </c>
      <c r="AL58" s="100">
        <v>3874013.8077314477</v>
      </c>
      <c r="AM58" s="100">
        <v>3333236.9201509678</v>
      </c>
      <c r="AN58" s="100">
        <v>3333236.9201509678</v>
      </c>
      <c r="AO58" s="100">
        <v>3333236.9201509678</v>
      </c>
      <c r="AP58" s="100">
        <v>3333236.9201509678</v>
      </c>
      <c r="AQ58" s="100">
        <v>3298596.5759760556</v>
      </c>
      <c r="AR58" s="100">
        <v>3298596.5759760556</v>
      </c>
      <c r="AS58" s="100">
        <v>3298596.5759760556</v>
      </c>
      <c r="AT58" s="100">
        <v>3298596.5759760556</v>
      </c>
      <c r="AU58" s="100">
        <v>3779749.1787549476</v>
      </c>
      <c r="AV58" s="100">
        <v>3779749.1787549476</v>
      </c>
      <c r="AW58" s="100">
        <v>3779749.1787549476</v>
      </c>
      <c r="AX58" s="100">
        <v>3779749.1787549476</v>
      </c>
    </row>
    <row r="59" spans="2:51">
      <c r="B59" s="105" t="s">
        <v>105</v>
      </c>
      <c r="C59" s="100">
        <v>7.6586965855563675E-17</v>
      </c>
      <c r="D59" s="100">
        <v>7.6586965855563675E-17</v>
      </c>
      <c r="E59" s="100">
        <v>7.6586965855563675E-17</v>
      </c>
      <c r="F59" s="100">
        <v>7.6586965855563675E-17</v>
      </c>
      <c r="G59" s="100">
        <v>8.0176232688755005E-17</v>
      </c>
      <c r="H59" s="100">
        <v>8.0176232688755005E-17</v>
      </c>
      <c r="I59" s="100">
        <v>8.0176232688755005E-17</v>
      </c>
      <c r="J59" s="100">
        <v>8.0176232688755005E-17</v>
      </c>
      <c r="K59" s="100">
        <v>7.4339298300007689E-17</v>
      </c>
      <c r="L59" s="100">
        <v>7.4339298300007689E-17</v>
      </c>
      <c r="M59" s="100">
        <v>7.4339298300007689E-17</v>
      </c>
      <c r="N59" s="100">
        <v>7.4339298300007689E-17</v>
      </c>
      <c r="O59" s="100">
        <v>7.7747643083136223E-17</v>
      </c>
      <c r="P59" s="100">
        <v>7.7747643083136223E-17</v>
      </c>
      <c r="Q59" s="100">
        <v>7.7747643083136223E-17</v>
      </c>
      <c r="R59" s="100">
        <v>7.7747643083136223E-17</v>
      </c>
      <c r="S59" s="100">
        <v>7.6124444596031621E-17</v>
      </c>
      <c r="T59" s="100">
        <v>7.6124444596031621E-17</v>
      </c>
      <c r="U59" s="100">
        <v>7.6124444596031621E-17</v>
      </c>
      <c r="V59" s="100">
        <v>7.6124444596031621E-17</v>
      </c>
      <c r="W59" s="100">
        <v>7.4637415477538022E-17</v>
      </c>
      <c r="X59" s="100">
        <v>7.4637415477538022E-17</v>
      </c>
      <c r="Y59" s="100">
        <v>7.4637415477538022E-17</v>
      </c>
      <c r="Z59" s="100">
        <v>7.4637415477538022E-17</v>
      </c>
      <c r="AA59" s="100">
        <v>7.2834489836931059E-17</v>
      </c>
      <c r="AB59" s="100">
        <v>7.2834489836931059E-17</v>
      </c>
      <c r="AC59" s="100">
        <v>7.2834489836931059E-17</v>
      </c>
      <c r="AD59" s="100">
        <v>7.2834489836931059E-17</v>
      </c>
      <c r="AE59" s="100">
        <v>7.0402253792623457E-17</v>
      </c>
      <c r="AF59" s="100">
        <v>7.0402253792623457E-17</v>
      </c>
      <c r="AG59" s="100">
        <v>7.0402253792623457E-17</v>
      </c>
      <c r="AH59" s="100">
        <v>7.0402253792623457E-17</v>
      </c>
      <c r="AI59" s="100">
        <v>7.7383431352008859E-17</v>
      </c>
      <c r="AJ59" s="100">
        <v>7.7383431352008859E-17</v>
      </c>
      <c r="AK59" s="100">
        <v>7.7383431352008859E-17</v>
      </c>
      <c r="AL59" s="100">
        <v>7.7383431352008859E-17</v>
      </c>
      <c r="AM59" s="100">
        <v>6.8155192755065747E-17</v>
      </c>
      <c r="AN59" s="100">
        <v>6.8155192755065747E-17</v>
      </c>
      <c r="AO59" s="100">
        <v>6.8155192755065747E-17</v>
      </c>
      <c r="AP59" s="100">
        <v>6.8155192755065747E-17</v>
      </c>
      <c r="AQ59" s="100">
        <v>7.4269930251358655E-17</v>
      </c>
      <c r="AR59" s="100">
        <v>7.4269930251358655E-17</v>
      </c>
      <c r="AS59" s="100">
        <v>7.4269930251358655E-17</v>
      </c>
      <c r="AT59" s="100">
        <v>7.4269930251358655E-17</v>
      </c>
      <c r="AU59" s="100">
        <v>7.3411974662972264E-17</v>
      </c>
      <c r="AV59" s="100">
        <v>7.3411974662972264E-17</v>
      </c>
      <c r="AW59" s="100">
        <v>7.3411974662972264E-17</v>
      </c>
      <c r="AX59" s="100">
        <v>7.3411974662972264E-17</v>
      </c>
    </row>
    <row r="60" spans="2:51">
      <c r="B60" s="105" t="s">
        <v>106</v>
      </c>
      <c r="C60" s="100">
        <v>214719.73849783951</v>
      </c>
      <c r="D60" s="100">
        <v>214719.73849783951</v>
      </c>
      <c r="E60" s="100">
        <v>214719.73849783951</v>
      </c>
      <c r="F60" s="100">
        <v>214719.73849783951</v>
      </c>
      <c r="G60" s="100">
        <v>188998.32332324225</v>
      </c>
      <c r="H60" s="100">
        <v>188998.32332324225</v>
      </c>
      <c r="I60" s="100">
        <v>188998.32332324225</v>
      </c>
      <c r="J60" s="100">
        <v>188998.32332324225</v>
      </c>
      <c r="K60" s="100">
        <v>203694.64900374023</v>
      </c>
      <c r="L60" s="100">
        <v>203694.64900374023</v>
      </c>
      <c r="M60" s="100">
        <v>203694.64900374023</v>
      </c>
      <c r="N60" s="100">
        <v>203694.64900374023</v>
      </c>
      <c r="O60" s="100">
        <v>217315.9023347731</v>
      </c>
      <c r="P60" s="100">
        <v>217315.9023347731</v>
      </c>
      <c r="Q60" s="100">
        <v>217315.9023347731</v>
      </c>
      <c r="R60" s="100">
        <v>217315.9023347731</v>
      </c>
      <c r="S60" s="100">
        <v>210465.84959784115</v>
      </c>
      <c r="T60" s="100">
        <v>210465.84959784115</v>
      </c>
      <c r="U60" s="100">
        <v>210465.84959784115</v>
      </c>
      <c r="V60" s="100">
        <v>210465.84959784115</v>
      </c>
      <c r="W60" s="100">
        <v>201422.32801339298</v>
      </c>
      <c r="X60" s="100">
        <v>201422.32801339298</v>
      </c>
      <c r="Y60" s="100">
        <v>201422.32801339298</v>
      </c>
      <c r="Z60" s="100">
        <v>201422.32801339298</v>
      </c>
      <c r="AA60" s="100">
        <v>210435.9247982447</v>
      </c>
      <c r="AB60" s="100">
        <v>210435.9247982447</v>
      </c>
      <c r="AC60" s="100">
        <v>210435.9247982447</v>
      </c>
      <c r="AD60" s="100">
        <v>210435.9247982447</v>
      </c>
      <c r="AE60" s="100">
        <v>204521.00370362567</v>
      </c>
      <c r="AF60" s="100">
        <v>204521.00370362567</v>
      </c>
      <c r="AG60" s="100">
        <v>204521.00370362567</v>
      </c>
      <c r="AH60" s="100">
        <v>204521.00370362567</v>
      </c>
      <c r="AI60" s="100">
        <v>192154.69733357106</v>
      </c>
      <c r="AJ60" s="100">
        <v>192154.69733357106</v>
      </c>
      <c r="AK60" s="100">
        <v>192154.69733357106</v>
      </c>
      <c r="AL60" s="100">
        <v>192154.69733357106</v>
      </c>
      <c r="AM60" s="100">
        <v>201211.39488177685</v>
      </c>
      <c r="AN60" s="100">
        <v>201211.39488177685</v>
      </c>
      <c r="AO60" s="100">
        <v>201211.39488177685</v>
      </c>
      <c r="AP60" s="100">
        <v>201211.39488177685</v>
      </c>
      <c r="AQ60" s="100">
        <v>229609.44804860745</v>
      </c>
      <c r="AR60" s="100">
        <v>229609.44804860745</v>
      </c>
      <c r="AS60" s="100">
        <v>229609.44804860745</v>
      </c>
      <c r="AT60" s="100">
        <v>229609.44804860745</v>
      </c>
      <c r="AU60" s="100">
        <v>207097.42987185327</v>
      </c>
      <c r="AV60" s="100">
        <v>207097.42987185327</v>
      </c>
      <c r="AW60" s="100">
        <v>207097.42987185327</v>
      </c>
      <c r="AX60" s="100">
        <v>207097.42987185327</v>
      </c>
    </row>
    <row r="61" spans="2:51">
      <c r="B61" s="105" t="s">
        <v>107</v>
      </c>
      <c r="C61" s="100">
        <v>1022800.1532094755</v>
      </c>
      <c r="D61" s="100">
        <v>1022800.1532094755</v>
      </c>
      <c r="E61" s="100">
        <v>1022800.1532094755</v>
      </c>
      <c r="F61" s="100">
        <v>1022800.1532094755</v>
      </c>
      <c r="G61" s="100">
        <v>1111194.8264636556</v>
      </c>
      <c r="H61" s="100">
        <v>1111194.8264636556</v>
      </c>
      <c r="I61" s="100">
        <v>1111194.8264636556</v>
      </c>
      <c r="J61" s="100">
        <v>1111194.8264636556</v>
      </c>
      <c r="K61" s="100">
        <v>1117596.2718003385</v>
      </c>
      <c r="L61" s="100">
        <v>1117596.2718003385</v>
      </c>
      <c r="M61" s="100">
        <v>1117596.2718003385</v>
      </c>
      <c r="N61" s="100">
        <v>1117596.2718003385</v>
      </c>
      <c r="O61" s="100">
        <v>1149239.2978393503</v>
      </c>
      <c r="P61" s="100">
        <v>1149239.2978393503</v>
      </c>
      <c r="Q61" s="100">
        <v>1149239.2978393503</v>
      </c>
      <c r="R61" s="100">
        <v>1149239.2978393503</v>
      </c>
      <c r="S61" s="100">
        <v>1024668.9397218708</v>
      </c>
      <c r="T61" s="100">
        <v>1024668.9397218708</v>
      </c>
      <c r="U61" s="100">
        <v>1024668.9397218708</v>
      </c>
      <c r="V61" s="100">
        <v>1024668.9397218708</v>
      </c>
      <c r="W61" s="100">
        <v>1093301.8867315517</v>
      </c>
      <c r="X61" s="100">
        <v>1093301.8867315517</v>
      </c>
      <c r="Y61" s="100">
        <v>1093301.8867315517</v>
      </c>
      <c r="Z61" s="100">
        <v>546023.26972074679</v>
      </c>
      <c r="AA61" s="100">
        <v>1154399.6344359717</v>
      </c>
      <c r="AB61" s="100">
        <v>1154399.6344359717</v>
      </c>
      <c r="AC61" s="100">
        <v>463994.65997337428</v>
      </c>
      <c r="AD61" s="100">
        <v>1154399.6344359717</v>
      </c>
      <c r="AE61" s="100">
        <v>1119669.9610944302</v>
      </c>
      <c r="AF61" s="100">
        <v>1119669.9610944302</v>
      </c>
      <c r="AG61" s="100">
        <v>1119669.9610944302</v>
      </c>
      <c r="AH61" s="100">
        <v>1119669.9610944302</v>
      </c>
      <c r="AI61" s="100">
        <v>1141095.2539964132</v>
      </c>
      <c r="AJ61" s="100">
        <v>581109.41619444033</v>
      </c>
      <c r="AK61" s="100">
        <v>582201.56112736848</v>
      </c>
      <c r="AL61" s="100">
        <v>1141095.2539964132</v>
      </c>
      <c r="AM61" s="100">
        <v>1079849.3980518139</v>
      </c>
      <c r="AN61" s="100">
        <v>1079849.3980518139</v>
      </c>
      <c r="AO61" s="100">
        <v>1079849.3980518139</v>
      </c>
      <c r="AP61" s="100">
        <v>1079849.3980518139</v>
      </c>
      <c r="AQ61" s="100">
        <v>1032142.1779823606</v>
      </c>
      <c r="AR61" s="100">
        <v>1032142.1779823606</v>
      </c>
      <c r="AS61" s="100">
        <v>1032142.1779823606</v>
      </c>
      <c r="AT61" s="100">
        <v>1032142.1779823606</v>
      </c>
      <c r="AU61" s="100">
        <v>1065513.9266766803</v>
      </c>
      <c r="AV61" s="100">
        <v>1065513.9266766803</v>
      </c>
      <c r="AW61" s="100">
        <v>1065513.9266766803</v>
      </c>
      <c r="AX61" s="100">
        <v>1065513.9266766803</v>
      </c>
    </row>
    <row r="62" spans="2:51">
      <c r="B62" s="105" t="s">
        <v>108</v>
      </c>
      <c r="C62" s="100">
        <v>3.7428955120132431E-17</v>
      </c>
      <c r="D62" s="100">
        <v>3.7428955120132431E-17</v>
      </c>
      <c r="E62" s="100">
        <v>3.7428955120132431E-17</v>
      </c>
      <c r="F62" s="100">
        <v>3.7428955120132431E-17</v>
      </c>
      <c r="G62" s="100">
        <v>3.858055487521036E-17</v>
      </c>
      <c r="H62" s="100">
        <v>3.858055487521036E-17</v>
      </c>
      <c r="I62" s="100">
        <v>3.858055487521036E-17</v>
      </c>
      <c r="J62" s="100">
        <v>3.858055487521036E-17</v>
      </c>
      <c r="K62" s="100">
        <v>0</v>
      </c>
      <c r="L62" s="100">
        <v>0</v>
      </c>
      <c r="M62" s="100">
        <v>0</v>
      </c>
      <c r="N62" s="100">
        <v>0</v>
      </c>
      <c r="O62" s="100">
        <v>3.8122011726392212E-17</v>
      </c>
      <c r="P62" s="100">
        <v>3.8122011726392212E-17</v>
      </c>
      <c r="Q62" s="100">
        <v>3.8122011726392212E-17</v>
      </c>
      <c r="R62" s="100">
        <v>3.8122011726392212E-17</v>
      </c>
      <c r="S62" s="100">
        <v>0</v>
      </c>
      <c r="T62" s="100">
        <v>0</v>
      </c>
      <c r="U62" s="100">
        <v>0</v>
      </c>
      <c r="V62" s="100">
        <v>0</v>
      </c>
      <c r="W62" s="100">
        <v>3.8453318358476698E-17</v>
      </c>
      <c r="X62" s="100">
        <v>3.8453318358476698E-17</v>
      </c>
      <c r="Y62" s="100">
        <v>3.8453318358476698E-17</v>
      </c>
      <c r="Z62" s="100">
        <v>3.8453318358476698E-17</v>
      </c>
      <c r="AA62" s="100">
        <v>0</v>
      </c>
      <c r="AB62" s="100">
        <v>0</v>
      </c>
      <c r="AC62" s="100">
        <v>0</v>
      </c>
      <c r="AD62" s="100">
        <v>0</v>
      </c>
      <c r="AE62" s="100">
        <v>0</v>
      </c>
      <c r="AF62" s="100">
        <v>0</v>
      </c>
      <c r="AG62" s="100">
        <v>0</v>
      </c>
      <c r="AH62" s="100">
        <v>0</v>
      </c>
      <c r="AI62" s="100">
        <v>0</v>
      </c>
      <c r="AJ62" s="100">
        <v>0</v>
      </c>
      <c r="AK62" s="100">
        <v>0</v>
      </c>
      <c r="AL62" s="100">
        <v>0</v>
      </c>
      <c r="AM62" s="100">
        <v>0</v>
      </c>
      <c r="AN62" s="100">
        <v>0</v>
      </c>
      <c r="AO62" s="100">
        <v>0</v>
      </c>
      <c r="AP62" s="100">
        <v>0</v>
      </c>
      <c r="AQ62" s="100">
        <v>0</v>
      </c>
      <c r="AR62" s="100">
        <v>0</v>
      </c>
      <c r="AS62" s="100">
        <v>0</v>
      </c>
      <c r="AT62" s="100">
        <v>0</v>
      </c>
      <c r="AU62" s="100">
        <v>0</v>
      </c>
      <c r="AV62" s="100">
        <v>0</v>
      </c>
      <c r="AW62" s="100">
        <v>0</v>
      </c>
      <c r="AX62" s="100">
        <v>0</v>
      </c>
    </row>
    <row r="63" spans="2:51">
      <c r="B63" s="105" t="s">
        <v>109</v>
      </c>
      <c r="C63" s="100">
        <v>6.4615351715076116E-17</v>
      </c>
      <c r="D63" s="100">
        <v>6.4615351715076116E-17</v>
      </c>
      <c r="E63" s="100">
        <v>6.4615351715076116E-17</v>
      </c>
      <c r="F63" s="100">
        <v>6.4615351715076116E-17</v>
      </c>
      <c r="G63" s="100">
        <v>7.3232704940186251E-17</v>
      </c>
      <c r="H63" s="100">
        <v>7.3232704940186251E-17</v>
      </c>
      <c r="I63" s="100">
        <v>7.3232704940186251E-17</v>
      </c>
      <c r="J63" s="100">
        <v>7.3232704940186251E-17</v>
      </c>
      <c r="K63" s="100">
        <v>7.275709899440108E-17</v>
      </c>
      <c r="L63" s="100">
        <v>7.275709899440108E-17</v>
      </c>
      <c r="M63" s="100">
        <v>7.275709899440108E-17</v>
      </c>
      <c r="N63" s="100">
        <v>7.275709899440108E-17</v>
      </c>
      <c r="O63" s="100">
        <v>7.4209580864460851E-17</v>
      </c>
      <c r="P63" s="100">
        <v>7.4209580864460851E-17</v>
      </c>
      <c r="Q63" s="100">
        <v>7.4209580864460851E-17</v>
      </c>
      <c r="R63" s="100">
        <v>7.4209580864460851E-17</v>
      </c>
      <c r="S63" s="100">
        <v>7.5118339629237264E-17</v>
      </c>
      <c r="T63" s="100">
        <v>7.5118339629237264E-17</v>
      </c>
      <c r="U63" s="100">
        <v>7.5118339629237264E-17</v>
      </c>
      <c r="V63" s="100">
        <v>7.5118339629237264E-17</v>
      </c>
      <c r="W63" s="100">
        <v>7.6949999371378116E-17</v>
      </c>
      <c r="X63" s="100">
        <v>7.6949999371378116E-17</v>
      </c>
      <c r="Y63" s="100">
        <v>7.6949999371378116E-17</v>
      </c>
      <c r="Z63" s="100">
        <v>7.6949999371378116E-17</v>
      </c>
      <c r="AA63" s="100">
        <v>6.4988789044631357E-17</v>
      </c>
      <c r="AB63" s="100">
        <v>6.4988789044631357E-17</v>
      </c>
      <c r="AC63" s="100">
        <v>6.4988789044631357E-17</v>
      </c>
      <c r="AD63" s="100">
        <v>6.4988789044631357E-17</v>
      </c>
      <c r="AE63" s="100">
        <v>7.7655317527209618E-17</v>
      </c>
      <c r="AF63" s="100">
        <v>7.7655317527209618E-17</v>
      </c>
      <c r="AG63" s="100">
        <v>7.7655317527209618E-17</v>
      </c>
      <c r="AH63" s="100">
        <v>7.7655317527209618E-17</v>
      </c>
      <c r="AI63" s="100">
        <v>7.801698482808047E-17</v>
      </c>
      <c r="AJ63" s="100">
        <v>7.801698482808047E-17</v>
      </c>
      <c r="AK63" s="100">
        <v>7.801698482808047E-17</v>
      </c>
      <c r="AL63" s="100">
        <v>7.801698482808047E-17</v>
      </c>
      <c r="AM63" s="100">
        <v>6.4051198589545107E-17</v>
      </c>
      <c r="AN63" s="100">
        <v>6.4051198589545107E-17</v>
      </c>
      <c r="AO63" s="100">
        <v>6.4051198589545107E-17</v>
      </c>
      <c r="AP63" s="100">
        <v>6.4051198589545107E-17</v>
      </c>
      <c r="AQ63" s="100">
        <v>7.5856867875835089E-17</v>
      </c>
      <c r="AR63" s="100">
        <v>7.5856867875835089E-17</v>
      </c>
      <c r="AS63" s="100">
        <v>7.5856867875835089E-17</v>
      </c>
      <c r="AT63" s="100">
        <v>7.5856867875835089E-17</v>
      </c>
      <c r="AU63" s="100">
        <v>6.7834272692211597E-17</v>
      </c>
      <c r="AV63" s="100">
        <v>6.7834272692211597E-17</v>
      </c>
      <c r="AW63" s="100">
        <v>6.7834272692211597E-17</v>
      </c>
      <c r="AX63" s="100">
        <v>6.7834272692211597E-17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0.31838259769322552</v>
      </c>
      <c r="D67" s="100">
        <v>0.31838259769322552</v>
      </c>
      <c r="E67" s="100">
        <v>0.31838259769322552</v>
      </c>
      <c r="F67" s="100">
        <v>0.31838259769322552</v>
      </c>
      <c r="G67" s="100">
        <v>0.31838259769322552</v>
      </c>
      <c r="H67" s="100">
        <v>0.31838259769322552</v>
      </c>
      <c r="I67" s="100">
        <v>0.31838259769322552</v>
      </c>
      <c r="J67" s="100">
        <v>0.31838259769322552</v>
      </c>
      <c r="K67" s="100">
        <v>0.31838259769322552</v>
      </c>
      <c r="L67" s="100">
        <v>0.31838259769322552</v>
      </c>
      <c r="M67" s="100">
        <v>0.31838259769322552</v>
      </c>
      <c r="N67" s="100">
        <v>0.31838259769322552</v>
      </c>
    </row>
    <row r="68" spans="1:14">
      <c r="B68" s="99" t="s">
        <v>330</v>
      </c>
      <c r="C68" s="100">
        <v>0.42289503414653096</v>
      </c>
      <c r="D68" s="100">
        <v>0.42289503414653096</v>
      </c>
      <c r="E68" s="100">
        <v>0.42289503414653096</v>
      </c>
      <c r="F68" s="100">
        <v>0.42289503414653096</v>
      </c>
      <c r="G68" s="100">
        <v>0.42289503414653096</v>
      </c>
      <c r="H68" s="100">
        <v>0.42289503414653096</v>
      </c>
      <c r="I68" s="100">
        <v>0.42289503414653096</v>
      </c>
      <c r="J68" s="100">
        <v>0.42289503414653096</v>
      </c>
      <c r="K68" s="100">
        <v>0.42289503414653096</v>
      </c>
      <c r="L68" s="100">
        <v>0.42289503414653096</v>
      </c>
      <c r="M68" s="100">
        <v>0.42289503414653096</v>
      </c>
      <c r="N68" s="100">
        <v>0.42289503414653096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19.676759674086981</v>
      </c>
      <c r="D72" s="100">
        <v>42.403896960585215</v>
      </c>
      <c r="E72" s="100">
        <v>72.324928134470639</v>
      </c>
    </row>
    <row r="73" spans="1:14">
      <c r="B73" s="105" t="s">
        <v>93</v>
      </c>
      <c r="C73" s="100">
        <v>19.676759674086981</v>
      </c>
      <c r="D73" s="100">
        <v>42.403896960585215</v>
      </c>
      <c r="E73" s="100">
        <v>72.324928134470639</v>
      </c>
    </row>
    <row r="74" spans="1:14">
      <c r="B74" s="105" t="s">
        <v>94</v>
      </c>
      <c r="C74" s="100">
        <v>19.676759674086981</v>
      </c>
      <c r="D74" s="100">
        <v>42.403896960585215</v>
      </c>
      <c r="E74" s="100">
        <v>72.324928134470639</v>
      </c>
    </row>
    <row r="75" spans="1:14">
      <c r="B75" s="105" t="s">
        <v>95</v>
      </c>
      <c r="C75" s="100">
        <v>19.676759674086981</v>
      </c>
      <c r="D75" s="100">
        <v>42.403896960585215</v>
      </c>
      <c r="E75" s="100">
        <v>72.324928134470639</v>
      </c>
    </row>
    <row r="76" spans="1:14">
      <c r="B76" s="105" t="s">
        <v>96</v>
      </c>
      <c r="C76" s="100">
        <v>19.676759674086981</v>
      </c>
      <c r="D76" s="100">
        <v>42.403896960585215</v>
      </c>
      <c r="E76" s="100">
        <v>72.324928134470639</v>
      </c>
    </row>
    <row r="77" spans="1:14">
      <c r="B77" s="105" t="s">
        <v>97</v>
      </c>
      <c r="C77" s="100">
        <v>19.676759674086981</v>
      </c>
      <c r="D77" s="100">
        <v>42.403896960585215</v>
      </c>
      <c r="E77" s="100">
        <v>72.324928134470639</v>
      </c>
    </row>
    <row r="78" spans="1:14">
      <c r="B78" s="105" t="s">
        <v>98</v>
      </c>
      <c r="C78" s="100">
        <v>19.676759674086981</v>
      </c>
      <c r="D78" s="100">
        <v>42.403896960585215</v>
      </c>
      <c r="E78" s="100">
        <v>72.324928134470639</v>
      </c>
    </row>
    <row r="79" spans="1:14">
      <c r="B79" s="105" t="s">
        <v>99</v>
      </c>
      <c r="C79" s="100">
        <v>19.676759674086981</v>
      </c>
      <c r="D79" s="100">
        <v>42.403896960585215</v>
      </c>
      <c r="E79" s="100">
        <v>72.324928134470639</v>
      </c>
    </row>
    <row r="80" spans="1:14">
      <c r="B80" s="105" t="s">
        <v>100</v>
      </c>
      <c r="C80" s="100">
        <v>19.676759674086981</v>
      </c>
      <c r="D80" s="100">
        <v>42.403896960585215</v>
      </c>
      <c r="E80" s="100">
        <v>72.324928134470639</v>
      </c>
    </row>
    <row r="81" spans="2:50">
      <c r="B81" s="105" t="s">
        <v>101</v>
      </c>
      <c r="C81" s="100">
        <v>19.676759674086981</v>
      </c>
      <c r="D81" s="100">
        <v>42.403896960585215</v>
      </c>
      <c r="E81" s="100">
        <v>72.324928134470639</v>
      </c>
    </row>
    <row r="82" spans="2:50">
      <c r="B82" s="105" t="s">
        <v>102</v>
      </c>
      <c r="C82" s="100">
        <v>19.676759674086981</v>
      </c>
      <c r="D82" s="100">
        <v>42.403896960585215</v>
      </c>
      <c r="E82" s="100">
        <v>72.324928134470639</v>
      </c>
    </row>
    <row r="83" spans="2:50">
      <c r="B83" s="105" t="s">
        <v>103</v>
      </c>
      <c r="C83" s="100">
        <v>19.676759674086981</v>
      </c>
      <c r="D83" s="100">
        <v>42.403896960585215</v>
      </c>
      <c r="E83" s="100">
        <v>72.324928134470639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2715.2355771664252</v>
      </c>
      <c r="D88" s="100">
        <f>D48+$C$67/4</f>
        <v>2715.2355771664252</v>
      </c>
      <c r="E88" s="100">
        <f>E48+$C$67/4</f>
        <v>2715.2355771664252</v>
      </c>
      <c r="F88" s="100">
        <f>F48+$C$67/4</f>
        <v>2715.2355771664252</v>
      </c>
      <c r="G88" s="100">
        <f>G48+$D$67/4</f>
        <v>3258.2667734698252</v>
      </c>
      <c r="H88" s="100">
        <f>H48+$D$67/4</f>
        <v>3258.2667734698252</v>
      </c>
      <c r="I88" s="100">
        <f>I48+$D$67/4</f>
        <v>3258.2667734698252</v>
      </c>
      <c r="J88" s="100">
        <f>J48+$D$67/4</f>
        <v>3258.2667734698252</v>
      </c>
      <c r="K88" s="100">
        <f>K48+$E$67/4</f>
        <v>3258.2667734698252</v>
      </c>
      <c r="L88" s="100">
        <f>L48+$E$67/4</f>
        <v>3258.2667734698252</v>
      </c>
      <c r="M88" s="100">
        <f>M48+$E$67/4</f>
        <v>3258.2667734698252</v>
      </c>
      <c r="N88" s="100">
        <f>N48+$E$67/4</f>
        <v>3258.2667734698252</v>
      </c>
      <c r="O88" s="100">
        <f>O48+$F$67/4</f>
        <v>7.959564942330638E-2</v>
      </c>
      <c r="P88" s="100">
        <f>P48+$F$67/4</f>
        <v>7.959564942330638E-2</v>
      </c>
      <c r="Q88" s="100">
        <f>Q48+$F$67/4</f>
        <v>7.959564942330638E-2</v>
      </c>
      <c r="R88" s="100">
        <f>R48+$F$67/4</f>
        <v>7.959564942330638E-2</v>
      </c>
      <c r="S88" s="100">
        <f>S48+$G$67/4</f>
        <v>2715.2355771664252</v>
      </c>
      <c r="T88" s="100">
        <f>T48+$G$67/4</f>
        <v>2715.2355771664252</v>
      </c>
      <c r="U88" s="100">
        <f>U48+$G$67/4</f>
        <v>2715.2355771664252</v>
      </c>
      <c r="V88" s="100">
        <f>V48+$G$67/4</f>
        <v>2715.2355771664252</v>
      </c>
      <c r="W88" s="100">
        <f>W48+$H$67/4</f>
        <v>2715.2355771664252</v>
      </c>
      <c r="X88" s="100">
        <f>X48+$H$67/4</f>
        <v>2715.2355771664252</v>
      </c>
      <c r="Y88" s="100">
        <f>Y48+$H$67/4</f>
        <v>2715.2355771664252</v>
      </c>
      <c r="Z88" s="100">
        <f>Z48+$H$67/4</f>
        <v>2715.2355771664252</v>
      </c>
      <c r="AA88" s="100">
        <f>AA48+$I$67/4</f>
        <v>2715.2355771664252</v>
      </c>
      <c r="AB88" s="100">
        <f>AB48+$I$67/4</f>
        <v>2715.2355771664252</v>
      </c>
      <c r="AC88" s="100">
        <f>AC48+$I$67/4</f>
        <v>2715.2355771664252</v>
      </c>
      <c r="AD88" s="100">
        <f>AD48+$I$67/4</f>
        <v>2715.2355771664252</v>
      </c>
      <c r="AE88" s="100">
        <f>AE48+$J$67/4</f>
        <v>2715.2355771664252</v>
      </c>
      <c r="AF88" s="100">
        <f>AF48+$J$67/4</f>
        <v>2715.2355771664252</v>
      </c>
      <c r="AG88" s="100">
        <f>AG48+$J$67/4</f>
        <v>2715.2355771664252</v>
      </c>
      <c r="AH88" s="100">
        <f>AH48+$J$67/4</f>
        <v>2715.2355771664252</v>
      </c>
      <c r="AI88" s="100">
        <f>AI48+$K$67/4</f>
        <v>2715.2355771664252</v>
      </c>
      <c r="AJ88" s="100">
        <f>AJ48+$K$67/4</f>
        <v>2715.2355771664252</v>
      </c>
      <c r="AK88" s="100">
        <f>AK48+$K$67/4</f>
        <v>2715.2355771664252</v>
      </c>
      <c r="AL88" s="100">
        <f>AL48+$K$67/4</f>
        <v>2715.2355771664252</v>
      </c>
      <c r="AM88" s="100">
        <f>AM48+$L$67/4</f>
        <v>2715.2355771664252</v>
      </c>
      <c r="AN88" s="100">
        <f>AN48+$L$67/4</f>
        <v>2715.2355771664252</v>
      </c>
      <c r="AO88" s="100">
        <f>AO48+$L$67/4</f>
        <v>2715.2355771664252</v>
      </c>
      <c r="AP88" s="100">
        <f>AP48+$L$67/4</f>
        <v>2715.2355771664252</v>
      </c>
      <c r="AQ88" s="100">
        <f>AQ48+$M$67/4</f>
        <v>2715.2355771664252</v>
      </c>
      <c r="AR88" s="100">
        <f>AR48+$M$67/4</f>
        <v>2715.2355771664252</v>
      </c>
      <c r="AS88" s="100">
        <f>AS48+$M$67/4</f>
        <v>2715.2355771664252</v>
      </c>
      <c r="AT88" s="100">
        <f>AT48+$M$67/4</f>
        <v>2715.2355771664252</v>
      </c>
      <c r="AU88" s="100">
        <f>AU48+$N$67/4</f>
        <v>2715.2355771664252</v>
      </c>
      <c r="AV88" s="100">
        <f>AV48+$N$67/4</f>
        <v>2715.2355771664252</v>
      </c>
      <c r="AW88" s="100">
        <f>AW48+$N$67/4</f>
        <v>2715.2355771664252</v>
      </c>
      <c r="AX88" s="100">
        <f>AX48+$N$67/4</f>
        <v>2715.2355771664252</v>
      </c>
    </row>
    <row r="89" spans="2:50">
      <c r="B89" s="99" t="s">
        <v>105</v>
      </c>
      <c r="C89" s="100">
        <f>C49</f>
        <v>5.3010178943021047E-20</v>
      </c>
      <c r="D89" s="100">
        <f t="shared" ref="D89:AX93" si="3">D49</f>
        <v>5.3010178943021047E-20</v>
      </c>
      <c r="E89" s="100">
        <f t="shared" si="3"/>
        <v>5.3010178943021047E-20</v>
      </c>
      <c r="F89" s="100">
        <f t="shared" si="3"/>
        <v>5.3010178943021047E-20</v>
      </c>
      <c r="G89" s="100">
        <f t="shared" si="3"/>
        <v>5.3010178943021047E-20</v>
      </c>
      <c r="H89" s="100">
        <f t="shared" si="3"/>
        <v>5.3010178943021047E-20</v>
      </c>
      <c r="I89" s="100">
        <f t="shared" si="3"/>
        <v>5.3010178943021047E-20</v>
      </c>
      <c r="J89" s="100">
        <f t="shared" si="3"/>
        <v>5.3010178943021047E-20</v>
      </c>
      <c r="K89" s="100">
        <f t="shared" si="3"/>
        <v>5.3010178943021047E-20</v>
      </c>
      <c r="L89" s="100">
        <f t="shared" si="3"/>
        <v>5.3010178943021047E-20</v>
      </c>
      <c r="M89" s="100">
        <f t="shared" si="3"/>
        <v>5.3010178943021047E-20</v>
      </c>
      <c r="N89" s="100">
        <f t="shared" si="3"/>
        <v>5.3010178943021047E-20</v>
      </c>
      <c r="O89" s="100">
        <f t="shared" si="3"/>
        <v>5.3010178943021047E-20</v>
      </c>
      <c r="P89" s="100">
        <f t="shared" si="3"/>
        <v>5.3010178943021047E-20</v>
      </c>
      <c r="Q89" s="100">
        <f t="shared" si="3"/>
        <v>5.3010178943021047E-20</v>
      </c>
      <c r="R89" s="100">
        <f t="shared" si="3"/>
        <v>5.3010178943021047E-20</v>
      </c>
      <c r="S89" s="100">
        <f t="shared" si="3"/>
        <v>5.3010178943021047E-20</v>
      </c>
      <c r="T89" s="100">
        <f t="shared" si="3"/>
        <v>5.3010178943021047E-20</v>
      </c>
      <c r="U89" s="100">
        <f t="shared" si="3"/>
        <v>5.3010178943021047E-20</v>
      </c>
      <c r="V89" s="100">
        <f t="shared" si="3"/>
        <v>5.3010178943021047E-20</v>
      </c>
      <c r="W89" s="100">
        <f t="shared" si="3"/>
        <v>5.3010178943021047E-20</v>
      </c>
      <c r="X89" s="100">
        <f t="shared" si="3"/>
        <v>5.3010178943021047E-20</v>
      </c>
      <c r="Y89" s="100">
        <f t="shared" si="3"/>
        <v>5.3010178943021047E-20</v>
      </c>
      <c r="Z89" s="100">
        <f t="shared" si="3"/>
        <v>5.3010178943021047E-20</v>
      </c>
      <c r="AA89" s="100">
        <f t="shared" si="3"/>
        <v>5.3010178943021047E-20</v>
      </c>
      <c r="AB89" s="100">
        <f t="shared" si="3"/>
        <v>5.3010178943021047E-20</v>
      </c>
      <c r="AC89" s="100">
        <f t="shared" si="3"/>
        <v>5.3010178943021047E-20</v>
      </c>
      <c r="AD89" s="100">
        <f t="shared" si="3"/>
        <v>5.3010178943021047E-20</v>
      </c>
      <c r="AE89" s="100">
        <f t="shared" si="3"/>
        <v>5.3010178943021047E-20</v>
      </c>
      <c r="AF89" s="100">
        <f t="shared" si="3"/>
        <v>5.3010178943021047E-20</v>
      </c>
      <c r="AG89" s="100">
        <f t="shared" si="3"/>
        <v>5.3010178943021047E-20</v>
      </c>
      <c r="AH89" s="100">
        <f t="shared" si="3"/>
        <v>5.3010178943021047E-20</v>
      </c>
      <c r="AI89" s="100">
        <f t="shared" si="3"/>
        <v>5.3010178943021047E-20</v>
      </c>
      <c r="AJ89" s="100">
        <f t="shared" si="3"/>
        <v>5.3010178943021047E-20</v>
      </c>
      <c r="AK89" s="100">
        <f t="shared" si="3"/>
        <v>5.3010178943021047E-20</v>
      </c>
      <c r="AL89" s="100">
        <f t="shared" si="3"/>
        <v>5.3010178943021047E-20</v>
      </c>
      <c r="AM89" s="100">
        <f t="shared" si="3"/>
        <v>5.3010178943021047E-20</v>
      </c>
      <c r="AN89" s="100">
        <f t="shared" si="3"/>
        <v>5.3010178943021047E-20</v>
      </c>
      <c r="AO89" s="100">
        <f t="shared" si="3"/>
        <v>5.3010178943021047E-20</v>
      </c>
      <c r="AP89" s="100">
        <f t="shared" si="3"/>
        <v>5.3010178943021047E-20</v>
      </c>
      <c r="AQ89" s="100">
        <f t="shared" si="3"/>
        <v>5.3010178943021047E-20</v>
      </c>
      <c r="AR89" s="100">
        <f t="shared" si="3"/>
        <v>5.3010178943021047E-20</v>
      </c>
      <c r="AS89" s="100">
        <f t="shared" si="3"/>
        <v>5.3010178943021047E-20</v>
      </c>
      <c r="AT89" s="100">
        <f t="shared" si="3"/>
        <v>5.3010178943021047E-20</v>
      </c>
      <c r="AU89" s="100">
        <f t="shared" si="3"/>
        <v>5.3010178943021047E-20</v>
      </c>
      <c r="AV89" s="100">
        <f t="shared" si="3"/>
        <v>5.3010178943021047E-20</v>
      </c>
      <c r="AW89" s="100">
        <f t="shared" si="3"/>
        <v>5.3010178943021047E-20</v>
      </c>
      <c r="AX89" s="100">
        <f t="shared" si="3"/>
        <v>5.3010178943021047E-20</v>
      </c>
    </row>
    <row r="90" spans="2:50">
      <c r="B90" s="99" t="s">
        <v>106</v>
      </c>
      <c r="C90" s="100">
        <f t="shared" ref="C90:R93" si="4">C50</f>
        <v>140</v>
      </c>
      <c r="D90" s="100">
        <f t="shared" si="4"/>
        <v>140</v>
      </c>
      <c r="E90" s="100">
        <f t="shared" si="4"/>
        <v>140</v>
      </c>
      <c r="F90" s="100">
        <f t="shared" si="4"/>
        <v>140</v>
      </c>
      <c r="G90" s="100">
        <f t="shared" si="4"/>
        <v>112</v>
      </c>
      <c r="H90" s="100">
        <f t="shared" si="4"/>
        <v>112</v>
      </c>
      <c r="I90" s="100">
        <f t="shared" si="4"/>
        <v>112</v>
      </c>
      <c r="J90" s="100">
        <f t="shared" si="4"/>
        <v>112</v>
      </c>
      <c r="K90" s="100">
        <f t="shared" si="4"/>
        <v>140</v>
      </c>
      <c r="L90" s="100">
        <f t="shared" si="4"/>
        <v>140</v>
      </c>
      <c r="M90" s="100">
        <f t="shared" si="4"/>
        <v>140</v>
      </c>
      <c r="N90" s="100">
        <f t="shared" si="4"/>
        <v>140</v>
      </c>
      <c r="O90" s="100">
        <f t="shared" si="4"/>
        <v>140</v>
      </c>
      <c r="P90" s="100">
        <f t="shared" si="4"/>
        <v>140</v>
      </c>
      <c r="Q90" s="100">
        <f t="shared" si="4"/>
        <v>140</v>
      </c>
      <c r="R90" s="100">
        <f t="shared" si="4"/>
        <v>140</v>
      </c>
      <c r="S90" s="100">
        <f t="shared" si="3"/>
        <v>140</v>
      </c>
      <c r="T90" s="100">
        <f t="shared" si="3"/>
        <v>140</v>
      </c>
      <c r="U90" s="100">
        <f t="shared" si="3"/>
        <v>140</v>
      </c>
      <c r="V90" s="100">
        <f t="shared" si="3"/>
        <v>140</v>
      </c>
      <c r="W90" s="100">
        <f t="shared" si="3"/>
        <v>140</v>
      </c>
      <c r="X90" s="100">
        <f t="shared" si="3"/>
        <v>140</v>
      </c>
      <c r="Y90" s="100">
        <f t="shared" si="3"/>
        <v>140</v>
      </c>
      <c r="Z90" s="100">
        <f t="shared" si="3"/>
        <v>140</v>
      </c>
      <c r="AA90" s="100">
        <f t="shared" si="3"/>
        <v>140</v>
      </c>
      <c r="AB90" s="100">
        <f t="shared" si="3"/>
        <v>140</v>
      </c>
      <c r="AC90" s="100">
        <f t="shared" si="3"/>
        <v>140</v>
      </c>
      <c r="AD90" s="100">
        <f t="shared" si="3"/>
        <v>140</v>
      </c>
      <c r="AE90" s="100">
        <f t="shared" si="3"/>
        <v>140</v>
      </c>
      <c r="AF90" s="100">
        <f t="shared" si="3"/>
        <v>140</v>
      </c>
      <c r="AG90" s="100">
        <f t="shared" si="3"/>
        <v>140</v>
      </c>
      <c r="AH90" s="100">
        <f t="shared" si="3"/>
        <v>140</v>
      </c>
      <c r="AI90" s="100">
        <f t="shared" si="3"/>
        <v>140</v>
      </c>
      <c r="AJ90" s="100">
        <f t="shared" si="3"/>
        <v>140</v>
      </c>
      <c r="AK90" s="100">
        <f t="shared" si="3"/>
        <v>140</v>
      </c>
      <c r="AL90" s="100">
        <f t="shared" si="3"/>
        <v>140</v>
      </c>
      <c r="AM90" s="100">
        <f t="shared" si="3"/>
        <v>140</v>
      </c>
      <c r="AN90" s="100">
        <f t="shared" si="3"/>
        <v>140</v>
      </c>
      <c r="AO90" s="100">
        <f t="shared" si="3"/>
        <v>140</v>
      </c>
      <c r="AP90" s="100">
        <f t="shared" si="3"/>
        <v>140</v>
      </c>
      <c r="AQ90" s="100">
        <f t="shared" si="3"/>
        <v>140</v>
      </c>
      <c r="AR90" s="100">
        <f t="shared" si="3"/>
        <v>140</v>
      </c>
      <c r="AS90" s="100">
        <f t="shared" si="3"/>
        <v>140</v>
      </c>
      <c r="AT90" s="100">
        <f t="shared" si="3"/>
        <v>140</v>
      </c>
      <c r="AU90" s="100">
        <f t="shared" si="3"/>
        <v>140</v>
      </c>
      <c r="AV90" s="100">
        <f t="shared" si="3"/>
        <v>140</v>
      </c>
      <c r="AW90" s="100">
        <f t="shared" si="3"/>
        <v>140</v>
      </c>
      <c r="AX90" s="100">
        <f t="shared" si="3"/>
        <v>140</v>
      </c>
    </row>
    <row r="91" spans="2:50">
      <c r="B91" s="99" t="s">
        <v>107</v>
      </c>
      <c r="C91" s="100">
        <f t="shared" si="4"/>
        <v>631.99999999999682</v>
      </c>
      <c r="D91" s="100">
        <f t="shared" si="3"/>
        <v>631.99999999999682</v>
      </c>
      <c r="E91" s="100">
        <f t="shared" si="3"/>
        <v>631.99999999999682</v>
      </c>
      <c r="F91" s="100">
        <f t="shared" si="3"/>
        <v>631.99999999999682</v>
      </c>
      <c r="G91" s="100">
        <f t="shared" si="3"/>
        <v>789.99999999999591</v>
      </c>
      <c r="H91" s="100">
        <f t="shared" si="3"/>
        <v>789.99999999999591</v>
      </c>
      <c r="I91" s="100">
        <f t="shared" si="3"/>
        <v>789.99999999999591</v>
      </c>
      <c r="J91" s="100">
        <f t="shared" si="3"/>
        <v>789.99999999999591</v>
      </c>
      <c r="K91" s="100">
        <f t="shared" si="3"/>
        <v>789.99999999999591</v>
      </c>
      <c r="L91" s="100">
        <f t="shared" si="3"/>
        <v>789.99999999999591</v>
      </c>
      <c r="M91" s="100">
        <f t="shared" si="3"/>
        <v>789.99999999999591</v>
      </c>
      <c r="N91" s="100">
        <f t="shared" si="3"/>
        <v>789.99999999999591</v>
      </c>
      <c r="O91" s="100">
        <f t="shared" si="3"/>
        <v>789.99999999999591</v>
      </c>
      <c r="P91" s="100">
        <f t="shared" si="3"/>
        <v>789.99999999999591</v>
      </c>
      <c r="Q91" s="100">
        <f t="shared" si="3"/>
        <v>789.99999999999591</v>
      </c>
      <c r="R91" s="100">
        <f t="shared" si="3"/>
        <v>789.99999999999591</v>
      </c>
      <c r="S91" s="100">
        <f t="shared" si="3"/>
        <v>789.99999999999591</v>
      </c>
      <c r="T91" s="100">
        <f t="shared" si="3"/>
        <v>789.99999999999591</v>
      </c>
      <c r="U91" s="100">
        <f t="shared" si="3"/>
        <v>789.99999999999591</v>
      </c>
      <c r="V91" s="100">
        <f t="shared" si="3"/>
        <v>789.99999999999591</v>
      </c>
      <c r="W91" s="100">
        <f t="shared" si="3"/>
        <v>631.99999999999682</v>
      </c>
      <c r="X91" s="100">
        <f t="shared" si="3"/>
        <v>631.99999999999682</v>
      </c>
      <c r="Y91" s="100">
        <f t="shared" si="3"/>
        <v>631.99999999999682</v>
      </c>
      <c r="Z91" s="100">
        <f t="shared" si="3"/>
        <v>315.63716357899466</v>
      </c>
      <c r="AA91" s="100">
        <f t="shared" si="3"/>
        <v>789.99999999999591</v>
      </c>
      <c r="AB91" s="100">
        <f t="shared" si="3"/>
        <v>789.99999999999591</v>
      </c>
      <c r="AC91" s="100">
        <f t="shared" si="3"/>
        <v>317.52936370086377</v>
      </c>
      <c r="AD91" s="100">
        <f t="shared" si="3"/>
        <v>789.99999999999591</v>
      </c>
      <c r="AE91" s="100">
        <f t="shared" si="3"/>
        <v>789.99999999999591</v>
      </c>
      <c r="AF91" s="100">
        <f t="shared" si="3"/>
        <v>789.99999999999591</v>
      </c>
      <c r="AG91" s="100">
        <f t="shared" si="3"/>
        <v>789.99999999999591</v>
      </c>
      <c r="AH91" s="100">
        <f t="shared" si="3"/>
        <v>789.99999999999591</v>
      </c>
      <c r="AI91" s="100">
        <f t="shared" si="3"/>
        <v>631.99999999999682</v>
      </c>
      <c r="AJ91" s="100">
        <f t="shared" si="3"/>
        <v>321.84968761252844</v>
      </c>
      <c r="AK91" s="100">
        <f t="shared" si="3"/>
        <v>322.45457628873072</v>
      </c>
      <c r="AL91" s="100">
        <f t="shared" si="3"/>
        <v>631.99999999999682</v>
      </c>
      <c r="AM91" s="100">
        <f t="shared" si="3"/>
        <v>789.99999999999591</v>
      </c>
      <c r="AN91" s="100">
        <f t="shared" si="3"/>
        <v>789.99999999999591</v>
      </c>
      <c r="AO91" s="100">
        <f t="shared" si="3"/>
        <v>789.99999999999591</v>
      </c>
      <c r="AP91" s="100">
        <f t="shared" si="3"/>
        <v>789.99999999999591</v>
      </c>
      <c r="AQ91" s="100">
        <f t="shared" si="3"/>
        <v>789.99999999999591</v>
      </c>
      <c r="AR91" s="100">
        <f t="shared" si="3"/>
        <v>789.99999999999591</v>
      </c>
      <c r="AS91" s="100">
        <f t="shared" si="3"/>
        <v>789.99999999999591</v>
      </c>
      <c r="AT91" s="100">
        <f t="shared" si="3"/>
        <v>789.99999999999591</v>
      </c>
      <c r="AU91" s="100">
        <f t="shared" si="3"/>
        <v>789.99999999999591</v>
      </c>
      <c r="AV91" s="100">
        <f t="shared" si="3"/>
        <v>789.99999999999591</v>
      </c>
      <c r="AW91" s="100">
        <f t="shared" si="3"/>
        <v>789.99999999999591</v>
      </c>
      <c r="AX91" s="100">
        <f t="shared" si="3"/>
        <v>789.99999999999591</v>
      </c>
    </row>
    <row r="92" spans="2:50">
      <c r="B92" s="99" t="s">
        <v>108</v>
      </c>
      <c r="C92" s="100">
        <f t="shared" si="4"/>
        <v>2.5278861886126041E-20</v>
      </c>
      <c r="D92" s="100">
        <f t="shared" si="4"/>
        <v>2.5278861886126041E-20</v>
      </c>
      <c r="E92" s="100">
        <f t="shared" si="4"/>
        <v>2.5278861886126041E-20</v>
      </c>
      <c r="F92" s="100">
        <f t="shared" si="4"/>
        <v>2.5278861886126041E-20</v>
      </c>
      <c r="G92" s="100">
        <f t="shared" si="4"/>
        <v>2.5278861886126041E-20</v>
      </c>
      <c r="H92" s="100">
        <f t="shared" si="4"/>
        <v>2.5278861886126041E-20</v>
      </c>
      <c r="I92" s="100">
        <f t="shared" si="4"/>
        <v>2.5278861886126041E-20</v>
      </c>
      <c r="J92" s="100">
        <f t="shared" si="4"/>
        <v>2.5278861886126041E-20</v>
      </c>
      <c r="K92" s="100">
        <f t="shared" si="4"/>
        <v>0</v>
      </c>
      <c r="L92" s="100">
        <f t="shared" si="4"/>
        <v>0</v>
      </c>
      <c r="M92" s="100">
        <f t="shared" si="4"/>
        <v>0</v>
      </c>
      <c r="N92" s="100">
        <f t="shared" si="4"/>
        <v>0</v>
      </c>
      <c r="O92" s="100">
        <f t="shared" si="4"/>
        <v>2.5278861886126041E-20</v>
      </c>
      <c r="P92" s="100">
        <f t="shared" si="4"/>
        <v>2.5278861886126041E-20</v>
      </c>
      <c r="Q92" s="100">
        <f t="shared" si="4"/>
        <v>2.5278861886126041E-20</v>
      </c>
      <c r="R92" s="100">
        <f t="shared" si="4"/>
        <v>2.5278861886126041E-20</v>
      </c>
      <c r="S92" s="100">
        <f t="shared" si="3"/>
        <v>0</v>
      </c>
      <c r="T92" s="100">
        <f t="shared" si="3"/>
        <v>0</v>
      </c>
      <c r="U92" s="100">
        <f t="shared" si="3"/>
        <v>0</v>
      </c>
      <c r="V92" s="100">
        <f t="shared" si="3"/>
        <v>0</v>
      </c>
      <c r="W92" s="100">
        <f t="shared" si="3"/>
        <v>2.5278861886126041E-20</v>
      </c>
      <c r="X92" s="100">
        <f t="shared" si="3"/>
        <v>2.5278861886126041E-20</v>
      </c>
      <c r="Y92" s="100">
        <f t="shared" si="3"/>
        <v>2.5278861886126041E-20</v>
      </c>
      <c r="Z92" s="100">
        <f t="shared" si="3"/>
        <v>2.5278861886126041E-20</v>
      </c>
      <c r="AA92" s="100">
        <f t="shared" si="3"/>
        <v>0</v>
      </c>
      <c r="AB92" s="100">
        <f t="shared" si="3"/>
        <v>0</v>
      </c>
      <c r="AC92" s="100">
        <f t="shared" si="3"/>
        <v>0</v>
      </c>
      <c r="AD92" s="100">
        <f t="shared" si="3"/>
        <v>0</v>
      </c>
      <c r="AE92" s="100">
        <f t="shared" si="3"/>
        <v>0</v>
      </c>
      <c r="AF92" s="100">
        <f t="shared" si="3"/>
        <v>0</v>
      </c>
      <c r="AG92" s="100">
        <f t="shared" si="3"/>
        <v>0</v>
      </c>
      <c r="AH92" s="100">
        <f t="shared" si="3"/>
        <v>0</v>
      </c>
      <c r="AI92" s="100">
        <f t="shared" si="3"/>
        <v>0</v>
      </c>
      <c r="AJ92" s="100">
        <f t="shared" si="3"/>
        <v>0</v>
      </c>
      <c r="AK92" s="100">
        <f t="shared" si="3"/>
        <v>0</v>
      </c>
      <c r="AL92" s="100">
        <f t="shared" si="3"/>
        <v>0</v>
      </c>
      <c r="AM92" s="100">
        <f t="shared" si="3"/>
        <v>0</v>
      </c>
      <c r="AN92" s="100">
        <f t="shared" si="3"/>
        <v>0</v>
      </c>
      <c r="AO92" s="100">
        <f t="shared" si="3"/>
        <v>0</v>
      </c>
      <c r="AP92" s="100">
        <f t="shared" si="3"/>
        <v>0</v>
      </c>
      <c r="AQ92" s="100">
        <f t="shared" si="3"/>
        <v>0</v>
      </c>
      <c r="AR92" s="100">
        <f t="shared" si="3"/>
        <v>0</v>
      </c>
      <c r="AS92" s="100">
        <f t="shared" si="3"/>
        <v>0</v>
      </c>
      <c r="AT92" s="100">
        <f t="shared" si="3"/>
        <v>0</v>
      </c>
      <c r="AU92" s="100">
        <f t="shared" si="3"/>
        <v>0</v>
      </c>
      <c r="AV92" s="100">
        <f t="shared" si="3"/>
        <v>0</v>
      </c>
      <c r="AW92" s="100">
        <f t="shared" si="3"/>
        <v>0</v>
      </c>
      <c r="AX92" s="100">
        <f t="shared" si="3"/>
        <v>0</v>
      </c>
    </row>
    <row r="93" spans="2:50">
      <c r="B93" s="99" t="s">
        <v>109</v>
      </c>
      <c r="C93" s="100">
        <f t="shared" si="4"/>
        <v>4.2415996309960964E-20</v>
      </c>
      <c r="D93" s="100">
        <f t="shared" si="4"/>
        <v>4.2415996309960964E-20</v>
      </c>
      <c r="E93" s="100">
        <f t="shared" si="4"/>
        <v>4.2415996309960964E-20</v>
      </c>
      <c r="F93" s="100">
        <f t="shared" si="4"/>
        <v>4.2415996309960964E-20</v>
      </c>
      <c r="G93" s="100">
        <f t="shared" si="4"/>
        <v>5.3019995387451204E-20</v>
      </c>
      <c r="H93" s="100">
        <f t="shared" si="4"/>
        <v>5.3019995387451204E-20</v>
      </c>
      <c r="I93" s="100">
        <f t="shared" si="4"/>
        <v>5.3019995387451204E-20</v>
      </c>
      <c r="J93" s="100">
        <f t="shared" si="4"/>
        <v>5.3019995387451204E-20</v>
      </c>
      <c r="K93" s="100">
        <f t="shared" si="4"/>
        <v>5.3019995387451204E-20</v>
      </c>
      <c r="L93" s="100">
        <f t="shared" si="4"/>
        <v>5.3019995387451204E-20</v>
      </c>
      <c r="M93" s="100">
        <f t="shared" si="4"/>
        <v>5.3019995387451204E-20</v>
      </c>
      <c r="N93" s="100">
        <f t="shared" si="4"/>
        <v>5.3019995387451204E-20</v>
      </c>
      <c r="O93" s="100">
        <f t="shared" si="4"/>
        <v>5.3019995387451204E-20</v>
      </c>
      <c r="P93" s="100">
        <f t="shared" si="4"/>
        <v>5.3019995387451204E-20</v>
      </c>
      <c r="Q93" s="100">
        <f t="shared" si="4"/>
        <v>5.3019995387451204E-20</v>
      </c>
      <c r="R93" s="100">
        <f t="shared" si="4"/>
        <v>5.3019995387451204E-20</v>
      </c>
      <c r="S93" s="100">
        <f t="shared" si="3"/>
        <v>5.3019995387451204E-20</v>
      </c>
      <c r="T93" s="100">
        <f t="shared" si="3"/>
        <v>5.3019995387451204E-20</v>
      </c>
      <c r="U93" s="100">
        <f t="shared" si="3"/>
        <v>5.3019995387451204E-20</v>
      </c>
      <c r="V93" s="100">
        <f t="shared" si="3"/>
        <v>5.3019995387451204E-20</v>
      </c>
      <c r="W93" s="100">
        <f t="shared" si="3"/>
        <v>5.3019995387451204E-20</v>
      </c>
      <c r="X93" s="100">
        <f t="shared" si="3"/>
        <v>5.3019995387451204E-20</v>
      </c>
      <c r="Y93" s="100">
        <f t="shared" si="3"/>
        <v>5.3019995387451204E-20</v>
      </c>
      <c r="Z93" s="100">
        <f t="shared" si="3"/>
        <v>5.3019995387451204E-20</v>
      </c>
      <c r="AA93" s="100">
        <f t="shared" si="3"/>
        <v>4.2415996309960964E-20</v>
      </c>
      <c r="AB93" s="100">
        <f t="shared" si="3"/>
        <v>4.2415996309960964E-20</v>
      </c>
      <c r="AC93" s="100">
        <f t="shared" si="3"/>
        <v>4.2415996309960964E-20</v>
      </c>
      <c r="AD93" s="100">
        <f t="shared" si="3"/>
        <v>4.2415996309960964E-20</v>
      </c>
      <c r="AE93" s="100">
        <f t="shared" si="3"/>
        <v>5.3019995387451204E-20</v>
      </c>
      <c r="AF93" s="100">
        <f t="shared" si="3"/>
        <v>5.3019995387451204E-20</v>
      </c>
      <c r="AG93" s="100">
        <f t="shared" si="3"/>
        <v>5.3019995387451204E-20</v>
      </c>
      <c r="AH93" s="100">
        <f t="shared" si="3"/>
        <v>5.3019995387451204E-20</v>
      </c>
      <c r="AI93" s="100">
        <f t="shared" si="3"/>
        <v>5.3019995387451204E-20</v>
      </c>
      <c r="AJ93" s="100">
        <f t="shared" si="3"/>
        <v>5.3019995387451204E-20</v>
      </c>
      <c r="AK93" s="100">
        <f t="shared" si="3"/>
        <v>5.3019995387451204E-20</v>
      </c>
      <c r="AL93" s="100">
        <f t="shared" si="3"/>
        <v>5.3019995387451204E-20</v>
      </c>
      <c r="AM93" s="100">
        <f t="shared" si="3"/>
        <v>4.2415996309960964E-20</v>
      </c>
      <c r="AN93" s="100">
        <f t="shared" si="3"/>
        <v>4.2415996309960964E-20</v>
      </c>
      <c r="AO93" s="100">
        <f t="shared" si="3"/>
        <v>4.2415996309960964E-20</v>
      </c>
      <c r="AP93" s="100">
        <f t="shared" si="3"/>
        <v>4.2415996309960964E-20</v>
      </c>
      <c r="AQ93" s="100">
        <f t="shared" si="3"/>
        <v>5.3019995387451204E-20</v>
      </c>
      <c r="AR93" s="100">
        <f t="shared" si="3"/>
        <v>5.3019995387451204E-20</v>
      </c>
      <c r="AS93" s="100">
        <f t="shared" si="3"/>
        <v>5.3019995387451204E-20</v>
      </c>
      <c r="AT93" s="100">
        <f t="shared" si="3"/>
        <v>5.3019995387451204E-20</v>
      </c>
      <c r="AU93" s="100">
        <f t="shared" si="3"/>
        <v>4.2415996309960964E-20</v>
      </c>
      <c r="AV93" s="100">
        <f t="shared" si="3"/>
        <v>4.2415996309960964E-20</v>
      </c>
      <c r="AW93" s="100">
        <f t="shared" si="3"/>
        <v>4.2415996309960964E-20</v>
      </c>
      <c r="AX93" s="100">
        <f t="shared" si="3"/>
        <v>4.2415996309960964E-20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1.7232076248412757E-17</v>
      </c>
      <c r="D98" s="100">
        <v>1.7232076248412757E-17</v>
      </c>
      <c r="E98" s="100">
        <v>1.7232076248412757E-17</v>
      </c>
      <c r="F98" s="100">
        <v>1.7232076248412757E-17</v>
      </c>
      <c r="G98" s="100">
        <v>2.0678390468312738E-17</v>
      </c>
      <c r="H98" s="100">
        <v>2.0678390468312738E-17</v>
      </c>
      <c r="I98" s="100">
        <v>2.0678390468312738E-17</v>
      </c>
      <c r="J98" s="100">
        <v>2.0678390468312738E-17</v>
      </c>
      <c r="K98" s="100">
        <v>2.0678390468312738E-17</v>
      </c>
      <c r="L98" s="100">
        <v>2.0678390468312738E-17</v>
      </c>
      <c r="M98" s="100">
        <v>2.0678390468312738E-17</v>
      </c>
      <c r="N98" s="100">
        <v>2.0678390468312738E-17</v>
      </c>
      <c r="O98" s="100">
        <v>5.0514891283787754E-22</v>
      </c>
      <c r="P98" s="100">
        <v>5.0514891283787754E-22</v>
      </c>
      <c r="Q98" s="100">
        <v>5.0514891283787754E-22</v>
      </c>
      <c r="R98" s="100">
        <v>5.0514891283787754E-22</v>
      </c>
      <c r="S98" s="100">
        <v>1.7232076248412757E-17</v>
      </c>
      <c r="T98" s="100">
        <v>1.7232076248412757E-17</v>
      </c>
      <c r="U98" s="100">
        <v>1.7232076248412757E-17</v>
      </c>
      <c r="V98" s="100">
        <v>1.7232076248412757E-17</v>
      </c>
      <c r="W98" s="100">
        <v>1.7232076248412757E-17</v>
      </c>
      <c r="X98" s="100">
        <v>1.7232076248412757E-17</v>
      </c>
      <c r="Y98" s="100">
        <v>1.7232076248412757E-17</v>
      </c>
      <c r="Z98" s="100">
        <v>1.7232076248412757E-17</v>
      </c>
      <c r="AA98" s="100">
        <v>1.7232076248412757E-17</v>
      </c>
      <c r="AB98" s="100">
        <v>1.7232076248412757E-17</v>
      </c>
      <c r="AC98" s="100">
        <v>1.7232076248412757E-17</v>
      </c>
      <c r="AD98" s="100">
        <v>1.7232076248412757E-17</v>
      </c>
      <c r="AE98" s="100">
        <v>1.7232076248412757E-17</v>
      </c>
      <c r="AF98" s="100">
        <v>1.7232076248412757E-17</v>
      </c>
      <c r="AG98" s="100">
        <v>1.7232076248412757E-17</v>
      </c>
      <c r="AH98" s="100">
        <v>1.7232076248412757E-17</v>
      </c>
      <c r="AI98" s="100">
        <v>1.7232076248412757E-17</v>
      </c>
      <c r="AJ98" s="100">
        <v>1.7232076248412757E-17</v>
      </c>
      <c r="AK98" s="100">
        <v>1.7232076248412757E-17</v>
      </c>
      <c r="AL98" s="100">
        <v>1.7232076248412757E-17</v>
      </c>
      <c r="AM98" s="100">
        <v>1.7232076248412757E-17</v>
      </c>
      <c r="AN98" s="100">
        <v>1.7232076248412757E-17</v>
      </c>
      <c r="AO98" s="100">
        <v>1.7232076248412757E-17</v>
      </c>
      <c r="AP98" s="100">
        <v>1.7232076248412757E-17</v>
      </c>
      <c r="AQ98" s="100">
        <v>1.7232076248412757E-17</v>
      </c>
      <c r="AR98" s="100">
        <v>1.7232076248412757E-17</v>
      </c>
      <c r="AS98" s="100">
        <v>1.7232076248412757E-17</v>
      </c>
      <c r="AT98" s="100">
        <v>1.7232076248412757E-17</v>
      </c>
      <c r="AU98" s="100">
        <v>1.7232076248412757E-17</v>
      </c>
      <c r="AV98" s="100">
        <v>1.7232076248412757E-17</v>
      </c>
      <c r="AW98" s="100">
        <v>1.7232076248412757E-17</v>
      </c>
      <c r="AX98" s="100">
        <v>1.7232076248412757E-17</v>
      </c>
    </row>
    <row r="99" spans="1:50">
      <c r="B99" s="105" t="s">
        <v>12</v>
      </c>
      <c r="C99" s="100">
        <v>424484.06788570544</v>
      </c>
      <c r="D99" s="100">
        <v>424484.06788570544</v>
      </c>
      <c r="E99" s="100">
        <v>424484.06788570544</v>
      </c>
      <c r="F99" s="100">
        <v>424484.06788570544</v>
      </c>
      <c r="G99" s="100">
        <v>509378.392759079</v>
      </c>
      <c r="H99" s="100">
        <v>509378.392759079</v>
      </c>
      <c r="I99" s="100">
        <v>509378.392759079</v>
      </c>
      <c r="J99" s="100">
        <v>509378.392759079</v>
      </c>
      <c r="K99" s="100">
        <v>509378.392759079</v>
      </c>
      <c r="L99" s="100">
        <v>509378.392759079</v>
      </c>
      <c r="M99" s="100">
        <v>509378.392759079</v>
      </c>
      <c r="N99" s="100">
        <v>509378.392759079</v>
      </c>
      <c r="O99" s="100">
        <v>12.443518837680095</v>
      </c>
      <c r="P99" s="100">
        <v>12.443518837680095</v>
      </c>
      <c r="Q99" s="100">
        <v>12.443518837680095</v>
      </c>
      <c r="R99" s="100">
        <v>12.443518837680095</v>
      </c>
      <c r="S99" s="100">
        <v>424484.06788570544</v>
      </c>
      <c r="T99" s="100">
        <v>424484.06788570544</v>
      </c>
      <c r="U99" s="100">
        <v>424484.06788570544</v>
      </c>
      <c r="V99" s="100">
        <v>424484.06788570544</v>
      </c>
      <c r="W99" s="100">
        <v>424484.06788570544</v>
      </c>
      <c r="X99" s="100">
        <v>424484.06788570544</v>
      </c>
      <c r="Y99" s="100">
        <v>424484.06788570544</v>
      </c>
      <c r="Z99" s="100">
        <v>424484.06788570544</v>
      </c>
      <c r="AA99" s="100">
        <v>424484.06788570544</v>
      </c>
      <c r="AB99" s="100">
        <v>424484.06788570544</v>
      </c>
      <c r="AC99" s="100">
        <v>424484.06788570544</v>
      </c>
      <c r="AD99" s="100">
        <v>424484.06788570544</v>
      </c>
      <c r="AE99" s="100">
        <v>424484.06788570544</v>
      </c>
      <c r="AF99" s="100">
        <v>424484.06788570544</v>
      </c>
      <c r="AG99" s="100">
        <v>424484.06788570544</v>
      </c>
      <c r="AH99" s="100">
        <v>424484.06788570544</v>
      </c>
      <c r="AI99" s="100">
        <v>424484.06788570544</v>
      </c>
      <c r="AJ99" s="100">
        <v>424484.06788570544</v>
      </c>
      <c r="AK99" s="100">
        <v>424484.06788570544</v>
      </c>
      <c r="AL99" s="100">
        <v>424484.06788570544</v>
      </c>
      <c r="AM99" s="100">
        <v>424484.06788570544</v>
      </c>
      <c r="AN99" s="100">
        <v>424484.06788570544</v>
      </c>
      <c r="AO99" s="100">
        <v>424484.06788570544</v>
      </c>
      <c r="AP99" s="100">
        <v>424484.06788570544</v>
      </c>
      <c r="AQ99" s="100">
        <v>424484.06788570544</v>
      </c>
      <c r="AR99" s="100">
        <v>424484.06788570544</v>
      </c>
      <c r="AS99" s="100">
        <v>424484.06788570544</v>
      </c>
      <c r="AT99" s="100">
        <v>424484.06788570544</v>
      </c>
      <c r="AU99" s="100">
        <v>424484.06788570544</v>
      </c>
      <c r="AV99" s="100">
        <v>424484.06788570544</v>
      </c>
      <c r="AW99" s="100">
        <v>424484.06788570544</v>
      </c>
      <c r="AX99" s="100">
        <v>424484.06788570544</v>
      </c>
    </row>
    <row r="100" spans="1:50">
      <c r="B100" s="105" t="s">
        <v>22</v>
      </c>
      <c r="C100" s="100">
        <v>6.3735822856856362E-19</v>
      </c>
      <c r="D100" s="100">
        <v>6.3735822856856362E-19</v>
      </c>
      <c r="E100" s="100">
        <v>6.3735822856856362E-19</v>
      </c>
      <c r="F100" s="100">
        <v>6.3735822856856362E-19</v>
      </c>
      <c r="G100" s="100">
        <v>7.6482613752053492E-19</v>
      </c>
      <c r="H100" s="100">
        <v>7.6482613752053492E-19</v>
      </c>
      <c r="I100" s="100">
        <v>7.6482613752053492E-19</v>
      </c>
      <c r="J100" s="100">
        <v>7.6482613752053492E-19</v>
      </c>
      <c r="K100" s="100">
        <v>7.6482613752053492E-19</v>
      </c>
      <c r="L100" s="100">
        <v>7.6482613752053492E-19</v>
      </c>
      <c r="M100" s="100">
        <v>7.6482613752053492E-19</v>
      </c>
      <c r="N100" s="100">
        <v>7.6482613752053492E-19</v>
      </c>
      <c r="O100" s="100">
        <v>1.8683808706994382E-23</v>
      </c>
      <c r="P100" s="100">
        <v>1.8683808706994382E-23</v>
      </c>
      <c r="Q100" s="100">
        <v>1.8683808706994382E-23</v>
      </c>
      <c r="R100" s="100">
        <v>1.8683808706994382E-23</v>
      </c>
      <c r="S100" s="100">
        <v>6.3735822856856362E-19</v>
      </c>
      <c r="T100" s="100">
        <v>6.3735822856856362E-19</v>
      </c>
      <c r="U100" s="100">
        <v>6.3735822856856362E-19</v>
      </c>
      <c r="V100" s="100">
        <v>6.3735822856856362E-19</v>
      </c>
      <c r="W100" s="100">
        <v>6.3735822856856362E-19</v>
      </c>
      <c r="X100" s="100">
        <v>6.3735822856856362E-19</v>
      </c>
      <c r="Y100" s="100">
        <v>6.3735822856856362E-19</v>
      </c>
      <c r="Z100" s="100">
        <v>6.3735822856856362E-19</v>
      </c>
      <c r="AA100" s="100">
        <v>6.3735822856856362E-19</v>
      </c>
      <c r="AB100" s="100">
        <v>6.3735822856856362E-19</v>
      </c>
      <c r="AC100" s="100">
        <v>6.3735822856856362E-19</v>
      </c>
      <c r="AD100" s="100">
        <v>6.3735822856856362E-19</v>
      </c>
      <c r="AE100" s="100">
        <v>6.3735822856856362E-19</v>
      </c>
      <c r="AF100" s="100">
        <v>6.3735822856856362E-19</v>
      </c>
      <c r="AG100" s="100">
        <v>6.3735822856856362E-19</v>
      </c>
      <c r="AH100" s="100">
        <v>6.3735822856856362E-19</v>
      </c>
      <c r="AI100" s="100">
        <v>6.3735822856856362E-19</v>
      </c>
      <c r="AJ100" s="100">
        <v>6.3735822856856362E-19</v>
      </c>
      <c r="AK100" s="100">
        <v>6.3735822856856362E-19</v>
      </c>
      <c r="AL100" s="100">
        <v>6.3735822856856362E-19</v>
      </c>
      <c r="AM100" s="100">
        <v>6.3735822856856362E-19</v>
      </c>
      <c r="AN100" s="100">
        <v>6.3735822856856362E-19</v>
      </c>
      <c r="AO100" s="100">
        <v>6.3735822856856362E-19</v>
      </c>
      <c r="AP100" s="100">
        <v>6.3735822856856362E-19</v>
      </c>
      <c r="AQ100" s="100">
        <v>6.3735822856856362E-19</v>
      </c>
      <c r="AR100" s="100">
        <v>6.3735822856856362E-19</v>
      </c>
      <c r="AS100" s="100">
        <v>6.3735822856856362E-19</v>
      </c>
      <c r="AT100" s="100">
        <v>6.3735822856856362E-19</v>
      </c>
      <c r="AU100" s="100">
        <v>6.3735822856856362E-19</v>
      </c>
      <c r="AV100" s="100">
        <v>6.3735822856856362E-19</v>
      </c>
      <c r="AW100" s="100">
        <v>6.3735822856856362E-19</v>
      </c>
      <c r="AX100" s="100">
        <v>6.3735822856856362E-19</v>
      </c>
    </row>
    <row r="101" spans="1:50">
      <c r="B101" s="105" t="s">
        <v>46</v>
      </c>
      <c r="C101" s="100">
        <v>3.9544374116112691E-19</v>
      </c>
      <c r="D101" s="100">
        <v>3.9544374116112691E-19</v>
      </c>
      <c r="E101" s="100">
        <v>3.9544374116112691E-19</v>
      </c>
      <c r="F101" s="100">
        <v>3.9544374116112691E-19</v>
      </c>
      <c r="G101" s="100">
        <v>4.7453017094985118E-19</v>
      </c>
      <c r="H101" s="100">
        <v>4.7453017094985118E-19</v>
      </c>
      <c r="I101" s="100">
        <v>4.7453017094985118E-19</v>
      </c>
      <c r="J101" s="100">
        <v>4.7453017094985118E-19</v>
      </c>
      <c r="K101" s="100">
        <v>4.7453017094985118E-19</v>
      </c>
      <c r="L101" s="100">
        <v>4.7453017094985118E-19</v>
      </c>
      <c r="M101" s="100">
        <v>4.7453017094985118E-19</v>
      </c>
      <c r="N101" s="100">
        <v>4.7453017094985118E-19</v>
      </c>
      <c r="O101" s="100">
        <v>1.1592217505101043E-23</v>
      </c>
      <c r="P101" s="100">
        <v>1.1592217505101043E-23</v>
      </c>
      <c r="Q101" s="100">
        <v>1.1592217505101043E-23</v>
      </c>
      <c r="R101" s="100">
        <v>1.1592217505101043E-23</v>
      </c>
      <c r="S101" s="100">
        <v>3.9544374116112691E-19</v>
      </c>
      <c r="T101" s="100">
        <v>3.9544374116112691E-19</v>
      </c>
      <c r="U101" s="100">
        <v>3.9544374116112691E-19</v>
      </c>
      <c r="V101" s="100">
        <v>3.9544374116112691E-19</v>
      </c>
      <c r="W101" s="100">
        <v>3.9544374116112691E-19</v>
      </c>
      <c r="X101" s="100">
        <v>3.9544374116112691E-19</v>
      </c>
      <c r="Y101" s="100">
        <v>3.9544374116112691E-19</v>
      </c>
      <c r="Z101" s="100">
        <v>3.9544374116112691E-19</v>
      </c>
      <c r="AA101" s="100">
        <v>3.9544374116112691E-19</v>
      </c>
      <c r="AB101" s="100">
        <v>3.9544374116112691E-19</v>
      </c>
      <c r="AC101" s="100">
        <v>3.9544374116112691E-19</v>
      </c>
      <c r="AD101" s="100">
        <v>3.9544374116112691E-19</v>
      </c>
      <c r="AE101" s="100">
        <v>3.9544374116112691E-19</v>
      </c>
      <c r="AF101" s="100">
        <v>3.9544374116112691E-19</v>
      </c>
      <c r="AG101" s="100">
        <v>3.9544374116112691E-19</v>
      </c>
      <c r="AH101" s="100">
        <v>3.9544374116112691E-19</v>
      </c>
      <c r="AI101" s="100">
        <v>3.9544374116112691E-19</v>
      </c>
      <c r="AJ101" s="100">
        <v>3.9544374116112691E-19</v>
      </c>
      <c r="AK101" s="100">
        <v>3.9544374116112691E-19</v>
      </c>
      <c r="AL101" s="100">
        <v>3.9544374116112691E-19</v>
      </c>
      <c r="AM101" s="100">
        <v>3.9544374116112691E-19</v>
      </c>
      <c r="AN101" s="100">
        <v>3.9544374116112691E-19</v>
      </c>
      <c r="AO101" s="100">
        <v>3.9544374116112691E-19</v>
      </c>
      <c r="AP101" s="100">
        <v>3.9544374116112691E-19</v>
      </c>
      <c r="AQ101" s="100">
        <v>3.9544374116112691E-19</v>
      </c>
      <c r="AR101" s="100">
        <v>3.9544374116112691E-19</v>
      </c>
      <c r="AS101" s="100">
        <v>3.9544374116112691E-19</v>
      </c>
      <c r="AT101" s="100">
        <v>3.9544374116112691E-19</v>
      </c>
      <c r="AU101" s="100">
        <v>3.9544374116112691E-19</v>
      </c>
      <c r="AV101" s="100">
        <v>3.9544374116112691E-19</v>
      </c>
      <c r="AW101" s="100">
        <v>3.9544374116112691E-19</v>
      </c>
      <c r="AX101" s="100">
        <v>3.9544374116112691E-19</v>
      </c>
    </row>
    <row r="102" spans="1:50">
      <c r="B102" s="105" t="s">
        <v>59</v>
      </c>
      <c r="C102" s="100">
        <v>264870.21868787706</v>
      </c>
      <c r="D102" s="100">
        <v>264870.21868787706</v>
      </c>
      <c r="E102" s="100">
        <v>264870.21868787706</v>
      </c>
      <c r="F102" s="100">
        <v>264870.21868787706</v>
      </c>
      <c r="G102" s="100">
        <v>317842.7095202647</v>
      </c>
      <c r="H102" s="100">
        <v>317842.7095202647</v>
      </c>
      <c r="I102" s="100">
        <v>317842.7095202647</v>
      </c>
      <c r="J102" s="100">
        <v>317842.7095202647</v>
      </c>
      <c r="K102" s="100">
        <v>317842.7095202647</v>
      </c>
      <c r="L102" s="100">
        <v>317842.7095202647</v>
      </c>
      <c r="M102" s="100">
        <v>317842.7095202647</v>
      </c>
      <c r="N102" s="100">
        <v>317842.7095202647</v>
      </c>
      <c r="O102" s="100">
        <v>7.7645259389817385</v>
      </c>
      <c r="P102" s="100">
        <v>7.7645259389817385</v>
      </c>
      <c r="Q102" s="100">
        <v>7.7645259389817385</v>
      </c>
      <c r="R102" s="100">
        <v>7.7645259389817385</v>
      </c>
      <c r="S102" s="100">
        <v>264870.21868787706</v>
      </c>
      <c r="T102" s="100">
        <v>264870.21868787706</v>
      </c>
      <c r="U102" s="100">
        <v>264870.21868787706</v>
      </c>
      <c r="V102" s="100">
        <v>264870.21868787706</v>
      </c>
      <c r="W102" s="100">
        <v>264870.21868787706</v>
      </c>
      <c r="X102" s="100">
        <v>264870.21868787706</v>
      </c>
      <c r="Y102" s="100">
        <v>264870.21868787706</v>
      </c>
      <c r="Z102" s="100">
        <v>264870.21868787706</v>
      </c>
      <c r="AA102" s="100">
        <v>264870.21868787706</v>
      </c>
      <c r="AB102" s="100">
        <v>264870.21868787706</v>
      </c>
      <c r="AC102" s="100">
        <v>264870.21868787706</v>
      </c>
      <c r="AD102" s="100">
        <v>264870.21868787706</v>
      </c>
      <c r="AE102" s="100">
        <v>264870.21868787706</v>
      </c>
      <c r="AF102" s="100">
        <v>264870.21868787706</v>
      </c>
      <c r="AG102" s="100">
        <v>264870.21868787706</v>
      </c>
      <c r="AH102" s="100">
        <v>264870.21868787706</v>
      </c>
      <c r="AI102" s="100">
        <v>264870.21868787706</v>
      </c>
      <c r="AJ102" s="100">
        <v>264870.21868787706</v>
      </c>
      <c r="AK102" s="100">
        <v>264870.21868787706</v>
      </c>
      <c r="AL102" s="100">
        <v>264870.21868787706</v>
      </c>
      <c r="AM102" s="100">
        <v>264870.21868787706</v>
      </c>
      <c r="AN102" s="100">
        <v>264870.21868787706</v>
      </c>
      <c r="AO102" s="100">
        <v>264870.21868787706</v>
      </c>
      <c r="AP102" s="100">
        <v>264870.21868787706</v>
      </c>
      <c r="AQ102" s="100">
        <v>264870.21868787706</v>
      </c>
      <c r="AR102" s="100">
        <v>264870.21868787706</v>
      </c>
      <c r="AS102" s="100">
        <v>264870.21868787706</v>
      </c>
      <c r="AT102" s="100">
        <v>264870.21868787706</v>
      </c>
      <c r="AU102" s="100">
        <v>264870.21868787706</v>
      </c>
      <c r="AV102" s="100">
        <v>264870.21868787706</v>
      </c>
      <c r="AW102" s="100">
        <v>264870.21868787706</v>
      </c>
      <c r="AX102" s="100">
        <v>264870.21868787706</v>
      </c>
    </row>
    <row r="103" spans="1:50">
      <c r="B103" s="100" t="s">
        <v>278</v>
      </c>
      <c r="C103" s="105">
        <f>SUM(C$98:C$102)</f>
        <v>689354.28657358256</v>
      </c>
      <c r="D103" s="105">
        <f t="shared" ref="D103:AX103" si="5">SUM(D$98:D$102)</f>
        <v>689354.28657358256</v>
      </c>
      <c r="E103" s="105">
        <f t="shared" si="5"/>
        <v>689354.28657358256</v>
      </c>
      <c r="F103" s="105">
        <f t="shared" si="5"/>
        <v>689354.28657358256</v>
      </c>
      <c r="G103" s="105">
        <f t="shared" si="5"/>
        <v>827221.10227934364</v>
      </c>
      <c r="H103" s="105">
        <f t="shared" si="5"/>
        <v>827221.10227934364</v>
      </c>
      <c r="I103" s="105">
        <f t="shared" si="5"/>
        <v>827221.10227934364</v>
      </c>
      <c r="J103" s="105">
        <f t="shared" si="5"/>
        <v>827221.10227934364</v>
      </c>
      <c r="K103" s="105">
        <f t="shared" si="5"/>
        <v>827221.10227934364</v>
      </c>
      <c r="L103" s="105">
        <f t="shared" si="5"/>
        <v>827221.10227934364</v>
      </c>
      <c r="M103" s="105">
        <f t="shared" si="5"/>
        <v>827221.10227934364</v>
      </c>
      <c r="N103" s="105">
        <f t="shared" si="5"/>
        <v>827221.10227934364</v>
      </c>
      <c r="O103" s="105">
        <f t="shared" si="5"/>
        <v>20.208044776661833</v>
      </c>
      <c r="P103" s="105">
        <f t="shared" si="5"/>
        <v>20.208044776661833</v>
      </c>
      <c r="Q103" s="105">
        <f t="shared" si="5"/>
        <v>20.208044776661833</v>
      </c>
      <c r="R103" s="105">
        <f t="shared" si="5"/>
        <v>20.208044776661833</v>
      </c>
      <c r="S103" s="105">
        <f t="shared" si="5"/>
        <v>689354.28657358256</v>
      </c>
      <c r="T103" s="105">
        <f t="shared" si="5"/>
        <v>689354.28657358256</v>
      </c>
      <c r="U103" s="105">
        <f t="shared" si="5"/>
        <v>689354.28657358256</v>
      </c>
      <c r="V103" s="105">
        <f t="shared" si="5"/>
        <v>689354.28657358256</v>
      </c>
      <c r="W103" s="105">
        <f t="shared" si="5"/>
        <v>689354.28657358256</v>
      </c>
      <c r="X103" s="105">
        <f t="shared" si="5"/>
        <v>689354.28657358256</v>
      </c>
      <c r="Y103" s="105">
        <f t="shared" si="5"/>
        <v>689354.28657358256</v>
      </c>
      <c r="Z103" s="105">
        <f t="shared" si="5"/>
        <v>689354.28657358256</v>
      </c>
      <c r="AA103" s="105">
        <f t="shared" si="5"/>
        <v>689354.28657358256</v>
      </c>
      <c r="AB103" s="105">
        <f t="shared" si="5"/>
        <v>689354.28657358256</v>
      </c>
      <c r="AC103" s="105">
        <f t="shared" si="5"/>
        <v>689354.28657358256</v>
      </c>
      <c r="AD103" s="105">
        <f t="shared" si="5"/>
        <v>689354.28657358256</v>
      </c>
      <c r="AE103" s="105">
        <f t="shared" si="5"/>
        <v>689354.28657358256</v>
      </c>
      <c r="AF103" s="105">
        <f t="shared" si="5"/>
        <v>689354.28657358256</v>
      </c>
      <c r="AG103" s="105">
        <f t="shared" si="5"/>
        <v>689354.28657358256</v>
      </c>
      <c r="AH103" s="105">
        <f t="shared" si="5"/>
        <v>689354.28657358256</v>
      </c>
      <c r="AI103" s="105">
        <f t="shared" si="5"/>
        <v>689354.28657358256</v>
      </c>
      <c r="AJ103" s="105">
        <f t="shared" si="5"/>
        <v>689354.28657358256</v>
      </c>
      <c r="AK103" s="105">
        <f t="shared" si="5"/>
        <v>689354.28657358256</v>
      </c>
      <c r="AL103" s="105">
        <f t="shared" si="5"/>
        <v>689354.28657358256</v>
      </c>
      <c r="AM103" s="105">
        <f t="shared" si="5"/>
        <v>689354.28657358256</v>
      </c>
      <c r="AN103" s="105">
        <f t="shared" si="5"/>
        <v>689354.28657358256</v>
      </c>
      <c r="AO103" s="105">
        <f t="shared" si="5"/>
        <v>689354.28657358256</v>
      </c>
      <c r="AP103" s="105">
        <f t="shared" si="5"/>
        <v>689354.28657358256</v>
      </c>
      <c r="AQ103" s="105">
        <f t="shared" si="5"/>
        <v>689354.28657358256</v>
      </c>
      <c r="AR103" s="105">
        <f t="shared" si="5"/>
        <v>689354.28657358256</v>
      </c>
      <c r="AS103" s="105">
        <f t="shared" si="5"/>
        <v>689354.28657358256</v>
      </c>
      <c r="AT103" s="105">
        <f t="shared" si="5"/>
        <v>689354.28657358256</v>
      </c>
      <c r="AU103" s="105">
        <f t="shared" si="5"/>
        <v>689354.28657358256</v>
      </c>
      <c r="AV103" s="105">
        <f t="shared" si="5"/>
        <v>689354.28657358256</v>
      </c>
      <c r="AW103" s="105">
        <f t="shared" si="5"/>
        <v>689354.28657358256</v>
      </c>
      <c r="AX103" s="105">
        <f t="shared" si="5"/>
        <v>689354.28657358256</v>
      </c>
    </row>
    <row r="104" spans="1:50">
      <c r="A104" s="105" t="s">
        <v>105</v>
      </c>
      <c r="B104" s="105" t="s">
        <v>10</v>
      </c>
      <c r="C104" s="100">
        <v>2.8218563497962572E-18</v>
      </c>
      <c r="D104" s="100">
        <v>2.8218563497962572E-18</v>
      </c>
      <c r="E104" s="100">
        <v>2.8218563497962572E-18</v>
      </c>
      <c r="F104" s="100">
        <v>2.8218563497962572E-18</v>
      </c>
      <c r="G104" s="100">
        <v>2.8218563497962572E-18</v>
      </c>
      <c r="H104" s="100">
        <v>2.8218563497962572E-18</v>
      </c>
      <c r="I104" s="100">
        <v>2.8218563497962572E-18</v>
      </c>
      <c r="J104" s="100">
        <v>2.8218563497962572E-18</v>
      </c>
      <c r="K104" s="100">
        <v>2.8218563497962572E-18</v>
      </c>
      <c r="L104" s="100">
        <v>2.8218563497962572E-18</v>
      </c>
      <c r="M104" s="100">
        <v>2.8218563497962572E-18</v>
      </c>
      <c r="N104" s="100">
        <v>2.8218563497962572E-18</v>
      </c>
      <c r="O104" s="100">
        <v>2.8218563497962572E-18</v>
      </c>
      <c r="P104" s="100">
        <v>2.8218563497962572E-18</v>
      </c>
      <c r="Q104" s="100">
        <v>2.8218563497962572E-18</v>
      </c>
      <c r="R104" s="100">
        <v>2.8218563497962572E-18</v>
      </c>
      <c r="S104" s="100">
        <v>2.8218563497962572E-18</v>
      </c>
      <c r="T104" s="100">
        <v>2.8218563497962572E-18</v>
      </c>
      <c r="U104" s="100">
        <v>2.8218563497962572E-18</v>
      </c>
      <c r="V104" s="100">
        <v>2.8218563497962572E-18</v>
      </c>
      <c r="W104" s="100">
        <v>2.8218563497962572E-18</v>
      </c>
      <c r="X104" s="100">
        <v>2.8218563497962572E-18</v>
      </c>
      <c r="Y104" s="100">
        <v>2.8218563497962572E-18</v>
      </c>
      <c r="Z104" s="100">
        <v>2.8218563497962572E-18</v>
      </c>
      <c r="AA104" s="100">
        <v>2.8218563497962572E-18</v>
      </c>
      <c r="AB104" s="100">
        <v>2.8218563497962572E-18</v>
      </c>
      <c r="AC104" s="100">
        <v>2.8218563497962572E-18</v>
      </c>
      <c r="AD104" s="100">
        <v>2.8218563497962572E-18</v>
      </c>
      <c r="AE104" s="100">
        <v>2.8218563497962572E-18</v>
      </c>
      <c r="AF104" s="100">
        <v>2.8218563497962572E-18</v>
      </c>
      <c r="AG104" s="100">
        <v>2.8218563497962572E-18</v>
      </c>
      <c r="AH104" s="100">
        <v>2.8218563497962572E-18</v>
      </c>
      <c r="AI104" s="100">
        <v>2.8218563497962572E-18</v>
      </c>
      <c r="AJ104" s="100">
        <v>2.8218563497962572E-18</v>
      </c>
      <c r="AK104" s="100">
        <v>2.8218563497962572E-18</v>
      </c>
      <c r="AL104" s="100">
        <v>2.8218563497962572E-18</v>
      </c>
      <c r="AM104" s="100">
        <v>2.8218563497962572E-18</v>
      </c>
      <c r="AN104" s="100">
        <v>2.8218563497962572E-18</v>
      </c>
      <c r="AO104" s="100">
        <v>2.8218563497962572E-18</v>
      </c>
      <c r="AP104" s="100">
        <v>2.8218563497962572E-18</v>
      </c>
      <c r="AQ104" s="100">
        <v>2.8218563497962572E-18</v>
      </c>
      <c r="AR104" s="100">
        <v>2.8218563497962572E-18</v>
      </c>
      <c r="AS104" s="100">
        <v>2.8218563497962572E-18</v>
      </c>
      <c r="AT104" s="100">
        <v>2.8218563497962572E-18</v>
      </c>
      <c r="AU104" s="100">
        <v>2.8218563497962572E-18</v>
      </c>
      <c r="AV104" s="100">
        <v>2.8218563497962572E-18</v>
      </c>
      <c r="AW104" s="100">
        <v>2.8218563497962572E-18</v>
      </c>
      <c r="AX104" s="100">
        <v>2.8218563497962572E-18</v>
      </c>
    </row>
    <row r="105" spans="1:50">
      <c r="B105" s="105" t="s">
        <v>12</v>
      </c>
      <c r="C105" s="100">
        <v>4.9114202172224778E-18</v>
      </c>
      <c r="D105" s="100">
        <v>4.9114202172224778E-18</v>
      </c>
      <c r="E105" s="100">
        <v>4.9114202172224778E-18</v>
      </c>
      <c r="F105" s="100">
        <v>4.9114202172224778E-18</v>
      </c>
      <c r="G105" s="100">
        <v>4.9114202172224778E-18</v>
      </c>
      <c r="H105" s="100">
        <v>4.9114202172224778E-18</v>
      </c>
      <c r="I105" s="100">
        <v>4.9114202172224778E-18</v>
      </c>
      <c r="J105" s="100">
        <v>4.9114202172224778E-18</v>
      </c>
      <c r="K105" s="100">
        <v>4.9114202172224778E-18</v>
      </c>
      <c r="L105" s="100">
        <v>4.9114202172224778E-18</v>
      </c>
      <c r="M105" s="100">
        <v>4.9114202172224778E-18</v>
      </c>
      <c r="N105" s="100">
        <v>4.9114202172224778E-18</v>
      </c>
      <c r="O105" s="100">
        <v>4.9114202172224778E-18</v>
      </c>
      <c r="P105" s="100">
        <v>4.9114202172224778E-18</v>
      </c>
      <c r="Q105" s="100">
        <v>4.9114202172224778E-18</v>
      </c>
      <c r="R105" s="100">
        <v>4.9114202172224778E-18</v>
      </c>
      <c r="S105" s="100">
        <v>4.9114202172224778E-18</v>
      </c>
      <c r="T105" s="100">
        <v>4.9114202172224778E-18</v>
      </c>
      <c r="U105" s="100">
        <v>4.9114202172224778E-18</v>
      </c>
      <c r="V105" s="100">
        <v>4.9114202172224778E-18</v>
      </c>
      <c r="W105" s="100">
        <v>4.9114202172224778E-18</v>
      </c>
      <c r="X105" s="100">
        <v>4.9114202172224778E-18</v>
      </c>
      <c r="Y105" s="100">
        <v>4.9114202172224778E-18</v>
      </c>
      <c r="Z105" s="100">
        <v>4.9114202172224778E-18</v>
      </c>
      <c r="AA105" s="100">
        <v>4.9114202172224778E-18</v>
      </c>
      <c r="AB105" s="100">
        <v>4.9114202172224778E-18</v>
      </c>
      <c r="AC105" s="100">
        <v>4.9114202172224778E-18</v>
      </c>
      <c r="AD105" s="100">
        <v>4.9114202172224778E-18</v>
      </c>
      <c r="AE105" s="100">
        <v>4.9114202172224778E-18</v>
      </c>
      <c r="AF105" s="100">
        <v>4.9114202172224778E-18</v>
      </c>
      <c r="AG105" s="100">
        <v>4.9114202172224778E-18</v>
      </c>
      <c r="AH105" s="100">
        <v>4.9114202172224778E-18</v>
      </c>
      <c r="AI105" s="100">
        <v>4.9114202172224778E-18</v>
      </c>
      <c r="AJ105" s="100">
        <v>4.9114202172224778E-18</v>
      </c>
      <c r="AK105" s="100">
        <v>4.9114202172224778E-18</v>
      </c>
      <c r="AL105" s="100">
        <v>4.9114202172224778E-18</v>
      </c>
      <c r="AM105" s="100">
        <v>4.9114202172224778E-18</v>
      </c>
      <c r="AN105" s="100">
        <v>4.9114202172224778E-18</v>
      </c>
      <c r="AO105" s="100">
        <v>4.9114202172224778E-18</v>
      </c>
      <c r="AP105" s="100">
        <v>4.9114202172224778E-18</v>
      </c>
      <c r="AQ105" s="100">
        <v>4.9114202172224778E-18</v>
      </c>
      <c r="AR105" s="100">
        <v>4.9114202172224778E-18</v>
      </c>
      <c r="AS105" s="100">
        <v>4.9114202172224778E-18</v>
      </c>
      <c r="AT105" s="100">
        <v>4.9114202172224778E-18</v>
      </c>
      <c r="AU105" s="100">
        <v>4.9114202172224778E-18</v>
      </c>
      <c r="AV105" s="100">
        <v>4.9114202172224778E-18</v>
      </c>
      <c r="AW105" s="100">
        <v>4.9114202172224778E-18</v>
      </c>
      <c r="AX105" s="100">
        <v>4.9114202172224778E-18</v>
      </c>
    </row>
    <row r="106" spans="1:50">
      <c r="B106" s="105" t="s">
        <v>22</v>
      </c>
      <c r="C106" s="100">
        <v>2.4031604850013703E-19</v>
      </c>
      <c r="D106" s="100">
        <v>2.4031604850013703E-19</v>
      </c>
      <c r="E106" s="100">
        <v>2.4031604850013703E-19</v>
      </c>
      <c r="F106" s="100">
        <v>2.4031604850013703E-19</v>
      </c>
      <c r="G106" s="100">
        <v>2.4031604850013703E-19</v>
      </c>
      <c r="H106" s="100">
        <v>2.4031604850013703E-19</v>
      </c>
      <c r="I106" s="100">
        <v>2.4031604850013703E-19</v>
      </c>
      <c r="J106" s="100">
        <v>2.4031604850013703E-19</v>
      </c>
      <c r="K106" s="100">
        <v>2.4031604850013703E-19</v>
      </c>
      <c r="L106" s="100">
        <v>2.4031604850013703E-19</v>
      </c>
      <c r="M106" s="100">
        <v>2.4031604850013703E-19</v>
      </c>
      <c r="N106" s="100">
        <v>2.4031604850013703E-19</v>
      </c>
      <c r="O106" s="100">
        <v>2.4031604850013703E-19</v>
      </c>
      <c r="P106" s="100">
        <v>2.4031604850013703E-19</v>
      </c>
      <c r="Q106" s="100">
        <v>2.4031604850013703E-19</v>
      </c>
      <c r="R106" s="100">
        <v>2.4031604850013703E-19</v>
      </c>
      <c r="S106" s="100">
        <v>2.4031604850013703E-19</v>
      </c>
      <c r="T106" s="100">
        <v>2.4031604850013703E-19</v>
      </c>
      <c r="U106" s="100">
        <v>2.4031604850013703E-19</v>
      </c>
      <c r="V106" s="100">
        <v>2.4031604850013703E-19</v>
      </c>
      <c r="W106" s="100">
        <v>2.4031604850013703E-19</v>
      </c>
      <c r="X106" s="100">
        <v>2.4031604850013703E-19</v>
      </c>
      <c r="Y106" s="100">
        <v>2.4031604850013703E-19</v>
      </c>
      <c r="Z106" s="100">
        <v>2.4031604850013703E-19</v>
      </c>
      <c r="AA106" s="100">
        <v>2.4031604850013703E-19</v>
      </c>
      <c r="AB106" s="100">
        <v>2.4031604850013703E-19</v>
      </c>
      <c r="AC106" s="100">
        <v>2.4031604850013703E-19</v>
      </c>
      <c r="AD106" s="100">
        <v>2.4031604850013703E-19</v>
      </c>
      <c r="AE106" s="100">
        <v>2.4031604850013703E-19</v>
      </c>
      <c r="AF106" s="100">
        <v>2.4031604850013703E-19</v>
      </c>
      <c r="AG106" s="100">
        <v>2.4031604850013703E-19</v>
      </c>
      <c r="AH106" s="100">
        <v>2.4031604850013703E-19</v>
      </c>
      <c r="AI106" s="100">
        <v>2.4031604850013703E-19</v>
      </c>
      <c r="AJ106" s="100">
        <v>2.4031604850013703E-19</v>
      </c>
      <c r="AK106" s="100">
        <v>2.4031604850013703E-19</v>
      </c>
      <c r="AL106" s="100">
        <v>2.4031604850013703E-19</v>
      </c>
      <c r="AM106" s="100">
        <v>2.4031604850013703E-19</v>
      </c>
      <c r="AN106" s="100">
        <v>2.4031604850013703E-19</v>
      </c>
      <c r="AO106" s="100">
        <v>2.4031604850013703E-19</v>
      </c>
      <c r="AP106" s="100">
        <v>2.4031604850013703E-19</v>
      </c>
      <c r="AQ106" s="100">
        <v>2.4031604850013703E-19</v>
      </c>
      <c r="AR106" s="100">
        <v>2.4031604850013703E-19</v>
      </c>
      <c r="AS106" s="100">
        <v>2.4031604850013703E-19</v>
      </c>
      <c r="AT106" s="100">
        <v>2.4031604850013703E-19</v>
      </c>
      <c r="AU106" s="100">
        <v>2.4031604850013703E-19</v>
      </c>
      <c r="AV106" s="100">
        <v>2.4031604850013703E-19</v>
      </c>
      <c r="AW106" s="100">
        <v>2.4031604850013703E-19</v>
      </c>
      <c r="AX106" s="100">
        <v>2.4031604850013703E-19</v>
      </c>
    </row>
    <row r="107" spans="1:50">
      <c r="B107" s="105" t="s">
        <v>46</v>
      </c>
      <c r="C107" s="100">
        <v>4.3003196907154389E-19</v>
      </c>
      <c r="D107" s="100">
        <v>4.3003196907154389E-19</v>
      </c>
      <c r="E107" s="100">
        <v>4.3003196907154389E-19</v>
      </c>
      <c r="F107" s="100">
        <v>4.3003196907154389E-19</v>
      </c>
      <c r="G107" s="100">
        <v>4.3003196907154389E-19</v>
      </c>
      <c r="H107" s="100">
        <v>4.3003196907154389E-19</v>
      </c>
      <c r="I107" s="100">
        <v>4.3003196907154389E-19</v>
      </c>
      <c r="J107" s="100">
        <v>4.3003196907154389E-19</v>
      </c>
      <c r="K107" s="100">
        <v>4.3003196907154389E-19</v>
      </c>
      <c r="L107" s="100">
        <v>4.3003196907154389E-19</v>
      </c>
      <c r="M107" s="100">
        <v>4.3003196907154389E-19</v>
      </c>
      <c r="N107" s="100">
        <v>4.3003196907154389E-19</v>
      </c>
      <c r="O107" s="100">
        <v>4.3003196907154389E-19</v>
      </c>
      <c r="P107" s="100">
        <v>4.3003196907154389E-19</v>
      </c>
      <c r="Q107" s="100">
        <v>4.3003196907154389E-19</v>
      </c>
      <c r="R107" s="100">
        <v>4.3003196907154389E-19</v>
      </c>
      <c r="S107" s="100">
        <v>4.3003196907154389E-19</v>
      </c>
      <c r="T107" s="100">
        <v>4.3003196907154389E-19</v>
      </c>
      <c r="U107" s="100">
        <v>4.3003196907154389E-19</v>
      </c>
      <c r="V107" s="100">
        <v>4.3003196907154389E-19</v>
      </c>
      <c r="W107" s="100">
        <v>4.3003196907154389E-19</v>
      </c>
      <c r="X107" s="100">
        <v>4.3003196907154389E-19</v>
      </c>
      <c r="Y107" s="100">
        <v>4.3003196907154389E-19</v>
      </c>
      <c r="Z107" s="100">
        <v>4.3003196907154389E-19</v>
      </c>
      <c r="AA107" s="100">
        <v>4.3003196907154389E-19</v>
      </c>
      <c r="AB107" s="100">
        <v>4.3003196907154389E-19</v>
      </c>
      <c r="AC107" s="100">
        <v>4.3003196907154389E-19</v>
      </c>
      <c r="AD107" s="100">
        <v>4.3003196907154389E-19</v>
      </c>
      <c r="AE107" s="100">
        <v>4.3003196907154389E-19</v>
      </c>
      <c r="AF107" s="100">
        <v>4.3003196907154389E-19</v>
      </c>
      <c r="AG107" s="100">
        <v>4.3003196907154389E-19</v>
      </c>
      <c r="AH107" s="100">
        <v>4.3003196907154389E-19</v>
      </c>
      <c r="AI107" s="100">
        <v>4.3003196907154389E-19</v>
      </c>
      <c r="AJ107" s="100">
        <v>4.3003196907154389E-19</v>
      </c>
      <c r="AK107" s="100">
        <v>4.3003196907154389E-19</v>
      </c>
      <c r="AL107" s="100">
        <v>4.3003196907154389E-19</v>
      </c>
      <c r="AM107" s="100">
        <v>4.3003196907154389E-19</v>
      </c>
      <c r="AN107" s="100">
        <v>4.3003196907154389E-19</v>
      </c>
      <c r="AO107" s="100">
        <v>4.3003196907154389E-19</v>
      </c>
      <c r="AP107" s="100">
        <v>4.3003196907154389E-19</v>
      </c>
      <c r="AQ107" s="100">
        <v>4.3003196907154389E-19</v>
      </c>
      <c r="AR107" s="100">
        <v>4.3003196907154389E-19</v>
      </c>
      <c r="AS107" s="100">
        <v>4.3003196907154389E-19</v>
      </c>
      <c r="AT107" s="100">
        <v>4.3003196907154389E-19</v>
      </c>
      <c r="AU107" s="100">
        <v>4.3003196907154389E-19</v>
      </c>
      <c r="AV107" s="100">
        <v>4.3003196907154389E-19</v>
      </c>
      <c r="AW107" s="100">
        <v>4.3003196907154389E-19</v>
      </c>
      <c r="AX107" s="100">
        <v>4.3003196907154389E-19</v>
      </c>
    </row>
    <row r="108" spans="1:50">
      <c r="B108" s="105" t="s">
        <v>59</v>
      </c>
      <c r="C108" s="100">
        <v>0</v>
      </c>
      <c r="D108" s="100">
        <v>0</v>
      </c>
      <c r="E108" s="100">
        <v>0</v>
      </c>
      <c r="F108" s="100">
        <v>0</v>
      </c>
      <c r="G108" s="100">
        <v>0</v>
      </c>
      <c r="H108" s="100">
        <v>0</v>
      </c>
      <c r="I108" s="100">
        <v>0</v>
      </c>
      <c r="J108" s="100">
        <v>0</v>
      </c>
      <c r="K108" s="100">
        <v>0</v>
      </c>
      <c r="L108" s="100">
        <v>0</v>
      </c>
      <c r="M108" s="100">
        <v>0</v>
      </c>
      <c r="N108" s="100">
        <v>0</v>
      </c>
      <c r="O108" s="100">
        <v>0</v>
      </c>
      <c r="P108" s="100">
        <v>0</v>
      </c>
      <c r="Q108" s="100">
        <v>0</v>
      </c>
      <c r="R108" s="100">
        <v>0</v>
      </c>
      <c r="S108" s="100">
        <v>0</v>
      </c>
      <c r="T108" s="100">
        <v>0</v>
      </c>
      <c r="U108" s="100">
        <v>0</v>
      </c>
      <c r="V108" s="100">
        <v>0</v>
      </c>
      <c r="W108" s="100">
        <v>0</v>
      </c>
      <c r="X108" s="100">
        <v>0</v>
      </c>
      <c r="Y108" s="100">
        <v>0</v>
      </c>
      <c r="Z108" s="100">
        <v>0</v>
      </c>
      <c r="AA108" s="100">
        <v>0</v>
      </c>
      <c r="AB108" s="100">
        <v>0</v>
      </c>
      <c r="AC108" s="100">
        <v>0</v>
      </c>
      <c r="AD108" s="100">
        <v>0</v>
      </c>
      <c r="AE108" s="100">
        <v>0</v>
      </c>
      <c r="AF108" s="100">
        <v>0</v>
      </c>
      <c r="AG108" s="100">
        <v>0</v>
      </c>
      <c r="AH108" s="100">
        <v>0</v>
      </c>
      <c r="AI108" s="100">
        <v>0</v>
      </c>
      <c r="AJ108" s="100">
        <v>0</v>
      </c>
      <c r="AK108" s="100">
        <v>0</v>
      </c>
      <c r="AL108" s="100">
        <v>0</v>
      </c>
      <c r="AM108" s="100">
        <v>0</v>
      </c>
      <c r="AN108" s="100">
        <v>0</v>
      </c>
      <c r="AO108" s="100">
        <v>0</v>
      </c>
      <c r="AP108" s="100">
        <v>0</v>
      </c>
      <c r="AQ108" s="100">
        <v>0</v>
      </c>
      <c r="AR108" s="100">
        <v>0</v>
      </c>
      <c r="AS108" s="100">
        <v>0</v>
      </c>
      <c r="AT108" s="100">
        <v>0</v>
      </c>
      <c r="AU108" s="100">
        <v>0</v>
      </c>
      <c r="AV108" s="100">
        <v>0</v>
      </c>
      <c r="AW108" s="100">
        <v>0</v>
      </c>
      <c r="AX108" s="100">
        <v>0</v>
      </c>
    </row>
    <row r="109" spans="1:50">
      <c r="B109" s="101" t="s">
        <v>278</v>
      </c>
      <c r="C109" s="105">
        <f>SUM(C$104:C$108)</f>
        <v>8.4036245845904162E-18</v>
      </c>
      <c r="D109" s="105">
        <f t="shared" ref="D109:AX109" si="6">SUM(D$104:D$108)</f>
        <v>8.4036245845904162E-18</v>
      </c>
      <c r="E109" s="105">
        <f t="shared" si="6"/>
        <v>8.4036245845904162E-18</v>
      </c>
      <c r="F109" s="105">
        <f t="shared" si="6"/>
        <v>8.4036245845904162E-18</v>
      </c>
      <c r="G109" s="105">
        <f t="shared" si="6"/>
        <v>8.4036245845904162E-18</v>
      </c>
      <c r="H109" s="105">
        <f t="shared" si="6"/>
        <v>8.4036245845904162E-18</v>
      </c>
      <c r="I109" s="105">
        <f t="shared" si="6"/>
        <v>8.4036245845904162E-18</v>
      </c>
      <c r="J109" s="105">
        <f t="shared" si="6"/>
        <v>8.4036245845904162E-18</v>
      </c>
      <c r="K109" s="105">
        <f t="shared" si="6"/>
        <v>8.4036245845904162E-18</v>
      </c>
      <c r="L109" s="105">
        <f t="shared" si="6"/>
        <v>8.4036245845904162E-18</v>
      </c>
      <c r="M109" s="105">
        <f t="shared" si="6"/>
        <v>8.4036245845904162E-18</v>
      </c>
      <c r="N109" s="105">
        <f t="shared" si="6"/>
        <v>8.4036245845904162E-18</v>
      </c>
      <c r="O109" s="105">
        <f t="shared" si="6"/>
        <v>8.4036245845904162E-18</v>
      </c>
      <c r="P109" s="105">
        <f t="shared" si="6"/>
        <v>8.4036245845904162E-18</v>
      </c>
      <c r="Q109" s="105">
        <f t="shared" si="6"/>
        <v>8.4036245845904162E-18</v>
      </c>
      <c r="R109" s="105">
        <f t="shared" si="6"/>
        <v>8.4036245845904162E-18</v>
      </c>
      <c r="S109" s="105">
        <f t="shared" si="6"/>
        <v>8.4036245845904162E-18</v>
      </c>
      <c r="T109" s="105">
        <f t="shared" si="6"/>
        <v>8.4036245845904162E-18</v>
      </c>
      <c r="U109" s="105">
        <f t="shared" si="6"/>
        <v>8.4036245845904162E-18</v>
      </c>
      <c r="V109" s="105">
        <f t="shared" si="6"/>
        <v>8.4036245845904162E-18</v>
      </c>
      <c r="W109" s="105">
        <f t="shared" si="6"/>
        <v>8.4036245845904162E-18</v>
      </c>
      <c r="X109" s="105">
        <f t="shared" si="6"/>
        <v>8.4036245845904162E-18</v>
      </c>
      <c r="Y109" s="105">
        <f t="shared" si="6"/>
        <v>8.4036245845904162E-18</v>
      </c>
      <c r="Z109" s="105">
        <f t="shared" si="6"/>
        <v>8.4036245845904162E-18</v>
      </c>
      <c r="AA109" s="105">
        <f t="shared" si="6"/>
        <v>8.4036245845904162E-18</v>
      </c>
      <c r="AB109" s="105">
        <f t="shared" si="6"/>
        <v>8.4036245845904162E-18</v>
      </c>
      <c r="AC109" s="105">
        <f t="shared" si="6"/>
        <v>8.4036245845904162E-18</v>
      </c>
      <c r="AD109" s="105">
        <f t="shared" si="6"/>
        <v>8.4036245845904162E-18</v>
      </c>
      <c r="AE109" s="105">
        <f t="shared" si="6"/>
        <v>8.4036245845904162E-18</v>
      </c>
      <c r="AF109" s="105">
        <f t="shared" si="6"/>
        <v>8.4036245845904162E-18</v>
      </c>
      <c r="AG109" s="105">
        <f t="shared" si="6"/>
        <v>8.4036245845904162E-18</v>
      </c>
      <c r="AH109" s="105">
        <f t="shared" si="6"/>
        <v>8.4036245845904162E-18</v>
      </c>
      <c r="AI109" s="105">
        <f t="shared" si="6"/>
        <v>8.4036245845904162E-18</v>
      </c>
      <c r="AJ109" s="105">
        <f t="shared" si="6"/>
        <v>8.4036245845904162E-18</v>
      </c>
      <c r="AK109" s="105">
        <f t="shared" si="6"/>
        <v>8.4036245845904162E-18</v>
      </c>
      <c r="AL109" s="105">
        <f t="shared" si="6"/>
        <v>8.4036245845904162E-18</v>
      </c>
      <c r="AM109" s="105">
        <f t="shared" si="6"/>
        <v>8.4036245845904162E-18</v>
      </c>
      <c r="AN109" s="105">
        <f t="shared" si="6"/>
        <v>8.4036245845904162E-18</v>
      </c>
      <c r="AO109" s="105">
        <f t="shared" si="6"/>
        <v>8.4036245845904162E-18</v>
      </c>
      <c r="AP109" s="105">
        <f t="shared" si="6"/>
        <v>8.4036245845904162E-18</v>
      </c>
      <c r="AQ109" s="105">
        <f t="shared" si="6"/>
        <v>8.4036245845904162E-18</v>
      </c>
      <c r="AR109" s="105">
        <f t="shared" si="6"/>
        <v>8.4036245845904162E-18</v>
      </c>
      <c r="AS109" s="105">
        <f t="shared" si="6"/>
        <v>8.4036245845904162E-18</v>
      </c>
      <c r="AT109" s="105">
        <f t="shared" si="6"/>
        <v>8.4036245845904162E-18</v>
      </c>
      <c r="AU109" s="105">
        <f t="shared" si="6"/>
        <v>8.4036245845904162E-18</v>
      </c>
      <c r="AV109" s="105">
        <f t="shared" si="6"/>
        <v>8.4036245845904162E-18</v>
      </c>
      <c r="AW109" s="105">
        <f t="shared" si="6"/>
        <v>8.4036245845904162E-18</v>
      </c>
      <c r="AX109" s="105">
        <f t="shared" si="6"/>
        <v>8.4036245845904162E-18</v>
      </c>
    </row>
    <row r="110" spans="1:50">
      <c r="A110" s="105" t="s">
        <v>106</v>
      </c>
      <c r="B110" s="105" t="s">
        <v>10</v>
      </c>
      <c r="C110" s="100">
        <v>2.6627120413307047E-18</v>
      </c>
      <c r="D110" s="100">
        <v>2.6627120413307047E-18</v>
      </c>
      <c r="E110" s="100">
        <v>2.6627120413307047E-18</v>
      </c>
      <c r="F110" s="100">
        <v>2.6627120413307047E-18</v>
      </c>
      <c r="G110" s="100">
        <v>2.1301696330645632E-18</v>
      </c>
      <c r="H110" s="100">
        <v>2.1301696330645632E-18</v>
      </c>
      <c r="I110" s="100">
        <v>2.1301696330645632E-18</v>
      </c>
      <c r="J110" s="100">
        <v>2.1301696330645632E-18</v>
      </c>
      <c r="K110" s="100">
        <v>2.6627120413307047E-18</v>
      </c>
      <c r="L110" s="100">
        <v>2.6627120413307047E-18</v>
      </c>
      <c r="M110" s="100">
        <v>2.6627120413307047E-18</v>
      </c>
      <c r="N110" s="100">
        <v>2.6627120413307047E-18</v>
      </c>
      <c r="O110" s="100">
        <v>2.6627120413307047E-18</v>
      </c>
      <c r="P110" s="100">
        <v>2.6627120413307047E-18</v>
      </c>
      <c r="Q110" s="100">
        <v>2.6627120413307047E-18</v>
      </c>
      <c r="R110" s="100">
        <v>2.6627120413307047E-18</v>
      </c>
      <c r="S110" s="100">
        <v>2.6627120413307047E-18</v>
      </c>
      <c r="T110" s="100">
        <v>2.6627120413307047E-18</v>
      </c>
      <c r="U110" s="100">
        <v>2.6627120413307047E-18</v>
      </c>
      <c r="V110" s="100">
        <v>2.6627120413307047E-18</v>
      </c>
      <c r="W110" s="100">
        <v>2.6627120413307047E-18</v>
      </c>
      <c r="X110" s="100">
        <v>2.6627120413307047E-18</v>
      </c>
      <c r="Y110" s="100">
        <v>2.6627120413307047E-18</v>
      </c>
      <c r="Z110" s="100">
        <v>2.6627120413307047E-18</v>
      </c>
      <c r="AA110" s="100">
        <v>2.6627120413307047E-18</v>
      </c>
      <c r="AB110" s="100">
        <v>2.6627120413307047E-18</v>
      </c>
      <c r="AC110" s="100">
        <v>2.6627120413307047E-18</v>
      </c>
      <c r="AD110" s="100">
        <v>2.6627120413307047E-18</v>
      </c>
      <c r="AE110" s="100">
        <v>2.6627120413307047E-18</v>
      </c>
      <c r="AF110" s="100">
        <v>2.6627120413307047E-18</v>
      </c>
      <c r="AG110" s="100">
        <v>2.6627120413307047E-18</v>
      </c>
      <c r="AH110" s="100">
        <v>2.6627120413307047E-18</v>
      </c>
      <c r="AI110" s="100">
        <v>2.6627120413307047E-18</v>
      </c>
      <c r="AJ110" s="100">
        <v>2.6627120413307047E-18</v>
      </c>
      <c r="AK110" s="100">
        <v>2.6627120413307047E-18</v>
      </c>
      <c r="AL110" s="100">
        <v>2.6627120413307047E-18</v>
      </c>
      <c r="AM110" s="100">
        <v>2.6627120413307047E-18</v>
      </c>
      <c r="AN110" s="100">
        <v>2.6627120413307047E-18</v>
      </c>
      <c r="AO110" s="100">
        <v>2.6627120413307047E-18</v>
      </c>
      <c r="AP110" s="100">
        <v>2.6627120413307047E-18</v>
      </c>
      <c r="AQ110" s="100">
        <v>2.6627120413307047E-18</v>
      </c>
      <c r="AR110" s="100">
        <v>2.6627120413307047E-18</v>
      </c>
      <c r="AS110" s="100">
        <v>2.6627120413307047E-18</v>
      </c>
      <c r="AT110" s="100">
        <v>2.6627120413307047E-18</v>
      </c>
      <c r="AU110" s="100">
        <v>2.6627120413307047E-18</v>
      </c>
      <c r="AV110" s="100">
        <v>2.6627120413307047E-18</v>
      </c>
      <c r="AW110" s="100">
        <v>2.6627120413307047E-18</v>
      </c>
      <c r="AX110" s="100">
        <v>2.6627120413307047E-18</v>
      </c>
    </row>
    <row r="111" spans="1:50">
      <c r="B111" s="105" t="s">
        <v>12</v>
      </c>
      <c r="C111" s="100">
        <v>2.4904780425047765E-18</v>
      </c>
      <c r="D111" s="100">
        <v>2.4904780425047765E-18</v>
      </c>
      <c r="E111" s="100">
        <v>2.4904780425047765E-18</v>
      </c>
      <c r="F111" s="100">
        <v>2.4904780425047765E-18</v>
      </c>
      <c r="G111" s="100">
        <v>1.9923824340038215E-18</v>
      </c>
      <c r="H111" s="100">
        <v>1.9923824340038215E-18</v>
      </c>
      <c r="I111" s="100">
        <v>1.9923824340038215E-18</v>
      </c>
      <c r="J111" s="100">
        <v>1.9923824340038215E-18</v>
      </c>
      <c r="K111" s="100">
        <v>2.4904780425047765E-18</v>
      </c>
      <c r="L111" s="100">
        <v>2.4904780425047765E-18</v>
      </c>
      <c r="M111" s="100">
        <v>2.4904780425047765E-18</v>
      </c>
      <c r="N111" s="100">
        <v>2.4904780425047765E-18</v>
      </c>
      <c r="O111" s="100">
        <v>2.4904780425047765E-18</v>
      </c>
      <c r="P111" s="100">
        <v>2.4904780425047765E-18</v>
      </c>
      <c r="Q111" s="100">
        <v>2.4904780425047765E-18</v>
      </c>
      <c r="R111" s="100">
        <v>2.4904780425047765E-18</v>
      </c>
      <c r="S111" s="100">
        <v>2.4904780425047765E-18</v>
      </c>
      <c r="T111" s="100">
        <v>2.4904780425047765E-18</v>
      </c>
      <c r="U111" s="100">
        <v>2.4904780425047765E-18</v>
      </c>
      <c r="V111" s="100">
        <v>2.4904780425047765E-18</v>
      </c>
      <c r="W111" s="100">
        <v>2.4904780425047765E-18</v>
      </c>
      <c r="X111" s="100">
        <v>2.4904780425047765E-18</v>
      </c>
      <c r="Y111" s="100">
        <v>2.4904780425047765E-18</v>
      </c>
      <c r="Z111" s="100">
        <v>2.4904780425047765E-18</v>
      </c>
      <c r="AA111" s="100">
        <v>2.4904780425047765E-18</v>
      </c>
      <c r="AB111" s="100">
        <v>2.4904780425047765E-18</v>
      </c>
      <c r="AC111" s="100">
        <v>2.4904780425047765E-18</v>
      </c>
      <c r="AD111" s="100">
        <v>2.4904780425047765E-18</v>
      </c>
      <c r="AE111" s="100">
        <v>2.4904780425047765E-18</v>
      </c>
      <c r="AF111" s="100">
        <v>2.4904780425047765E-18</v>
      </c>
      <c r="AG111" s="100">
        <v>2.4904780425047765E-18</v>
      </c>
      <c r="AH111" s="100">
        <v>2.4904780425047765E-18</v>
      </c>
      <c r="AI111" s="100">
        <v>2.4904780425047765E-18</v>
      </c>
      <c r="AJ111" s="100">
        <v>2.4904780425047765E-18</v>
      </c>
      <c r="AK111" s="100">
        <v>2.4904780425047765E-18</v>
      </c>
      <c r="AL111" s="100">
        <v>2.4904780425047765E-18</v>
      </c>
      <c r="AM111" s="100">
        <v>2.4904780425047765E-18</v>
      </c>
      <c r="AN111" s="100">
        <v>2.4904780425047765E-18</v>
      </c>
      <c r="AO111" s="100">
        <v>2.4904780425047765E-18</v>
      </c>
      <c r="AP111" s="100">
        <v>2.4904780425047765E-18</v>
      </c>
      <c r="AQ111" s="100">
        <v>2.4904780425047765E-18</v>
      </c>
      <c r="AR111" s="100">
        <v>2.4904780425047765E-18</v>
      </c>
      <c r="AS111" s="100">
        <v>2.4904780425047765E-18</v>
      </c>
      <c r="AT111" s="100">
        <v>2.4904780425047765E-18</v>
      </c>
      <c r="AU111" s="100">
        <v>2.4904780425047765E-18</v>
      </c>
      <c r="AV111" s="100">
        <v>2.4904780425047765E-18</v>
      </c>
      <c r="AW111" s="100">
        <v>2.4904780425047765E-18</v>
      </c>
      <c r="AX111" s="100">
        <v>2.4904780425047765E-18</v>
      </c>
    </row>
    <row r="112" spans="1:50">
      <c r="B112" s="105" t="s">
        <v>22</v>
      </c>
      <c r="C112" s="100">
        <v>2956.8</v>
      </c>
      <c r="D112" s="100">
        <v>2956.8</v>
      </c>
      <c r="E112" s="100">
        <v>2956.8</v>
      </c>
      <c r="F112" s="100">
        <v>2956.8</v>
      </c>
      <c r="G112" s="100">
        <v>2365.44</v>
      </c>
      <c r="H112" s="100">
        <v>2365.44</v>
      </c>
      <c r="I112" s="100">
        <v>2365.44</v>
      </c>
      <c r="J112" s="100">
        <v>2365.44</v>
      </c>
      <c r="K112" s="100">
        <v>2956.8</v>
      </c>
      <c r="L112" s="100">
        <v>2956.8</v>
      </c>
      <c r="M112" s="100">
        <v>2956.8</v>
      </c>
      <c r="N112" s="100">
        <v>2956.8</v>
      </c>
      <c r="O112" s="100">
        <v>2956.8</v>
      </c>
      <c r="P112" s="100">
        <v>2956.8</v>
      </c>
      <c r="Q112" s="100">
        <v>2956.8</v>
      </c>
      <c r="R112" s="100">
        <v>2956.8</v>
      </c>
      <c r="S112" s="100">
        <v>2956.8</v>
      </c>
      <c r="T112" s="100">
        <v>2956.8</v>
      </c>
      <c r="U112" s="100">
        <v>2956.8</v>
      </c>
      <c r="V112" s="100">
        <v>2956.8</v>
      </c>
      <c r="W112" s="100">
        <v>2956.8</v>
      </c>
      <c r="X112" s="100">
        <v>2956.8</v>
      </c>
      <c r="Y112" s="100">
        <v>2956.8</v>
      </c>
      <c r="Z112" s="100">
        <v>2956.8</v>
      </c>
      <c r="AA112" s="100">
        <v>2956.8</v>
      </c>
      <c r="AB112" s="100">
        <v>2956.8</v>
      </c>
      <c r="AC112" s="100">
        <v>2956.8</v>
      </c>
      <c r="AD112" s="100">
        <v>2956.8</v>
      </c>
      <c r="AE112" s="100">
        <v>2956.8</v>
      </c>
      <c r="AF112" s="100">
        <v>2956.8</v>
      </c>
      <c r="AG112" s="100">
        <v>2956.8</v>
      </c>
      <c r="AH112" s="100">
        <v>2956.8</v>
      </c>
      <c r="AI112" s="100">
        <v>2956.8</v>
      </c>
      <c r="AJ112" s="100">
        <v>2956.8</v>
      </c>
      <c r="AK112" s="100">
        <v>2956.8</v>
      </c>
      <c r="AL112" s="100">
        <v>2956.8</v>
      </c>
      <c r="AM112" s="100">
        <v>2956.8</v>
      </c>
      <c r="AN112" s="100">
        <v>2956.8</v>
      </c>
      <c r="AO112" s="100">
        <v>2956.8</v>
      </c>
      <c r="AP112" s="100">
        <v>2956.8</v>
      </c>
      <c r="AQ112" s="100">
        <v>2956.8</v>
      </c>
      <c r="AR112" s="100">
        <v>2956.8</v>
      </c>
      <c r="AS112" s="100">
        <v>2956.8</v>
      </c>
      <c r="AT112" s="100">
        <v>2956.8</v>
      </c>
      <c r="AU112" s="100">
        <v>2956.8</v>
      </c>
      <c r="AV112" s="100">
        <v>2956.8</v>
      </c>
      <c r="AW112" s="100">
        <v>2956.8</v>
      </c>
      <c r="AX112" s="100">
        <v>2956.8</v>
      </c>
    </row>
    <row r="113" spans="1:50">
      <c r="B113" s="105" t="s">
        <v>46</v>
      </c>
      <c r="C113" s="100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0">
        <v>0</v>
      </c>
      <c r="L113" s="100">
        <v>0</v>
      </c>
      <c r="M113" s="100">
        <v>0</v>
      </c>
      <c r="N113" s="100">
        <v>0</v>
      </c>
      <c r="O113" s="100">
        <v>0</v>
      </c>
      <c r="P113" s="100">
        <v>0</v>
      </c>
      <c r="Q113" s="100">
        <v>0</v>
      </c>
      <c r="R113" s="100">
        <v>0</v>
      </c>
      <c r="S113" s="100">
        <v>0</v>
      </c>
      <c r="T113" s="100">
        <v>0</v>
      </c>
      <c r="U113" s="100">
        <v>0</v>
      </c>
      <c r="V113" s="100">
        <v>0</v>
      </c>
      <c r="W113" s="100">
        <v>0</v>
      </c>
      <c r="X113" s="100">
        <v>0</v>
      </c>
      <c r="Y113" s="100">
        <v>0</v>
      </c>
      <c r="Z113" s="100">
        <v>0</v>
      </c>
      <c r="AA113" s="100">
        <v>0</v>
      </c>
      <c r="AB113" s="100">
        <v>0</v>
      </c>
      <c r="AC113" s="100">
        <v>0</v>
      </c>
      <c r="AD113" s="100">
        <v>0</v>
      </c>
      <c r="AE113" s="100">
        <v>0</v>
      </c>
      <c r="AF113" s="100">
        <v>0</v>
      </c>
      <c r="AG113" s="100">
        <v>0</v>
      </c>
      <c r="AH113" s="100">
        <v>0</v>
      </c>
      <c r="AI113" s="100">
        <v>0</v>
      </c>
      <c r="AJ113" s="100">
        <v>0</v>
      </c>
      <c r="AK113" s="100">
        <v>0</v>
      </c>
      <c r="AL113" s="100">
        <v>0</v>
      </c>
      <c r="AM113" s="100">
        <v>0</v>
      </c>
      <c r="AN113" s="100">
        <v>0</v>
      </c>
      <c r="AO113" s="100">
        <v>0</v>
      </c>
      <c r="AP113" s="100">
        <v>0</v>
      </c>
      <c r="AQ113" s="100">
        <v>0</v>
      </c>
      <c r="AR113" s="100">
        <v>0</v>
      </c>
      <c r="AS113" s="100">
        <v>0</v>
      </c>
      <c r="AT113" s="100">
        <v>0</v>
      </c>
      <c r="AU113" s="100">
        <v>0</v>
      </c>
      <c r="AV113" s="100">
        <v>0</v>
      </c>
      <c r="AW113" s="100">
        <v>0</v>
      </c>
      <c r="AX113" s="100">
        <v>0</v>
      </c>
    </row>
    <row r="114" spans="1:50">
      <c r="B114" s="105" t="s">
        <v>59</v>
      </c>
      <c r="C114" s="100">
        <v>0</v>
      </c>
      <c r="D114" s="100">
        <v>0</v>
      </c>
      <c r="E114" s="100">
        <v>0</v>
      </c>
      <c r="F114" s="100">
        <v>0</v>
      </c>
      <c r="G114" s="100">
        <v>0</v>
      </c>
      <c r="H114" s="100">
        <v>0</v>
      </c>
      <c r="I114" s="100">
        <v>0</v>
      </c>
      <c r="J114" s="100">
        <v>0</v>
      </c>
      <c r="K114" s="100">
        <v>0</v>
      </c>
      <c r="L114" s="100">
        <v>0</v>
      </c>
      <c r="M114" s="100">
        <v>0</v>
      </c>
      <c r="N114" s="100">
        <v>0</v>
      </c>
      <c r="O114" s="100">
        <v>0</v>
      </c>
      <c r="P114" s="100">
        <v>0</v>
      </c>
      <c r="Q114" s="100">
        <v>0</v>
      </c>
      <c r="R114" s="100">
        <v>0</v>
      </c>
      <c r="S114" s="100">
        <v>0</v>
      </c>
      <c r="T114" s="100">
        <v>0</v>
      </c>
      <c r="U114" s="100">
        <v>0</v>
      </c>
      <c r="V114" s="100">
        <v>0</v>
      </c>
      <c r="W114" s="100">
        <v>0</v>
      </c>
      <c r="X114" s="100">
        <v>0</v>
      </c>
      <c r="Y114" s="100">
        <v>0</v>
      </c>
      <c r="Z114" s="100">
        <v>0</v>
      </c>
      <c r="AA114" s="100">
        <v>0</v>
      </c>
      <c r="AB114" s="100">
        <v>0</v>
      </c>
      <c r="AC114" s="100">
        <v>0</v>
      </c>
      <c r="AD114" s="100">
        <v>0</v>
      </c>
      <c r="AE114" s="100">
        <v>0</v>
      </c>
      <c r="AF114" s="100">
        <v>0</v>
      </c>
      <c r="AG114" s="100">
        <v>0</v>
      </c>
      <c r="AH114" s="100">
        <v>0</v>
      </c>
      <c r="AI114" s="100">
        <v>0</v>
      </c>
      <c r="AJ114" s="100">
        <v>0</v>
      </c>
      <c r="AK114" s="100">
        <v>0</v>
      </c>
      <c r="AL114" s="100">
        <v>0</v>
      </c>
      <c r="AM114" s="100">
        <v>0</v>
      </c>
      <c r="AN114" s="100">
        <v>0</v>
      </c>
      <c r="AO114" s="100">
        <v>0</v>
      </c>
      <c r="AP114" s="100">
        <v>0</v>
      </c>
      <c r="AQ114" s="100">
        <v>0</v>
      </c>
      <c r="AR114" s="100">
        <v>0</v>
      </c>
      <c r="AS114" s="100">
        <v>0</v>
      </c>
      <c r="AT114" s="100">
        <v>0</v>
      </c>
      <c r="AU114" s="100">
        <v>0</v>
      </c>
      <c r="AV114" s="100">
        <v>0</v>
      </c>
      <c r="AW114" s="100">
        <v>0</v>
      </c>
      <c r="AX114" s="100">
        <v>0</v>
      </c>
    </row>
    <row r="115" spans="1:50">
      <c r="B115" s="100" t="s">
        <v>278</v>
      </c>
      <c r="C115" s="105">
        <f>SUM(C$110:C$114)</f>
        <v>2956.8</v>
      </c>
      <c r="D115" s="105">
        <f t="shared" ref="D115:AX115" si="7">SUM(D$110:D$114)</f>
        <v>2956.8</v>
      </c>
      <c r="E115" s="105">
        <f t="shared" si="7"/>
        <v>2956.8</v>
      </c>
      <c r="F115" s="105">
        <f t="shared" si="7"/>
        <v>2956.8</v>
      </c>
      <c r="G115" s="105">
        <f t="shared" si="7"/>
        <v>2365.44</v>
      </c>
      <c r="H115" s="105">
        <f t="shared" si="7"/>
        <v>2365.44</v>
      </c>
      <c r="I115" s="105">
        <f t="shared" si="7"/>
        <v>2365.44</v>
      </c>
      <c r="J115" s="105">
        <f t="shared" si="7"/>
        <v>2365.44</v>
      </c>
      <c r="K115" s="105">
        <f t="shared" si="7"/>
        <v>2956.8</v>
      </c>
      <c r="L115" s="105">
        <f t="shared" si="7"/>
        <v>2956.8</v>
      </c>
      <c r="M115" s="105">
        <f t="shared" si="7"/>
        <v>2956.8</v>
      </c>
      <c r="N115" s="105">
        <f t="shared" si="7"/>
        <v>2956.8</v>
      </c>
      <c r="O115" s="105">
        <f t="shared" si="7"/>
        <v>2956.8</v>
      </c>
      <c r="P115" s="105">
        <f t="shared" si="7"/>
        <v>2956.8</v>
      </c>
      <c r="Q115" s="105">
        <f t="shared" si="7"/>
        <v>2956.8</v>
      </c>
      <c r="R115" s="105">
        <f t="shared" si="7"/>
        <v>2956.8</v>
      </c>
      <c r="S115" s="105">
        <f t="shared" si="7"/>
        <v>2956.8</v>
      </c>
      <c r="T115" s="105">
        <f t="shared" si="7"/>
        <v>2956.8</v>
      </c>
      <c r="U115" s="105">
        <f t="shared" si="7"/>
        <v>2956.8</v>
      </c>
      <c r="V115" s="105">
        <f t="shared" si="7"/>
        <v>2956.8</v>
      </c>
      <c r="W115" s="105">
        <f t="shared" si="7"/>
        <v>2956.8</v>
      </c>
      <c r="X115" s="105">
        <f t="shared" si="7"/>
        <v>2956.8</v>
      </c>
      <c r="Y115" s="105">
        <f t="shared" si="7"/>
        <v>2956.8</v>
      </c>
      <c r="Z115" s="105">
        <f t="shared" si="7"/>
        <v>2956.8</v>
      </c>
      <c r="AA115" s="105">
        <f t="shared" si="7"/>
        <v>2956.8</v>
      </c>
      <c r="AB115" s="105">
        <f t="shared" si="7"/>
        <v>2956.8</v>
      </c>
      <c r="AC115" s="105">
        <f t="shared" si="7"/>
        <v>2956.8</v>
      </c>
      <c r="AD115" s="105">
        <f t="shared" si="7"/>
        <v>2956.8</v>
      </c>
      <c r="AE115" s="105">
        <f t="shared" si="7"/>
        <v>2956.8</v>
      </c>
      <c r="AF115" s="105">
        <f t="shared" si="7"/>
        <v>2956.8</v>
      </c>
      <c r="AG115" s="105">
        <f t="shared" si="7"/>
        <v>2956.8</v>
      </c>
      <c r="AH115" s="105">
        <f t="shared" si="7"/>
        <v>2956.8</v>
      </c>
      <c r="AI115" s="105">
        <f t="shared" si="7"/>
        <v>2956.8</v>
      </c>
      <c r="AJ115" s="105">
        <f t="shared" si="7"/>
        <v>2956.8</v>
      </c>
      <c r="AK115" s="105">
        <f t="shared" si="7"/>
        <v>2956.8</v>
      </c>
      <c r="AL115" s="105">
        <f t="shared" si="7"/>
        <v>2956.8</v>
      </c>
      <c r="AM115" s="105">
        <f t="shared" si="7"/>
        <v>2956.8</v>
      </c>
      <c r="AN115" s="105">
        <f t="shared" si="7"/>
        <v>2956.8</v>
      </c>
      <c r="AO115" s="105">
        <f t="shared" si="7"/>
        <v>2956.8</v>
      </c>
      <c r="AP115" s="105">
        <f t="shared" si="7"/>
        <v>2956.8</v>
      </c>
      <c r="AQ115" s="105">
        <f t="shared" si="7"/>
        <v>2956.8</v>
      </c>
      <c r="AR115" s="105">
        <f t="shared" si="7"/>
        <v>2956.8</v>
      </c>
      <c r="AS115" s="105">
        <f t="shared" si="7"/>
        <v>2956.8</v>
      </c>
      <c r="AT115" s="105">
        <f t="shared" si="7"/>
        <v>2956.8</v>
      </c>
      <c r="AU115" s="105">
        <f t="shared" si="7"/>
        <v>2956.8</v>
      </c>
      <c r="AV115" s="105">
        <f t="shared" si="7"/>
        <v>2956.8</v>
      </c>
      <c r="AW115" s="105">
        <f t="shared" si="7"/>
        <v>2956.8</v>
      </c>
      <c r="AX115" s="105">
        <f t="shared" si="7"/>
        <v>2956.8</v>
      </c>
    </row>
    <row r="116" spans="1:50">
      <c r="A116" s="105" t="s">
        <v>107</v>
      </c>
      <c r="B116" s="105" t="s">
        <v>10</v>
      </c>
      <c r="C116" s="100">
        <v>9292.7999999999392</v>
      </c>
      <c r="D116" s="100">
        <v>9292.7999999999392</v>
      </c>
      <c r="E116" s="100">
        <v>9292.7999999999392</v>
      </c>
      <c r="F116" s="100">
        <v>9292.7999999999392</v>
      </c>
      <c r="G116" s="100">
        <v>11615.999999999924</v>
      </c>
      <c r="H116" s="100">
        <v>11615.999999999924</v>
      </c>
      <c r="I116" s="100">
        <v>11615.999999999924</v>
      </c>
      <c r="J116" s="100">
        <v>11615.999999999924</v>
      </c>
      <c r="K116" s="100">
        <v>11615.999999999924</v>
      </c>
      <c r="L116" s="100">
        <v>11615.999999999924</v>
      </c>
      <c r="M116" s="100">
        <v>11615.999999999924</v>
      </c>
      <c r="N116" s="100">
        <v>11615.999999999924</v>
      </c>
      <c r="O116" s="100">
        <v>11615.999999999924</v>
      </c>
      <c r="P116" s="100">
        <v>11615.999999999924</v>
      </c>
      <c r="Q116" s="100">
        <v>11615.999999999924</v>
      </c>
      <c r="R116" s="100">
        <v>11615.999999999924</v>
      </c>
      <c r="S116" s="100">
        <v>11615.999999999924</v>
      </c>
      <c r="T116" s="100">
        <v>11615.999999999924</v>
      </c>
      <c r="U116" s="100">
        <v>11615.999999999924</v>
      </c>
      <c r="V116" s="100">
        <v>11615.999999999924</v>
      </c>
      <c r="W116" s="100">
        <v>9292.7999999999392</v>
      </c>
      <c r="X116" s="100">
        <v>9292.7999999999392</v>
      </c>
      <c r="Y116" s="100">
        <v>9292.7999999999392</v>
      </c>
      <c r="Z116" s="100">
        <v>4641.0649267513872</v>
      </c>
      <c r="AA116" s="100">
        <v>11615.999999999924</v>
      </c>
      <c r="AB116" s="100">
        <v>11615.999999999924</v>
      </c>
      <c r="AC116" s="100">
        <v>4668.8874541129462</v>
      </c>
      <c r="AD116" s="100">
        <v>11615.999999999924</v>
      </c>
      <c r="AE116" s="100">
        <v>11615.999999999924</v>
      </c>
      <c r="AF116" s="100">
        <v>11615.999999999924</v>
      </c>
      <c r="AG116" s="100">
        <v>11615.999999999924</v>
      </c>
      <c r="AH116" s="100">
        <v>11615.999999999924</v>
      </c>
      <c r="AI116" s="100">
        <v>9292.7999999999392</v>
      </c>
      <c r="AJ116" s="100">
        <v>4732.4126219077525</v>
      </c>
      <c r="AK116" s="100">
        <v>4741.3067824935315</v>
      </c>
      <c r="AL116" s="100">
        <v>9292.7999999999392</v>
      </c>
      <c r="AM116" s="100">
        <v>11615.999999999924</v>
      </c>
      <c r="AN116" s="100">
        <v>11615.999999999924</v>
      </c>
      <c r="AO116" s="100">
        <v>11615.999999999924</v>
      </c>
      <c r="AP116" s="100">
        <v>11615.999999999924</v>
      </c>
      <c r="AQ116" s="100">
        <v>11615.999999999924</v>
      </c>
      <c r="AR116" s="100">
        <v>11615.999999999924</v>
      </c>
      <c r="AS116" s="100">
        <v>11615.999999999924</v>
      </c>
      <c r="AT116" s="100">
        <v>11615.999999999924</v>
      </c>
      <c r="AU116" s="100">
        <v>11615.999999999924</v>
      </c>
      <c r="AV116" s="100">
        <v>11615.999999999924</v>
      </c>
      <c r="AW116" s="100">
        <v>11615.999999999924</v>
      </c>
      <c r="AX116" s="100">
        <v>11615.999999999924</v>
      </c>
    </row>
    <row r="117" spans="1:50">
      <c r="B117" s="105" t="s">
        <v>12</v>
      </c>
      <c r="C117" s="100">
        <v>2.6662126600932018E-18</v>
      </c>
      <c r="D117" s="100">
        <v>2.6662126600932018E-18</v>
      </c>
      <c r="E117" s="100">
        <v>2.6662126600932018E-18</v>
      </c>
      <c r="F117" s="100">
        <v>2.6662126600932018E-18</v>
      </c>
      <c r="G117" s="100">
        <v>3.332765825116502E-18</v>
      </c>
      <c r="H117" s="100">
        <v>3.332765825116502E-18</v>
      </c>
      <c r="I117" s="100">
        <v>3.332765825116502E-18</v>
      </c>
      <c r="J117" s="100">
        <v>3.332765825116502E-18</v>
      </c>
      <c r="K117" s="100">
        <v>3.332765825116502E-18</v>
      </c>
      <c r="L117" s="100">
        <v>3.332765825116502E-18</v>
      </c>
      <c r="M117" s="100">
        <v>3.332765825116502E-18</v>
      </c>
      <c r="N117" s="100">
        <v>3.332765825116502E-18</v>
      </c>
      <c r="O117" s="100">
        <v>3.332765825116502E-18</v>
      </c>
      <c r="P117" s="100">
        <v>3.332765825116502E-18</v>
      </c>
      <c r="Q117" s="100">
        <v>3.332765825116502E-18</v>
      </c>
      <c r="R117" s="100">
        <v>3.332765825116502E-18</v>
      </c>
      <c r="S117" s="100">
        <v>3.332765825116502E-18</v>
      </c>
      <c r="T117" s="100">
        <v>3.332765825116502E-18</v>
      </c>
      <c r="U117" s="100">
        <v>3.332765825116502E-18</v>
      </c>
      <c r="V117" s="100">
        <v>3.332765825116502E-18</v>
      </c>
      <c r="W117" s="100">
        <v>2.6662126600932018E-18</v>
      </c>
      <c r="X117" s="100">
        <v>2.6662126600932018E-18</v>
      </c>
      <c r="Y117" s="100">
        <v>2.6662126600932018E-18</v>
      </c>
      <c r="Z117" s="100">
        <v>1.3315756353326402E-18</v>
      </c>
      <c r="AA117" s="100">
        <v>3.332765825116502E-18</v>
      </c>
      <c r="AB117" s="100">
        <v>3.332765825116502E-18</v>
      </c>
      <c r="AC117" s="100">
        <v>1.3395582428015602E-18</v>
      </c>
      <c r="AD117" s="100">
        <v>3.332765825116502E-18</v>
      </c>
      <c r="AE117" s="100">
        <v>3.332765825116502E-18</v>
      </c>
      <c r="AF117" s="100">
        <v>3.332765825116502E-18</v>
      </c>
      <c r="AG117" s="100">
        <v>3.332765825116502E-18</v>
      </c>
      <c r="AH117" s="100">
        <v>3.332765825116502E-18</v>
      </c>
      <c r="AI117" s="100">
        <v>2.6662126600932018E-18</v>
      </c>
      <c r="AJ117" s="100">
        <v>1.3577843540499524E-18</v>
      </c>
      <c r="AK117" s="100">
        <v>1.3603361924145685E-18</v>
      </c>
      <c r="AL117" s="100">
        <v>2.6662126600932018E-18</v>
      </c>
      <c r="AM117" s="100">
        <v>3.332765825116502E-18</v>
      </c>
      <c r="AN117" s="100">
        <v>3.332765825116502E-18</v>
      </c>
      <c r="AO117" s="100">
        <v>3.332765825116502E-18</v>
      </c>
      <c r="AP117" s="100">
        <v>3.332765825116502E-18</v>
      </c>
      <c r="AQ117" s="100">
        <v>3.332765825116502E-18</v>
      </c>
      <c r="AR117" s="100">
        <v>3.332765825116502E-18</v>
      </c>
      <c r="AS117" s="100">
        <v>3.332765825116502E-18</v>
      </c>
      <c r="AT117" s="100">
        <v>3.332765825116502E-18</v>
      </c>
      <c r="AU117" s="100">
        <v>3.332765825116502E-18</v>
      </c>
      <c r="AV117" s="100">
        <v>3.332765825116502E-18</v>
      </c>
      <c r="AW117" s="100">
        <v>3.332765825116502E-18</v>
      </c>
      <c r="AX117" s="100">
        <v>3.332765825116502E-18</v>
      </c>
    </row>
    <row r="118" spans="1:50">
      <c r="B118" s="105" t="s">
        <v>22</v>
      </c>
      <c r="C118" s="100">
        <v>0</v>
      </c>
      <c r="D118" s="100">
        <v>0</v>
      </c>
      <c r="E118" s="100">
        <v>0</v>
      </c>
      <c r="F118" s="100">
        <v>0</v>
      </c>
      <c r="G118" s="100">
        <v>0</v>
      </c>
      <c r="H118" s="100">
        <v>0</v>
      </c>
      <c r="I118" s="100">
        <v>0</v>
      </c>
      <c r="J118" s="100">
        <v>0</v>
      </c>
      <c r="K118" s="100">
        <v>0</v>
      </c>
      <c r="L118" s="100">
        <v>0</v>
      </c>
      <c r="M118" s="100">
        <v>0</v>
      </c>
      <c r="N118" s="100">
        <v>0</v>
      </c>
      <c r="O118" s="100">
        <v>0</v>
      </c>
      <c r="P118" s="100">
        <v>0</v>
      </c>
      <c r="Q118" s="100">
        <v>0</v>
      </c>
      <c r="R118" s="100">
        <v>0</v>
      </c>
      <c r="S118" s="100">
        <v>0</v>
      </c>
      <c r="T118" s="100">
        <v>0</v>
      </c>
      <c r="U118" s="100">
        <v>0</v>
      </c>
      <c r="V118" s="100">
        <v>0</v>
      </c>
      <c r="W118" s="100">
        <v>0</v>
      </c>
      <c r="X118" s="100">
        <v>0</v>
      </c>
      <c r="Y118" s="100">
        <v>0</v>
      </c>
      <c r="Z118" s="100">
        <v>0</v>
      </c>
      <c r="AA118" s="100">
        <v>0</v>
      </c>
      <c r="AB118" s="100">
        <v>0</v>
      </c>
      <c r="AC118" s="100">
        <v>0</v>
      </c>
      <c r="AD118" s="100">
        <v>0</v>
      </c>
      <c r="AE118" s="100">
        <v>0</v>
      </c>
      <c r="AF118" s="100">
        <v>0</v>
      </c>
      <c r="AG118" s="100">
        <v>0</v>
      </c>
      <c r="AH118" s="100">
        <v>0</v>
      </c>
      <c r="AI118" s="100">
        <v>0</v>
      </c>
      <c r="AJ118" s="100">
        <v>0</v>
      </c>
      <c r="AK118" s="100">
        <v>0</v>
      </c>
      <c r="AL118" s="100">
        <v>0</v>
      </c>
      <c r="AM118" s="100">
        <v>0</v>
      </c>
      <c r="AN118" s="100">
        <v>0</v>
      </c>
      <c r="AO118" s="100">
        <v>0</v>
      </c>
      <c r="AP118" s="100">
        <v>0</v>
      </c>
      <c r="AQ118" s="100">
        <v>0</v>
      </c>
      <c r="AR118" s="100">
        <v>0</v>
      </c>
      <c r="AS118" s="100">
        <v>0</v>
      </c>
      <c r="AT118" s="100">
        <v>0</v>
      </c>
      <c r="AU118" s="100">
        <v>0</v>
      </c>
      <c r="AV118" s="100">
        <v>0</v>
      </c>
      <c r="AW118" s="100">
        <v>0</v>
      </c>
      <c r="AX118" s="100">
        <v>0</v>
      </c>
    </row>
    <row r="119" spans="1:50">
      <c r="B119" s="105" t="s">
        <v>46</v>
      </c>
      <c r="C119" s="100">
        <v>434.72000000000008</v>
      </c>
      <c r="D119" s="100">
        <v>434.72000000000008</v>
      </c>
      <c r="E119" s="100">
        <v>434.72000000000008</v>
      </c>
      <c r="F119" s="100">
        <v>434.72000000000008</v>
      </c>
      <c r="G119" s="100">
        <v>543.4</v>
      </c>
      <c r="H119" s="100">
        <v>543.4</v>
      </c>
      <c r="I119" s="100">
        <v>543.4</v>
      </c>
      <c r="J119" s="100">
        <v>543.4</v>
      </c>
      <c r="K119" s="100">
        <v>543.4</v>
      </c>
      <c r="L119" s="100">
        <v>543.4</v>
      </c>
      <c r="M119" s="100">
        <v>543.4</v>
      </c>
      <c r="N119" s="100">
        <v>543.4</v>
      </c>
      <c r="O119" s="100">
        <v>543.4</v>
      </c>
      <c r="P119" s="100">
        <v>543.4</v>
      </c>
      <c r="Q119" s="100">
        <v>543.4</v>
      </c>
      <c r="R119" s="100">
        <v>543.4</v>
      </c>
      <c r="S119" s="100">
        <v>543.4</v>
      </c>
      <c r="T119" s="100">
        <v>543.4</v>
      </c>
      <c r="U119" s="100">
        <v>543.4</v>
      </c>
      <c r="V119" s="100">
        <v>543.4</v>
      </c>
      <c r="W119" s="100">
        <v>434.72000000000008</v>
      </c>
      <c r="X119" s="100">
        <v>434.72000000000008</v>
      </c>
      <c r="Y119" s="100">
        <v>434.72000000000008</v>
      </c>
      <c r="Z119" s="100">
        <v>217.11042365674251</v>
      </c>
      <c r="AA119" s="100">
        <v>543.4</v>
      </c>
      <c r="AB119" s="100">
        <v>543.4</v>
      </c>
      <c r="AC119" s="100">
        <v>218.41196991778517</v>
      </c>
      <c r="AD119" s="100">
        <v>543.4</v>
      </c>
      <c r="AE119" s="100">
        <v>543.4</v>
      </c>
      <c r="AF119" s="100">
        <v>543.4</v>
      </c>
      <c r="AG119" s="100">
        <v>543.4</v>
      </c>
      <c r="AH119" s="100">
        <v>543.4</v>
      </c>
      <c r="AI119" s="100">
        <v>434.72000000000008</v>
      </c>
      <c r="AJ119" s="100">
        <v>221.38369651727709</v>
      </c>
      <c r="AK119" s="100">
        <v>221.79976804468001</v>
      </c>
      <c r="AL119" s="100">
        <v>434.72000000000008</v>
      </c>
      <c r="AM119" s="100">
        <v>543.4</v>
      </c>
      <c r="AN119" s="100">
        <v>543.4</v>
      </c>
      <c r="AO119" s="100">
        <v>543.4</v>
      </c>
      <c r="AP119" s="100">
        <v>543.4</v>
      </c>
      <c r="AQ119" s="100">
        <v>543.4</v>
      </c>
      <c r="AR119" s="100">
        <v>543.4</v>
      </c>
      <c r="AS119" s="100">
        <v>543.4</v>
      </c>
      <c r="AT119" s="100">
        <v>543.4</v>
      </c>
      <c r="AU119" s="100">
        <v>543.4</v>
      </c>
      <c r="AV119" s="100">
        <v>543.4</v>
      </c>
      <c r="AW119" s="100">
        <v>543.4</v>
      </c>
      <c r="AX119" s="100">
        <v>543.4</v>
      </c>
    </row>
    <row r="120" spans="1:50">
      <c r="B120" s="105" t="s">
        <v>59</v>
      </c>
      <c r="C120" s="100">
        <v>0</v>
      </c>
      <c r="D120" s="100">
        <v>0</v>
      </c>
      <c r="E120" s="100">
        <v>0</v>
      </c>
      <c r="F120" s="100">
        <v>0</v>
      </c>
      <c r="G120" s="100">
        <v>0</v>
      </c>
      <c r="H120" s="100">
        <v>0</v>
      </c>
      <c r="I120" s="100">
        <v>0</v>
      </c>
      <c r="J120" s="100">
        <v>0</v>
      </c>
      <c r="K120" s="100">
        <v>0</v>
      </c>
      <c r="L120" s="100">
        <v>0</v>
      </c>
      <c r="M120" s="100">
        <v>0</v>
      </c>
      <c r="N120" s="100">
        <v>0</v>
      </c>
      <c r="O120" s="100">
        <v>0</v>
      </c>
      <c r="P120" s="100">
        <v>0</v>
      </c>
      <c r="Q120" s="100">
        <v>0</v>
      </c>
      <c r="R120" s="100">
        <v>0</v>
      </c>
      <c r="S120" s="100">
        <v>0</v>
      </c>
      <c r="T120" s="100">
        <v>0</v>
      </c>
      <c r="U120" s="100">
        <v>0</v>
      </c>
      <c r="V120" s="100">
        <v>0</v>
      </c>
      <c r="W120" s="100">
        <v>0</v>
      </c>
      <c r="X120" s="100">
        <v>0</v>
      </c>
      <c r="Y120" s="100">
        <v>0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100">
        <v>0</v>
      </c>
      <c r="AI120" s="100">
        <v>0</v>
      </c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100">
        <v>0</v>
      </c>
      <c r="AP120" s="100">
        <v>0</v>
      </c>
      <c r="AQ120" s="100">
        <v>0</v>
      </c>
      <c r="AR120" s="100">
        <v>0</v>
      </c>
      <c r="AS120" s="100">
        <v>0</v>
      </c>
      <c r="AT120" s="100">
        <v>0</v>
      </c>
      <c r="AU120" s="100">
        <v>0</v>
      </c>
      <c r="AV120" s="100">
        <v>0</v>
      </c>
      <c r="AW120" s="100">
        <v>0</v>
      </c>
      <c r="AX120" s="100">
        <v>0</v>
      </c>
    </row>
    <row r="121" spans="1:50">
      <c r="B121" s="100" t="s">
        <v>278</v>
      </c>
      <c r="C121" s="105">
        <f>SUM(C$116:C$120)</f>
        <v>9727.5199999999386</v>
      </c>
      <c r="D121" s="105">
        <f t="shared" ref="D121:AX121" si="8">SUM(D$116:D$120)</f>
        <v>9727.5199999999386</v>
      </c>
      <c r="E121" s="105">
        <f t="shared" si="8"/>
        <v>9727.5199999999386</v>
      </c>
      <c r="F121" s="105">
        <f t="shared" si="8"/>
        <v>9727.5199999999386</v>
      </c>
      <c r="G121" s="105">
        <f t="shared" si="8"/>
        <v>12159.399999999923</v>
      </c>
      <c r="H121" s="105">
        <f t="shared" si="8"/>
        <v>12159.399999999923</v>
      </c>
      <c r="I121" s="105">
        <f t="shared" si="8"/>
        <v>12159.399999999923</v>
      </c>
      <c r="J121" s="105">
        <f t="shared" si="8"/>
        <v>12159.399999999923</v>
      </c>
      <c r="K121" s="105">
        <f t="shared" si="8"/>
        <v>12159.399999999923</v>
      </c>
      <c r="L121" s="105">
        <f t="shared" si="8"/>
        <v>12159.399999999923</v>
      </c>
      <c r="M121" s="105">
        <f t="shared" si="8"/>
        <v>12159.399999999923</v>
      </c>
      <c r="N121" s="105">
        <f t="shared" si="8"/>
        <v>12159.399999999923</v>
      </c>
      <c r="O121" s="105">
        <f t="shared" si="8"/>
        <v>12159.399999999923</v>
      </c>
      <c r="P121" s="105">
        <f t="shared" si="8"/>
        <v>12159.399999999923</v>
      </c>
      <c r="Q121" s="105">
        <f t="shared" si="8"/>
        <v>12159.399999999923</v>
      </c>
      <c r="R121" s="105">
        <f t="shared" si="8"/>
        <v>12159.399999999923</v>
      </c>
      <c r="S121" s="105">
        <f t="shared" si="8"/>
        <v>12159.399999999923</v>
      </c>
      <c r="T121" s="105">
        <f t="shared" si="8"/>
        <v>12159.399999999923</v>
      </c>
      <c r="U121" s="105">
        <f t="shared" si="8"/>
        <v>12159.399999999923</v>
      </c>
      <c r="V121" s="105">
        <f t="shared" si="8"/>
        <v>12159.399999999923</v>
      </c>
      <c r="W121" s="105">
        <f t="shared" si="8"/>
        <v>9727.5199999999386</v>
      </c>
      <c r="X121" s="105">
        <f t="shared" si="8"/>
        <v>9727.5199999999386</v>
      </c>
      <c r="Y121" s="105">
        <f t="shared" si="8"/>
        <v>9727.5199999999386</v>
      </c>
      <c r="Z121" s="105">
        <f t="shared" si="8"/>
        <v>4858.1753504081298</v>
      </c>
      <c r="AA121" s="105">
        <f t="shared" si="8"/>
        <v>12159.399999999923</v>
      </c>
      <c r="AB121" s="105">
        <f t="shared" si="8"/>
        <v>12159.399999999923</v>
      </c>
      <c r="AC121" s="105">
        <f t="shared" si="8"/>
        <v>4887.2994240307316</v>
      </c>
      <c r="AD121" s="105">
        <f t="shared" si="8"/>
        <v>12159.399999999923</v>
      </c>
      <c r="AE121" s="105">
        <f t="shared" si="8"/>
        <v>12159.399999999923</v>
      </c>
      <c r="AF121" s="105">
        <f t="shared" si="8"/>
        <v>12159.399999999923</v>
      </c>
      <c r="AG121" s="105">
        <f t="shared" si="8"/>
        <v>12159.399999999923</v>
      </c>
      <c r="AH121" s="105">
        <f t="shared" si="8"/>
        <v>12159.399999999923</v>
      </c>
      <c r="AI121" s="105">
        <f t="shared" si="8"/>
        <v>9727.5199999999386</v>
      </c>
      <c r="AJ121" s="105">
        <f t="shared" si="8"/>
        <v>4953.7963184250293</v>
      </c>
      <c r="AK121" s="105">
        <f t="shared" si="8"/>
        <v>4963.1065505382112</v>
      </c>
      <c r="AL121" s="105">
        <f t="shared" si="8"/>
        <v>9727.5199999999386</v>
      </c>
      <c r="AM121" s="105">
        <f t="shared" si="8"/>
        <v>12159.399999999923</v>
      </c>
      <c r="AN121" s="105">
        <f t="shared" si="8"/>
        <v>12159.399999999923</v>
      </c>
      <c r="AO121" s="105">
        <f t="shared" si="8"/>
        <v>12159.399999999923</v>
      </c>
      <c r="AP121" s="105">
        <f t="shared" si="8"/>
        <v>12159.399999999923</v>
      </c>
      <c r="AQ121" s="105">
        <f t="shared" si="8"/>
        <v>12159.399999999923</v>
      </c>
      <c r="AR121" s="105">
        <f t="shared" si="8"/>
        <v>12159.399999999923</v>
      </c>
      <c r="AS121" s="105">
        <f t="shared" si="8"/>
        <v>12159.399999999923</v>
      </c>
      <c r="AT121" s="105">
        <f t="shared" si="8"/>
        <v>12159.399999999923</v>
      </c>
      <c r="AU121" s="105">
        <f t="shared" si="8"/>
        <v>12159.399999999923</v>
      </c>
      <c r="AV121" s="105">
        <f t="shared" si="8"/>
        <v>12159.399999999923</v>
      </c>
      <c r="AW121" s="105">
        <f t="shared" si="8"/>
        <v>12159.399999999923</v>
      </c>
      <c r="AX121" s="105">
        <f t="shared" si="8"/>
        <v>12159.399999999923</v>
      </c>
    </row>
    <row r="122" spans="1:50">
      <c r="A122" s="105" t="s">
        <v>108</v>
      </c>
      <c r="B122" s="105" t="s">
        <v>10</v>
      </c>
      <c r="C122" s="100">
        <v>4.3256865433293582E-18</v>
      </c>
      <c r="D122" s="100">
        <v>4.3256865433293582E-18</v>
      </c>
      <c r="E122" s="100">
        <v>4.3256865433293582E-18</v>
      </c>
      <c r="F122" s="100">
        <v>4.3256865433293582E-18</v>
      </c>
      <c r="G122" s="100">
        <v>4.3256865433293582E-18</v>
      </c>
      <c r="H122" s="100">
        <v>4.3256865433293582E-18</v>
      </c>
      <c r="I122" s="100">
        <v>4.3256865433293582E-18</v>
      </c>
      <c r="J122" s="100">
        <v>4.3256865433293582E-18</v>
      </c>
      <c r="K122" s="100">
        <v>0</v>
      </c>
      <c r="L122" s="100">
        <v>0</v>
      </c>
      <c r="M122" s="100">
        <v>0</v>
      </c>
      <c r="N122" s="100">
        <v>0</v>
      </c>
      <c r="O122" s="100">
        <v>4.3256865433293582E-18</v>
      </c>
      <c r="P122" s="100">
        <v>4.3256865433293582E-18</v>
      </c>
      <c r="Q122" s="100">
        <v>4.3256865433293582E-18</v>
      </c>
      <c r="R122" s="100">
        <v>4.3256865433293582E-18</v>
      </c>
      <c r="S122" s="100">
        <v>0</v>
      </c>
      <c r="T122" s="100">
        <v>0</v>
      </c>
      <c r="U122" s="100">
        <v>0</v>
      </c>
      <c r="V122" s="100">
        <v>0</v>
      </c>
      <c r="W122" s="100">
        <v>4.3256865433293582E-18</v>
      </c>
      <c r="X122" s="100">
        <v>4.3256865433293582E-18</v>
      </c>
      <c r="Y122" s="100">
        <v>4.3256865433293582E-18</v>
      </c>
      <c r="Z122" s="100">
        <v>4.3256865433293582E-18</v>
      </c>
      <c r="AA122" s="100">
        <v>0</v>
      </c>
      <c r="AB122" s="100">
        <v>0</v>
      </c>
      <c r="AC122" s="100">
        <v>0</v>
      </c>
      <c r="AD122" s="100">
        <v>0</v>
      </c>
      <c r="AE122" s="100">
        <v>0</v>
      </c>
      <c r="AF122" s="100">
        <v>0</v>
      </c>
      <c r="AG122" s="100">
        <v>0</v>
      </c>
      <c r="AH122" s="100">
        <v>0</v>
      </c>
      <c r="AI122" s="100">
        <v>0</v>
      </c>
      <c r="AJ122" s="100">
        <v>0</v>
      </c>
      <c r="AK122" s="100">
        <v>0</v>
      </c>
      <c r="AL122" s="100">
        <v>0</v>
      </c>
      <c r="AM122" s="100">
        <v>0</v>
      </c>
      <c r="AN122" s="100">
        <v>0</v>
      </c>
      <c r="AO122" s="100">
        <v>0</v>
      </c>
      <c r="AP122" s="100">
        <v>0</v>
      </c>
      <c r="AQ122" s="100">
        <v>0</v>
      </c>
      <c r="AR122" s="100">
        <v>0</v>
      </c>
      <c r="AS122" s="100">
        <v>0</v>
      </c>
      <c r="AT122" s="100">
        <v>0</v>
      </c>
      <c r="AU122" s="100">
        <v>0</v>
      </c>
      <c r="AV122" s="100">
        <v>0</v>
      </c>
      <c r="AW122" s="100">
        <v>0</v>
      </c>
      <c r="AX122" s="100">
        <v>0</v>
      </c>
    </row>
    <row r="123" spans="1:50">
      <c r="B123" s="105" t="s">
        <v>12</v>
      </c>
      <c r="C123" s="100">
        <v>2.5351147625807924E-18</v>
      </c>
      <c r="D123" s="100">
        <v>2.5351147625807924E-18</v>
      </c>
      <c r="E123" s="100">
        <v>2.5351147625807924E-18</v>
      </c>
      <c r="F123" s="100">
        <v>2.5351147625807924E-18</v>
      </c>
      <c r="G123" s="100">
        <v>2.5351147625807924E-18</v>
      </c>
      <c r="H123" s="100">
        <v>2.5351147625807924E-18</v>
      </c>
      <c r="I123" s="100">
        <v>2.5351147625807924E-18</v>
      </c>
      <c r="J123" s="100">
        <v>2.5351147625807924E-18</v>
      </c>
      <c r="K123" s="100">
        <v>0</v>
      </c>
      <c r="L123" s="100">
        <v>0</v>
      </c>
      <c r="M123" s="100">
        <v>0</v>
      </c>
      <c r="N123" s="100">
        <v>0</v>
      </c>
      <c r="O123" s="100">
        <v>2.5351147625807924E-18</v>
      </c>
      <c r="P123" s="100">
        <v>2.5351147625807924E-18</v>
      </c>
      <c r="Q123" s="100">
        <v>2.5351147625807924E-18</v>
      </c>
      <c r="R123" s="100">
        <v>2.5351147625807924E-18</v>
      </c>
      <c r="S123" s="100">
        <v>0</v>
      </c>
      <c r="T123" s="100">
        <v>0</v>
      </c>
      <c r="U123" s="100">
        <v>0</v>
      </c>
      <c r="V123" s="100">
        <v>0</v>
      </c>
      <c r="W123" s="100">
        <v>2.5351147625807924E-18</v>
      </c>
      <c r="X123" s="100">
        <v>2.5351147625807924E-18</v>
      </c>
      <c r="Y123" s="100">
        <v>2.5351147625807924E-18</v>
      </c>
      <c r="Z123" s="100">
        <v>2.5351147625807924E-18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>
        <v>0</v>
      </c>
      <c r="AG123" s="100">
        <v>0</v>
      </c>
      <c r="AH123" s="100">
        <v>0</v>
      </c>
      <c r="AI123" s="100">
        <v>0</v>
      </c>
      <c r="AJ123" s="100">
        <v>0</v>
      </c>
      <c r="AK123" s="100">
        <v>0</v>
      </c>
      <c r="AL123" s="100">
        <v>0</v>
      </c>
      <c r="AM123" s="100">
        <v>0</v>
      </c>
      <c r="AN123" s="100">
        <v>0</v>
      </c>
      <c r="AO123" s="100">
        <v>0</v>
      </c>
      <c r="AP123" s="100">
        <v>0</v>
      </c>
      <c r="AQ123" s="100">
        <v>0</v>
      </c>
      <c r="AR123" s="100">
        <v>0</v>
      </c>
      <c r="AS123" s="100">
        <v>0</v>
      </c>
      <c r="AT123" s="100">
        <v>0</v>
      </c>
      <c r="AU123" s="100">
        <v>0</v>
      </c>
      <c r="AV123" s="100">
        <v>0</v>
      </c>
      <c r="AW123" s="100">
        <v>0</v>
      </c>
      <c r="AX123" s="100">
        <v>0</v>
      </c>
    </row>
    <row r="124" spans="1:50">
      <c r="B124" s="105" t="s">
        <v>22</v>
      </c>
      <c r="C124" s="100">
        <v>0</v>
      </c>
      <c r="D124" s="100">
        <v>0</v>
      </c>
      <c r="E124" s="100">
        <v>0</v>
      </c>
      <c r="F124" s="100">
        <v>0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0</v>
      </c>
      <c r="P124" s="100">
        <v>0</v>
      </c>
      <c r="Q124" s="100">
        <v>0</v>
      </c>
      <c r="R124" s="100">
        <v>0</v>
      </c>
      <c r="S124" s="100">
        <v>0</v>
      </c>
      <c r="T124" s="100">
        <v>0</v>
      </c>
      <c r="U124" s="100">
        <v>0</v>
      </c>
      <c r="V124" s="100">
        <v>0</v>
      </c>
      <c r="W124" s="100">
        <v>0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  <c r="AQ124" s="100">
        <v>0</v>
      </c>
      <c r="AR124" s="100">
        <v>0</v>
      </c>
      <c r="AS124" s="100">
        <v>0</v>
      </c>
      <c r="AT124" s="100">
        <v>0</v>
      </c>
      <c r="AU124" s="100">
        <v>0</v>
      </c>
      <c r="AV124" s="100">
        <v>0</v>
      </c>
      <c r="AW124" s="100">
        <v>0</v>
      </c>
      <c r="AX124" s="100">
        <v>0</v>
      </c>
    </row>
    <row r="125" spans="1:50">
      <c r="B125" s="105" t="s">
        <v>46</v>
      </c>
      <c r="C125" s="100">
        <v>4.4228211838480236E-18</v>
      </c>
      <c r="D125" s="100">
        <v>4.4228211838480236E-18</v>
      </c>
      <c r="E125" s="100">
        <v>4.4228211838480236E-18</v>
      </c>
      <c r="F125" s="100">
        <v>4.4228211838480236E-18</v>
      </c>
      <c r="G125" s="100">
        <v>4.4228211838480236E-18</v>
      </c>
      <c r="H125" s="100">
        <v>4.4228211838480236E-18</v>
      </c>
      <c r="I125" s="100">
        <v>4.4228211838480236E-18</v>
      </c>
      <c r="J125" s="100">
        <v>4.4228211838480236E-18</v>
      </c>
      <c r="K125" s="100">
        <v>0</v>
      </c>
      <c r="L125" s="100">
        <v>0</v>
      </c>
      <c r="M125" s="100">
        <v>0</v>
      </c>
      <c r="N125" s="100">
        <v>0</v>
      </c>
      <c r="O125" s="100">
        <v>4.4228211838480236E-18</v>
      </c>
      <c r="P125" s="100">
        <v>4.4228211838480236E-18</v>
      </c>
      <c r="Q125" s="100">
        <v>4.4228211838480236E-18</v>
      </c>
      <c r="R125" s="100">
        <v>4.4228211838480236E-18</v>
      </c>
      <c r="S125" s="100">
        <v>0</v>
      </c>
      <c r="T125" s="100">
        <v>0</v>
      </c>
      <c r="U125" s="100">
        <v>0</v>
      </c>
      <c r="V125" s="100">
        <v>0</v>
      </c>
      <c r="W125" s="100">
        <v>4.4228211838480236E-18</v>
      </c>
      <c r="X125" s="100">
        <v>4.4228211838480236E-18</v>
      </c>
      <c r="Y125" s="100">
        <v>4.4228211838480236E-18</v>
      </c>
      <c r="Z125" s="100">
        <v>4.4228211838480236E-18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  <c r="AQ125" s="100">
        <v>0</v>
      </c>
      <c r="AR125" s="100">
        <v>0</v>
      </c>
      <c r="AS125" s="100">
        <v>0</v>
      </c>
      <c r="AT125" s="100">
        <v>0</v>
      </c>
      <c r="AU125" s="100">
        <v>0</v>
      </c>
      <c r="AV125" s="100">
        <v>0</v>
      </c>
      <c r="AW125" s="100">
        <v>0</v>
      </c>
      <c r="AX125" s="100">
        <v>0</v>
      </c>
    </row>
    <row r="126" spans="1:50">
      <c r="B126" s="105" t="s">
        <v>59</v>
      </c>
      <c r="C126" s="100">
        <v>0</v>
      </c>
      <c r="D126" s="100">
        <v>0</v>
      </c>
      <c r="E126" s="100">
        <v>0</v>
      </c>
      <c r="F126" s="100">
        <v>0</v>
      </c>
      <c r="G126" s="100">
        <v>0</v>
      </c>
      <c r="H126" s="100">
        <v>0</v>
      </c>
      <c r="I126" s="100">
        <v>0</v>
      </c>
      <c r="J126" s="100">
        <v>0</v>
      </c>
      <c r="K126" s="100">
        <v>0</v>
      </c>
      <c r="L126" s="100">
        <v>0</v>
      </c>
      <c r="M126" s="100">
        <v>0</v>
      </c>
      <c r="N126" s="100">
        <v>0</v>
      </c>
      <c r="O126" s="100">
        <v>0</v>
      </c>
      <c r="P126" s="100">
        <v>0</v>
      </c>
      <c r="Q126" s="100">
        <v>0</v>
      </c>
      <c r="R126" s="100">
        <v>0</v>
      </c>
      <c r="S126" s="100">
        <v>0</v>
      </c>
      <c r="T126" s="100">
        <v>0</v>
      </c>
      <c r="U126" s="100">
        <v>0</v>
      </c>
      <c r="V126" s="100">
        <v>0</v>
      </c>
      <c r="W126" s="100">
        <v>0</v>
      </c>
      <c r="X126" s="100">
        <v>0</v>
      </c>
      <c r="Y126" s="100">
        <v>0</v>
      </c>
      <c r="Z126" s="100">
        <v>0</v>
      </c>
      <c r="AA126" s="100">
        <v>0</v>
      </c>
      <c r="AB126" s="100">
        <v>0</v>
      </c>
      <c r="AC126" s="100">
        <v>0</v>
      </c>
      <c r="AD126" s="100">
        <v>0</v>
      </c>
      <c r="AE126" s="100">
        <v>0</v>
      </c>
      <c r="AF126" s="100">
        <v>0</v>
      </c>
      <c r="AG126" s="100">
        <v>0</v>
      </c>
      <c r="AH126" s="100">
        <v>0</v>
      </c>
      <c r="AI126" s="100">
        <v>0</v>
      </c>
      <c r="AJ126" s="100">
        <v>0</v>
      </c>
      <c r="AK126" s="100">
        <v>0</v>
      </c>
      <c r="AL126" s="100">
        <v>0</v>
      </c>
      <c r="AM126" s="100">
        <v>0</v>
      </c>
      <c r="AN126" s="100">
        <v>0</v>
      </c>
      <c r="AO126" s="100">
        <v>0</v>
      </c>
      <c r="AP126" s="100">
        <v>0</v>
      </c>
      <c r="AQ126" s="100">
        <v>0</v>
      </c>
      <c r="AR126" s="100">
        <v>0</v>
      </c>
      <c r="AS126" s="100">
        <v>0</v>
      </c>
      <c r="AT126" s="100">
        <v>0</v>
      </c>
      <c r="AU126" s="100">
        <v>0</v>
      </c>
      <c r="AV126" s="100">
        <v>0</v>
      </c>
      <c r="AW126" s="100">
        <v>0</v>
      </c>
      <c r="AX126" s="100">
        <v>0</v>
      </c>
    </row>
    <row r="127" spans="1:50">
      <c r="B127" s="100" t="s">
        <v>278</v>
      </c>
      <c r="C127" s="105">
        <f>SUM(C$122:C$126)</f>
        <v>1.1283622489758175E-17</v>
      </c>
      <c r="D127" s="105">
        <f t="shared" ref="D127:AX127" si="9">SUM(D$122:D$126)</f>
        <v>1.1283622489758175E-17</v>
      </c>
      <c r="E127" s="105">
        <f t="shared" si="9"/>
        <v>1.1283622489758175E-17</v>
      </c>
      <c r="F127" s="105">
        <f t="shared" si="9"/>
        <v>1.1283622489758175E-17</v>
      </c>
      <c r="G127" s="105">
        <f t="shared" si="9"/>
        <v>1.1283622489758175E-17</v>
      </c>
      <c r="H127" s="105">
        <f t="shared" si="9"/>
        <v>1.1283622489758175E-17</v>
      </c>
      <c r="I127" s="105">
        <f t="shared" si="9"/>
        <v>1.1283622489758175E-17</v>
      </c>
      <c r="J127" s="105">
        <f t="shared" si="9"/>
        <v>1.1283622489758175E-17</v>
      </c>
      <c r="K127" s="105">
        <f t="shared" si="9"/>
        <v>0</v>
      </c>
      <c r="L127" s="105">
        <f t="shared" si="9"/>
        <v>0</v>
      </c>
      <c r="M127" s="105">
        <f t="shared" si="9"/>
        <v>0</v>
      </c>
      <c r="N127" s="105">
        <f t="shared" si="9"/>
        <v>0</v>
      </c>
      <c r="O127" s="105">
        <f t="shared" si="9"/>
        <v>1.1283622489758175E-17</v>
      </c>
      <c r="P127" s="105">
        <f t="shared" si="9"/>
        <v>1.1283622489758175E-17</v>
      </c>
      <c r="Q127" s="105">
        <f t="shared" si="9"/>
        <v>1.1283622489758175E-17</v>
      </c>
      <c r="R127" s="105">
        <f t="shared" si="9"/>
        <v>1.1283622489758175E-17</v>
      </c>
      <c r="S127" s="105">
        <f t="shared" si="9"/>
        <v>0</v>
      </c>
      <c r="T127" s="105">
        <f t="shared" si="9"/>
        <v>0</v>
      </c>
      <c r="U127" s="105">
        <f t="shared" si="9"/>
        <v>0</v>
      </c>
      <c r="V127" s="105">
        <f t="shared" si="9"/>
        <v>0</v>
      </c>
      <c r="W127" s="105">
        <f t="shared" si="9"/>
        <v>1.1283622489758175E-17</v>
      </c>
      <c r="X127" s="105">
        <f t="shared" si="9"/>
        <v>1.1283622489758175E-17</v>
      </c>
      <c r="Y127" s="105">
        <f t="shared" si="9"/>
        <v>1.1283622489758175E-17</v>
      </c>
      <c r="Z127" s="105">
        <f t="shared" si="9"/>
        <v>1.1283622489758175E-17</v>
      </c>
      <c r="AA127" s="105">
        <f t="shared" si="9"/>
        <v>0</v>
      </c>
      <c r="AB127" s="105">
        <f t="shared" si="9"/>
        <v>0</v>
      </c>
      <c r="AC127" s="105">
        <f t="shared" si="9"/>
        <v>0</v>
      </c>
      <c r="AD127" s="105">
        <f t="shared" si="9"/>
        <v>0</v>
      </c>
      <c r="AE127" s="105">
        <f t="shared" si="9"/>
        <v>0</v>
      </c>
      <c r="AF127" s="105">
        <f t="shared" si="9"/>
        <v>0</v>
      </c>
      <c r="AG127" s="105">
        <f t="shared" si="9"/>
        <v>0</v>
      </c>
      <c r="AH127" s="105">
        <f t="shared" si="9"/>
        <v>0</v>
      </c>
      <c r="AI127" s="105">
        <f t="shared" si="9"/>
        <v>0</v>
      </c>
      <c r="AJ127" s="105">
        <f t="shared" si="9"/>
        <v>0</v>
      </c>
      <c r="AK127" s="105">
        <f t="shared" si="9"/>
        <v>0</v>
      </c>
      <c r="AL127" s="105">
        <f t="shared" si="9"/>
        <v>0</v>
      </c>
      <c r="AM127" s="105">
        <f t="shared" si="9"/>
        <v>0</v>
      </c>
      <c r="AN127" s="105">
        <f t="shared" si="9"/>
        <v>0</v>
      </c>
      <c r="AO127" s="105">
        <f t="shared" si="9"/>
        <v>0</v>
      </c>
      <c r="AP127" s="105">
        <f t="shared" si="9"/>
        <v>0</v>
      </c>
      <c r="AQ127" s="105">
        <f t="shared" si="9"/>
        <v>0</v>
      </c>
      <c r="AR127" s="105">
        <f t="shared" si="9"/>
        <v>0</v>
      </c>
      <c r="AS127" s="105">
        <f t="shared" si="9"/>
        <v>0</v>
      </c>
      <c r="AT127" s="105">
        <f t="shared" si="9"/>
        <v>0</v>
      </c>
      <c r="AU127" s="105">
        <f t="shared" si="9"/>
        <v>0</v>
      </c>
      <c r="AV127" s="105">
        <f t="shared" si="9"/>
        <v>0</v>
      </c>
      <c r="AW127" s="105">
        <f t="shared" si="9"/>
        <v>0</v>
      </c>
      <c r="AX127" s="105">
        <f t="shared" si="9"/>
        <v>0</v>
      </c>
    </row>
    <row r="128" spans="1:50">
      <c r="A128" s="105" t="s">
        <v>109</v>
      </c>
      <c r="B128" s="105" t="s">
        <v>10</v>
      </c>
      <c r="C128" s="100">
        <v>3.3449835835651854E-18</v>
      </c>
      <c r="D128" s="100">
        <v>3.3449835835651854E-18</v>
      </c>
      <c r="E128" s="100">
        <v>3.3449835835651854E-18</v>
      </c>
      <c r="F128" s="100">
        <v>3.3449835835651854E-18</v>
      </c>
      <c r="G128" s="100">
        <v>4.181229479456482E-18</v>
      </c>
      <c r="H128" s="100">
        <v>4.181229479456482E-18</v>
      </c>
      <c r="I128" s="100">
        <v>4.181229479456482E-18</v>
      </c>
      <c r="J128" s="100">
        <v>4.181229479456482E-18</v>
      </c>
      <c r="K128" s="100">
        <v>4.181229479456482E-18</v>
      </c>
      <c r="L128" s="100">
        <v>4.181229479456482E-18</v>
      </c>
      <c r="M128" s="100">
        <v>4.181229479456482E-18</v>
      </c>
      <c r="N128" s="100">
        <v>4.181229479456482E-18</v>
      </c>
      <c r="O128" s="100">
        <v>4.181229479456482E-18</v>
      </c>
      <c r="P128" s="100">
        <v>4.181229479456482E-18</v>
      </c>
      <c r="Q128" s="100">
        <v>4.181229479456482E-18</v>
      </c>
      <c r="R128" s="100">
        <v>4.181229479456482E-18</v>
      </c>
      <c r="S128" s="100">
        <v>4.181229479456482E-18</v>
      </c>
      <c r="T128" s="100">
        <v>4.181229479456482E-18</v>
      </c>
      <c r="U128" s="100">
        <v>4.181229479456482E-18</v>
      </c>
      <c r="V128" s="100">
        <v>4.181229479456482E-18</v>
      </c>
      <c r="W128" s="100">
        <v>4.181229479456482E-18</v>
      </c>
      <c r="X128" s="100">
        <v>4.181229479456482E-18</v>
      </c>
      <c r="Y128" s="100">
        <v>4.181229479456482E-18</v>
      </c>
      <c r="Z128" s="100">
        <v>4.181229479456482E-18</v>
      </c>
      <c r="AA128" s="100">
        <v>3.3449835835651854E-18</v>
      </c>
      <c r="AB128" s="100">
        <v>3.3449835835651854E-18</v>
      </c>
      <c r="AC128" s="100">
        <v>3.3449835835651854E-18</v>
      </c>
      <c r="AD128" s="100">
        <v>3.3449835835651854E-18</v>
      </c>
      <c r="AE128" s="100">
        <v>4.181229479456482E-18</v>
      </c>
      <c r="AF128" s="100">
        <v>4.181229479456482E-18</v>
      </c>
      <c r="AG128" s="100">
        <v>4.181229479456482E-18</v>
      </c>
      <c r="AH128" s="100">
        <v>4.181229479456482E-18</v>
      </c>
      <c r="AI128" s="100">
        <v>4.181229479456482E-18</v>
      </c>
      <c r="AJ128" s="100">
        <v>4.181229479456482E-18</v>
      </c>
      <c r="AK128" s="100">
        <v>4.181229479456482E-18</v>
      </c>
      <c r="AL128" s="100">
        <v>4.181229479456482E-18</v>
      </c>
      <c r="AM128" s="100">
        <v>3.3449835835651854E-18</v>
      </c>
      <c r="AN128" s="100">
        <v>3.3449835835651854E-18</v>
      </c>
      <c r="AO128" s="100">
        <v>3.3449835835651854E-18</v>
      </c>
      <c r="AP128" s="100">
        <v>3.3449835835651854E-18</v>
      </c>
      <c r="AQ128" s="100">
        <v>4.181229479456482E-18</v>
      </c>
      <c r="AR128" s="100">
        <v>4.181229479456482E-18</v>
      </c>
      <c r="AS128" s="100">
        <v>4.181229479456482E-18</v>
      </c>
      <c r="AT128" s="100">
        <v>4.181229479456482E-18</v>
      </c>
      <c r="AU128" s="100">
        <v>3.3449835835651854E-18</v>
      </c>
      <c r="AV128" s="100">
        <v>3.3449835835651854E-18</v>
      </c>
      <c r="AW128" s="100">
        <v>3.3449835835651854E-18</v>
      </c>
      <c r="AX128" s="100">
        <v>3.3449835835651854E-18</v>
      </c>
    </row>
    <row r="129" spans="2:50">
      <c r="B129" s="105" t="s">
        <v>12</v>
      </c>
      <c r="C129" s="100">
        <v>7.8125455741686753E-18</v>
      </c>
      <c r="D129" s="100">
        <v>7.8125455741686753E-18</v>
      </c>
      <c r="E129" s="100">
        <v>7.8125455741686753E-18</v>
      </c>
      <c r="F129" s="100">
        <v>7.8125455741686753E-18</v>
      </c>
      <c r="G129" s="100">
        <v>9.765681967710843E-18</v>
      </c>
      <c r="H129" s="100">
        <v>9.765681967710843E-18</v>
      </c>
      <c r="I129" s="100">
        <v>9.765681967710843E-18</v>
      </c>
      <c r="J129" s="100">
        <v>9.765681967710843E-18</v>
      </c>
      <c r="K129" s="100">
        <v>9.765681967710843E-18</v>
      </c>
      <c r="L129" s="100">
        <v>9.765681967710843E-18</v>
      </c>
      <c r="M129" s="100">
        <v>9.765681967710843E-18</v>
      </c>
      <c r="N129" s="100">
        <v>9.765681967710843E-18</v>
      </c>
      <c r="O129" s="100">
        <v>9.765681967710843E-18</v>
      </c>
      <c r="P129" s="100">
        <v>9.765681967710843E-18</v>
      </c>
      <c r="Q129" s="100">
        <v>9.765681967710843E-18</v>
      </c>
      <c r="R129" s="100">
        <v>9.765681967710843E-18</v>
      </c>
      <c r="S129" s="100">
        <v>9.765681967710843E-18</v>
      </c>
      <c r="T129" s="100">
        <v>9.765681967710843E-18</v>
      </c>
      <c r="U129" s="100">
        <v>9.765681967710843E-18</v>
      </c>
      <c r="V129" s="100">
        <v>9.765681967710843E-18</v>
      </c>
      <c r="W129" s="100">
        <v>9.765681967710843E-18</v>
      </c>
      <c r="X129" s="100">
        <v>9.765681967710843E-18</v>
      </c>
      <c r="Y129" s="100">
        <v>9.765681967710843E-18</v>
      </c>
      <c r="Z129" s="100">
        <v>9.765681967710843E-18</v>
      </c>
      <c r="AA129" s="100">
        <v>7.8125455741686753E-18</v>
      </c>
      <c r="AB129" s="100">
        <v>7.8125455741686753E-18</v>
      </c>
      <c r="AC129" s="100">
        <v>7.8125455741686753E-18</v>
      </c>
      <c r="AD129" s="100">
        <v>7.8125455741686753E-18</v>
      </c>
      <c r="AE129" s="100">
        <v>9.765681967710843E-18</v>
      </c>
      <c r="AF129" s="100">
        <v>9.765681967710843E-18</v>
      </c>
      <c r="AG129" s="100">
        <v>9.765681967710843E-18</v>
      </c>
      <c r="AH129" s="100">
        <v>9.765681967710843E-18</v>
      </c>
      <c r="AI129" s="100">
        <v>9.765681967710843E-18</v>
      </c>
      <c r="AJ129" s="100">
        <v>9.765681967710843E-18</v>
      </c>
      <c r="AK129" s="100">
        <v>9.765681967710843E-18</v>
      </c>
      <c r="AL129" s="100">
        <v>9.765681967710843E-18</v>
      </c>
      <c r="AM129" s="100">
        <v>7.8125455741686753E-18</v>
      </c>
      <c r="AN129" s="100">
        <v>7.8125455741686753E-18</v>
      </c>
      <c r="AO129" s="100">
        <v>7.8125455741686753E-18</v>
      </c>
      <c r="AP129" s="100">
        <v>7.8125455741686753E-18</v>
      </c>
      <c r="AQ129" s="100">
        <v>9.765681967710843E-18</v>
      </c>
      <c r="AR129" s="100">
        <v>9.765681967710843E-18</v>
      </c>
      <c r="AS129" s="100">
        <v>9.765681967710843E-18</v>
      </c>
      <c r="AT129" s="100">
        <v>9.765681967710843E-18</v>
      </c>
      <c r="AU129" s="100">
        <v>7.8125455741686753E-18</v>
      </c>
      <c r="AV129" s="100">
        <v>7.8125455741686753E-18</v>
      </c>
      <c r="AW129" s="100">
        <v>7.8125455741686753E-18</v>
      </c>
      <c r="AX129" s="100">
        <v>7.8125455741686753E-18</v>
      </c>
    </row>
    <row r="130" spans="2:50">
      <c r="B130" s="105" t="s">
        <v>22</v>
      </c>
      <c r="C130" s="100">
        <v>2.1768092190649936E-19</v>
      </c>
      <c r="D130" s="100">
        <v>2.1768092190649936E-19</v>
      </c>
      <c r="E130" s="100">
        <v>2.1768092190649936E-19</v>
      </c>
      <c r="F130" s="100">
        <v>2.1768092190649936E-19</v>
      </c>
      <c r="G130" s="100">
        <v>2.7210115238312416E-19</v>
      </c>
      <c r="H130" s="100">
        <v>2.7210115238312416E-19</v>
      </c>
      <c r="I130" s="100">
        <v>2.7210115238312416E-19</v>
      </c>
      <c r="J130" s="100">
        <v>2.7210115238312416E-19</v>
      </c>
      <c r="K130" s="100">
        <v>2.7210115238312416E-19</v>
      </c>
      <c r="L130" s="100">
        <v>2.7210115238312416E-19</v>
      </c>
      <c r="M130" s="100">
        <v>2.7210115238312416E-19</v>
      </c>
      <c r="N130" s="100">
        <v>2.7210115238312416E-19</v>
      </c>
      <c r="O130" s="100">
        <v>2.7210115238312416E-19</v>
      </c>
      <c r="P130" s="100">
        <v>2.7210115238312416E-19</v>
      </c>
      <c r="Q130" s="100">
        <v>2.7210115238312416E-19</v>
      </c>
      <c r="R130" s="100">
        <v>2.7210115238312416E-19</v>
      </c>
      <c r="S130" s="100">
        <v>2.7210115238312416E-19</v>
      </c>
      <c r="T130" s="100">
        <v>2.7210115238312416E-19</v>
      </c>
      <c r="U130" s="100">
        <v>2.7210115238312416E-19</v>
      </c>
      <c r="V130" s="100">
        <v>2.7210115238312416E-19</v>
      </c>
      <c r="W130" s="100">
        <v>2.7210115238312416E-19</v>
      </c>
      <c r="X130" s="100">
        <v>2.7210115238312416E-19</v>
      </c>
      <c r="Y130" s="100">
        <v>2.7210115238312416E-19</v>
      </c>
      <c r="Z130" s="100">
        <v>2.7210115238312416E-19</v>
      </c>
      <c r="AA130" s="100">
        <v>2.1768092190649936E-19</v>
      </c>
      <c r="AB130" s="100">
        <v>2.1768092190649936E-19</v>
      </c>
      <c r="AC130" s="100">
        <v>2.1768092190649936E-19</v>
      </c>
      <c r="AD130" s="100">
        <v>2.1768092190649936E-19</v>
      </c>
      <c r="AE130" s="100">
        <v>2.7210115238312416E-19</v>
      </c>
      <c r="AF130" s="100">
        <v>2.7210115238312416E-19</v>
      </c>
      <c r="AG130" s="100">
        <v>2.7210115238312416E-19</v>
      </c>
      <c r="AH130" s="100">
        <v>2.7210115238312416E-19</v>
      </c>
      <c r="AI130" s="100">
        <v>2.7210115238312416E-19</v>
      </c>
      <c r="AJ130" s="100">
        <v>2.7210115238312416E-19</v>
      </c>
      <c r="AK130" s="100">
        <v>2.7210115238312416E-19</v>
      </c>
      <c r="AL130" s="100">
        <v>2.7210115238312416E-19</v>
      </c>
      <c r="AM130" s="100">
        <v>2.1768092190649936E-19</v>
      </c>
      <c r="AN130" s="100">
        <v>2.1768092190649936E-19</v>
      </c>
      <c r="AO130" s="100">
        <v>2.1768092190649936E-19</v>
      </c>
      <c r="AP130" s="100">
        <v>2.1768092190649936E-19</v>
      </c>
      <c r="AQ130" s="100">
        <v>2.7210115238312416E-19</v>
      </c>
      <c r="AR130" s="100">
        <v>2.7210115238312416E-19</v>
      </c>
      <c r="AS130" s="100">
        <v>2.7210115238312416E-19</v>
      </c>
      <c r="AT130" s="100">
        <v>2.7210115238312416E-19</v>
      </c>
      <c r="AU130" s="100">
        <v>2.1768092190649936E-19</v>
      </c>
      <c r="AV130" s="100">
        <v>2.1768092190649936E-19</v>
      </c>
      <c r="AW130" s="100">
        <v>2.1768092190649936E-19</v>
      </c>
      <c r="AX130" s="100">
        <v>2.1768092190649936E-19</v>
      </c>
    </row>
    <row r="131" spans="2:50">
      <c r="B131" s="105" t="s">
        <v>46</v>
      </c>
      <c r="C131" s="100">
        <v>3.0112232560462968E-18</v>
      </c>
      <c r="D131" s="100">
        <v>3.0112232560462968E-18</v>
      </c>
      <c r="E131" s="100">
        <v>3.0112232560462968E-18</v>
      </c>
      <c r="F131" s="100">
        <v>3.0112232560462968E-18</v>
      </c>
      <c r="G131" s="100">
        <v>3.764029070057871E-18</v>
      </c>
      <c r="H131" s="100">
        <v>3.764029070057871E-18</v>
      </c>
      <c r="I131" s="100">
        <v>3.764029070057871E-18</v>
      </c>
      <c r="J131" s="100">
        <v>3.764029070057871E-18</v>
      </c>
      <c r="K131" s="100">
        <v>3.764029070057871E-18</v>
      </c>
      <c r="L131" s="100">
        <v>3.764029070057871E-18</v>
      </c>
      <c r="M131" s="100">
        <v>3.764029070057871E-18</v>
      </c>
      <c r="N131" s="100">
        <v>3.764029070057871E-18</v>
      </c>
      <c r="O131" s="100">
        <v>3.764029070057871E-18</v>
      </c>
      <c r="P131" s="100">
        <v>3.764029070057871E-18</v>
      </c>
      <c r="Q131" s="100">
        <v>3.764029070057871E-18</v>
      </c>
      <c r="R131" s="100">
        <v>3.764029070057871E-18</v>
      </c>
      <c r="S131" s="100">
        <v>3.764029070057871E-18</v>
      </c>
      <c r="T131" s="100">
        <v>3.764029070057871E-18</v>
      </c>
      <c r="U131" s="100">
        <v>3.764029070057871E-18</v>
      </c>
      <c r="V131" s="100">
        <v>3.764029070057871E-18</v>
      </c>
      <c r="W131" s="100">
        <v>3.764029070057871E-18</v>
      </c>
      <c r="X131" s="100">
        <v>3.764029070057871E-18</v>
      </c>
      <c r="Y131" s="100">
        <v>3.764029070057871E-18</v>
      </c>
      <c r="Z131" s="100">
        <v>3.764029070057871E-18</v>
      </c>
      <c r="AA131" s="100">
        <v>3.0112232560462968E-18</v>
      </c>
      <c r="AB131" s="100">
        <v>3.0112232560462968E-18</v>
      </c>
      <c r="AC131" s="100">
        <v>3.0112232560462968E-18</v>
      </c>
      <c r="AD131" s="100">
        <v>3.0112232560462968E-18</v>
      </c>
      <c r="AE131" s="100">
        <v>3.764029070057871E-18</v>
      </c>
      <c r="AF131" s="100">
        <v>3.764029070057871E-18</v>
      </c>
      <c r="AG131" s="100">
        <v>3.764029070057871E-18</v>
      </c>
      <c r="AH131" s="100">
        <v>3.764029070057871E-18</v>
      </c>
      <c r="AI131" s="100">
        <v>3.764029070057871E-18</v>
      </c>
      <c r="AJ131" s="100">
        <v>3.764029070057871E-18</v>
      </c>
      <c r="AK131" s="100">
        <v>3.764029070057871E-18</v>
      </c>
      <c r="AL131" s="100">
        <v>3.764029070057871E-18</v>
      </c>
      <c r="AM131" s="100">
        <v>3.0112232560462968E-18</v>
      </c>
      <c r="AN131" s="100">
        <v>3.0112232560462968E-18</v>
      </c>
      <c r="AO131" s="100">
        <v>3.0112232560462968E-18</v>
      </c>
      <c r="AP131" s="100">
        <v>3.0112232560462968E-18</v>
      </c>
      <c r="AQ131" s="100">
        <v>3.764029070057871E-18</v>
      </c>
      <c r="AR131" s="100">
        <v>3.764029070057871E-18</v>
      </c>
      <c r="AS131" s="100">
        <v>3.764029070057871E-18</v>
      </c>
      <c r="AT131" s="100">
        <v>3.764029070057871E-18</v>
      </c>
      <c r="AU131" s="100">
        <v>3.0112232560462968E-18</v>
      </c>
      <c r="AV131" s="100">
        <v>3.0112232560462968E-18</v>
      </c>
      <c r="AW131" s="100">
        <v>3.0112232560462968E-18</v>
      </c>
      <c r="AX131" s="100">
        <v>3.0112232560462968E-18</v>
      </c>
    </row>
    <row r="132" spans="2:50">
      <c r="B132" s="105" t="s">
        <v>59</v>
      </c>
      <c r="C132" s="100">
        <v>0</v>
      </c>
      <c r="D132" s="100">
        <v>0</v>
      </c>
      <c r="E132" s="100">
        <v>0</v>
      </c>
      <c r="F132" s="100">
        <v>0</v>
      </c>
      <c r="G132" s="100">
        <v>0</v>
      </c>
      <c r="H132" s="100">
        <v>0</v>
      </c>
      <c r="I132" s="100">
        <v>0</v>
      </c>
      <c r="J132" s="100">
        <v>0</v>
      </c>
      <c r="K132" s="100">
        <v>0</v>
      </c>
      <c r="L132" s="100">
        <v>0</v>
      </c>
      <c r="M132" s="100">
        <v>0</v>
      </c>
      <c r="N132" s="100">
        <v>0</v>
      </c>
      <c r="O132" s="100">
        <v>0</v>
      </c>
      <c r="P132" s="100">
        <v>0</v>
      </c>
      <c r="Q132" s="100">
        <v>0</v>
      </c>
      <c r="R132" s="100">
        <v>0</v>
      </c>
      <c r="S132" s="100">
        <v>0</v>
      </c>
      <c r="T132" s="100">
        <v>0</v>
      </c>
      <c r="U132" s="100">
        <v>0</v>
      </c>
      <c r="V132" s="100">
        <v>0</v>
      </c>
      <c r="W132" s="100">
        <v>0</v>
      </c>
      <c r="X132" s="100">
        <v>0</v>
      </c>
      <c r="Y132" s="100">
        <v>0</v>
      </c>
      <c r="Z132" s="100">
        <v>0</v>
      </c>
      <c r="AA132" s="100">
        <v>0</v>
      </c>
      <c r="AB132" s="100">
        <v>0</v>
      </c>
      <c r="AC132" s="100">
        <v>0</v>
      </c>
      <c r="AD132" s="100">
        <v>0</v>
      </c>
      <c r="AE132" s="100">
        <v>0</v>
      </c>
      <c r="AF132" s="100">
        <v>0</v>
      </c>
      <c r="AG132" s="100">
        <v>0</v>
      </c>
      <c r="AH132" s="100">
        <v>0</v>
      </c>
      <c r="AI132" s="100">
        <v>0</v>
      </c>
      <c r="AJ132" s="100">
        <v>0</v>
      </c>
      <c r="AK132" s="100">
        <v>0</v>
      </c>
      <c r="AL132" s="100">
        <v>0</v>
      </c>
      <c r="AM132" s="100">
        <v>0</v>
      </c>
      <c r="AN132" s="100">
        <v>0</v>
      </c>
      <c r="AO132" s="100">
        <v>0</v>
      </c>
      <c r="AP132" s="100">
        <v>0</v>
      </c>
      <c r="AQ132" s="100">
        <v>0</v>
      </c>
      <c r="AR132" s="100">
        <v>0</v>
      </c>
      <c r="AS132" s="100">
        <v>0</v>
      </c>
      <c r="AT132" s="100">
        <v>0</v>
      </c>
      <c r="AU132" s="100">
        <v>0</v>
      </c>
      <c r="AV132" s="100">
        <v>0</v>
      </c>
      <c r="AW132" s="100">
        <v>0</v>
      </c>
      <c r="AX132" s="100">
        <v>0</v>
      </c>
    </row>
    <row r="133" spans="2:50">
      <c r="B133" s="100" t="s">
        <v>278</v>
      </c>
      <c r="C133" s="105">
        <f>SUM(C$128:C$132)</f>
        <v>1.4386433335686656E-17</v>
      </c>
      <c r="D133" s="105">
        <f t="shared" ref="D133:AX133" si="10">SUM(D$128:D$132)</f>
        <v>1.4386433335686656E-17</v>
      </c>
      <c r="E133" s="105">
        <f t="shared" si="10"/>
        <v>1.4386433335686656E-17</v>
      </c>
      <c r="F133" s="105">
        <f t="shared" si="10"/>
        <v>1.4386433335686656E-17</v>
      </c>
      <c r="G133" s="105">
        <f t="shared" si="10"/>
        <v>1.7983041669608322E-17</v>
      </c>
      <c r="H133" s="105">
        <f t="shared" si="10"/>
        <v>1.7983041669608322E-17</v>
      </c>
      <c r="I133" s="105">
        <f t="shared" si="10"/>
        <v>1.7983041669608322E-17</v>
      </c>
      <c r="J133" s="105">
        <f t="shared" si="10"/>
        <v>1.7983041669608322E-17</v>
      </c>
      <c r="K133" s="105">
        <f t="shared" si="10"/>
        <v>1.7983041669608322E-17</v>
      </c>
      <c r="L133" s="105">
        <f t="shared" si="10"/>
        <v>1.7983041669608322E-17</v>
      </c>
      <c r="M133" s="105">
        <f t="shared" si="10"/>
        <v>1.7983041669608322E-17</v>
      </c>
      <c r="N133" s="105">
        <f t="shared" si="10"/>
        <v>1.7983041669608322E-17</v>
      </c>
      <c r="O133" s="105">
        <f t="shared" si="10"/>
        <v>1.7983041669608322E-17</v>
      </c>
      <c r="P133" s="105">
        <f t="shared" si="10"/>
        <v>1.7983041669608322E-17</v>
      </c>
      <c r="Q133" s="105">
        <f t="shared" si="10"/>
        <v>1.7983041669608322E-17</v>
      </c>
      <c r="R133" s="105">
        <f t="shared" si="10"/>
        <v>1.7983041669608322E-17</v>
      </c>
      <c r="S133" s="105">
        <f t="shared" si="10"/>
        <v>1.7983041669608322E-17</v>
      </c>
      <c r="T133" s="105">
        <f t="shared" si="10"/>
        <v>1.7983041669608322E-17</v>
      </c>
      <c r="U133" s="105">
        <f t="shared" si="10"/>
        <v>1.7983041669608322E-17</v>
      </c>
      <c r="V133" s="105">
        <f t="shared" si="10"/>
        <v>1.7983041669608322E-17</v>
      </c>
      <c r="W133" s="105">
        <f t="shared" si="10"/>
        <v>1.7983041669608322E-17</v>
      </c>
      <c r="X133" s="105">
        <f t="shared" si="10"/>
        <v>1.7983041669608322E-17</v>
      </c>
      <c r="Y133" s="105">
        <f t="shared" si="10"/>
        <v>1.7983041669608322E-17</v>
      </c>
      <c r="Z133" s="105">
        <f t="shared" si="10"/>
        <v>1.7983041669608322E-17</v>
      </c>
      <c r="AA133" s="105">
        <f t="shared" si="10"/>
        <v>1.4386433335686656E-17</v>
      </c>
      <c r="AB133" s="105">
        <f t="shared" si="10"/>
        <v>1.4386433335686656E-17</v>
      </c>
      <c r="AC133" s="105">
        <f t="shared" si="10"/>
        <v>1.4386433335686656E-17</v>
      </c>
      <c r="AD133" s="105">
        <f t="shared" si="10"/>
        <v>1.4386433335686656E-17</v>
      </c>
      <c r="AE133" s="105">
        <f t="shared" si="10"/>
        <v>1.7983041669608322E-17</v>
      </c>
      <c r="AF133" s="105">
        <f t="shared" si="10"/>
        <v>1.7983041669608322E-17</v>
      </c>
      <c r="AG133" s="105">
        <f t="shared" si="10"/>
        <v>1.7983041669608322E-17</v>
      </c>
      <c r="AH133" s="105">
        <f t="shared" si="10"/>
        <v>1.7983041669608322E-17</v>
      </c>
      <c r="AI133" s="105">
        <f t="shared" si="10"/>
        <v>1.7983041669608322E-17</v>
      </c>
      <c r="AJ133" s="105">
        <f t="shared" si="10"/>
        <v>1.7983041669608322E-17</v>
      </c>
      <c r="AK133" s="105">
        <f t="shared" si="10"/>
        <v>1.7983041669608322E-17</v>
      </c>
      <c r="AL133" s="105">
        <f t="shared" si="10"/>
        <v>1.7983041669608322E-17</v>
      </c>
      <c r="AM133" s="105">
        <f t="shared" si="10"/>
        <v>1.4386433335686656E-17</v>
      </c>
      <c r="AN133" s="105">
        <f t="shared" si="10"/>
        <v>1.4386433335686656E-17</v>
      </c>
      <c r="AO133" s="105">
        <f t="shared" si="10"/>
        <v>1.4386433335686656E-17</v>
      </c>
      <c r="AP133" s="105">
        <f t="shared" si="10"/>
        <v>1.4386433335686656E-17</v>
      </c>
      <c r="AQ133" s="105">
        <f t="shared" si="10"/>
        <v>1.7983041669608322E-17</v>
      </c>
      <c r="AR133" s="105">
        <f t="shared" si="10"/>
        <v>1.7983041669608322E-17</v>
      </c>
      <c r="AS133" s="105">
        <f t="shared" si="10"/>
        <v>1.7983041669608322E-17</v>
      </c>
      <c r="AT133" s="105">
        <f t="shared" si="10"/>
        <v>1.7983041669608322E-17</v>
      </c>
      <c r="AU133" s="105">
        <f t="shared" si="10"/>
        <v>1.4386433335686656E-17</v>
      </c>
      <c r="AV133" s="105">
        <f t="shared" si="10"/>
        <v>1.4386433335686656E-17</v>
      </c>
      <c r="AW133" s="105">
        <f t="shared" si="10"/>
        <v>1.4386433335686656E-17</v>
      </c>
      <c r="AX133" s="105">
        <f t="shared" si="10"/>
        <v>1.4386433335686656E-17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479.99999999999682</v>
      </c>
      <c r="E7" s="144">
        <v>479.99999999999682</v>
      </c>
      <c r="F7" s="144">
        <v>479.99999999999682</v>
      </c>
      <c r="G7" s="144">
        <v>479.99999999999682</v>
      </c>
      <c r="H7" s="144">
        <v>599.99999999999602</v>
      </c>
      <c r="I7" s="144">
        <v>599.99999999999602</v>
      </c>
      <c r="J7" s="144">
        <v>599.99999999999602</v>
      </c>
      <c r="K7" s="144">
        <v>599.99999999999602</v>
      </c>
      <c r="L7" s="144">
        <v>599.99999999999602</v>
      </c>
      <c r="M7" s="144">
        <v>599.99999999999602</v>
      </c>
      <c r="N7" s="144">
        <v>599.99999999999602</v>
      </c>
      <c r="O7" s="144">
        <v>599.99999999999602</v>
      </c>
      <c r="P7" s="144">
        <v>599.99999999999602</v>
      </c>
      <c r="Q7" s="144">
        <v>599.99999999999602</v>
      </c>
      <c r="R7" s="144">
        <v>599.99999999999602</v>
      </c>
      <c r="S7" s="144">
        <v>599.99999999999602</v>
      </c>
      <c r="T7" s="144">
        <v>599.99999999999602</v>
      </c>
      <c r="U7" s="144">
        <v>599.99999999999602</v>
      </c>
      <c r="V7" s="144">
        <v>599.99999999999602</v>
      </c>
      <c r="W7" s="144">
        <v>599.99999999999602</v>
      </c>
      <c r="X7" s="144">
        <v>479.99999999999682</v>
      </c>
      <c r="Y7" s="144">
        <v>479.99999999999682</v>
      </c>
      <c r="Z7" s="144">
        <v>479.99999999999682</v>
      </c>
      <c r="AA7" s="144">
        <v>239.72442803467911</v>
      </c>
      <c r="AB7" s="144">
        <v>599.99999999999602</v>
      </c>
      <c r="AC7" s="144">
        <v>599.99999999999602</v>
      </c>
      <c r="AD7" s="144">
        <v>241.16154205128856</v>
      </c>
      <c r="AE7" s="144">
        <v>599.99999999999602</v>
      </c>
      <c r="AF7" s="144">
        <v>599.99999999999602</v>
      </c>
      <c r="AG7" s="144">
        <v>599.99999999999602</v>
      </c>
      <c r="AH7" s="144">
        <v>599.99999999999602</v>
      </c>
      <c r="AI7" s="144">
        <v>599.99999999999602</v>
      </c>
      <c r="AJ7" s="144">
        <v>479.99999999999682</v>
      </c>
      <c r="AK7" s="144">
        <v>244.44280071837565</v>
      </c>
      <c r="AL7" s="144">
        <v>244.90220983954194</v>
      </c>
      <c r="AM7" s="144">
        <v>479.99999999999682</v>
      </c>
      <c r="AN7" s="144">
        <v>599.99999999999602</v>
      </c>
      <c r="AO7" s="144">
        <v>599.99999999999602</v>
      </c>
      <c r="AP7" s="144">
        <v>599.99999999999602</v>
      </c>
      <c r="AQ7" s="144">
        <v>599.99999999999602</v>
      </c>
      <c r="AR7" s="144">
        <v>599.99999999999602</v>
      </c>
      <c r="AS7" s="144">
        <v>599.99999999999602</v>
      </c>
      <c r="AT7" s="144">
        <v>599.99999999999602</v>
      </c>
      <c r="AU7" s="144">
        <v>599.99999999999602</v>
      </c>
      <c r="AV7" s="144">
        <v>599.99999999999602</v>
      </c>
      <c r="AW7" s="144">
        <v>599.99999999999602</v>
      </c>
      <c r="AX7" s="144">
        <v>599.99999999999602</v>
      </c>
      <c r="AY7" s="144">
        <v>599.99999999999602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600</v>
      </c>
      <c r="D13" s="138">
        <f t="shared" ref="D13:AY13" si="1">D$7-D$10</f>
        <v>479.99999999999682</v>
      </c>
      <c r="E13" s="138">
        <f t="shared" si="1"/>
        <v>479.99999999999682</v>
      </c>
      <c r="F13" s="138">
        <f t="shared" si="1"/>
        <v>479.99999999999682</v>
      </c>
      <c r="G13" s="138">
        <f t="shared" si="1"/>
        <v>479.99999999999682</v>
      </c>
      <c r="H13" s="138">
        <f t="shared" si="1"/>
        <v>599.99999999999602</v>
      </c>
      <c r="I13" s="138">
        <f t="shared" si="1"/>
        <v>599.99999999999602</v>
      </c>
      <c r="J13" s="138">
        <f t="shared" si="1"/>
        <v>599.99999999999602</v>
      </c>
      <c r="K13" s="138">
        <f t="shared" si="1"/>
        <v>599.99999999999602</v>
      </c>
      <c r="L13" s="138">
        <f t="shared" si="1"/>
        <v>599.99999999999602</v>
      </c>
      <c r="M13" s="138">
        <f t="shared" si="1"/>
        <v>599.99999999999602</v>
      </c>
      <c r="N13" s="138">
        <f t="shared" si="1"/>
        <v>599.99999999999602</v>
      </c>
      <c r="O13" s="138">
        <f t="shared" si="1"/>
        <v>599.99999999999602</v>
      </c>
      <c r="P13" s="138">
        <f t="shared" si="1"/>
        <v>599.99999999999602</v>
      </c>
      <c r="Q13" s="138">
        <f t="shared" si="1"/>
        <v>599.99999999999602</v>
      </c>
      <c r="R13" s="138">
        <f t="shared" si="1"/>
        <v>599.99999999999602</v>
      </c>
      <c r="S13" s="138">
        <f t="shared" si="1"/>
        <v>599.99999999999602</v>
      </c>
      <c r="T13" s="138">
        <f t="shared" si="1"/>
        <v>599.99999999999602</v>
      </c>
      <c r="U13" s="138">
        <f t="shared" si="1"/>
        <v>599.99999999999602</v>
      </c>
      <c r="V13" s="138">
        <f t="shared" si="1"/>
        <v>599.99999999999602</v>
      </c>
      <c r="W13" s="138">
        <f t="shared" si="1"/>
        <v>599.99999999999602</v>
      </c>
      <c r="X13" s="138">
        <f t="shared" si="1"/>
        <v>479.99999999999682</v>
      </c>
      <c r="Y13" s="138">
        <f t="shared" si="1"/>
        <v>479.99999999999682</v>
      </c>
      <c r="Z13" s="138">
        <f t="shared" si="1"/>
        <v>479.99999999999682</v>
      </c>
      <c r="AA13" s="138">
        <f t="shared" si="1"/>
        <v>239.72442803467911</v>
      </c>
      <c r="AB13" s="138">
        <f t="shared" si="1"/>
        <v>599.99999999999602</v>
      </c>
      <c r="AC13" s="138">
        <f t="shared" si="1"/>
        <v>599.99999999999602</v>
      </c>
      <c r="AD13" s="138">
        <f t="shared" si="1"/>
        <v>241.16154205128856</v>
      </c>
      <c r="AE13" s="138">
        <f t="shared" si="1"/>
        <v>599.99999999999602</v>
      </c>
      <c r="AF13" s="138">
        <f t="shared" si="1"/>
        <v>599.99999999999602</v>
      </c>
      <c r="AG13" s="138">
        <f t="shared" si="1"/>
        <v>599.99999999999602</v>
      </c>
      <c r="AH13" s="138">
        <f t="shared" si="1"/>
        <v>599.99999999999602</v>
      </c>
      <c r="AI13" s="138">
        <f t="shared" si="1"/>
        <v>599.99999999999602</v>
      </c>
      <c r="AJ13" s="138">
        <f t="shared" si="1"/>
        <v>479.99999999999682</v>
      </c>
      <c r="AK13" s="138">
        <f t="shared" si="1"/>
        <v>244.44280071837565</v>
      </c>
      <c r="AL13" s="138">
        <f t="shared" si="1"/>
        <v>244.90220983954194</v>
      </c>
      <c r="AM13" s="138">
        <f t="shared" si="1"/>
        <v>479.99999999999682</v>
      </c>
      <c r="AN13" s="138">
        <f t="shared" si="1"/>
        <v>599.99999999999602</v>
      </c>
      <c r="AO13" s="138">
        <f t="shared" si="1"/>
        <v>599.99999999999602</v>
      </c>
      <c r="AP13" s="138">
        <f t="shared" si="1"/>
        <v>599.99999999999602</v>
      </c>
      <c r="AQ13" s="138">
        <f t="shared" si="1"/>
        <v>599.99999999999602</v>
      </c>
      <c r="AR13" s="138">
        <f t="shared" si="1"/>
        <v>599.99999999999602</v>
      </c>
      <c r="AS13" s="138">
        <f t="shared" si="1"/>
        <v>599.99999999999602</v>
      </c>
      <c r="AT13" s="138">
        <f t="shared" si="1"/>
        <v>599.99999999999602</v>
      </c>
      <c r="AU13" s="138">
        <f t="shared" si="1"/>
        <v>599.99999999999602</v>
      </c>
      <c r="AV13" s="138">
        <f t="shared" si="1"/>
        <v>599.99999999999602</v>
      </c>
      <c r="AW13" s="138">
        <f t="shared" si="1"/>
        <v>599.99999999999602</v>
      </c>
      <c r="AX13" s="138">
        <f t="shared" si="1"/>
        <v>599.99999999999602</v>
      </c>
      <c r="AY13" s="138">
        <f t="shared" si="1"/>
        <v>599.99999999999602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0.39908758119175192</v>
      </c>
      <c r="C21" s="156" t="s">
        <v>293</v>
      </c>
      <c r="D21" s="106">
        <f>IF(C$20="Yes",0,SUM(C$13:C$16)*$B$21)</f>
        <v>239.45254871505114</v>
      </c>
      <c r="E21" s="106">
        <f t="shared" ref="E21:AY21" si="3">IF(D$20="Yes",0,SUM(D$13:D$16)*$B$21)</f>
        <v>191.56203897203966</v>
      </c>
      <c r="F21" s="106">
        <f t="shared" si="3"/>
        <v>191.56203897203966</v>
      </c>
      <c r="G21" s="106">
        <f t="shared" si="3"/>
        <v>191.56203897203966</v>
      </c>
      <c r="H21" s="106">
        <f t="shared" si="3"/>
        <v>191.56203897203966</v>
      </c>
      <c r="I21" s="106">
        <f t="shared" si="3"/>
        <v>239.45254871504957</v>
      </c>
      <c r="J21" s="106">
        <f t="shared" si="3"/>
        <v>239.45254871504957</v>
      </c>
      <c r="K21" s="106">
        <f t="shared" si="3"/>
        <v>239.45254871504957</v>
      </c>
      <c r="L21" s="106">
        <f t="shared" si="3"/>
        <v>239.45254871504957</v>
      </c>
      <c r="M21" s="106">
        <f t="shared" si="3"/>
        <v>239.45254871504957</v>
      </c>
      <c r="N21" s="106">
        <f t="shared" si="3"/>
        <v>239.45254871504957</v>
      </c>
      <c r="O21" s="106">
        <f t="shared" si="3"/>
        <v>239.45254871504957</v>
      </c>
      <c r="P21" s="106">
        <f t="shared" si="3"/>
        <v>239.45254871504957</v>
      </c>
      <c r="Q21" s="106">
        <f t="shared" si="3"/>
        <v>239.45254871504957</v>
      </c>
      <c r="R21" s="106">
        <f t="shared" si="3"/>
        <v>239.45254871504957</v>
      </c>
      <c r="S21" s="106">
        <f t="shared" si="3"/>
        <v>239.45254871504957</v>
      </c>
      <c r="T21" s="106">
        <f t="shared" si="3"/>
        <v>239.45254871504957</v>
      </c>
      <c r="U21" s="106">
        <f t="shared" si="3"/>
        <v>239.45254871504957</v>
      </c>
      <c r="V21" s="106">
        <f t="shared" si="3"/>
        <v>239.45254871504957</v>
      </c>
      <c r="W21" s="106">
        <f t="shared" si="3"/>
        <v>239.45254871504957</v>
      </c>
      <c r="X21" s="106">
        <f t="shared" si="3"/>
        <v>239.45254871504957</v>
      </c>
      <c r="Y21" s="106">
        <f t="shared" si="3"/>
        <v>191.56203897203966</v>
      </c>
      <c r="Z21" s="106">
        <f t="shared" si="3"/>
        <v>191.56203897203966</v>
      </c>
      <c r="AA21" s="106">
        <f t="shared" si="3"/>
        <v>191.56203897203966</v>
      </c>
      <c r="AB21" s="106">
        <f t="shared" si="3"/>
        <v>95.671042136936293</v>
      </c>
      <c r="AC21" s="106">
        <f t="shared" si="3"/>
        <v>239.45254871504957</v>
      </c>
      <c r="AD21" s="106">
        <f t="shared" si="3"/>
        <v>239.45254871504957</v>
      </c>
      <c r="AE21" s="106">
        <f t="shared" si="3"/>
        <v>96.244576493721723</v>
      </c>
      <c r="AF21" s="106">
        <f t="shared" si="3"/>
        <v>239.45254871504957</v>
      </c>
      <c r="AG21" s="106">
        <f t="shared" si="3"/>
        <v>239.45254871504957</v>
      </c>
      <c r="AH21" s="106">
        <f t="shared" si="3"/>
        <v>239.45254871504957</v>
      </c>
      <c r="AI21" s="106">
        <f t="shared" si="3"/>
        <v>239.45254871504957</v>
      </c>
      <c r="AJ21" s="106">
        <f t="shared" si="3"/>
        <v>239.45254871504957</v>
      </c>
      <c r="AK21" s="106">
        <f t="shared" si="3"/>
        <v>191.56203897203966</v>
      </c>
      <c r="AL21" s="106">
        <f t="shared" si="3"/>
        <v>97.554086078433983</v>
      </c>
      <c r="AM21" s="106">
        <f t="shared" si="3"/>
        <v>97.737430553377664</v>
      </c>
      <c r="AN21" s="106">
        <f t="shared" si="3"/>
        <v>191.56203897203966</v>
      </c>
      <c r="AO21" s="106">
        <f t="shared" si="3"/>
        <v>239.45254871504957</v>
      </c>
      <c r="AP21" s="106">
        <f t="shared" si="3"/>
        <v>239.45254871504957</v>
      </c>
      <c r="AQ21" s="106">
        <f t="shared" si="3"/>
        <v>239.45254871504957</v>
      </c>
      <c r="AR21" s="106">
        <f t="shared" si="3"/>
        <v>239.45254871504957</v>
      </c>
      <c r="AS21" s="106">
        <f t="shared" si="3"/>
        <v>239.45254871504957</v>
      </c>
      <c r="AT21" s="106">
        <f t="shared" si="3"/>
        <v>239.45254871504957</v>
      </c>
      <c r="AU21" s="106">
        <f t="shared" si="3"/>
        <v>239.45254871504957</v>
      </c>
      <c r="AV21" s="106">
        <f t="shared" si="3"/>
        <v>239.45254871504957</v>
      </c>
      <c r="AW21" s="106">
        <f t="shared" si="3"/>
        <v>239.45254871504957</v>
      </c>
      <c r="AX21" s="106">
        <f t="shared" si="3"/>
        <v>239.45254871504957</v>
      </c>
      <c r="AY21" s="106">
        <f t="shared" si="3"/>
        <v>239.45254871504957</v>
      </c>
      <c r="AZ21" s="157">
        <f>SUM($D21:$AY21)</f>
        <v>10492.104691037563</v>
      </c>
    </row>
    <row r="22" spans="1:52" s="110" customFormat="1">
      <c r="A22" s="158" t="s">
        <v>123</v>
      </c>
      <c r="B22" s="159">
        <f>1-$B$21</f>
        <v>0.60091241880824808</v>
      </c>
      <c r="C22" s="159" t="s">
        <v>293</v>
      </c>
      <c r="D22" s="114">
        <f>IF(C$20="Yes",0,SUM(C$13:C$16)*$B$22)</f>
        <v>360.54745128494886</v>
      </c>
      <c r="E22" s="114">
        <f t="shared" ref="E22:AY22" si="4">IF(D$20="Yes",0,SUM(D$13:D$16)*$B$22)</f>
        <v>288.43796102795716</v>
      </c>
      <c r="F22" s="114">
        <f t="shared" si="4"/>
        <v>288.43796102795716</v>
      </c>
      <c r="G22" s="114">
        <f t="shared" si="4"/>
        <v>288.43796102795716</v>
      </c>
      <c r="H22" s="114">
        <f t="shared" si="4"/>
        <v>288.43796102795716</v>
      </c>
      <c r="I22" s="114">
        <f t="shared" si="4"/>
        <v>360.54745128494648</v>
      </c>
      <c r="J22" s="114">
        <f t="shared" si="4"/>
        <v>360.54745128494648</v>
      </c>
      <c r="K22" s="114">
        <f t="shared" si="4"/>
        <v>360.54745128494648</v>
      </c>
      <c r="L22" s="114">
        <f t="shared" si="4"/>
        <v>360.54745128494648</v>
      </c>
      <c r="M22" s="114">
        <f t="shared" si="4"/>
        <v>360.54745128494648</v>
      </c>
      <c r="N22" s="114">
        <f t="shared" si="4"/>
        <v>360.54745128494648</v>
      </c>
      <c r="O22" s="114">
        <f t="shared" si="4"/>
        <v>360.54745128494648</v>
      </c>
      <c r="P22" s="114">
        <f t="shared" si="4"/>
        <v>360.54745128494648</v>
      </c>
      <c r="Q22" s="114">
        <f t="shared" si="4"/>
        <v>360.54745128494648</v>
      </c>
      <c r="R22" s="114">
        <f t="shared" si="4"/>
        <v>360.54745128494648</v>
      </c>
      <c r="S22" s="114">
        <f t="shared" si="4"/>
        <v>360.54745128494648</v>
      </c>
      <c r="T22" s="114">
        <f t="shared" si="4"/>
        <v>360.54745128494648</v>
      </c>
      <c r="U22" s="114">
        <f t="shared" si="4"/>
        <v>360.54745128494648</v>
      </c>
      <c r="V22" s="114">
        <f t="shared" si="4"/>
        <v>360.54745128494648</v>
      </c>
      <c r="W22" s="114">
        <f t="shared" si="4"/>
        <v>360.54745128494648</v>
      </c>
      <c r="X22" s="114">
        <f t="shared" si="4"/>
        <v>360.54745128494648</v>
      </c>
      <c r="Y22" s="114">
        <f t="shared" si="4"/>
        <v>288.43796102795716</v>
      </c>
      <c r="Z22" s="114">
        <f t="shared" si="4"/>
        <v>288.43796102795716</v>
      </c>
      <c r="AA22" s="114">
        <f t="shared" si="4"/>
        <v>288.43796102795716</v>
      </c>
      <c r="AB22" s="114">
        <f t="shared" si="4"/>
        <v>144.05338589774283</v>
      </c>
      <c r="AC22" s="114">
        <f t="shared" si="4"/>
        <v>360.54745128494648</v>
      </c>
      <c r="AD22" s="114">
        <f t="shared" si="4"/>
        <v>360.54745128494648</v>
      </c>
      <c r="AE22" s="114">
        <f t="shared" si="4"/>
        <v>144.91696555756684</v>
      </c>
      <c r="AF22" s="114">
        <f t="shared" si="4"/>
        <v>360.54745128494648</v>
      </c>
      <c r="AG22" s="114">
        <f t="shared" si="4"/>
        <v>360.54745128494648</v>
      </c>
      <c r="AH22" s="114">
        <f t="shared" si="4"/>
        <v>360.54745128494648</v>
      </c>
      <c r="AI22" s="114">
        <f t="shared" si="4"/>
        <v>360.54745128494648</v>
      </c>
      <c r="AJ22" s="114">
        <f t="shared" si="4"/>
        <v>360.54745128494648</v>
      </c>
      <c r="AK22" s="114">
        <f t="shared" si="4"/>
        <v>288.43796102795716</v>
      </c>
      <c r="AL22" s="114">
        <f t="shared" si="4"/>
        <v>146.88871463994167</v>
      </c>
      <c r="AM22" s="114">
        <f t="shared" si="4"/>
        <v>147.16477928616428</v>
      </c>
      <c r="AN22" s="114">
        <f t="shared" si="4"/>
        <v>288.43796102795716</v>
      </c>
      <c r="AO22" s="114">
        <f t="shared" si="4"/>
        <v>360.54745128494648</v>
      </c>
      <c r="AP22" s="114">
        <f t="shared" si="4"/>
        <v>360.54745128494648</v>
      </c>
      <c r="AQ22" s="114">
        <f t="shared" si="4"/>
        <v>360.54745128494648</v>
      </c>
      <c r="AR22" s="114">
        <f t="shared" si="4"/>
        <v>360.54745128494648</v>
      </c>
      <c r="AS22" s="114">
        <f t="shared" si="4"/>
        <v>360.54745128494648</v>
      </c>
      <c r="AT22" s="114">
        <f t="shared" si="4"/>
        <v>360.54745128494648</v>
      </c>
      <c r="AU22" s="114">
        <f t="shared" si="4"/>
        <v>360.54745128494648</v>
      </c>
      <c r="AV22" s="114">
        <f t="shared" si="4"/>
        <v>360.54745128494648</v>
      </c>
      <c r="AW22" s="114">
        <f t="shared" si="4"/>
        <v>360.54745128494648</v>
      </c>
      <c r="AX22" s="114">
        <f t="shared" si="4"/>
        <v>360.54745128494648</v>
      </c>
      <c r="AY22" s="114">
        <f t="shared" si="4"/>
        <v>360.54745128494648</v>
      </c>
      <c r="AZ22" s="141">
        <f t="shared" ref="AZ22:AZ30" si="5">SUM($D22:$AY22)</f>
        <v>15798.126289606169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478905.09743010229</v>
      </c>
      <c r="E23" s="100">
        <f t="shared" ref="E23:AY23" si="6">E$21*$B$23</f>
        <v>383124.0779440793</v>
      </c>
      <c r="F23" s="100">
        <f t="shared" si="6"/>
        <v>383124.0779440793</v>
      </c>
      <c r="G23" s="100">
        <f t="shared" si="6"/>
        <v>383124.0779440793</v>
      </c>
      <c r="H23" s="100">
        <f t="shared" si="6"/>
        <v>383124.0779440793</v>
      </c>
      <c r="I23" s="100">
        <f t="shared" si="6"/>
        <v>478905.09743009915</v>
      </c>
      <c r="J23" s="100">
        <f t="shared" si="6"/>
        <v>478905.09743009915</v>
      </c>
      <c r="K23" s="100">
        <f t="shared" si="6"/>
        <v>478905.09743009915</v>
      </c>
      <c r="L23" s="100">
        <f t="shared" si="6"/>
        <v>478905.09743009915</v>
      </c>
      <c r="M23" s="100">
        <f t="shared" si="6"/>
        <v>478905.09743009915</v>
      </c>
      <c r="N23" s="100">
        <f t="shared" si="6"/>
        <v>478905.09743009915</v>
      </c>
      <c r="O23" s="100">
        <f t="shared" si="6"/>
        <v>478905.09743009915</v>
      </c>
      <c r="P23" s="100">
        <f t="shared" si="6"/>
        <v>478905.09743009915</v>
      </c>
      <c r="Q23" s="100">
        <f t="shared" si="6"/>
        <v>478905.09743009915</v>
      </c>
      <c r="R23" s="100">
        <f t="shared" si="6"/>
        <v>478905.09743009915</v>
      </c>
      <c r="S23" s="100">
        <f t="shared" si="6"/>
        <v>478905.09743009915</v>
      </c>
      <c r="T23" s="100">
        <f t="shared" si="6"/>
        <v>478905.09743009915</v>
      </c>
      <c r="U23" s="100">
        <f t="shared" si="6"/>
        <v>478905.09743009915</v>
      </c>
      <c r="V23" s="100">
        <f t="shared" si="6"/>
        <v>478905.09743009915</v>
      </c>
      <c r="W23" s="100">
        <f t="shared" si="6"/>
        <v>478905.09743009915</v>
      </c>
      <c r="X23" s="100">
        <f t="shared" si="6"/>
        <v>478905.09743009915</v>
      </c>
      <c r="Y23" s="100">
        <f t="shared" si="6"/>
        <v>383124.0779440793</v>
      </c>
      <c r="Z23" s="100">
        <f t="shared" si="6"/>
        <v>383124.0779440793</v>
      </c>
      <c r="AA23" s="100">
        <f t="shared" si="6"/>
        <v>383124.0779440793</v>
      </c>
      <c r="AB23" s="100">
        <f t="shared" si="6"/>
        <v>191342.08427387258</v>
      </c>
      <c r="AC23" s="100">
        <f t="shared" si="6"/>
        <v>478905.09743009915</v>
      </c>
      <c r="AD23" s="100">
        <f t="shared" si="6"/>
        <v>478905.09743009915</v>
      </c>
      <c r="AE23" s="100">
        <f t="shared" si="6"/>
        <v>192489.15298744343</v>
      </c>
      <c r="AF23" s="100">
        <f t="shared" si="6"/>
        <v>478905.09743009915</v>
      </c>
      <c r="AG23" s="100">
        <f t="shared" si="6"/>
        <v>478905.09743009915</v>
      </c>
      <c r="AH23" s="100">
        <f t="shared" si="6"/>
        <v>478905.09743009915</v>
      </c>
      <c r="AI23" s="100">
        <f t="shared" si="6"/>
        <v>478905.09743009915</v>
      </c>
      <c r="AJ23" s="100">
        <f t="shared" si="6"/>
        <v>478905.09743009915</v>
      </c>
      <c r="AK23" s="100">
        <f t="shared" si="6"/>
        <v>383124.0779440793</v>
      </c>
      <c r="AL23" s="100">
        <f t="shared" si="6"/>
        <v>195108.17215686798</v>
      </c>
      <c r="AM23" s="100">
        <f t="shared" si="6"/>
        <v>195474.86110675533</v>
      </c>
      <c r="AN23" s="100">
        <f t="shared" si="6"/>
        <v>383124.0779440793</v>
      </c>
      <c r="AO23" s="100">
        <f t="shared" si="6"/>
        <v>478905.09743009915</v>
      </c>
      <c r="AP23" s="100">
        <f t="shared" si="6"/>
        <v>478905.09743009915</v>
      </c>
      <c r="AQ23" s="100">
        <f t="shared" si="6"/>
        <v>478905.09743009915</v>
      </c>
      <c r="AR23" s="100">
        <f t="shared" si="6"/>
        <v>478905.09743009915</v>
      </c>
      <c r="AS23" s="100">
        <f t="shared" si="6"/>
        <v>478905.09743009915</v>
      </c>
      <c r="AT23" s="100">
        <f t="shared" si="6"/>
        <v>478905.09743009915</v>
      </c>
      <c r="AU23" s="100">
        <f t="shared" si="6"/>
        <v>478905.09743009915</v>
      </c>
      <c r="AV23" s="100">
        <f t="shared" si="6"/>
        <v>478905.09743009915</v>
      </c>
      <c r="AW23" s="100">
        <f t="shared" si="6"/>
        <v>478905.09743009915</v>
      </c>
      <c r="AX23" s="100">
        <f t="shared" si="6"/>
        <v>478905.09743009915</v>
      </c>
      <c r="AY23" s="100">
        <f t="shared" si="6"/>
        <v>478905.09743009915</v>
      </c>
      <c r="AZ23" s="139">
        <f t="shared" si="5"/>
        <v>20984209.38207512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360547.45128494885</v>
      </c>
      <c r="E24" s="106">
        <f t="shared" ref="E24:AY24" si="7">E$22*$B$24</f>
        <v>288437.96102795715</v>
      </c>
      <c r="F24" s="106">
        <f t="shared" si="7"/>
        <v>288437.96102795715</v>
      </c>
      <c r="G24" s="106">
        <f t="shared" si="7"/>
        <v>288437.96102795715</v>
      </c>
      <c r="H24" s="106">
        <f t="shared" si="7"/>
        <v>288437.96102795715</v>
      </c>
      <c r="I24" s="106">
        <f t="shared" si="7"/>
        <v>360547.45128494647</v>
      </c>
      <c r="J24" s="106">
        <f t="shared" si="7"/>
        <v>360547.45128494647</v>
      </c>
      <c r="K24" s="106">
        <f t="shared" si="7"/>
        <v>360547.45128494647</v>
      </c>
      <c r="L24" s="106">
        <f t="shared" si="7"/>
        <v>360547.45128494647</v>
      </c>
      <c r="M24" s="106">
        <f t="shared" si="7"/>
        <v>360547.45128494647</v>
      </c>
      <c r="N24" s="106">
        <f t="shared" si="7"/>
        <v>360547.45128494647</v>
      </c>
      <c r="O24" s="106">
        <f t="shared" si="7"/>
        <v>360547.45128494647</v>
      </c>
      <c r="P24" s="106">
        <f t="shared" si="7"/>
        <v>360547.45128494647</v>
      </c>
      <c r="Q24" s="106">
        <f t="shared" si="7"/>
        <v>360547.45128494647</v>
      </c>
      <c r="R24" s="106">
        <f t="shared" si="7"/>
        <v>360547.45128494647</v>
      </c>
      <c r="S24" s="106">
        <f t="shared" si="7"/>
        <v>360547.45128494647</v>
      </c>
      <c r="T24" s="106">
        <f t="shared" si="7"/>
        <v>360547.45128494647</v>
      </c>
      <c r="U24" s="106">
        <f t="shared" si="7"/>
        <v>360547.45128494647</v>
      </c>
      <c r="V24" s="106">
        <f t="shared" si="7"/>
        <v>360547.45128494647</v>
      </c>
      <c r="W24" s="106">
        <f t="shared" si="7"/>
        <v>360547.45128494647</v>
      </c>
      <c r="X24" s="106">
        <f t="shared" si="7"/>
        <v>360547.45128494647</v>
      </c>
      <c r="Y24" s="106">
        <f t="shared" si="7"/>
        <v>288437.96102795715</v>
      </c>
      <c r="Z24" s="106">
        <f t="shared" si="7"/>
        <v>288437.96102795715</v>
      </c>
      <c r="AA24" s="106">
        <f t="shared" si="7"/>
        <v>288437.96102795715</v>
      </c>
      <c r="AB24" s="106">
        <f t="shared" si="7"/>
        <v>144053.38589774282</v>
      </c>
      <c r="AC24" s="106">
        <f t="shared" si="7"/>
        <v>360547.45128494647</v>
      </c>
      <c r="AD24" s="106">
        <f t="shared" si="7"/>
        <v>360547.45128494647</v>
      </c>
      <c r="AE24" s="106">
        <f t="shared" si="7"/>
        <v>144916.96555756684</v>
      </c>
      <c r="AF24" s="106">
        <f t="shared" si="7"/>
        <v>360547.45128494647</v>
      </c>
      <c r="AG24" s="106">
        <f t="shared" si="7"/>
        <v>360547.45128494647</v>
      </c>
      <c r="AH24" s="106">
        <f t="shared" si="7"/>
        <v>360547.45128494647</v>
      </c>
      <c r="AI24" s="106">
        <f t="shared" si="7"/>
        <v>360547.45128494647</v>
      </c>
      <c r="AJ24" s="106">
        <f t="shared" si="7"/>
        <v>360547.45128494647</v>
      </c>
      <c r="AK24" s="106">
        <f t="shared" si="7"/>
        <v>288437.96102795715</v>
      </c>
      <c r="AL24" s="106">
        <f t="shared" si="7"/>
        <v>146888.71463994167</v>
      </c>
      <c r="AM24" s="106">
        <f t="shared" si="7"/>
        <v>147164.77928616427</v>
      </c>
      <c r="AN24" s="106">
        <f t="shared" si="7"/>
        <v>288437.96102795715</v>
      </c>
      <c r="AO24" s="106">
        <f t="shared" si="7"/>
        <v>360547.45128494647</v>
      </c>
      <c r="AP24" s="106">
        <f t="shared" si="7"/>
        <v>360547.45128494647</v>
      </c>
      <c r="AQ24" s="106">
        <f t="shared" si="7"/>
        <v>360547.45128494647</v>
      </c>
      <c r="AR24" s="106">
        <f t="shared" si="7"/>
        <v>360547.45128494647</v>
      </c>
      <c r="AS24" s="106">
        <f t="shared" si="7"/>
        <v>360547.45128494647</v>
      </c>
      <c r="AT24" s="106">
        <f t="shared" si="7"/>
        <v>360547.45128494647</v>
      </c>
      <c r="AU24" s="106">
        <f t="shared" si="7"/>
        <v>360547.45128494647</v>
      </c>
      <c r="AV24" s="106">
        <f t="shared" si="7"/>
        <v>360547.45128494647</v>
      </c>
      <c r="AW24" s="106">
        <f t="shared" si="7"/>
        <v>360547.45128494647</v>
      </c>
      <c r="AX24" s="106">
        <f t="shared" si="7"/>
        <v>360547.45128494647</v>
      </c>
      <c r="AY24" s="106">
        <f t="shared" si="7"/>
        <v>360547.45128494647</v>
      </c>
      <c r="AZ24" s="141">
        <f t="shared" si="5"/>
        <v>15798126.289606171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21</v>
      </c>
      <c r="D27" s="124">
        <f>C$27-C$28+C$29</f>
        <v>1</v>
      </c>
      <c r="E27" s="124">
        <f t="shared" ref="E27:AY27" si="8">D27-D28+D29</f>
        <v>21</v>
      </c>
      <c r="F27" s="124">
        <f t="shared" si="8"/>
        <v>5</v>
      </c>
      <c r="G27" s="124">
        <f t="shared" si="8"/>
        <v>17</v>
      </c>
      <c r="H27" s="124">
        <f t="shared" si="8"/>
        <v>5</v>
      </c>
      <c r="I27" s="124">
        <f t="shared" si="8"/>
        <v>17</v>
      </c>
      <c r="J27" s="124">
        <f t="shared" si="8"/>
        <v>5</v>
      </c>
      <c r="K27" s="124">
        <f t="shared" si="8"/>
        <v>17</v>
      </c>
      <c r="L27" s="124">
        <f t="shared" si="8"/>
        <v>5</v>
      </c>
      <c r="M27" s="124">
        <f t="shared" si="8"/>
        <v>17</v>
      </c>
      <c r="N27" s="124">
        <f t="shared" si="8"/>
        <v>5</v>
      </c>
      <c r="O27" s="124">
        <f t="shared" si="8"/>
        <v>17</v>
      </c>
      <c r="P27" s="124">
        <f t="shared" si="8"/>
        <v>5</v>
      </c>
      <c r="Q27" s="124">
        <f t="shared" si="8"/>
        <v>17</v>
      </c>
      <c r="R27" s="124">
        <f t="shared" si="8"/>
        <v>5</v>
      </c>
      <c r="S27" s="124">
        <f t="shared" si="8"/>
        <v>17</v>
      </c>
      <c r="T27" s="124">
        <f t="shared" si="8"/>
        <v>5</v>
      </c>
      <c r="U27" s="124">
        <f t="shared" si="8"/>
        <v>17</v>
      </c>
      <c r="V27" s="124">
        <f t="shared" si="8"/>
        <v>5</v>
      </c>
      <c r="W27" s="124">
        <f t="shared" si="8"/>
        <v>17</v>
      </c>
      <c r="X27" s="124">
        <f t="shared" si="8"/>
        <v>5</v>
      </c>
      <c r="Y27" s="124">
        <f t="shared" si="8"/>
        <v>17</v>
      </c>
      <c r="Z27" s="124">
        <f t="shared" si="8"/>
        <v>5</v>
      </c>
      <c r="AA27" s="124">
        <f t="shared" si="8"/>
        <v>17</v>
      </c>
      <c r="AB27" s="124">
        <f t="shared" si="8"/>
        <v>5</v>
      </c>
      <c r="AC27" s="124">
        <f t="shared" si="8"/>
        <v>17</v>
      </c>
      <c r="AD27" s="124">
        <f t="shared" si="8"/>
        <v>5</v>
      </c>
      <c r="AE27" s="124">
        <f t="shared" si="8"/>
        <v>17</v>
      </c>
      <c r="AF27" s="124">
        <f t="shared" si="8"/>
        <v>12</v>
      </c>
      <c r="AG27" s="124">
        <f t="shared" si="8"/>
        <v>10</v>
      </c>
      <c r="AH27" s="124">
        <f t="shared" si="8"/>
        <v>12</v>
      </c>
      <c r="AI27" s="124">
        <f t="shared" si="8"/>
        <v>10</v>
      </c>
      <c r="AJ27" s="124">
        <f t="shared" si="8"/>
        <v>12</v>
      </c>
      <c r="AK27" s="124">
        <f t="shared" si="8"/>
        <v>10</v>
      </c>
      <c r="AL27" s="124">
        <f t="shared" si="8"/>
        <v>12</v>
      </c>
      <c r="AM27" s="124">
        <f t="shared" si="8"/>
        <v>12</v>
      </c>
      <c r="AN27" s="124">
        <f t="shared" si="8"/>
        <v>12</v>
      </c>
      <c r="AO27" s="124">
        <f t="shared" si="8"/>
        <v>10</v>
      </c>
      <c r="AP27" s="124">
        <f t="shared" si="8"/>
        <v>12</v>
      </c>
      <c r="AQ27" s="124">
        <f t="shared" si="8"/>
        <v>10</v>
      </c>
      <c r="AR27" s="124">
        <f t="shared" si="8"/>
        <v>12</v>
      </c>
      <c r="AS27" s="124">
        <f t="shared" si="8"/>
        <v>10</v>
      </c>
      <c r="AT27" s="124">
        <f t="shared" si="8"/>
        <v>12</v>
      </c>
      <c r="AU27" s="124">
        <f t="shared" si="8"/>
        <v>10</v>
      </c>
      <c r="AV27" s="124">
        <f t="shared" si="8"/>
        <v>12</v>
      </c>
      <c r="AW27" s="124">
        <f t="shared" si="8"/>
        <v>10</v>
      </c>
      <c r="AX27" s="124">
        <f t="shared" si="8"/>
        <v>12</v>
      </c>
      <c r="AY27" s="164">
        <f t="shared" si="8"/>
        <v>10</v>
      </c>
      <c r="AZ27" s="106"/>
    </row>
    <row r="28" spans="1:52">
      <c r="B28" s="165" t="s">
        <v>310</v>
      </c>
      <c r="C28" s="110">
        <v>21</v>
      </c>
      <c r="D28" s="110">
        <v>1</v>
      </c>
      <c r="E28" s="110">
        <v>17</v>
      </c>
      <c r="F28" s="110">
        <v>5</v>
      </c>
      <c r="G28" s="110">
        <v>17</v>
      </c>
      <c r="H28" s="110">
        <v>5</v>
      </c>
      <c r="I28" s="110">
        <v>17</v>
      </c>
      <c r="J28" s="110">
        <v>5</v>
      </c>
      <c r="K28" s="110">
        <v>17</v>
      </c>
      <c r="L28" s="110">
        <v>5</v>
      </c>
      <c r="M28" s="110">
        <v>17</v>
      </c>
      <c r="N28" s="110">
        <v>5</v>
      </c>
      <c r="O28" s="110">
        <v>17</v>
      </c>
      <c r="P28" s="110">
        <v>5</v>
      </c>
      <c r="Q28" s="110">
        <v>17</v>
      </c>
      <c r="R28" s="110">
        <v>5</v>
      </c>
      <c r="S28" s="110">
        <v>17</v>
      </c>
      <c r="T28" s="110">
        <v>5</v>
      </c>
      <c r="U28" s="110">
        <v>17</v>
      </c>
      <c r="V28" s="110">
        <v>5</v>
      </c>
      <c r="W28" s="110">
        <v>17</v>
      </c>
      <c r="X28" s="110">
        <v>5</v>
      </c>
      <c r="Y28" s="110">
        <v>17</v>
      </c>
      <c r="Z28" s="110">
        <v>5</v>
      </c>
      <c r="AA28" s="110">
        <v>17</v>
      </c>
      <c r="AB28" s="110">
        <v>5</v>
      </c>
      <c r="AC28" s="110">
        <v>17</v>
      </c>
      <c r="AD28" s="110">
        <v>5</v>
      </c>
      <c r="AE28" s="110">
        <v>10</v>
      </c>
      <c r="AF28" s="110">
        <v>12</v>
      </c>
      <c r="AG28" s="110">
        <v>10</v>
      </c>
      <c r="AH28" s="110">
        <v>12</v>
      </c>
      <c r="AI28" s="110">
        <v>10</v>
      </c>
      <c r="AJ28" s="110">
        <v>12</v>
      </c>
      <c r="AK28" s="110">
        <v>10</v>
      </c>
      <c r="AL28" s="110">
        <v>10</v>
      </c>
      <c r="AM28" s="110">
        <v>10</v>
      </c>
      <c r="AN28" s="110">
        <v>12</v>
      </c>
      <c r="AO28" s="110">
        <v>10</v>
      </c>
      <c r="AP28" s="110">
        <v>12</v>
      </c>
      <c r="AQ28" s="110">
        <v>10</v>
      </c>
      <c r="AR28" s="110">
        <v>12</v>
      </c>
      <c r="AS28" s="110">
        <v>10</v>
      </c>
      <c r="AT28" s="110">
        <v>12</v>
      </c>
      <c r="AU28" s="110">
        <v>10</v>
      </c>
      <c r="AV28" s="110">
        <v>12</v>
      </c>
      <c r="AW28" s="110">
        <v>10</v>
      </c>
      <c r="AX28" s="110">
        <v>12</v>
      </c>
      <c r="AY28" s="166">
        <v>10</v>
      </c>
      <c r="AZ28" s="106"/>
    </row>
    <row r="29" spans="1:52">
      <c r="B29" s="136" t="s">
        <v>311</v>
      </c>
      <c r="C29" s="125">
        <v>1</v>
      </c>
      <c r="D29" s="125">
        <f>C$28</f>
        <v>21</v>
      </c>
      <c r="E29" s="125">
        <f t="shared" ref="E29:AY29" si="9">D$28</f>
        <v>1</v>
      </c>
      <c r="F29" s="125">
        <f t="shared" si="9"/>
        <v>17</v>
      </c>
      <c r="G29" s="125">
        <f t="shared" si="9"/>
        <v>5</v>
      </c>
      <c r="H29" s="125">
        <f t="shared" si="9"/>
        <v>17</v>
      </c>
      <c r="I29" s="125">
        <f t="shared" si="9"/>
        <v>5</v>
      </c>
      <c r="J29" s="125">
        <f t="shared" si="9"/>
        <v>17</v>
      </c>
      <c r="K29" s="125">
        <f t="shared" si="9"/>
        <v>5</v>
      </c>
      <c r="L29" s="125">
        <f t="shared" si="9"/>
        <v>17</v>
      </c>
      <c r="M29" s="125">
        <f t="shared" si="9"/>
        <v>5</v>
      </c>
      <c r="N29" s="125">
        <f t="shared" si="9"/>
        <v>17</v>
      </c>
      <c r="O29" s="125">
        <f t="shared" si="9"/>
        <v>5</v>
      </c>
      <c r="P29" s="125">
        <f t="shared" si="9"/>
        <v>17</v>
      </c>
      <c r="Q29" s="125">
        <f t="shared" si="9"/>
        <v>5</v>
      </c>
      <c r="R29" s="125">
        <f t="shared" si="9"/>
        <v>17</v>
      </c>
      <c r="S29" s="125">
        <f t="shared" si="9"/>
        <v>5</v>
      </c>
      <c r="T29" s="125">
        <f t="shared" si="9"/>
        <v>17</v>
      </c>
      <c r="U29" s="125">
        <f t="shared" si="9"/>
        <v>5</v>
      </c>
      <c r="V29" s="125">
        <f t="shared" si="9"/>
        <v>17</v>
      </c>
      <c r="W29" s="125">
        <f t="shared" si="9"/>
        <v>5</v>
      </c>
      <c r="X29" s="125">
        <f t="shared" si="9"/>
        <v>17</v>
      </c>
      <c r="Y29" s="125">
        <f t="shared" si="9"/>
        <v>5</v>
      </c>
      <c r="Z29" s="125">
        <f t="shared" si="9"/>
        <v>17</v>
      </c>
      <c r="AA29" s="125">
        <f t="shared" si="9"/>
        <v>5</v>
      </c>
      <c r="AB29" s="125">
        <f t="shared" si="9"/>
        <v>17</v>
      </c>
      <c r="AC29" s="125">
        <f t="shared" si="9"/>
        <v>5</v>
      </c>
      <c r="AD29" s="125">
        <f t="shared" si="9"/>
        <v>17</v>
      </c>
      <c r="AE29" s="125">
        <f t="shared" si="9"/>
        <v>5</v>
      </c>
      <c r="AF29" s="125">
        <f t="shared" si="9"/>
        <v>10</v>
      </c>
      <c r="AG29" s="125">
        <f t="shared" si="9"/>
        <v>12</v>
      </c>
      <c r="AH29" s="125">
        <f t="shared" si="9"/>
        <v>10</v>
      </c>
      <c r="AI29" s="125">
        <f t="shared" si="9"/>
        <v>12</v>
      </c>
      <c r="AJ29" s="125">
        <f t="shared" si="9"/>
        <v>10</v>
      </c>
      <c r="AK29" s="125">
        <f t="shared" si="9"/>
        <v>12</v>
      </c>
      <c r="AL29" s="125">
        <f t="shared" si="9"/>
        <v>10</v>
      </c>
      <c r="AM29" s="125">
        <f t="shared" si="9"/>
        <v>10</v>
      </c>
      <c r="AN29" s="125">
        <f t="shared" si="9"/>
        <v>10</v>
      </c>
      <c r="AO29" s="125">
        <f t="shared" si="9"/>
        <v>12</v>
      </c>
      <c r="AP29" s="125">
        <f t="shared" si="9"/>
        <v>10</v>
      </c>
      <c r="AQ29" s="125">
        <f t="shared" si="9"/>
        <v>12</v>
      </c>
      <c r="AR29" s="125">
        <f t="shared" si="9"/>
        <v>10</v>
      </c>
      <c r="AS29" s="125">
        <f t="shared" si="9"/>
        <v>12</v>
      </c>
      <c r="AT29" s="125">
        <f t="shared" si="9"/>
        <v>10</v>
      </c>
      <c r="AU29" s="125">
        <f t="shared" si="9"/>
        <v>12</v>
      </c>
      <c r="AV29" s="125">
        <f t="shared" si="9"/>
        <v>10</v>
      </c>
      <c r="AW29" s="125">
        <f t="shared" si="9"/>
        <v>12</v>
      </c>
      <c r="AX29" s="125">
        <f t="shared" si="9"/>
        <v>10</v>
      </c>
      <c r="AY29" s="167">
        <f t="shared" si="9"/>
        <v>12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10</v>
      </c>
      <c r="E30" s="117">
        <f t="shared" ref="E30:AY30" si="10">E$27*$B$30</f>
        <v>210</v>
      </c>
      <c r="F30" s="117">
        <f t="shared" si="10"/>
        <v>50</v>
      </c>
      <c r="G30" s="117">
        <f t="shared" si="10"/>
        <v>170</v>
      </c>
      <c r="H30" s="117">
        <f t="shared" si="10"/>
        <v>50</v>
      </c>
      <c r="I30" s="117">
        <f t="shared" si="10"/>
        <v>170</v>
      </c>
      <c r="J30" s="117">
        <f t="shared" si="10"/>
        <v>50</v>
      </c>
      <c r="K30" s="117">
        <f t="shared" si="10"/>
        <v>170</v>
      </c>
      <c r="L30" s="117">
        <f t="shared" si="10"/>
        <v>50</v>
      </c>
      <c r="M30" s="117">
        <f t="shared" si="10"/>
        <v>170</v>
      </c>
      <c r="N30" s="117">
        <f t="shared" si="10"/>
        <v>50</v>
      </c>
      <c r="O30" s="117">
        <f t="shared" si="10"/>
        <v>170</v>
      </c>
      <c r="P30" s="117">
        <f t="shared" si="10"/>
        <v>50</v>
      </c>
      <c r="Q30" s="117">
        <f t="shared" si="10"/>
        <v>170</v>
      </c>
      <c r="R30" s="117">
        <f>R$27*$B$30</f>
        <v>50</v>
      </c>
      <c r="S30" s="117">
        <f t="shared" si="10"/>
        <v>170</v>
      </c>
      <c r="T30" s="117">
        <f t="shared" si="10"/>
        <v>50</v>
      </c>
      <c r="U30" s="117">
        <f t="shared" si="10"/>
        <v>170</v>
      </c>
      <c r="V30" s="117">
        <f t="shared" si="10"/>
        <v>50</v>
      </c>
      <c r="W30" s="117">
        <f t="shared" si="10"/>
        <v>170</v>
      </c>
      <c r="X30" s="117">
        <f t="shared" si="10"/>
        <v>50</v>
      </c>
      <c r="Y30" s="117">
        <f t="shared" si="10"/>
        <v>170</v>
      </c>
      <c r="Z30" s="117">
        <f t="shared" si="10"/>
        <v>50</v>
      </c>
      <c r="AA30" s="117">
        <f t="shared" si="10"/>
        <v>170</v>
      </c>
      <c r="AB30" s="117">
        <f t="shared" si="10"/>
        <v>50</v>
      </c>
      <c r="AC30" s="117">
        <f t="shared" si="10"/>
        <v>170</v>
      </c>
      <c r="AD30" s="117">
        <f t="shared" si="10"/>
        <v>50</v>
      </c>
      <c r="AE30" s="117">
        <f>AE$27*$B$30</f>
        <v>170</v>
      </c>
      <c r="AF30" s="117">
        <f t="shared" si="10"/>
        <v>120</v>
      </c>
      <c r="AG30" s="117">
        <f t="shared" si="10"/>
        <v>100</v>
      </c>
      <c r="AH30" s="117">
        <f t="shared" si="10"/>
        <v>120</v>
      </c>
      <c r="AI30" s="117">
        <f t="shared" si="10"/>
        <v>100</v>
      </c>
      <c r="AJ30" s="117">
        <f t="shared" si="10"/>
        <v>120</v>
      </c>
      <c r="AK30" s="117">
        <f t="shared" si="10"/>
        <v>100</v>
      </c>
      <c r="AL30" s="117">
        <f t="shared" si="10"/>
        <v>120</v>
      </c>
      <c r="AM30" s="117">
        <f t="shared" si="10"/>
        <v>120</v>
      </c>
      <c r="AN30" s="117">
        <f t="shared" si="10"/>
        <v>120</v>
      </c>
      <c r="AO30" s="117">
        <f t="shared" si="10"/>
        <v>100</v>
      </c>
      <c r="AP30" s="117">
        <f t="shared" si="10"/>
        <v>120</v>
      </c>
      <c r="AQ30" s="117">
        <f t="shared" si="10"/>
        <v>100</v>
      </c>
      <c r="AR30" s="117">
        <f t="shared" si="10"/>
        <v>120</v>
      </c>
      <c r="AS30" s="117">
        <f t="shared" si="10"/>
        <v>100</v>
      </c>
      <c r="AT30" s="117">
        <f t="shared" si="10"/>
        <v>120</v>
      </c>
      <c r="AU30" s="117">
        <f t="shared" si="10"/>
        <v>100</v>
      </c>
      <c r="AV30" s="117">
        <f t="shared" si="10"/>
        <v>120</v>
      </c>
      <c r="AW30" s="117">
        <f t="shared" si="10"/>
        <v>100</v>
      </c>
      <c r="AX30" s="117">
        <f t="shared" si="10"/>
        <v>120</v>
      </c>
      <c r="AY30" s="117">
        <f t="shared" si="10"/>
        <v>100</v>
      </c>
      <c r="AZ30" s="141">
        <f t="shared" si="5"/>
        <v>5300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69.452548715049943</v>
      </c>
      <c r="E33" s="124">
        <f>E$21*shipping_manufacturing!$D$27/100</f>
        <v>55.562038972039588</v>
      </c>
      <c r="F33" s="124">
        <f>F$21*shipping_manufacturing!$D$27/100</f>
        <v>55.562038972039588</v>
      </c>
      <c r="G33" s="124">
        <f>G$21*shipping_manufacturing!$D$27/100</f>
        <v>55.562038972039588</v>
      </c>
      <c r="H33" s="124">
        <f>H$21*shipping_manufacturing!$D$27/100</f>
        <v>55.562038972039588</v>
      </c>
      <c r="I33" s="124">
        <f>I$21*shipping_manufacturing!$D$27/100</f>
        <v>69.452548715049488</v>
      </c>
      <c r="J33" s="124">
        <f>J$21*shipping_manufacturing!$D$27/100</f>
        <v>69.452548715049488</v>
      </c>
      <c r="K33" s="124">
        <f>K$21*shipping_manufacturing!$D$27/100</f>
        <v>69.452548715049488</v>
      </c>
      <c r="L33" s="124">
        <f>L$21*shipping_manufacturing!$D$27/100</f>
        <v>69.452548715049488</v>
      </c>
      <c r="M33" s="124">
        <f>M$21*shipping_manufacturing!$D$27/100</f>
        <v>69.452548715049488</v>
      </c>
      <c r="N33" s="124">
        <f>N$21*shipping_manufacturing!$D$27/100</f>
        <v>69.452548715049488</v>
      </c>
      <c r="O33" s="124">
        <f>O$21*shipping_manufacturing!$D$27/100</f>
        <v>69.452548715049488</v>
      </c>
      <c r="P33" s="124">
        <f>P$21*shipping_manufacturing!$D$27/100</f>
        <v>69.452548715049488</v>
      </c>
      <c r="Q33" s="124">
        <f>Q$21*shipping_manufacturing!$D$27/100</f>
        <v>69.452548715049488</v>
      </c>
      <c r="R33" s="124">
        <f>R$21*shipping_manufacturing!$D$27/100</f>
        <v>69.452548715049488</v>
      </c>
      <c r="S33" s="124">
        <f>S$21*shipping_manufacturing!$D$27/100</f>
        <v>69.452548715049488</v>
      </c>
      <c r="T33" s="124">
        <f>T$21*shipping_manufacturing!$D$27/100</f>
        <v>69.452548715049488</v>
      </c>
      <c r="U33" s="124">
        <f>U$21*shipping_manufacturing!$D$27/100</f>
        <v>69.452548715049488</v>
      </c>
      <c r="V33" s="124">
        <f>V$21*shipping_manufacturing!$D$27/100</f>
        <v>69.452548715049488</v>
      </c>
      <c r="W33" s="124">
        <f>W$21*shipping_manufacturing!$D$27/100</f>
        <v>69.452548715049488</v>
      </c>
      <c r="X33" s="124">
        <f>X$21*shipping_manufacturing!$D$27/100</f>
        <v>69.452548715049488</v>
      </c>
      <c r="Y33" s="124">
        <f>Y$21*shipping_manufacturing!$D$27/100</f>
        <v>55.562038972039588</v>
      </c>
      <c r="Z33" s="124">
        <f>Z$21*shipping_manufacturing!$D$27/100</f>
        <v>55.562038972039588</v>
      </c>
      <c r="AA33" s="124">
        <f>AA$21*shipping_manufacturing!$D$27/100</f>
        <v>55.562038972039588</v>
      </c>
      <c r="AB33" s="124">
        <f>AB$21*shipping_manufacturing!$D$27/100</f>
        <v>27.749120860443394</v>
      </c>
      <c r="AC33" s="124">
        <f>AC$21*shipping_manufacturing!$D$27/100</f>
        <v>69.452548715049488</v>
      </c>
      <c r="AD33" s="124">
        <f>AD$21*shipping_manufacturing!$D$27/100</f>
        <v>69.452548715049488</v>
      </c>
      <c r="AE33" s="124">
        <f>AE$21*shipping_manufacturing!$D$27/100</f>
        <v>27.915472912522809</v>
      </c>
      <c r="AF33" s="124">
        <f>AF$21*shipping_manufacturing!$D$27/100</f>
        <v>69.452548715049488</v>
      </c>
      <c r="AG33" s="124">
        <f>AG$21*shipping_manufacturing!$D$27/100</f>
        <v>69.452548715049488</v>
      </c>
      <c r="AH33" s="124">
        <f>AH$21*shipping_manufacturing!$D$27/100</f>
        <v>69.452548715049488</v>
      </c>
      <c r="AI33" s="124">
        <f>AI$21*shipping_manufacturing!$D$27/100</f>
        <v>69.452548715049488</v>
      </c>
      <c r="AJ33" s="124">
        <f>AJ$21*shipping_manufacturing!$D$27/100</f>
        <v>69.452548715049488</v>
      </c>
      <c r="AK33" s="124">
        <f>AK$21*shipping_manufacturing!$D$27/100</f>
        <v>55.562038972039588</v>
      </c>
      <c r="AL33" s="124">
        <f>AL$21*shipping_manufacturing!$D$27/100</f>
        <v>28.295292541560389</v>
      </c>
      <c r="AM33" s="124">
        <f>AM$21*shipping_manufacturing!$D$27/100</f>
        <v>28.348471098840285</v>
      </c>
      <c r="AN33" s="124">
        <f>AN$21*shipping_manufacturing!$D$27/100</f>
        <v>55.562038972039588</v>
      </c>
      <c r="AO33" s="124">
        <f>AO$21*shipping_manufacturing!$D$27/100</f>
        <v>69.452548715049488</v>
      </c>
      <c r="AP33" s="124">
        <f>AP$21*shipping_manufacturing!$D$27/100</f>
        <v>69.452548715049488</v>
      </c>
      <c r="AQ33" s="124">
        <f>AQ$21*shipping_manufacturing!$D$27/100</f>
        <v>69.452548715049488</v>
      </c>
      <c r="AR33" s="124">
        <f>AR$21*shipping_manufacturing!$D$27/100</f>
        <v>69.452548715049488</v>
      </c>
      <c r="AS33" s="124">
        <f>AS$21*shipping_manufacturing!$D$27/100</f>
        <v>69.452548715049488</v>
      </c>
      <c r="AT33" s="124">
        <f>AT$21*shipping_manufacturing!$D$27/100</f>
        <v>69.452548715049488</v>
      </c>
      <c r="AU33" s="124">
        <f>AU$21*shipping_manufacturing!$D$27/100</f>
        <v>69.452548715049488</v>
      </c>
      <c r="AV33" s="124">
        <f>AV$21*shipping_manufacturing!$D$27/100</f>
        <v>69.452548715049488</v>
      </c>
      <c r="AW33" s="124">
        <f>AW$21*shipping_manufacturing!$D$27/100</f>
        <v>69.452548715049488</v>
      </c>
      <c r="AX33" s="124">
        <f>AX$21*shipping_manufacturing!$D$27/100</f>
        <v>69.452548715049488</v>
      </c>
      <c r="AY33" s="124">
        <f>AY$21*shipping_manufacturing!$D$27/100</f>
        <v>69.452548715049488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80.566048832822673</v>
      </c>
      <c r="E34" s="110">
        <f>E$22*shipping_manufacturing!$E$27/100</f>
        <v>64.452839066257695</v>
      </c>
      <c r="F34" s="110">
        <f>F$22*shipping_manufacturing!$E$27/100</f>
        <v>64.452839066257695</v>
      </c>
      <c r="G34" s="110">
        <f>G$22*shipping_manufacturing!$E$27/100</f>
        <v>64.452839066257695</v>
      </c>
      <c r="H34" s="110">
        <f>H$22*shipping_manufacturing!$E$27/100</f>
        <v>64.452839066257695</v>
      </c>
      <c r="I34" s="110">
        <f>I$22*shipping_manufacturing!$E$27/100</f>
        <v>80.566048832822148</v>
      </c>
      <c r="J34" s="110">
        <f>J$22*shipping_manufacturing!$E$27/100</f>
        <v>80.566048832822148</v>
      </c>
      <c r="K34" s="110">
        <f>K$22*shipping_manufacturing!$E$27/100</f>
        <v>80.566048832822148</v>
      </c>
      <c r="L34" s="110">
        <f>L$22*shipping_manufacturing!$E$27/100</f>
        <v>80.566048832822148</v>
      </c>
      <c r="M34" s="110">
        <f>M$22*shipping_manufacturing!$E$27/100</f>
        <v>80.566048832822148</v>
      </c>
      <c r="N34" s="110">
        <f>N$22*shipping_manufacturing!$E$27/100</f>
        <v>80.566048832822148</v>
      </c>
      <c r="O34" s="110">
        <f>O$22*shipping_manufacturing!$E$27/100</f>
        <v>80.566048832822148</v>
      </c>
      <c r="P34" s="110">
        <f>P$22*shipping_manufacturing!$E$27/100</f>
        <v>80.566048832822148</v>
      </c>
      <c r="Q34" s="110">
        <f>Q$22*shipping_manufacturing!$E$27/100</f>
        <v>80.566048832822148</v>
      </c>
      <c r="R34" s="110">
        <f>R$22*shipping_manufacturing!$E$27/100</f>
        <v>80.566048832822148</v>
      </c>
      <c r="S34" s="110">
        <f>S$22*shipping_manufacturing!$E$27/100</f>
        <v>80.566048832822148</v>
      </c>
      <c r="T34" s="110">
        <f>T$22*shipping_manufacturing!$E$27/100</f>
        <v>80.566048832822148</v>
      </c>
      <c r="U34" s="110">
        <f>U$22*shipping_manufacturing!$E$27/100</f>
        <v>80.566048832822148</v>
      </c>
      <c r="V34" s="110">
        <f>V$22*shipping_manufacturing!$E$27/100</f>
        <v>80.566048832822148</v>
      </c>
      <c r="W34" s="110">
        <f>W$22*shipping_manufacturing!$E$27/100</f>
        <v>80.566048832822148</v>
      </c>
      <c r="X34" s="110">
        <f>X$22*shipping_manufacturing!$E$27/100</f>
        <v>80.566048832822148</v>
      </c>
      <c r="Y34" s="110">
        <f>Y$22*shipping_manufacturing!$E$27/100</f>
        <v>64.452839066257695</v>
      </c>
      <c r="Z34" s="110">
        <f>Z$22*shipping_manufacturing!$E$27/100</f>
        <v>64.452839066257695</v>
      </c>
      <c r="AA34" s="110">
        <f>AA$22*shipping_manufacturing!$E$27/100</f>
        <v>64.452839066257695</v>
      </c>
      <c r="AB34" s="110">
        <f>AB$22*shipping_manufacturing!$E$27/100</f>
        <v>32.18941662577074</v>
      </c>
      <c r="AC34" s="110">
        <f>AC$22*shipping_manufacturing!$E$27/100</f>
        <v>80.566048832822148</v>
      </c>
      <c r="AD34" s="110">
        <f>AD$22*shipping_manufacturing!$E$27/100</f>
        <v>80.566048832822148</v>
      </c>
      <c r="AE34" s="110">
        <f>AE$22*shipping_manufacturing!$E$27/100</f>
        <v>32.382387622504886</v>
      </c>
      <c r="AF34" s="110">
        <f>AF$22*shipping_manufacturing!$E$27/100</f>
        <v>80.566048832822148</v>
      </c>
      <c r="AG34" s="110">
        <f>AG$22*shipping_manufacturing!$E$27/100</f>
        <v>80.566048832822148</v>
      </c>
      <c r="AH34" s="110">
        <f>AH$22*shipping_manufacturing!$E$27/100</f>
        <v>80.566048832822148</v>
      </c>
      <c r="AI34" s="110">
        <f>AI$22*shipping_manufacturing!$E$27/100</f>
        <v>80.566048832822148</v>
      </c>
      <c r="AJ34" s="110">
        <f>AJ$22*shipping_manufacturing!$E$27/100</f>
        <v>80.566048832822148</v>
      </c>
      <c r="AK34" s="110">
        <f>AK$22*shipping_manufacturing!$E$27/100</f>
        <v>64.452839066257695</v>
      </c>
      <c r="AL34" s="110">
        <f>AL$22*shipping_manufacturing!$E$27/100</f>
        <v>32.822984365847653</v>
      </c>
      <c r="AM34" s="110">
        <f>AM$22*shipping_manufacturing!$E$27/100</f>
        <v>32.884672328664536</v>
      </c>
      <c r="AN34" s="110">
        <f>AN$22*shipping_manufacturing!$E$27/100</f>
        <v>64.452839066257695</v>
      </c>
      <c r="AO34" s="110">
        <f>AO$22*shipping_manufacturing!$E$27/100</f>
        <v>80.566048832822148</v>
      </c>
      <c r="AP34" s="110">
        <f>AP$22*shipping_manufacturing!$E$27/100</f>
        <v>80.566048832822148</v>
      </c>
      <c r="AQ34" s="110">
        <f>AQ$22*shipping_manufacturing!$E$27/100</f>
        <v>80.566048832822148</v>
      </c>
      <c r="AR34" s="110">
        <f>AR$22*shipping_manufacturing!$E$27/100</f>
        <v>80.566048832822148</v>
      </c>
      <c r="AS34" s="110">
        <f>AS$22*shipping_manufacturing!$E$27/100</f>
        <v>80.566048832822148</v>
      </c>
      <c r="AT34" s="110">
        <f>AT$22*shipping_manufacturing!$E$27/100</f>
        <v>80.566048832822148</v>
      </c>
      <c r="AU34" s="110">
        <f>AU$22*shipping_manufacturing!$E$27/100</f>
        <v>80.566048832822148</v>
      </c>
      <c r="AV34" s="110">
        <f>AV$22*shipping_manufacturing!$E$27/100</f>
        <v>80.566048832822148</v>
      </c>
      <c r="AW34" s="110">
        <f>AW$22*shipping_manufacturing!$E$27/100</f>
        <v>80.566048832822148</v>
      </c>
      <c r="AX34" s="110">
        <f>AX$22*shipping_manufacturing!$E$27/100</f>
        <v>80.566048832822148</v>
      </c>
      <c r="AY34" s="110">
        <f>AY$22*shipping_manufacturing!$E$27/100</f>
        <v>80.566048832822148</v>
      </c>
    </row>
    <row r="35" spans="1:52">
      <c r="A35" s="110">
        <v>1225</v>
      </c>
      <c r="B35" s="165" t="s">
        <v>343</v>
      </c>
      <c r="C35" s="110"/>
      <c r="D35" s="110">
        <f>SUM(D33:D34)</f>
        <v>150.01859754787262</v>
      </c>
      <c r="E35" s="110">
        <f t="shared" ref="E35:AY35" si="11">SUM(E33:E34)</f>
        <v>120.01487803829728</v>
      </c>
      <c r="F35" s="110">
        <f t="shared" si="11"/>
        <v>120.01487803829728</v>
      </c>
      <c r="G35" s="110">
        <f t="shared" si="11"/>
        <v>120.01487803829728</v>
      </c>
      <c r="H35" s="110">
        <f t="shared" si="11"/>
        <v>120.01487803829728</v>
      </c>
      <c r="I35" s="110">
        <f t="shared" si="11"/>
        <v>150.01859754787165</v>
      </c>
      <c r="J35" s="110">
        <f t="shared" si="11"/>
        <v>150.01859754787165</v>
      </c>
      <c r="K35" s="110">
        <f t="shared" si="11"/>
        <v>150.01859754787165</v>
      </c>
      <c r="L35" s="110">
        <f t="shared" si="11"/>
        <v>150.01859754787165</v>
      </c>
      <c r="M35" s="110">
        <f t="shared" si="11"/>
        <v>150.01859754787165</v>
      </c>
      <c r="N35" s="110">
        <f t="shared" si="11"/>
        <v>150.01859754787165</v>
      </c>
      <c r="O35" s="110">
        <f t="shared" si="11"/>
        <v>150.01859754787165</v>
      </c>
      <c r="P35" s="110">
        <f t="shared" si="11"/>
        <v>150.01859754787165</v>
      </c>
      <c r="Q35" s="110">
        <f t="shared" si="11"/>
        <v>150.01859754787165</v>
      </c>
      <c r="R35" s="110">
        <f t="shared" si="11"/>
        <v>150.01859754787165</v>
      </c>
      <c r="S35" s="110">
        <f t="shared" si="11"/>
        <v>150.01859754787165</v>
      </c>
      <c r="T35" s="110">
        <f t="shared" si="11"/>
        <v>150.01859754787165</v>
      </c>
      <c r="U35" s="110">
        <f t="shared" si="11"/>
        <v>150.01859754787165</v>
      </c>
      <c r="V35" s="110">
        <f t="shared" si="11"/>
        <v>150.01859754787165</v>
      </c>
      <c r="W35" s="110">
        <f t="shared" si="11"/>
        <v>150.01859754787165</v>
      </c>
      <c r="X35" s="110">
        <f t="shared" si="11"/>
        <v>150.01859754787165</v>
      </c>
      <c r="Y35" s="110">
        <f t="shared" si="11"/>
        <v>120.01487803829728</v>
      </c>
      <c r="Z35" s="110">
        <f t="shared" si="11"/>
        <v>120.01487803829728</v>
      </c>
      <c r="AA35" s="110">
        <f t="shared" si="11"/>
        <v>120.01487803829728</v>
      </c>
      <c r="AB35" s="110">
        <f t="shared" si="11"/>
        <v>59.93853748621413</v>
      </c>
      <c r="AC35" s="110">
        <f t="shared" si="11"/>
        <v>150.01859754787165</v>
      </c>
      <c r="AD35" s="110">
        <f t="shared" si="11"/>
        <v>150.01859754787165</v>
      </c>
      <c r="AE35" s="110">
        <f t="shared" si="11"/>
        <v>60.297860535027695</v>
      </c>
      <c r="AF35" s="110">
        <f t="shared" si="11"/>
        <v>150.01859754787165</v>
      </c>
      <c r="AG35" s="110">
        <f t="shared" si="11"/>
        <v>150.01859754787165</v>
      </c>
      <c r="AH35" s="110">
        <f t="shared" si="11"/>
        <v>150.01859754787165</v>
      </c>
      <c r="AI35" s="110">
        <f t="shared" si="11"/>
        <v>150.01859754787165</v>
      </c>
      <c r="AJ35" s="110">
        <f t="shared" si="11"/>
        <v>150.01859754787165</v>
      </c>
      <c r="AK35" s="110">
        <f t="shared" si="11"/>
        <v>120.01487803829728</v>
      </c>
      <c r="AL35" s="110">
        <f t="shared" si="11"/>
        <v>61.118276907408045</v>
      </c>
      <c r="AM35" s="110">
        <f t="shared" si="11"/>
        <v>61.233143427504821</v>
      </c>
      <c r="AN35" s="110">
        <f t="shared" si="11"/>
        <v>120.01487803829728</v>
      </c>
      <c r="AO35" s="110">
        <f t="shared" si="11"/>
        <v>150.01859754787165</v>
      </c>
      <c r="AP35" s="110">
        <f t="shared" si="11"/>
        <v>150.01859754787165</v>
      </c>
      <c r="AQ35" s="110">
        <f t="shared" si="11"/>
        <v>150.01859754787165</v>
      </c>
      <c r="AR35" s="110">
        <f t="shared" si="11"/>
        <v>150.01859754787165</v>
      </c>
      <c r="AS35" s="110">
        <f t="shared" si="11"/>
        <v>150.01859754787165</v>
      </c>
      <c r="AT35" s="110">
        <f t="shared" si="11"/>
        <v>150.01859754787165</v>
      </c>
      <c r="AU35" s="110">
        <f t="shared" si="11"/>
        <v>150.01859754787165</v>
      </c>
      <c r="AV35" s="110">
        <f t="shared" si="11"/>
        <v>150.01859754787165</v>
      </c>
      <c r="AW35" s="110">
        <f t="shared" si="11"/>
        <v>150.01859754787165</v>
      </c>
      <c r="AX35" s="110">
        <f t="shared" si="11"/>
        <v>150.01859754787165</v>
      </c>
      <c r="AY35" s="110">
        <f t="shared" si="11"/>
        <v>150.01859754787165</v>
      </c>
    </row>
    <row r="36" spans="1:52">
      <c r="A36" s="110"/>
      <c r="B36" s="165" t="s">
        <v>344</v>
      </c>
      <c r="C36" s="110"/>
      <c r="D36" s="110"/>
      <c r="E36" s="110">
        <v>55.562038972039588</v>
      </c>
      <c r="F36" s="110"/>
      <c r="G36" s="110">
        <v>55.562038972039588</v>
      </c>
      <c r="H36" s="110"/>
      <c r="I36" s="110">
        <v>55.555151041499506</v>
      </c>
      <c r="J36" s="110"/>
      <c r="K36" s="110">
        <v>55.555151041499506</v>
      </c>
      <c r="L36" s="110"/>
      <c r="M36" s="110">
        <v>55.555151041499506</v>
      </c>
      <c r="N36" s="110"/>
      <c r="O36" s="110">
        <v>55.555151041499506</v>
      </c>
      <c r="P36" s="110"/>
      <c r="Q36" s="110">
        <v>55.555151041499506</v>
      </c>
      <c r="R36" s="110"/>
      <c r="S36" s="110">
        <v>55.555151041499506</v>
      </c>
      <c r="T36" s="110"/>
      <c r="U36" s="110">
        <v>55.555151041499506</v>
      </c>
      <c r="V36" s="110"/>
      <c r="W36" s="110">
        <v>55.555151041499506</v>
      </c>
      <c r="X36" s="110"/>
      <c r="Y36" s="110">
        <v>55.562038972039588</v>
      </c>
      <c r="Z36" s="110"/>
      <c r="AA36" s="110">
        <v>55.562038972039588</v>
      </c>
      <c r="AB36" s="110">
        <v>13.888787760374882</v>
      </c>
      <c r="AC36" s="110">
        <v>55.555151041499506</v>
      </c>
      <c r="AD36" s="110"/>
      <c r="AE36" s="110">
        <v>27.915472912522809</v>
      </c>
      <c r="AF36" s="110">
        <v>13.888787760374878</v>
      </c>
      <c r="AG36" s="110"/>
      <c r="AH36" s="110">
        <v>13.888787760374878</v>
      </c>
      <c r="AI36" s="110"/>
      <c r="AJ36" s="110">
        <v>13.888787760374878</v>
      </c>
      <c r="AK36" s="110">
        <v>13.888787760374882</v>
      </c>
      <c r="AL36" s="110">
        <v>28.295292541560389</v>
      </c>
      <c r="AM36" s="110">
        <v>28.348471098840285</v>
      </c>
      <c r="AN36" s="110">
        <v>27.777575520749764</v>
      </c>
      <c r="AO36" s="110"/>
      <c r="AP36" s="110">
        <v>13.888787760374878</v>
      </c>
      <c r="AQ36" s="110"/>
      <c r="AR36" s="110">
        <v>13.888787760374878</v>
      </c>
      <c r="AS36" s="110"/>
      <c r="AT36" s="110">
        <v>13.888787760374878</v>
      </c>
      <c r="AU36" s="110"/>
      <c r="AV36" s="110">
        <v>13.888787760374878</v>
      </c>
      <c r="AW36" s="110"/>
      <c r="AX36" s="110">
        <v>13.888787760374878</v>
      </c>
      <c r="AY36" s="110"/>
    </row>
    <row r="37" spans="1:52">
      <c r="A37" s="110"/>
      <c r="B37" s="165" t="s">
        <v>345</v>
      </c>
      <c r="C37" s="110"/>
      <c r="D37" s="110"/>
      <c r="E37" s="110">
        <v>64.452839066257695</v>
      </c>
      <c r="F37" s="110"/>
      <c r="G37" s="110">
        <v>64.452839066257695</v>
      </c>
      <c r="H37" s="110"/>
      <c r="I37" s="110">
        <v>64.444848958500472</v>
      </c>
      <c r="J37" s="110"/>
      <c r="K37" s="110">
        <v>64.444848958500472</v>
      </c>
      <c r="L37" s="110"/>
      <c r="M37" s="110">
        <v>64.444848958500472</v>
      </c>
      <c r="N37" s="110"/>
      <c r="O37" s="110">
        <v>64.444848958500472</v>
      </c>
      <c r="P37" s="110"/>
      <c r="Q37" s="110">
        <v>64.444848958500472</v>
      </c>
      <c r="R37" s="110"/>
      <c r="S37" s="110">
        <v>64.444848958500472</v>
      </c>
      <c r="T37" s="110"/>
      <c r="U37" s="110">
        <v>64.444848958500472</v>
      </c>
      <c r="V37" s="110"/>
      <c r="W37" s="110">
        <v>64.444848958500472</v>
      </c>
      <c r="X37" s="110"/>
      <c r="Y37" s="110">
        <v>64.452839066257695</v>
      </c>
      <c r="Z37" s="110"/>
      <c r="AA37" s="110">
        <v>64.452839066257695</v>
      </c>
      <c r="AB37" s="110">
        <v>16.111212239625122</v>
      </c>
      <c r="AC37" s="110">
        <v>64.444848958500472</v>
      </c>
      <c r="AD37" s="110"/>
      <c r="AE37" s="110">
        <v>32.382387622504886</v>
      </c>
      <c r="AF37" s="110">
        <v>16.111212239625118</v>
      </c>
      <c r="AG37" s="110"/>
      <c r="AH37" s="110">
        <v>16.111212239625118</v>
      </c>
      <c r="AI37" s="110"/>
      <c r="AJ37" s="110">
        <v>16.111212239625118</v>
      </c>
      <c r="AK37" s="110">
        <v>16.111212239625118</v>
      </c>
      <c r="AL37" s="110">
        <v>32.82298436584766</v>
      </c>
      <c r="AM37" s="110">
        <v>32.884672328664536</v>
      </c>
      <c r="AN37" s="110">
        <v>32.222424479250236</v>
      </c>
      <c r="AO37" s="110"/>
      <c r="AP37" s="110">
        <v>16.111212239625118</v>
      </c>
      <c r="AQ37" s="110"/>
      <c r="AR37" s="110">
        <v>16.111212239625118</v>
      </c>
      <c r="AS37" s="110"/>
      <c r="AT37" s="110">
        <v>16.111212239625118</v>
      </c>
      <c r="AU37" s="110"/>
      <c r="AV37" s="110">
        <v>16.111212239625118</v>
      </c>
      <c r="AW37" s="110"/>
      <c r="AX37" s="110">
        <v>16.111212239625118</v>
      </c>
      <c r="AY37" s="110"/>
    </row>
    <row r="38" spans="1:52">
      <c r="A38" s="110"/>
      <c r="B38" s="165" t="s">
        <v>346</v>
      </c>
      <c r="C38" s="110"/>
      <c r="D38" s="110"/>
      <c r="E38" s="110">
        <v>5</v>
      </c>
      <c r="F38" s="110"/>
      <c r="G38" s="110">
        <v>5</v>
      </c>
      <c r="H38" s="110"/>
      <c r="I38" s="110">
        <v>4</v>
      </c>
      <c r="J38" s="110"/>
      <c r="K38" s="110">
        <v>4</v>
      </c>
      <c r="L38" s="110"/>
      <c r="M38" s="110">
        <v>4</v>
      </c>
      <c r="N38" s="110"/>
      <c r="O38" s="110">
        <v>4</v>
      </c>
      <c r="P38" s="110"/>
      <c r="Q38" s="110">
        <v>4</v>
      </c>
      <c r="R38" s="110"/>
      <c r="S38" s="110">
        <v>4</v>
      </c>
      <c r="T38" s="110"/>
      <c r="U38" s="110">
        <v>4</v>
      </c>
      <c r="V38" s="110"/>
      <c r="W38" s="110">
        <v>4</v>
      </c>
      <c r="X38" s="110"/>
      <c r="Y38" s="110">
        <v>5</v>
      </c>
      <c r="Z38" s="110"/>
      <c r="AA38" s="110">
        <v>5</v>
      </c>
      <c r="AB38" s="110">
        <v>1</v>
      </c>
      <c r="AC38" s="110">
        <v>4</v>
      </c>
      <c r="AD38" s="110"/>
      <c r="AE38" s="110">
        <v>3</v>
      </c>
      <c r="AF38" s="110">
        <v>1</v>
      </c>
      <c r="AG38" s="110"/>
      <c r="AH38" s="110">
        <v>1</v>
      </c>
      <c r="AI38" s="110"/>
      <c r="AJ38" s="110">
        <v>1</v>
      </c>
      <c r="AK38" s="110">
        <v>1</v>
      </c>
      <c r="AL38" s="110">
        <v>3</v>
      </c>
      <c r="AM38" s="110">
        <v>3</v>
      </c>
      <c r="AN38" s="110">
        <v>2</v>
      </c>
      <c r="AO38" s="110"/>
      <c r="AP38" s="110">
        <v>1</v>
      </c>
      <c r="AQ38" s="110"/>
      <c r="AR38" s="110">
        <v>1</v>
      </c>
      <c r="AS38" s="110"/>
      <c r="AT38" s="110">
        <v>1</v>
      </c>
      <c r="AU38" s="110"/>
      <c r="AV38" s="110">
        <v>1</v>
      </c>
      <c r="AW38" s="110"/>
      <c r="AX38" s="110">
        <v>1</v>
      </c>
      <c r="AY38" s="110"/>
    </row>
    <row r="39" spans="1:52">
      <c r="A39" s="110"/>
      <c r="B39" s="165" t="s">
        <v>347</v>
      </c>
      <c r="C39" s="110"/>
      <c r="D39" s="110">
        <f>D33-D36</f>
        <v>69.452548715049943</v>
      </c>
      <c r="E39" s="110">
        <f t="shared" ref="E39:AY39" si="12">E33-E36</f>
        <v>0</v>
      </c>
      <c r="F39" s="110">
        <f t="shared" si="12"/>
        <v>55.562038972039588</v>
      </c>
      <c r="G39" s="110">
        <f t="shared" si="12"/>
        <v>0</v>
      </c>
      <c r="H39" s="110">
        <f t="shared" si="12"/>
        <v>55.562038972039588</v>
      </c>
      <c r="I39" s="110">
        <f t="shared" si="12"/>
        <v>13.897397673549982</v>
      </c>
      <c r="J39" s="110">
        <f t="shared" si="12"/>
        <v>69.452548715049488</v>
      </c>
      <c r="K39" s="110">
        <f t="shared" si="12"/>
        <v>13.897397673549982</v>
      </c>
      <c r="L39" s="110">
        <f t="shared" si="12"/>
        <v>69.452548715049488</v>
      </c>
      <c r="M39" s="110">
        <f t="shared" si="12"/>
        <v>13.897397673549982</v>
      </c>
      <c r="N39" s="110">
        <f t="shared" si="12"/>
        <v>69.452548715049488</v>
      </c>
      <c r="O39" s="110">
        <f t="shared" si="12"/>
        <v>13.897397673549982</v>
      </c>
      <c r="P39" s="110">
        <f t="shared" si="12"/>
        <v>69.452548715049488</v>
      </c>
      <c r="Q39" s="110">
        <f t="shared" si="12"/>
        <v>13.897397673549982</v>
      </c>
      <c r="R39" s="110">
        <f t="shared" si="12"/>
        <v>69.452548715049488</v>
      </c>
      <c r="S39" s="110">
        <f t="shared" si="12"/>
        <v>13.897397673549982</v>
      </c>
      <c r="T39" s="110">
        <f t="shared" si="12"/>
        <v>69.452548715049488</v>
      </c>
      <c r="U39" s="110">
        <f t="shared" si="12"/>
        <v>13.897397673549982</v>
      </c>
      <c r="V39" s="110">
        <f t="shared" si="12"/>
        <v>69.452548715049488</v>
      </c>
      <c r="W39" s="110">
        <f t="shared" si="12"/>
        <v>13.897397673549982</v>
      </c>
      <c r="X39" s="110">
        <f t="shared" si="12"/>
        <v>69.452548715049488</v>
      </c>
      <c r="Y39" s="110">
        <f t="shared" si="12"/>
        <v>0</v>
      </c>
      <c r="Z39" s="110">
        <f t="shared" si="12"/>
        <v>55.562038972039588</v>
      </c>
      <c r="AA39" s="110">
        <f t="shared" si="12"/>
        <v>0</v>
      </c>
      <c r="AB39" s="110">
        <f t="shared" si="12"/>
        <v>13.860333100068512</v>
      </c>
      <c r="AC39" s="110">
        <f t="shared" si="12"/>
        <v>13.897397673549982</v>
      </c>
      <c r="AD39" s="110">
        <f t="shared" si="12"/>
        <v>69.452548715049488</v>
      </c>
      <c r="AE39" s="110">
        <f t="shared" si="12"/>
        <v>0</v>
      </c>
      <c r="AF39" s="110">
        <f t="shared" si="12"/>
        <v>55.563760954674606</v>
      </c>
      <c r="AG39" s="110">
        <f t="shared" si="12"/>
        <v>69.452548715049488</v>
      </c>
      <c r="AH39" s="110">
        <f t="shared" si="12"/>
        <v>55.563760954674606</v>
      </c>
      <c r="AI39" s="110">
        <f t="shared" si="12"/>
        <v>69.452548715049488</v>
      </c>
      <c r="AJ39" s="110">
        <f t="shared" si="12"/>
        <v>55.563760954674606</v>
      </c>
      <c r="AK39" s="110">
        <f t="shared" si="12"/>
        <v>41.673251211664706</v>
      </c>
      <c r="AL39" s="110">
        <f t="shared" si="12"/>
        <v>0</v>
      </c>
      <c r="AM39" s="110">
        <f t="shared" si="12"/>
        <v>0</v>
      </c>
      <c r="AN39" s="110">
        <f t="shared" si="12"/>
        <v>27.784463451289824</v>
      </c>
      <c r="AO39" s="110">
        <f t="shared" si="12"/>
        <v>69.452548715049488</v>
      </c>
      <c r="AP39" s="110">
        <f t="shared" si="12"/>
        <v>55.563760954674606</v>
      </c>
      <c r="AQ39" s="110">
        <f t="shared" si="12"/>
        <v>69.452548715049488</v>
      </c>
      <c r="AR39" s="110">
        <f t="shared" si="12"/>
        <v>55.563760954674606</v>
      </c>
      <c r="AS39" s="110">
        <f t="shared" si="12"/>
        <v>69.452548715049488</v>
      </c>
      <c r="AT39" s="110">
        <f t="shared" si="12"/>
        <v>55.563760954674606</v>
      </c>
      <c r="AU39" s="110">
        <f t="shared" si="12"/>
        <v>69.452548715049488</v>
      </c>
      <c r="AV39" s="110">
        <f t="shared" si="12"/>
        <v>55.563760954674606</v>
      </c>
      <c r="AW39" s="110">
        <f t="shared" si="12"/>
        <v>69.452548715049488</v>
      </c>
      <c r="AX39" s="110">
        <f t="shared" si="12"/>
        <v>55.563760954674606</v>
      </c>
      <c r="AY39" s="110">
        <f t="shared" si="12"/>
        <v>69.452548715049488</v>
      </c>
    </row>
    <row r="40" spans="1:52">
      <c r="A40" s="110"/>
      <c r="B40" s="165" t="s">
        <v>348</v>
      </c>
      <c r="C40" s="110"/>
      <c r="D40" s="110">
        <f>D34-D37</f>
        <v>80.566048832822673</v>
      </c>
      <c r="E40" s="110">
        <f t="shared" ref="E40:AY40" si="13">E34-E37</f>
        <v>0</v>
      </c>
      <c r="F40" s="110">
        <f t="shared" si="13"/>
        <v>64.452839066257695</v>
      </c>
      <c r="G40" s="110">
        <f t="shared" si="13"/>
        <v>0</v>
      </c>
      <c r="H40" s="110">
        <f t="shared" si="13"/>
        <v>64.452839066257695</v>
      </c>
      <c r="I40" s="110">
        <f t="shared" si="13"/>
        <v>16.121199874321675</v>
      </c>
      <c r="J40" s="110">
        <f t="shared" si="13"/>
        <v>80.566048832822148</v>
      </c>
      <c r="K40" s="110">
        <f t="shared" si="13"/>
        <v>16.121199874321675</v>
      </c>
      <c r="L40" s="110">
        <f t="shared" si="13"/>
        <v>80.566048832822148</v>
      </c>
      <c r="M40" s="110">
        <f t="shared" si="13"/>
        <v>16.121199874321675</v>
      </c>
      <c r="N40" s="110">
        <f t="shared" si="13"/>
        <v>80.566048832822148</v>
      </c>
      <c r="O40" s="110">
        <f t="shared" si="13"/>
        <v>16.121199874321675</v>
      </c>
      <c r="P40" s="110">
        <f t="shared" si="13"/>
        <v>80.566048832822148</v>
      </c>
      <c r="Q40" s="110">
        <f t="shared" si="13"/>
        <v>16.121199874321675</v>
      </c>
      <c r="R40" s="110">
        <f t="shared" si="13"/>
        <v>80.566048832822148</v>
      </c>
      <c r="S40" s="110">
        <f t="shared" si="13"/>
        <v>16.121199874321675</v>
      </c>
      <c r="T40" s="110">
        <f t="shared" si="13"/>
        <v>80.566048832822148</v>
      </c>
      <c r="U40" s="110">
        <f t="shared" si="13"/>
        <v>16.121199874321675</v>
      </c>
      <c r="V40" s="110">
        <f t="shared" si="13"/>
        <v>80.566048832822148</v>
      </c>
      <c r="W40" s="110">
        <f t="shared" si="13"/>
        <v>16.121199874321675</v>
      </c>
      <c r="X40" s="110">
        <f t="shared" si="13"/>
        <v>80.566048832822148</v>
      </c>
      <c r="Y40" s="110">
        <f t="shared" si="13"/>
        <v>0</v>
      </c>
      <c r="Z40" s="110">
        <f t="shared" si="13"/>
        <v>64.452839066257695</v>
      </c>
      <c r="AA40" s="110">
        <f t="shared" si="13"/>
        <v>0</v>
      </c>
      <c r="AB40" s="110">
        <f t="shared" si="13"/>
        <v>16.078204386145618</v>
      </c>
      <c r="AC40" s="110">
        <f t="shared" si="13"/>
        <v>16.121199874321675</v>
      </c>
      <c r="AD40" s="110">
        <f t="shared" si="13"/>
        <v>80.566048832822148</v>
      </c>
      <c r="AE40" s="110">
        <f t="shared" si="13"/>
        <v>0</v>
      </c>
      <c r="AF40" s="110">
        <f t="shared" si="13"/>
        <v>64.45483659319703</v>
      </c>
      <c r="AG40" s="110">
        <f t="shared" si="13"/>
        <v>80.566048832822148</v>
      </c>
      <c r="AH40" s="110">
        <f t="shared" si="13"/>
        <v>64.45483659319703</v>
      </c>
      <c r="AI40" s="110">
        <f t="shared" si="13"/>
        <v>80.566048832822148</v>
      </c>
      <c r="AJ40" s="110">
        <f t="shared" si="13"/>
        <v>64.45483659319703</v>
      </c>
      <c r="AK40" s="110">
        <f t="shared" si="13"/>
        <v>48.341626826632577</v>
      </c>
      <c r="AL40" s="110">
        <f t="shared" si="13"/>
        <v>0</v>
      </c>
      <c r="AM40" s="110">
        <f t="shared" si="13"/>
        <v>0</v>
      </c>
      <c r="AN40" s="110">
        <f t="shared" si="13"/>
        <v>32.230414587007459</v>
      </c>
      <c r="AO40" s="110">
        <f t="shared" si="13"/>
        <v>80.566048832822148</v>
      </c>
      <c r="AP40" s="110">
        <f t="shared" si="13"/>
        <v>64.45483659319703</v>
      </c>
      <c r="AQ40" s="110">
        <f t="shared" si="13"/>
        <v>80.566048832822148</v>
      </c>
      <c r="AR40" s="110">
        <f t="shared" si="13"/>
        <v>64.45483659319703</v>
      </c>
      <c r="AS40" s="110">
        <f t="shared" si="13"/>
        <v>80.566048832822148</v>
      </c>
      <c r="AT40" s="110">
        <f t="shared" si="13"/>
        <v>64.45483659319703</v>
      </c>
      <c r="AU40" s="110">
        <f t="shared" si="13"/>
        <v>80.566048832822148</v>
      </c>
      <c r="AV40" s="110">
        <f t="shared" si="13"/>
        <v>64.45483659319703</v>
      </c>
      <c r="AW40" s="110">
        <f t="shared" si="13"/>
        <v>80.566048832822148</v>
      </c>
      <c r="AX40" s="110">
        <f t="shared" si="13"/>
        <v>64.45483659319703</v>
      </c>
      <c r="AY40" s="110">
        <f t="shared" si="13"/>
        <v>80.566048832822148</v>
      </c>
    </row>
    <row r="41" spans="1:52">
      <c r="A41" s="110"/>
      <c r="B41" s="165" t="s">
        <v>349</v>
      </c>
      <c r="C41" s="110"/>
      <c r="D41" s="110">
        <v>1</v>
      </c>
      <c r="E41" s="110">
        <v>2</v>
      </c>
      <c r="F41" s="110">
        <v>1</v>
      </c>
      <c r="G41" s="110">
        <v>2</v>
      </c>
      <c r="H41" s="110">
        <v>1</v>
      </c>
      <c r="I41" s="110">
        <v>1</v>
      </c>
      <c r="J41" s="110">
        <v>2</v>
      </c>
      <c r="K41" s="110">
        <v>3</v>
      </c>
      <c r="L41" s="110">
        <v>1</v>
      </c>
      <c r="M41" s="110">
        <v>1</v>
      </c>
      <c r="N41" s="110">
        <v>1</v>
      </c>
      <c r="O41" s="110">
        <v>1</v>
      </c>
      <c r="P41" s="110">
        <v>1</v>
      </c>
      <c r="Q41" s="110">
        <v>1</v>
      </c>
      <c r="R41" s="110">
        <v>2</v>
      </c>
      <c r="S41" s="110">
        <v>1</v>
      </c>
      <c r="T41" s="110">
        <v>2</v>
      </c>
      <c r="U41" s="110">
        <v>2</v>
      </c>
      <c r="V41" s="110">
        <v>2</v>
      </c>
      <c r="W41" s="110">
        <v>2</v>
      </c>
      <c r="X41" s="110">
        <v>2</v>
      </c>
      <c r="Y41" s="110">
        <v>3</v>
      </c>
      <c r="Z41" s="110">
        <v>2</v>
      </c>
      <c r="AA41" s="110">
        <v>1</v>
      </c>
      <c r="AB41" s="110">
        <v>1</v>
      </c>
      <c r="AC41" s="110">
        <v>2</v>
      </c>
      <c r="AD41" s="110">
        <v>3</v>
      </c>
      <c r="AE41" s="110">
        <v>1</v>
      </c>
      <c r="AF41" s="110">
        <v>2</v>
      </c>
      <c r="AG41" s="110">
        <v>3</v>
      </c>
      <c r="AH41" s="110">
        <v>1</v>
      </c>
      <c r="AI41" s="110">
        <v>1</v>
      </c>
      <c r="AJ41" s="110">
        <v>2</v>
      </c>
      <c r="AK41" s="110">
        <v>1</v>
      </c>
      <c r="AL41" s="110">
        <v>1</v>
      </c>
      <c r="AM41" s="110">
        <v>1</v>
      </c>
      <c r="AN41" s="110">
        <v>1</v>
      </c>
      <c r="AO41" s="110">
        <v>2</v>
      </c>
      <c r="AP41" s="110">
        <v>1</v>
      </c>
      <c r="AQ41" s="110">
        <v>3</v>
      </c>
      <c r="AR41" s="110">
        <v>2</v>
      </c>
      <c r="AS41" s="110">
        <v>1</v>
      </c>
      <c r="AT41" s="110">
        <v>2</v>
      </c>
      <c r="AU41" s="110">
        <v>1</v>
      </c>
      <c r="AV41" s="110">
        <v>2</v>
      </c>
      <c r="AW41" s="110">
        <v>3</v>
      </c>
      <c r="AX41" s="110">
        <v>1</v>
      </c>
      <c r="AY41" s="110">
        <v>1</v>
      </c>
    </row>
    <row r="42" spans="1:52">
      <c r="A42" s="110"/>
      <c r="B42" s="178" t="s">
        <v>350</v>
      </c>
      <c r="C42" s="110"/>
      <c r="D42" s="110">
        <v>0</v>
      </c>
      <c r="E42" s="110">
        <v>220500</v>
      </c>
      <c r="F42" s="110">
        <v>0</v>
      </c>
      <c r="G42" s="110">
        <v>220500</v>
      </c>
      <c r="H42" s="110">
        <v>0</v>
      </c>
      <c r="I42" s="110">
        <v>176400</v>
      </c>
      <c r="J42" s="110">
        <v>0</v>
      </c>
      <c r="K42" s="110">
        <v>176400</v>
      </c>
      <c r="L42" s="110">
        <v>0</v>
      </c>
      <c r="M42" s="110">
        <v>176400</v>
      </c>
      <c r="N42" s="110">
        <v>0</v>
      </c>
      <c r="O42" s="110">
        <v>176400</v>
      </c>
      <c r="P42" s="110">
        <v>0</v>
      </c>
      <c r="Q42" s="110">
        <v>176400</v>
      </c>
      <c r="R42" s="110">
        <v>0</v>
      </c>
      <c r="S42" s="110">
        <v>176400</v>
      </c>
      <c r="T42" s="110">
        <v>0</v>
      </c>
      <c r="U42" s="110">
        <v>176400</v>
      </c>
      <c r="V42" s="110">
        <v>0</v>
      </c>
      <c r="W42" s="110">
        <v>176400</v>
      </c>
      <c r="X42" s="110">
        <v>0</v>
      </c>
      <c r="Y42" s="110">
        <v>220500</v>
      </c>
      <c r="Z42" s="110">
        <v>0</v>
      </c>
      <c r="AA42" s="110">
        <v>220500</v>
      </c>
      <c r="AB42" s="110">
        <v>44100</v>
      </c>
      <c r="AC42" s="110">
        <v>176400</v>
      </c>
      <c r="AD42" s="110">
        <v>0</v>
      </c>
      <c r="AE42" s="110">
        <v>132300</v>
      </c>
      <c r="AF42" s="110">
        <v>44100</v>
      </c>
      <c r="AG42" s="110">
        <v>0</v>
      </c>
      <c r="AH42" s="110">
        <v>44100</v>
      </c>
      <c r="AI42" s="110">
        <v>0</v>
      </c>
      <c r="AJ42" s="110">
        <v>44100</v>
      </c>
      <c r="AK42" s="110">
        <v>44100</v>
      </c>
      <c r="AL42" s="110">
        <v>132300</v>
      </c>
      <c r="AM42" s="110">
        <v>132300</v>
      </c>
      <c r="AN42" s="110">
        <v>88200</v>
      </c>
      <c r="AO42" s="110">
        <v>0</v>
      </c>
      <c r="AP42" s="110">
        <v>44100</v>
      </c>
      <c r="AQ42" s="110">
        <v>0</v>
      </c>
      <c r="AR42" s="110">
        <v>44100</v>
      </c>
      <c r="AS42" s="110">
        <v>0</v>
      </c>
      <c r="AT42" s="110">
        <v>44100</v>
      </c>
      <c r="AU42" s="110">
        <v>0</v>
      </c>
      <c r="AV42" s="110">
        <v>44100</v>
      </c>
      <c r="AW42" s="110">
        <v>0</v>
      </c>
      <c r="AX42" s="110">
        <v>44100</v>
      </c>
      <c r="AY42" s="110">
        <v>0</v>
      </c>
      <c r="AZ42" s="100">
        <f>SUM($D$42:$AY$42)</f>
        <v>3395700</v>
      </c>
    </row>
    <row r="43" spans="1:52">
      <c r="A43" s="110"/>
      <c r="B43" s="178" t="s">
        <v>351</v>
      </c>
      <c r="C43" s="110"/>
      <c r="D43" s="110">
        <v>119452.30829749357</v>
      </c>
      <c r="E43" s="110">
        <v>0</v>
      </c>
      <c r="F43" s="110">
        <v>95561.846637994226</v>
      </c>
      <c r="G43" s="110">
        <v>0</v>
      </c>
      <c r="H43" s="110">
        <v>95561.846637994226</v>
      </c>
      <c r="I43" s="110">
        <v>23902.308297492807</v>
      </c>
      <c r="J43" s="110">
        <v>119452.3082974928</v>
      </c>
      <c r="K43" s="110">
        <v>23902.308297492807</v>
      </c>
      <c r="L43" s="110">
        <v>119452.3082974928</v>
      </c>
      <c r="M43" s="110">
        <v>23902.308297492807</v>
      </c>
      <c r="N43" s="110">
        <v>119452.3082974928</v>
      </c>
      <c r="O43" s="110">
        <v>23902.308297492807</v>
      </c>
      <c r="P43" s="110">
        <v>119452.3082974928</v>
      </c>
      <c r="Q43" s="110">
        <v>23902.308297492807</v>
      </c>
      <c r="R43" s="110">
        <v>119452.3082974928</v>
      </c>
      <c r="S43" s="110">
        <v>23902.308297492807</v>
      </c>
      <c r="T43" s="110">
        <v>119452.3082974928</v>
      </c>
      <c r="U43" s="110">
        <v>23902.308297492807</v>
      </c>
      <c r="V43" s="110">
        <v>119452.3082974928</v>
      </c>
      <c r="W43" s="110">
        <v>23902.308297492807</v>
      </c>
      <c r="X43" s="110">
        <v>119452.3082974928</v>
      </c>
      <c r="Y43" s="110">
        <v>0</v>
      </c>
      <c r="Z43" s="110">
        <v>95561.846637994226</v>
      </c>
      <c r="AA43" s="110">
        <v>0</v>
      </c>
      <c r="AB43" s="110">
        <v>23838.560473398004</v>
      </c>
      <c r="AC43" s="110">
        <v>23902.308297492807</v>
      </c>
      <c r="AD43" s="110">
        <v>119452.3082974928</v>
      </c>
      <c r="AE43" s="110">
        <v>0</v>
      </c>
      <c r="AF43" s="110">
        <v>95564.808297492797</v>
      </c>
      <c r="AG43" s="110">
        <v>119452.3082974928</v>
      </c>
      <c r="AH43" s="110">
        <v>95564.808297492797</v>
      </c>
      <c r="AI43" s="110">
        <v>119452.3082974928</v>
      </c>
      <c r="AJ43" s="110">
        <v>95564.808297492797</v>
      </c>
      <c r="AK43" s="110">
        <v>71674.346637994211</v>
      </c>
      <c r="AL43" s="110">
        <v>0</v>
      </c>
      <c r="AM43" s="110">
        <v>0</v>
      </c>
      <c r="AN43" s="110">
        <v>47786.846637994211</v>
      </c>
      <c r="AO43" s="110">
        <v>119452.3082974928</v>
      </c>
      <c r="AP43" s="110">
        <v>95564.808297492797</v>
      </c>
      <c r="AQ43" s="110">
        <v>119452.3082974928</v>
      </c>
      <c r="AR43" s="110">
        <v>95564.808297492797</v>
      </c>
      <c r="AS43" s="110">
        <v>119452.3082974928</v>
      </c>
      <c r="AT43" s="110">
        <v>95564.808297492797</v>
      </c>
      <c r="AU43" s="110">
        <v>119452.3082974928</v>
      </c>
      <c r="AV43" s="110">
        <v>95564.808297492797</v>
      </c>
      <c r="AW43" s="110">
        <v>119452.3082974928</v>
      </c>
      <c r="AX43" s="110">
        <v>95564.808297492797</v>
      </c>
      <c r="AY43" s="110">
        <v>119452.3082974928</v>
      </c>
      <c r="AZ43" s="100">
        <f>SUM($D$43:$AY$43)</f>
        <v>3559766.0840756148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170.00000000000117</v>
      </c>
      <c r="E44" s="124">
        <f>E$21*shipping_manufacturing!$D$28/100</f>
        <v>136.00000000000003</v>
      </c>
      <c r="F44" s="124">
        <f>F$21*shipping_manufacturing!$D$28/100</f>
        <v>136.00000000000003</v>
      </c>
      <c r="G44" s="124">
        <f>G$21*shipping_manufacturing!$D$28/100</f>
        <v>136.00000000000003</v>
      </c>
      <c r="H44" s="124">
        <f>H$21*shipping_manufacturing!$D$28/100</f>
        <v>136.00000000000003</v>
      </c>
      <c r="I44" s="124">
        <f>I$21*shipping_manufacturing!$D$28/100</f>
        <v>170.00000000000003</v>
      </c>
      <c r="J44" s="124">
        <f>J$21*shipping_manufacturing!$D$28/100</f>
        <v>170.00000000000003</v>
      </c>
      <c r="K44" s="124">
        <f>K$21*shipping_manufacturing!$D$28/100</f>
        <v>170.00000000000003</v>
      </c>
      <c r="L44" s="124">
        <f>L$21*shipping_manufacturing!$D$28/100</f>
        <v>170.00000000000003</v>
      </c>
      <c r="M44" s="124">
        <f>M$21*shipping_manufacturing!$D$28/100</f>
        <v>170.00000000000003</v>
      </c>
      <c r="N44" s="124">
        <f>N$21*shipping_manufacturing!$D$28/100</f>
        <v>170.00000000000003</v>
      </c>
      <c r="O44" s="124">
        <f>O$21*shipping_manufacturing!$D$28/100</f>
        <v>170.00000000000003</v>
      </c>
      <c r="P44" s="124">
        <f>P$21*shipping_manufacturing!$D$28/100</f>
        <v>170.00000000000003</v>
      </c>
      <c r="Q44" s="124">
        <f>Q$21*shipping_manufacturing!$D$28/100</f>
        <v>170.00000000000003</v>
      </c>
      <c r="R44" s="124">
        <f>R$21*shipping_manufacturing!$D$28/100</f>
        <v>170.00000000000003</v>
      </c>
      <c r="S44" s="124">
        <f>S$21*shipping_manufacturing!$D$28/100</f>
        <v>170.00000000000003</v>
      </c>
      <c r="T44" s="124">
        <f>T$21*shipping_manufacturing!$D$28/100</f>
        <v>170.00000000000003</v>
      </c>
      <c r="U44" s="124">
        <f>U$21*shipping_manufacturing!$D$28/100</f>
        <v>170.00000000000003</v>
      </c>
      <c r="V44" s="124">
        <f>V$21*shipping_manufacturing!$D$28/100</f>
        <v>170.00000000000003</v>
      </c>
      <c r="W44" s="124">
        <f>W$21*shipping_manufacturing!$D$28/100</f>
        <v>170.00000000000003</v>
      </c>
      <c r="X44" s="124">
        <f>X$21*shipping_manufacturing!$D$28/100</f>
        <v>170.00000000000003</v>
      </c>
      <c r="Y44" s="124">
        <f>Y$21*shipping_manufacturing!$D$28/100</f>
        <v>136.00000000000003</v>
      </c>
      <c r="Z44" s="124">
        <f>Z$21*shipping_manufacturing!$D$28/100</f>
        <v>136.00000000000003</v>
      </c>
      <c r="AA44" s="124">
        <f>AA$21*shipping_manufacturing!$D$28/100</f>
        <v>136.00000000000003</v>
      </c>
      <c r="AB44" s="124">
        <f>AB$21*shipping_manufacturing!$D$28/100</f>
        <v>67.921921276492881</v>
      </c>
      <c r="AC44" s="124">
        <f>AC$21*shipping_manufacturing!$D$28/100</f>
        <v>170.00000000000003</v>
      </c>
      <c r="AD44" s="124">
        <f>AD$21*shipping_manufacturing!$D$28/100</f>
        <v>170.00000000000003</v>
      </c>
      <c r="AE44" s="124">
        <f>AE$21*shipping_manufacturing!$D$28/100</f>
        <v>68.329103581198893</v>
      </c>
      <c r="AF44" s="124">
        <f>AF$21*shipping_manufacturing!$D$28/100</f>
        <v>170.00000000000003</v>
      </c>
      <c r="AG44" s="124">
        <f>AG$21*shipping_manufacturing!$D$28/100</f>
        <v>170.00000000000003</v>
      </c>
      <c r="AH44" s="124">
        <f>AH$21*shipping_manufacturing!$D$28/100</f>
        <v>170.00000000000003</v>
      </c>
      <c r="AI44" s="124">
        <f>AI$21*shipping_manufacturing!$D$28/100</f>
        <v>170.00000000000003</v>
      </c>
      <c r="AJ44" s="124">
        <f>AJ$21*shipping_manufacturing!$D$28/100</f>
        <v>170.00000000000003</v>
      </c>
      <c r="AK44" s="124">
        <f>AK$21*shipping_manufacturing!$D$28/100</f>
        <v>136.00000000000003</v>
      </c>
      <c r="AL44" s="124">
        <f>AL$21*shipping_manufacturing!$D$28/100</f>
        <v>69.258793536873583</v>
      </c>
      <c r="AM44" s="124">
        <f>AM$21*shipping_manufacturing!$D$28/100</f>
        <v>69.388959454537357</v>
      </c>
      <c r="AN44" s="124">
        <f>AN$21*shipping_manufacturing!$D$28/100</f>
        <v>136.00000000000003</v>
      </c>
      <c r="AO44" s="124">
        <f>AO$21*shipping_manufacturing!$D$28/100</f>
        <v>170.00000000000003</v>
      </c>
      <c r="AP44" s="124">
        <f>AP$21*shipping_manufacturing!$D$28/100</f>
        <v>170.00000000000003</v>
      </c>
      <c r="AQ44" s="124">
        <f>AQ$21*shipping_manufacturing!$D$28/100</f>
        <v>170.00000000000003</v>
      </c>
      <c r="AR44" s="124">
        <f>AR$21*shipping_manufacturing!$D$28/100</f>
        <v>170.00000000000003</v>
      </c>
      <c r="AS44" s="124">
        <f>AS$21*shipping_manufacturing!$D$28/100</f>
        <v>170.00000000000003</v>
      </c>
      <c r="AT44" s="124">
        <f>AT$21*shipping_manufacturing!$D$28/100</f>
        <v>170.00000000000003</v>
      </c>
      <c r="AU44" s="124">
        <f>AU$21*shipping_manufacturing!$D$28/100</f>
        <v>170.00000000000003</v>
      </c>
      <c r="AV44" s="124">
        <f>AV$21*shipping_manufacturing!$D$28/100</f>
        <v>170.00000000000003</v>
      </c>
      <c r="AW44" s="124">
        <f>AW$21*shipping_manufacturing!$D$28/100</f>
        <v>170.00000000000003</v>
      </c>
      <c r="AX44" s="124">
        <f>AX$21*shipping_manufacturing!$D$28/100</f>
        <v>170.00000000000003</v>
      </c>
      <c r="AY44" s="124">
        <f>AY$21*shipping_manufacturing!$D$28/100</f>
        <v>170.00000000000003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279.98140245212619</v>
      </c>
      <c r="E45" s="110">
        <f>E$22*shipping_manufacturing!$E$28/100</f>
        <v>223.98512196169943</v>
      </c>
      <c r="F45" s="110">
        <f>F$22*shipping_manufacturing!$E$28/100</f>
        <v>223.98512196169943</v>
      </c>
      <c r="G45" s="110">
        <f>G$22*shipping_manufacturing!$E$28/100</f>
        <v>223.98512196169943</v>
      </c>
      <c r="H45" s="110">
        <f>H$22*shipping_manufacturing!$E$28/100</f>
        <v>223.98512196169943</v>
      </c>
      <c r="I45" s="110">
        <f>I$22*shipping_manufacturing!$E$28/100</f>
        <v>279.98140245212431</v>
      </c>
      <c r="J45" s="110">
        <f>J$22*shipping_manufacturing!$E$28/100</f>
        <v>279.98140245212431</v>
      </c>
      <c r="K45" s="110">
        <f>K$22*shipping_manufacturing!$E$28/100</f>
        <v>279.98140245212431</v>
      </c>
      <c r="L45" s="110">
        <f>L$22*shipping_manufacturing!$E$28/100</f>
        <v>279.98140245212431</v>
      </c>
      <c r="M45" s="110">
        <f>M$22*shipping_manufacturing!$E$28/100</f>
        <v>279.98140245212431</v>
      </c>
      <c r="N45" s="110">
        <f>N$22*shipping_manufacturing!$E$28/100</f>
        <v>279.98140245212431</v>
      </c>
      <c r="O45" s="110">
        <f>O$22*shipping_manufacturing!$E$28/100</f>
        <v>279.98140245212431</v>
      </c>
      <c r="P45" s="110">
        <f>P$22*shipping_manufacturing!$E$28/100</f>
        <v>279.98140245212431</v>
      </c>
      <c r="Q45" s="110">
        <f>Q$22*shipping_manufacturing!$E$28/100</f>
        <v>279.98140245212431</v>
      </c>
      <c r="R45" s="110">
        <f>R$22*shipping_manufacturing!$E$28/100</f>
        <v>279.98140245212431</v>
      </c>
      <c r="S45" s="110">
        <f>S$22*shipping_manufacturing!$E$28/100</f>
        <v>279.98140245212431</v>
      </c>
      <c r="T45" s="110">
        <f>T$22*shipping_manufacturing!$E$28/100</f>
        <v>279.98140245212431</v>
      </c>
      <c r="U45" s="110">
        <f>U$22*shipping_manufacturing!$E$28/100</f>
        <v>279.98140245212431</v>
      </c>
      <c r="V45" s="110">
        <f>V$22*shipping_manufacturing!$E$28/100</f>
        <v>279.98140245212431</v>
      </c>
      <c r="W45" s="110">
        <f>W$22*shipping_manufacturing!$E$28/100</f>
        <v>279.98140245212431</v>
      </c>
      <c r="X45" s="110">
        <f>X$22*shipping_manufacturing!$E$28/100</f>
        <v>279.98140245212431</v>
      </c>
      <c r="Y45" s="110">
        <f>Y$22*shipping_manufacturing!$E$28/100</f>
        <v>223.98512196169943</v>
      </c>
      <c r="Z45" s="110">
        <f>Z$22*shipping_manufacturing!$E$28/100</f>
        <v>223.98512196169943</v>
      </c>
      <c r="AA45" s="110">
        <f>AA$22*shipping_manufacturing!$E$28/100</f>
        <v>223.98512196169943</v>
      </c>
      <c r="AB45" s="110">
        <f>AB$22*shipping_manufacturing!$E$28/100</f>
        <v>111.86396927197207</v>
      </c>
      <c r="AC45" s="110">
        <f>AC$22*shipping_manufacturing!$E$28/100</f>
        <v>279.98140245212431</v>
      </c>
      <c r="AD45" s="110">
        <f>AD$22*shipping_manufacturing!$E$28/100</f>
        <v>279.98140245212431</v>
      </c>
      <c r="AE45" s="110">
        <f>AE$22*shipping_manufacturing!$E$28/100</f>
        <v>112.53457793506195</v>
      </c>
      <c r="AF45" s="110">
        <f>AF$22*shipping_manufacturing!$E$28/100</f>
        <v>279.98140245212431</v>
      </c>
      <c r="AG45" s="110">
        <f>AG$22*shipping_manufacturing!$E$28/100</f>
        <v>279.98140245212431</v>
      </c>
      <c r="AH45" s="110">
        <f>AH$22*shipping_manufacturing!$E$28/100</f>
        <v>279.98140245212431</v>
      </c>
      <c r="AI45" s="110">
        <f>AI$22*shipping_manufacturing!$E$28/100</f>
        <v>279.98140245212431</v>
      </c>
      <c r="AJ45" s="110">
        <f>AJ$22*shipping_manufacturing!$E$28/100</f>
        <v>279.98140245212431</v>
      </c>
      <c r="AK45" s="110">
        <f>AK$22*shipping_manufacturing!$E$28/100</f>
        <v>223.98512196169943</v>
      </c>
      <c r="AL45" s="110">
        <f>AL$22*shipping_manufacturing!$E$28/100</f>
        <v>114.06573027409401</v>
      </c>
      <c r="AM45" s="110">
        <f>AM$22*shipping_manufacturing!$E$28/100</f>
        <v>114.28010695749974</v>
      </c>
      <c r="AN45" s="110">
        <f>AN$22*shipping_manufacturing!$E$28/100</f>
        <v>223.98512196169943</v>
      </c>
      <c r="AO45" s="110">
        <f>AO$22*shipping_manufacturing!$E$28/100</f>
        <v>279.98140245212431</v>
      </c>
      <c r="AP45" s="110">
        <f>AP$22*shipping_manufacturing!$E$28/100</f>
        <v>279.98140245212431</v>
      </c>
      <c r="AQ45" s="110">
        <f>AQ$22*shipping_manufacturing!$E$28/100</f>
        <v>279.98140245212431</v>
      </c>
      <c r="AR45" s="110">
        <f>AR$22*shipping_manufacturing!$E$28/100</f>
        <v>279.98140245212431</v>
      </c>
      <c r="AS45" s="110">
        <f>AS$22*shipping_manufacturing!$E$28/100</f>
        <v>279.98140245212431</v>
      </c>
      <c r="AT45" s="110">
        <f>AT$22*shipping_manufacturing!$E$28/100</f>
        <v>279.98140245212431</v>
      </c>
      <c r="AU45" s="110">
        <f>AU$22*shipping_manufacturing!$E$28/100</f>
        <v>279.98140245212431</v>
      </c>
      <c r="AV45" s="110">
        <f>AV$22*shipping_manufacturing!$E$28/100</f>
        <v>279.98140245212431</v>
      </c>
      <c r="AW45" s="110">
        <f>AW$22*shipping_manufacturing!$E$28/100</f>
        <v>279.98140245212431</v>
      </c>
      <c r="AX45" s="110">
        <f>AX$22*shipping_manufacturing!$E$28/100</f>
        <v>279.98140245212431</v>
      </c>
      <c r="AY45" s="110">
        <f>AY$22*shipping_manufacturing!$E$28/100</f>
        <v>279.98140245212431</v>
      </c>
    </row>
    <row r="46" spans="1:52">
      <c r="A46" s="110">
        <v>89</v>
      </c>
      <c r="B46" s="165" t="s">
        <v>343</v>
      </c>
      <c r="C46" s="110"/>
      <c r="D46" s="110">
        <f>SUM(D44:D45)</f>
        <v>449.98140245212733</v>
      </c>
      <c r="E46" s="110">
        <f t="shared" ref="E46:AY46" si="14">SUM(E44:E45)</f>
        <v>359.98512196169946</v>
      </c>
      <c r="F46" s="110">
        <f t="shared" si="14"/>
        <v>359.98512196169946</v>
      </c>
      <c r="G46" s="110">
        <f t="shared" si="14"/>
        <v>359.98512196169946</v>
      </c>
      <c r="H46" s="110">
        <f t="shared" si="14"/>
        <v>359.98512196169946</v>
      </c>
      <c r="I46" s="110">
        <f t="shared" si="14"/>
        <v>449.98140245212437</v>
      </c>
      <c r="J46" s="110">
        <f t="shared" si="14"/>
        <v>449.98140245212437</v>
      </c>
      <c r="K46" s="110">
        <f t="shared" si="14"/>
        <v>449.98140245212437</v>
      </c>
      <c r="L46" s="110">
        <f t="shared" si="14"/>
        <v>449.98140245212437</v>
      </c>
      <c r="M46" s="110">
        <f t="shared" si="14"/>
        <v>449.98140245212437</v>
      </c>
      <c r="N46" s="110">
        <f t="shared" si="14"/>
        <v>449.98140245212437</v>
      </c>
      <c r="O46" s="110">
        <f t="shared" si="14"/>
        <v>449.98140245212437</v>
      </c>
      <c r="P46" s="110">
        <f t="shared" si="14"/>
        <v>449.98140245212437</v>
      </c>
      <c r="Q46" s="110">
        <f t="shared" si="14"/>
        <v>449.98140245212437</v>
      </c>
      <c r="R46" s="110">
        <f t="shared" si="14"/>
        <v>449.98140245212437</v>
      </c>
      <c r="S46" s="110">
        <f t="shared" si="14"/>
        <v>449.98140245212437</v>
      </c>
      <c r="T46" s="110">
        <f t="shared" si="14"/>
        <v>449.98140245212437</v>
      </c>
      <c r="U46" s="110">
        <f t="shared" si="14"/>
        <v>449.98140245212437</v>
      </c>
      <c r="V46" s="110">
        <f t="shared" si="14"/>
        <v>449.98140245212437</v>
      </c>
      <c r="W46" s="110">
        <f t="shared" si="14"/>
        <v>449.98140245212437</v>
      </c>
      <c r="X46" s="110">
        <f t="shared" si="14"/>
        <v>449.98140245212437</v>
      </c>
      <c r="Y46" s="110">
        <f t="shared" si="14"/>
        <v>359.98512196169946</v>
      </c>
      <c r="Z46" s="110">
        <f t="shared" si="14"/>
        <v>359.98512196169946</v>
      </c>
      <c r="AA46" s="110">
        <f t="shared" si="14"/>
        <v>359.98512196169946</v>
      </c>
      <c r="AB46" s="110">
        <f t="shared" si="14"/>
        <v>179.78589054846495</v>
      </c>
      <c r="AC46" s="110">
        <f t="shared" si="14"/>
        <v>449.98140245212437</v>
      </c>
      <c r="AD46" s="110">
        <f t="shared" si="14"/>
        <v>449.98140245212437</v>
      </c>
      <c r="AE46" s="110">
        <f t="shared" si="14"/>
        <v>180.86368151626084</v>
      </c>
      <c r="AF46" s="110">
        <f t="shared" si="14"/>
        <v>449.98140245212437</v>
      </c>
      <c r="AG46" s="110">
        <f t="shared" si="14"/>
        <v>449.98140245212437</v>
      </c>
      <c r="AH46" s="110">
        <f t="shared" si="14"/>
        <v>449.98140245212437</v>
      </c>
      <c r="AI46" s="110">
        <f t="shared" si="14"/>
        <v>449.98140245212437</v>
      </c>
      <c r="AJ46" s="110">
        <f t="shared" si="14"/>
        <v>449.98140245212437</v>
      </c>
      <c r="AK46" s="110">
        <f t="shared" si="14"/>
        <v>359.98512196169946</v>
      </c>
      <c r="AL46" s="110">
        <f t="shared" si="14"/>
        <v>183.32452381096761</v>
      </c>
      <c r="AM46" s="110">
        <f t="shared" si="14"/>
        <v>183.6690664120371</v>
      </c>
      <c r="AN46" s="110">
        <f t="shared" si="14"/>
        <v>359.98512196169946</v>
      </c>
      <c r="AO46" s="110">
        <f t="shared" si="14"/>
        <v>449.98140245212437</v>
      </c>
      <c r="AP46" s="110">
        <f t="shared" si="14"/>
        <v>449.98140245212437</v>
      </c>
      <c r="AQ46" s="110">
        <f t="shared" si="14"/>
        <v>449.98140245212437</v>
      </c>
      <c r="AR46" s="110">
        <f t="shared" si="14"/>
        <v>449.98140245212437</v>
      </c>
      <c r="AS46" s="110">
        <f t="shared" si="14"/>
        <v>449.98140245212437</v>
      </c>
      <c r="AT46" s="110">
        <f t="shared" si="14"/>
        <v>449.98140245212437</v>
      </c>
      <c r="AU46" s="110">
        <f t="shared" si="14"/>
        <v>449.98140245212437</v>
      </c>
      <c r="AV46" s="110">
        <f t="shared" si="14"/>
        <v>449.98140245212437</v>
      </c>
      <c r="AW46" s="110">
        <f t="shared" si="14"/>
        <v>449.98140245212437</v>
      </c>
      <c r="AX46" s="110">
        <f t="shared" si="14"/>
        <v>449.98140245212437</v>
      </c>
      <c r="AY46" s="110">
        <f t="shared" si="14"/>
        <v>449.98140245212437</v>
      </c>
    </row>
    <row r="47" spans="1:52">
      <c r="A47" s="110"/>
      <c r="B47" s="165" t="s">
        <v>344</v>
      </c>
      <c r="C47" s="110"/>
      <c r="D47" s="110">
        <v>11.333801735378641</v>
      </c>
      <c r="E47" s="110">
        <v>136.00000000000003</v>
      </c>
      <c r="F47" s="110">
        <v>56.669008676893199</v>
      </c>
      <c r="G47" s="110">
        <v>136.00000000000003</v>
      </c>
      <c r="H47" s="110">
        <v>56.669008676893199</v>
      </c>
      <c r="I47" s="110">
        <v>147.33942255992233</v>
      </c>
      <c r="J47" s="110">
        <v>56.669008676893185</v>
      </c>
      <c r="K47" s="110">
        <v>147.33942255992233</v>
      </c>
      <c r="L47" s="110">
        <v>56.669008676893185</v>
      </c>
      <c r="M47" s="110">
        <v>147.33942255992233</v>
      </c>
      <c r="N47" s="110">
        <v>56.669008676893185</v>
      </c>
      <c r="O47" s="110">
        <v>147.33942255992233</v>
      </c>
      <c r="P47" s="110">
        <v>56.669008676893185</v>
      </c>
      <c r="Q47" s="110">
        <v>147.33942255992233</v>
      </c>
      <c r="R47" s="110">
        <v>56.669008676893185</v>
      </c>
      <c r="S47" s="110">
        <v>147.33942255992233</v>
      </c>
      <c r="T47" s="110">
        <v>56.669008676893185</v>
      </c>
      <c r="U47" s="110">
        <v>147.33942255992233</v>
      </c>
      <c r="V47" s="110">
        <v>56.669008676893185</v>
      </c>
      <c r="W47" s="110">
        <v>147.33942255992233</v>
      </c>
      <c r="X47" s="110">
        <v>56.669008676893185</v>
      </c>
      <c r="Y47" s="110">
        <v>136.00000000000003</v>
      </c>
      <c r="Z47" s="110">
        <v>56.669008676893199</v>
      </c>
      <c r="AA47" s="110">
        <v>136.00000000000003</v>
      </c>
      <c r="AB47" s="110">
        <v>45.335206941514556</v>
      </c>
      <c r="AC47" s="110">
        <v>147.33942255992233</v>
      </c>
      <c r="AD47" s="110">
        <v>56.669008676893185</v>
      </c>
      <c r="AE47" s="110">
        <v>68.329103581198893</v>
      </c>
      <c r="AF47" s="110">
        <v>124.67181908916504</v>
      </c>
      <c r="AG47" s="110">
        <v>113.3380173537864</v>
      </c>
      <c r="AH47" s="110">
        <v>124.67181908916504</v>
      </c>
      <c r="AI47" s="110">
        <v>113.3380173537864</v>
      </c>
      <c r="AJ47" s="110">
        <v>124.67181908916504</v>
      </c>
      <c r="AK47" s="110">
        <v>102.00421561840777</v>
      </c>
      <c r="AL47" s="110">
        <v>69.258793536873583</v>
      </c>
      <c r="AM47" s="110">
        <v>69.388959454537357</v>
      </c>
      <c r="AN47" s="110">
        <v>113.33801735378641</v>
      </c>
      <c r="AO47" s="110">
        <v>113.3380173537864</v>
      </c>
      <c r="AP47" s="110">
        <v>124.67181908916504</v>
      </c>
      <c r="AQ47" s="110">
        <v>113.3380173537864</v>
      </c>
      <c r="AR47" s="110">
        <v>124.67181908916504</v>
      </c>
      <c r="AS47" s="110">
        <v>113.3380173537864</v>
      </c>
      <c r="AT47" s="110">
        <v>124.67181908916504</v>
      </c>
      <c r="AU47" s="110">
        <v>113.3380173537864</v>
      </c>
      <c r="AV47" s="110">
        <v>124.67181908916504</v>
      </c>
      <c r="AW47" s="110">
        <v>113.3380173537864</v>
      </c>
      <c r="AX47" s="110">
        <v>124.67181908916504</v>
      </c>
      <c r="AY47" s="110">
        <v>113.3380173537864</v>
      </c>
    </row>
    <row r="48" spans="1:52">
      <c r="A48" s="110"/>
      <c r="B48" s="165" t="s">
        <v>345</v>
      </c>
      <c r="C48" s="110"/>
      <c r="D48" s="110">
        <v>18.666198264621361</v>
      </c>
      <c r="E48" s="110">
        <v>223.98512196169943</v>
      </c>
      <c r="F48" s="110">
        <v>93.330991323106801</v>
      </c>
      <c r="G48" s="110">
        <v>223.98512196169943</v>
      </c>
      <c r="H48" s="110">
        <v>93.330991323106801</v>
      </c>
      <c r="I48" s="110">
        <v>242.66057744007767</v>
      </c>
      <c r="J48" s="110">
        <v>93.330991323106801</v>
      </c>
      <c r="K48" s="110">
        <v>242.66057744007767</v>
      </c>
      <c r="L48" s="110">
        <v>93.330991323106801</v>
      </c>
      <c r="M48" s="110">
        <v>242.66057744007767</v>
      </c>
      <c r="N48" s="110">
        <v>93.330991323106801</v>
      </c>
      <c r="O48" s="110">
        <v>242.66057744007767</v>
      </c>
      <c r="P48" s="110">
        <v>93.330991323106801</v>
      </c>
      <c r="Q48" s="110">
        <v>242.66057744007767</v>
      </c>
      <c r="R48" s="110">
        <v>93.330991323106801</v>
      </c>
      <c r="S48" s="110">
        <v>242.66057744007767</v>
      </c>
      <c r="T48" s="110">
        <v>93.330991323106801</v>
      </c>
      <c r="U48" s="110">
        <v>242.66057744007767</v>
      </c>
      <c r="V48" s="110">
        <v>93.330991323106801</v>
      </c>
      <c r="W48" s="110">
        <v>242.66057744007767</v>
      </c>
      <c r="X48" s="110">
        <v>93.330991323106801</v>
      </c>
      <c r="Y48" s="110">
        <v>223.98512196169943</v>
      </c>
      <c r="Z48" s="110">
        <v>93.330991323106801</v>
      </c>
      <c r="AA48" s="110">
        <v>223.98512196169943</v>
      </c>
      <c r="AB48" s="110">
        <v>74.664793058485429</v>
      </c>
      <c r="AC48" s="110">
        <v>242.66057744007767</v>
      </c>
      <c r="AD48" s="110">
        <v>93.330991323106801</v>
      </c>
      <c r="AE48" s="110">
        <v>112.53457793506195</v>
      </c>
      <c r="AF48" s="110">
        <v>205.32818091083496</v>
      </c>
      <c r="AG48" s="110">
        <v>186.6619826462136</v>
      </c>
      <c r="AH48" s="110">
        <v>205.32818091083496</v>
      </c>
      <c r="AI48" s="110">
        <v>186.6619826462136</v>
      </c>
      <c r="AJ48" s="110">
        <v>205.32818091083496</v>
      </c>
      <c r="AK48" s="110">
        <v>167.99578438159224</v>
      </c>
      <c r="AL48" s="110">
        <v>114.06573027409401</v>
      </c>
      <c r="AM48" s="110">
        <v>114.28010695749975</v>
      </c>
      <c r="AN48" s="110">
        <v>186.6619826462136</v>
      </c>
      <c r="AO48" s="110">
        <v>186.6619826462136</v>
      </c>
      <c r="AP48" s="110">
        <v>205.32818091083496</v>
      </c>
      <c r="AQ48" s="110">
        <v>186.6619826462136</v>
      </c>
      <c r="AR48" s="110">
        <v>205.32818091083496</v>
      </c>
      <c r="AS48" s="110">
        <v>186.6619826462136</v>
      </c>
      <c r="AT48" s="110">
        <v>205.32818091083496</v>
      </c>
      <c r="AU48" s="110">
        <v>186.6619826462136</v>
      </c>
      <c r="AV48" s="110">
        <v>205.32818091083496</v>
      </c>
      <c r="AW48" s="110">
        <v>186.6619826462136</v>
      </c>
      <c r="AX48" s="110">
        <v>205.32818091083496</v>
      </c>
      <c r="AY48" s="110">
        <v>186.6619826462136</v>
      </c>
    </row>
    <row r="49" spans="1:52">
      <c r="A49" s="110"/>
      <c r="B49" s="165" t="s">
        <v>346</v>
      </c>
      <c r="C49" s="110"/>
      <c r="D49" s="110">
        <v>1</v>
      </c>
      <c r="E49" s="110">
        <v>12</v>
      </c>
      <c r="F49" s="110">
        <v>5</v>
      </c>
      <c r="G49" s="110">
        <v>12</v>
      </c>
      <c r="H49" s="110">
        <v>5</v>
      </c>
      <c r="I49" s="110">
        <v>13</v>
      </c>
      <c r="J49" s="110">
        <v>5</v>
      </c>
      <c r="K49" s="110">
        <v>13</v>
      </c>
      <c r="L49" s="110">
        <v>5</v>
      </c>
      <c r="M49" s="110">
        <v>13</v>
      </c>
      <c r="N49" s="110">
        <v>5</v>
      </c>
      <c r="O49" s="110">
        <v>13</v>
      </c>
      <c r="P49" s="110">
        <v>5</v>
      </c>
      <c r="Q49" s="110">
        <v>13</v>
      </c>
      <c r="R49" s="110">
        <v>5</v>
      </c>
      <c r="S49" s="110">
        <v>13</v>
      </c>
      <c r="T49" s="110">
        <v>5</v>
      </c>
      <c r="U49" s="110">
        <v>13</v>
      </c>
      <c r="V49" s="110">
        <v>5</v>
      </c>
      <c r="W49" s="110">
        <v>13</v>
      </c>
      <c r="X49" s="110">
        <v>5</v>
      </c>
      <c r="Y49" s="110">
        <v>12</v>
      </c>
      <c r="Z49" s="110">
        <v>5</v>
      </c>
      <c r="AA49" s="110">
        <v>12</v>
      </c>
      <c r="AB49" s="110">
        <v>4</v>
      </c>
      <c r="AC49" s="110">
        <v>13</v>
      </c>
      <c r="AD49" s="110">
        <v>5</v>
      </c>
      <c r="AE49" s="110">
        <v>7</v>
      </c>
      <c r="AF49" s="110">
        <v>11</v>
      </c>
      <c r="AG49" s="110">
        <v>10</v>
      </c>
      <c r="AH49" s="110">
        <v>11</v>
      </c>
      <c r="AI49" s="110">
        <v>10</v>
      </c>
      <c r="AJ49" s="110">
        <v>11</v>
      </c>
      <c r="AK49" s="110">
        <v>9</v>
      </c>
      <c r="AL49" s="110">
        <v>7</v>
      </c>
      <c r="AM49" s="110">
        <v>7</v>
      </c>
      <c r="AN49" s="110">
        <v>10</v>
      </c>
      <c r="AO49" s="110">
        <v>10</v>
      </c>
      <c r="AP49" s="110">
        <v>11</v>
      </c>
      <c r="AQ49" s="110">
        <v>10</v>
      </c>
      <c r="AR49" s="110">
        <v>11</v>
      </c>
      <c r="AS49" s="110">
        <v>10</v>
      </c>
      <c r="AT49" s="110">
        <v>11</v>
      </c>
      <c r="AU49" s="110">
        <v>10</v>
      </c>
      <c r="AV49" s="110">
        <v>11</v>
      </c>
      <c r="AW49" s="110">
        <v>10</v>
      </c>
      <c r="AX49" s="110">
        <v>11</v>
      </c>
      <c r="AY49" s="110">
        <v>10</v>
      </c>
    </row>
    <row r="50" spans="1:52">
      <c r="A50" s="110"/>
      <c r="B50" s="165" t="s">
        <v>347</v>
      </c>
      <c r="C50" s="110"/>
      <c r="D50" s="110">
        <f>D44-D47</f>
        <v>158.66619826462252</v>
      </c>
      <c r="E50" s="110">
        <f t="shared" ref="E50:AY50" si="15">E44-E47</f>
        <v>0</v>
      </c>
      <c r="F50" s="110">
        <f t="shared" si="15"/>
        <v>79.330991323106829</v>
      </c>
      <c r="G50" s="110">
        <f t="shared" si="15"/>
        <v>0</v>
      </c>
      <c r="H50" s="110">
        <f t="shared" si="15"/>
        <v>79.330991323106829</v>
      </c>
      <c r="I50" s="110">
        <f t="shared" si="15"/>
        <v>22.660577440077702</v>
      </c>
      <c r="J50" s="110">
        <f t="shared" si="15"/>
        <v>113.33099132310684</v>
      </c>
      <c r="K50" s="110">
        <f t="shared" si="15"/>
        <v>22.660577440077702</v>
      </c>
      <c r="L50" s="110">
        <f t="shared" si="15"/>
        <v>113.33099132310684</v>
      </c>
      <c r="M50" s="110">
        <f t="shared" si="15"/>
        <v>22.660577440077702</v>
      </c>
      <c r="N50" s="110">
        <f t="shared" si="15"/>
        <v>113.33099132310684</v>
      </c>
      <c r="O50" s="110">
        <f t="shared" si="15"/>
        <v>22.660577440077702</v>
      </c>
      <c r="P50" s="110">
        <f t="shared" si="15"/>
        <v>113.33099132310684</v>
      </c>
      <c r="Q50" s="110">
        <f t="shared" si="15"/>
        <v>22.660577440077702</v>
      </c>
      <c r="R50" s="110">
        <f t="shared" si="15"/>
        <v>113.33099132310684</v>
      </c>
      <c r="S50" s="110">
        <f t="shared" si="15"/>
        <v>22.660577440077702</v>
      </c>
      <c r="T50" s="110">
        <f t="shared" si="15"/>
        <v>113.33099132310684</v>
      </c>
      <c r="U50" s="110">
        <f t="shared" si="15"/>
        <v>22.660577440077702</v>
      </c>
      <c r="V50" s="110">
        <f t="shared" si="15"/>
        <v>113.33099132310684</v>
      </c>
      <c r="W50" s="110">
        <f t="shared" si="15"/>
        <v>22.660577440077702</v>
      </c>
      <c r="X50" s="110">
        <f t="shared" si="15"/>
        <v>113.33099132310684</v>
      </c>
      <c r="Y50" s="110">
        <f t="shared" si="15"/>
        <v>0</v>
      </c>
      <c r="Z50" s="110">
        <f t="shared" si="15"/>
        <v>79.330991323106829</v>
      </c>
      <c r="AA50" s="110">
        <f t="shared" si="15"/>
        <v>0</v>
      </c>
      <c r="AB50" s="110">
        <f t="shared" si="15"/>
        <v>22.586714334978325</v>
      </c>
      <c r="AC50" s="110">
        <f t="shared" si="15"/>
        <v>22.660577440077702</v>
      </c>
      <c r="AD50" s="110">
        <f t="shared" si="15"/>
        <v>113.33099132310684</v>
      </c>
      <c r="AE50" s="110">
        <f t="shared" si="15"/>
        <v>0</v>
      </c>
      <c r="AF50" s="110">
        <f t="shared" si="15"/>
        <v>45.328180910834988</v>
      </c>
      <c r="AG50" s="110">
        <f t="shared" si="15"/>
        <v>56.66198264621363</v>
      </c>
      <c r="AH50" s="110">
        <f t="shared" si="15"/>
        <v>45.328180910834988</v>
      </c>
      <c r="AI50" s="110">
        <f t="shared" si="15"/>
        <v>56.66198264621363</v>
      </c>
      <c r="AJ50" s="110">
        <f t="shared" si="15"/>
        <v>45.328180910834988</v>
      </c>
      <c r="AK50" s="110">
        <f t="shared" si="15"/>
        <v>33.995784381592259</v>
      </c>
      <c r="AL50" s="110">
        <f t="shared" si="15"/>
        <v>0</v>
      </c>
      <c r="AM50" s="110">
        <f t="shared" si="15"/>
        <v>0</v>
      </c>
      <c r="AN50" s="110">
        <f t="shared" si="15"/>
        <v>22.661982646213616</v>
      </c>
      <c r="AO50" s="110">
        <f t="shared" si="15"/>
        <v>56.66198264621363</v>
      </c>
      <c r="AP50" s="110">
        <f t="shared" si="15"/>
        <v>45.328180910834988</v>
      </c>
      <c r="AQ50" s="110">
        <f t="shared" si="15"/>
        <v>56.66198264621363</v>
      </c>
      <c r="AR50" s="110">
        <f t="shared" si="15"/>
        <v>45.328180910834988</v>
      </c>
      <c r="AS50" s="110">
        <f t="shared" si="15"/>
        <v>56.66198264621363</v>
      </c>
      <c r="AT50" s="110">
        <f t="shared" si="15"/>
        <v>45.328180910834988</v>
      </c>
      <c r="AU50" s="110">
        <f t="shared" si="15"/>
        <v>56.66198264621363</v>
      </c>
      <c r="AV50" s="110">
        <f t="shared" si="15"/>
        <v>45.328180910834988</v>
      </c>
      <c r="AW50" s="110">
        <f t="shared" si="15"/>
        <v>56.66198264621363</v>
      </c>
      <c r="AX50" s="110">
        <f t="shared" si="15"/>
        <v>45.328180910834988</v>
      </c>
      <c r="AY50" s="110">
        <f t="shared" si="15"/>
        <v>56.66198264621363</v>
      </c>
    </row>
    <row r="51" spans="1:52">
      <c r="A51" s="110"/>
      <c r="B51" s="165" t="s">
        <v>348</v>
      </c>
      <c r="C51" s="110"/>
      <c r="D51" s="110">
        <f>D45-D48</f>
        <v>261.31520418750483</v>
      </c>
      <c r="E51" s="110">
        <f t="shared" ref="E51:AY51" si="16">E45-E48</f>
        <v>0</v>
      </c>
      <c r="F51" s="110">
        <f t="shared" si="16"/>
        <v>130.65413063859262</v>
      </c>
      <c r="G51" s="110">
        <f t="shared" si="16"/>
        <v>0</v>
      </c>
      <c r="H51" s="110">
        <f t="shared" si="16"/>
        <v>130.65413063859262</v>
      </c>
      <c r="I51" s="110">
        <f t="shared" si="16"/>
        <v>37.32082501204664</v>
      </c>
      <c r="J51" s="110">
        <f t="shared" si="16"/>
        <v>186.65041112901753</v>
      </c>
      <c r="K51" s="110">
        <f t="shared" si="16"/>
        <v>37.32082501204664</v>
      </c>
      <c r="L51" s="110">
        <f t="shared" si="16"/>
        <v>186.65041112901753</v>
      </c>
      <c r="M51" s="110">
        <f t="shared" si="16"/>
        <v>37.32082501204664</v>
      </c>
      <c r="N51" s="110">
        <f t="shared" si="16"/>
        <v>186.65041112901753</v>
      </c>
      <c r="O51" s="110">
        <f t="shared" si="16"/>
        <v>37.32082501204664</v>
      </c>
      <c r="P51" s="110">
        <f t="shared" si="16"/>
        <v>186.65041112901753</v>
      </c>
      <c r="Q51" s="110">
        <f t="shared" si="16"/>
        <v>37.32082501204664</v>
      </c>
      <c r="R51" s="110">
        <f t="shared" si="16"/>
        <v>186.65041112901753</v>
      </c>
      <c r="S51" s="110">
        <f t="shared" si="16"/>
        <v>37.32082501204664</v>
      </c>
      <c r="T51" s="110">
        <f t="shared" si="16"/>
        <v>186.65041112901753</v>
      </c>
      <c r="U51" s="110">
        <f t="shared" si="16"/>
        <v>37.32082501204664</v>
      </c>
      <c r="V51" s="110">
        <f t="shared" si="16"/>
        <v>186.65041112901753</v>
      </c>
      <c r="W51" s="110">
        <f t="shared" si="16"/>
        <v>37.32082501204664</v>
      </c>
      <c r="X51" s="110">
        <f t="shared" si="16"/>
        <v>186.65041112901753</v>
      </c>
      <c r="Y51" s="110">
        <f t="shared" si="16"/>
        <v>0</v>
      </c>
      <c r="Z51" s="110">
        <f t="shared" si="16"/>
        <v>130.65413063859262</v>
      </c>
      <c r="AA51" s="110">
        <f t="shared" si="16"/>
        <v>0</v>
      </c>
      <c r="AB51" s="110">
        <f t="shared" si="16"/>
        <v>37.199176213486638</v>
      </c>
      <c r="AC51" s="110">
        <f t="shared" si="16"/>
        <v>37.32082501204664</v>
      </c>
      <c r="AD51" s="110">
        <f t="shared" si="16"/>
        <v>186.65041112901753</v>
      </c>
      <c r="AE51" s="110">
        <f t="shared" si="16"/>
        <v>0</v>
      </c>
      <c r="AF51" s="110">
        <f t="shared" si="16"/>
        <v>74.653221541289355</v>
      </c>
      <c r="AG51" s="110">
        <f t="shared" si="16"/>
        <v>93.319419805910712</v>
      </c>
      <c r="AH51" s="110">
        <f t="shared" si="16"/>
        <v>74.653221541289355</v>
      </c>
      <c r="AI51" s="110">
        <f t="shared" si="16"/>
        <v>93.319419805910712</v>
      </c>
      <c r="AJ51" s="110">
        <f t="shared" si="16"/>
        <v>74.653221541289355</v>
      </c>
      <c r="AK51" s="110">
        <f t="shared" si="16"/>
        <v>55.98933758010719</v>
      </c>
      <c r="AL51" s="110">
        <f t="shared" si="16"/>
        <v>0</v>
      </c>
      <c r="AM51" s="110">
        <f t="shared" si="16"/>
        <v>0</v>
      </c>
      <c r="AN51" s="110">
        <f t="shared" si="16"/>
        <v>37.323139315485832</v>
      </c>
      <c r="AO51" s="110">
        <f t="shared" si="16"/>
        <v>93.319419805910712</v>
      </c>
      <c r="AP51" s="110">
        <f t="shared" si="16"/>
        <v>74.653221541289355</v>
      </c>
      <c r="AQ51" s="110">
        <f t="shared" si="16"/>
        <v>93.319419805910712</v>
      </c>
      <c r="AR51" s="110">
        <f t="shared" si="16"/>
        <v>74.653221541289355</v>
      </c>
      <c r="AS51" s="110">
        <f t="shared" si="16"/>
        <v>93.319419805910712</v>
      </c>
      <c r="AT51" s="110">
        <f t="shared" si="16"/>
        <v>74.653221541289355</v>
      </c>
      <c r="AU51" s="110">
        <f t="shared" si="16"/>
        <v>93.319419805910712</v>
      </c>
      <c r="AV51" s="110">
        <f t="shared" si="16"/>
        <v>74.653221541289355</v>
      </c>
      <c r="AW51" s="110">
        <f t="shared" si="16"/>
        <v>93.319419805910712</v>
      </c>
      <c r="AX51" s="110">
        <f t="shared" si="16"/>
        <v>74.653221541289355</v>
      </c>
      <c r="AY51" s="110">
        <f t="shared" si="16"/>
        <v>93.319419805910712</v>
      </c>
    </row>
    <row r="52" spans="1:52">
      <c r="A52" s="110"/>
      <c r="B52" s="165" t="s">
        <v>349</v>
      </c>
      <c r="C52" s="110"/>
      <c r="D52" s="110">
        <v>2</v>
      </c>
      <c r="E52" s="110">
        <v>2</v>
      </c>
      <c r="F52" s="110">
        <v>1</v>
      </c>
      <c r="G52" s="110">
        <v>1</v>
      </c>
      <c r="H52" s="110">
        <v>1</v>
      </c>
      <c r="I52" s="110">
        <v>1</v>
      </c>
      <c r="J52" s="110">
        <v>3</v>
      </c>
      <c r="K52" s="110">
        <v>1</v>
      </c>
      <c r="L52" s="110">
        <v>2</v>
      </c>
      <c r="M52" s="110">
        <v>1</v>
      </c>
      <c r="N52" s="110">
        <v>1</v>
      </c>
      <c r="O52" s="110">
        <v>1</v>
      </c>
      <c r="P52" s="110">
        <v>2</v>
      </c>
      <c r="Q52" s="110">
        <v>2</v>
      </c>
      <c r="R52" s="110">
        <v>1</v>
      </c>
      <c r="S52" s="110">
        <v>1</v>
      </c>
      <c r="T52" s="110">
        <v>2</v>
      </c>
      <c r="U52" s="110">
        <v>2</v>
      </c>
      <c r="V52" s="110">
        <v>2</v>
      </c>
      <c r="W52" s="110">
        <v>2</v>
      </c>
      <c r="X52" s="110">
        <v>2</v>
      </c>
      <c r="Y52" s="110">
        <v>2</v>
      </c>
      <c r="Z52" s="110">
        <v>1</v>
      </c>
      <c r="AA52" s="110">
        <v>1</v>
      </c>
      <c r="AB52" s="110">
        <v>1</v>
      </c>
      <c r="AC52" s="110">
        <v>2</v>
      </c>
      <c r="AD52" s="110">
        <v>2</v>
      </c>
      <c r="AE52" s="110">
        <v>2</v>
      </c>
      <c r="AF52" s="110">
        <v>1</v>
      </c>
      <c r="AG52" s="110">
        <v>1</v>
      </c>
      <c r="AH52" s="110">
        <v>2</v>
      </c>
      <c r="AI52" s="110">
        <v>1</v>
      </c>
      <c r="AJ52" s="110">
        <v>2</v>
      </c>
      <c r="AK52" s="110">
        <v>1</v>
      </c>
      <c r="AL52" s="110">
        <v>1</v>
      </c>
      <c r="AM52" s="110">
        <v>2</v>
      </c>
      <c r="AN52" s="110">
        <v>1</v>
      </c>
      <c r="AO52" s="110">
        <v>2</v>
      </c>
      <c r="AP52" s="110">
        <v>2</v>
      </c>
      <c r="AQ52" s="110">
        <v>1</v>
      </c>
      <c r="AR52" s="110">
        <v>1</v>
      </c>
      <c r="AS52" s="110">
        <v>1</v>
      </c>
      <c r="AT52" s="110">
        <v>1</v>
      </c>
      <c r="AU52" s="110">
        <v>2</v>
      </c>
      <c r="AV52" s="110">
        <v>2</v>
      </c>
      <c r="AW52" s="110">
        <v>1</v>
      </c>
      <c r="AX52" s="110">
        <v>2</v>
      </c>
      <c r="AY52" s="110">
        <v>1</v>
      </c>
    </row>
    <row r="53" spans="1:52">
      <c r="A53" s="110"/>
      <c r="B53" s="178" t="s">
        <v>350</v>
      </c>
      <c r="C53" s="110"/>
      <c r="D53" s="110">
        <v>3204</v>
      </c>
      <c r="E53" s="110">
        <v>38448</v>
      </c>
      <c r="F53" s="110">
        <v>16020</v>
      </c>
      <c r="G53" s="110">
        <v>38448</v>
      </c>
      <c r="H53" s="110">
        <v>16020</v>
      </c>
      <c r="I53" s="110">
        <v>41652</v>
      </c>
      <c r="J53" s="110">
        <v>16020</v>
      </c>
      <c r="K53" s="110">
        <v>41652</v>
      </c>
      <c r="L53" s="110">
        <v>16020</v>
      </c>
      <c r="M53" s="110">
        <v>41652</v>
      </c>
      <c r="N53" s="110">
        <v>16020</v>
      </c>
      <c r="O53" s="110">
        <v>41652</v>
      </c>
      <c r="P53" s="110">
        <v>16020</v>
      </c>
      <c r="Q53" s="110">
        <v>41652</v>
      </c>
      <c r="R53" s="110">
        <v>16020</v>
      </c>
      <c r="S53" s="110">
        <v>41652</v>
      </c>
      <c r="T53" s="110">
        <v>16020</v>
      </c>
      <c r="U53" s="110">
        <v>41652</v>
      </c>
      <c r="V53" s="110">
        <v>16020</v>
      </c>
      <c r="W53" s="110">
        <v>41652</v>
      </c>
      <c r="X53" s="110">
        <v>16020</v>
      </c>
      <c r="Y53" s="110">
        <v>38448</v>
      </c>
      <c r="Z53" s="110">
        <v>16020</v>
      </c>
      <c r="AA53" s="110">
        <v>38448</v>
      </c>
      <c r="AB53" s="110">
        <v>12816</v>
      </c>
      <c r="AC53" s="110">
        <v>41652</v>
      </c>
      <c r="AD53" s="110">
        <v>16020</v>
      </c>
      <c r="AE53" s="110">
        <v>22428</v>
      </c>
      <c r="AF53" s="110">
        <v>35244</v>
      </c>
      <c r="AG53" s="110">
        <v>32040</v>
      </c>
      <c r="AH53" s="110">
        <v>35244</v>
      </c>
      <c r="AI53" s="110">
        <v>32040</v>
      </c>
      <c r="AJ53" s="110">
        <v>35244</v>
      </c>
      <c r="AK53" s="110">
        <v>28836</v>
      </c>
      <c r="AL53" s="110">
        <v>22428</v>
      </c>
      <c r="AM53" s="110">
        <v>22428</v>
      </c>
      <c r="AN53" s="110">
        <v>32040</v>
      </c>
      <c r="AO53" s="110">
        <v>32040</v>
      </c>
      <c r="AP53" s="110">
        <v>35244</v>
      </c>
      <c r="AQ53" s="110">
        <v>32040</v>
      </c>
      <c r="AR53" s="110">
        <v>35244</v>
      </c>
      <c r="AS53" s="110">
        <v>32040</v>
      </c>
      <c r="AT53" s="110">
        <v>35244</v>
      </c>
      <c r="AU53" s="110">
        <v>32040</v>
      </c>
      <c r="AV53" s="110">
        <v>35244</v>
      </c>
      <c r="AW53" s="110">
        <v>32040</v>
      </c>
      <c r="AX53" s="110">
        <v>35244</v>
      </c>
      <c r="AY53" s="110">
        <v>32040</v>
      </c>
      <c r="AZ53" s="100">
        <f>SUM($D$53:$AY$53)</f>
        <v>1403352</v>
      </c>
    </row>
    <row r="54" spans="1:52">
      <c r="A54" s="110"/>
      <c r="B54" s="178" t="s">
        <v>351</v>
      </c>
      <c r="C54" s="110"/>
      <c r="D54" s="110">
        <v>24295.924131855569</v>
      </c>
      <c r="E54" s="110">
        <v>0</v>
      </c>
      <c r="F54" s="110">
        <v>12147.639305484314</v>
      </c>
      <c r="G54" s="110">
        <v>0</v>
      </c>
      <c r="H54" s="110">
        <v>12147.639305484314</v>
      </c>
      <c r="I54" s="110">
        <v>3469.9241318553936</v>
      </c>
      <c r="J54" s="110">
        <v>17353.924131855394</v>
      </c>
      <c r="K54" s="110">
        <v>3469.9241318553936</v>
      </c>
      <c r="L54" s="110">
        <v>17353.924131855394</v>
      </c>
      <c r="M54" s="110">
        <v>3469.9241318553936</v>
      </c>
      <c r="N54" s="110">
        <v>17353.924131855394</v>
      </c>
      <c r="O54" s="110">
        <v>3469.9241318553936</v>
      </c>
      <c r="P54" s="110">
        <v>17353.924131855394</v>
      </c>
      <c r="Q54" s="110">
        <v>3469.9241318553936</v>
      </c>
      <c r="R54" s="110">
        <v>17353.924131855394</v>
      </c>
      <c r="S54" s="110">
        <v>3469.9241318553936</v>
      </c>
      <c r="T54" s="110">
        <v>17353.924131855394</v>
      </c>
      <c r="U54" s="110">
        <v>3469.9241318553936</v>
      </c>
      <c r="V54" s="110">
        <v>17353.924131855394</v>
      </c>
      <c r="W54" s="110">
        <v>3469.9241318553936</v>
      </c>
      <c r="X54" s="110">
        <v>17353.924131855394</v>
      </c>
      <c r="Y54" s="110">
        <v>0</v>
      </c>
      <c r="Z54" s="110">
        <v>12147.639305484314</v>
      </c>
      <c r="AA54" s="110">
        <v>0</v>
      </c>
      <c r="AB54" s="110">
        <v>3458.6137682286981</v>
      </c>
      <c r="AC54" s="110">
        <v>3469.9241318553936</v>
      </c>
      <c r="AD54" s="110">
        <v>17353.924131855394</v>
      </c>
      <c r="AE54" s="110">
        <v>0</v>
      </c>
      <c r="AF54" s="110">
        <v>6940.9241318553932</v>
      </c>
      <c r="AG54" s="110">
        <v>8676.4241318553923</v>
      </c>
      <c r="AH54" s="110">
        <v>6940.9241318553932</v>
      </c>
      <c r="AI54" s="110">
        <v>8676.4241318553923</v>
      </c>
      <c r="AJ54" s="110">
        <v>6940.9241318553932</v>
      </c>
      <c r="AK54" s="110">
        <v>5205.6393054843129</v>
      </c>
      <c r="AL54" s="110">
        <v>0</v>
      </c>
      <c r="AM54" s="110">
        <v>0</v>
      </c>
      <c r="AN54" s="110">
        <v>3470.1393054843129</v>
      </c>
      <c r="AO54" s="110">
        <v>8676.4241318553923</v>
      </c>
      <c r="AP54" s="110">
        <v>6940.9241318553932</v>
      </c>
      <c r="AQ54" s="110">
        <v>8676.4241318553923</v>
      </c>
      <c r="AR54" s="110">
        <v>6940.9241318553932</v>
      </c>
      <c r="AS54" s="110">
        <v>8676.4241318553923</v>
      </c>
      <c r="AT54" s="110">
        <v>6940.9241318553932</v>
      </c>
      <c r="AU54" s="110">
        <v>8676.4241318553923</v>
      </c>
      <c r="AV54" s="110">
        <v>6940.9241318553932</v>
      </c>
      <c r="AW54" s="110">
        <v>8676.4241318553923</v>
      </c>
      <c r="AX54" s="110">
        <v>6940.9241318553932</v>
      </c>
      <c r="AY54" s="110">
        <v>8676.4241318553923</v>
      </c>
      <c r="AZ54" s="100">
        <f>SUM($D$54:$AY$54)</f>
        <v>385226.65491058893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2</v>
      </c>
      <c r="E63" s="110">
        <v>3</v>
      </c>
      <c r="F63" s="110">
        <v>3</v>
      </c>
      <c r="G63" s="110">
        <v>2</v>
      </c>
      <c r="H63" s="110">
        <v>3</v>
      </c>
      <c r="I63" s="110">
        <v>2</v>
      </c>
      <c r="J63" s="110">
        <v>3</v>
      </c>
      <c r="K63" s="110">
        <v>2</v>
      </c>
      <c r="L63" s="110">
        <v>2</v>
      </c>
      <c r="M63" s="110">
        <v>2</v>
      </c>
      <c r="N63" s="110">
        <v>2</v>
      </c>
      <c r="O63" s="110">
        <v>2</v>
      </c>
      <c r="P63" s="110">
        <v>2</v>
      </c>
      <c r="Q63" s="110">
        <v>2</v>
      </c>
      <c r="R63" s="110">
        <v>3</v>
      </c>
      <c r="S63" s="110">
        <v>3</v>
      </c>
      <c r="T63" s="110">
        <v>2</v>
      </c>
      <c r="U63" s="110">
        <v>2</v>
      </c>
      <c r="V63" s="110">
        <v>2</v>
      </c>
      <c r="W63" s="110">
        <v>2</v>
      </c>
      <c r="X63" s="110">
        <v>2</v>
      </c>
      <c r="Y63" s="110">
        <v>3</v>
      </c>
      <c r="Z63" s="110">
        <v>2</v>
      </c>
      <c r="AA63" s="110">
        <v>2</v>
      </c>
      <c r="AB63" s="110">
        <v>2</v>
      </c>
      <c r="AC63" s="110">
        <v>2</v>
      </c>
      <c r="AD63" s="110">
        <v>2</v>
      </c>
      <c r="AE63" s="110">
        <v>4</v>
      </c>
      <c r="AF63" s="110">
        <v>3</v>
      </c>
      <c r="AG63" s="110">
        <v>2</v>
      </c>
      <c r="AH63" s="110">
        <v>2</v>
      </c>
      <c r="AI63" s="110">
        <v>2</v>
      </c>
      <c r="AJ63" s="110">
        <v>2</v>
      </c>
      <c r="AK63" s="110">
        <v>2</v>
      </c>
      <c r="AL63" s="110">
        <v>3</v>
      </c>
      <c r="AM63" s="110">
        <v>2</v>
      </c>
      <c r="AN63" s="110">
        <v>2</v>
      </c>
      <c r="AO63" s="110">
        <v>2</v>
      </c>
      <c r="AP63" s="110">
        <v>2</v>
      </c>
      <c r="AQ63" s="110">
        <v>2</v>
      </c>
      <c r="AR63" s="110">
        <v>2</v>
      </c>
      <c r="AS63" s="110">
        <v>3</v>
      </c>
      <c r="AT63" s="110">
        <v>2</v>
      </c>
      <c r="AU63" s="110">
        <v>2</v>
      </c>
      <c r="AV63" s="110">
        <v>4</v>
      </c>
      <c r="AW63" s="110">
        <v>2</v>
      </c>
      <c r="AX63" s="110">
        <v>2</v>
      </c>
      <c r="AY63" s="110">
        <v>2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1661.906146291228</v>
      </c>
      <c r="E7" s="144">
        <v>1661.906146291228</v>
      </c>
      <c r="F7" s="144">
        <v>1661.906146291228</v>
      </c>
      <c r="G7" s="144">
        <v>1661.906146291228</v>
      </c>
      <c r="H7" s="144">
        <v>1994.2776319750958</v>
      </c>
      <c r="I7" s="144">
        <v>1994.2776319750958</v>
      </c>
      <c r="J7" s="144">
        <v>1994.2776319750958</v>
      </c>
      <c r="K7" s="144">
        <v>1994.2776319750958</v>
      </c>
      <c r="L7" s="144">
        <v>1994.2776319750958</v>
      </c>
      <c r="M7" s="144">
        <v>1994.2776319750958</v>
      </c>
      <c r="N7" s="144">
        <v>1994.2776319750958</v>
      </c>
      <c r="O7" s="144">
        <v>1994.2776319750958</v>
      </c>
      <c r="P7" s="144">
        <v>4.8717871888184543E-2</v>
      </c>
      <c r="Q7" s="144">
        <v>4.8717871888184543E-2</v>
      </c>
      <c r="R7" s="144">
        <v>4.8717871888184543E-2</v>
      </c>
      <c r="S7" s="144">
        <v>4.8717871888184543E-2</v>
      </c>
      <c r="T7" s="144">
        <v>1661.906146291228</v>
      </c>
      <c r="U7" s="144">
        <v>1661.906146291228</v>
      </c>
      <c r="V7" s="144">
        <v>1661.906146291228</v>
      </c>
      <c r="W7" s="144">
        <v>1661.906146291228</v>
      </c>
      <c r="X7" s="144">
        <v>1661.906146291228</v>
      </c>
      <c r="Y7" s="144">
        <v>1661.906146291228</v>
      </c>
      <c r="Z7" s="144">
        <v>1661.906146291228</v>
      </c>
      <c r="AA7" s="144">
        <v>1661.906146291228</v>
      </c>
      <c r="AB7" s="144">
        <v>1661.906146291228</v>
      </c>
      <c r="AC7" s="144">
        <v>1661.906146291228</v>
      </c>
      <c r="AD7" s="144">
        <v>1661.906146291228</v>
      </c>
      <c r="AE7" s="144">
        <v>1661.906146291228</v>
      </c>
      <c r="AF7" s="144">
        <v>1661.906146291228</v>
      </c>
      <c r="AG7" s="144">
        <v>1661.906146291228</v>
      </c>
      <c r="AH7" s="144">
        <v>1661.906146291228</v>
      </c>
      <c r="AI7" s="144">
        <v>1661.906146291228</v>
      </c>
      <c r="AJ7" s="144">
        <v>1661.906146291228</v>
      </c>
      <c r="AK7" s="144">
        <v>1661.906146291228</v>
      </c>
      <c r="AL7" s="144">
        <v>1661.906146291228</v>
      </c>
      <c r="AM7" s="144">
        <v>1661.906146291228</v>
      </c>
      <c r="AN7" s="144">
        <v>1661.906146291228</v>
      </c>
      <c r="AO7" s="144">
        <v>1661.906146291228</v>
      </c>
      <c r="AP7" s="144">
        <v>1661.906146291228</v>
      </c>
      <c r="AQ7" s="144">
        <v>1661.906146291228</v>
      </c>
      <c r="AR7" s="144">
        <v>1661.906146291228</v>
      </c>
      <c r="AS7" s="144">
        <v>1661.906146291228</v>
      </c>
      <c r="AT7" s="144">
        <v>1661.906146291228</v>
      </c>
      <c r="AU7" s="144">
        <v>1661.906146291228</v>
      </c>
      <c r="AV7" s="144">
        <v>1661.906146291228</v>
      </c>
      <c r="AW7" s="144">
        <v>1661.906146291228</v>
      </c>
      <c r="AX7" s="144">
        <v>1661.906146291228</v>
      </c>
      <c r="AY7" s="144">
        <v>1661.906146291228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1625.8048765988547</v>
      </c>
      <c r="D13" s="138">
        <f t="shared" ref="D13:AY13" si="1">D$7-D$10</f>
        <v>1661.906146291228</v>
      </c>
      <c r="E13" s="138">
        <f t="shared" si="1"/>
        <v>1661.906146291228</v>
      </c>
      <c r="F13" s="138">
        <f t="shared" si="1"/>
        <v>1661.906146291228</v>
      </c>
      <c r="G13" s="138">
        <f t="shared" si="1"/>
        <v>1661.906146291228</v>
      </c>
      <c r="H13" s="138">
        <f t="shared" si="1"/>
        <v>1994.2776319750958</v>
      </c>
      <c r="I13" s="138">
        <f t="shared" si="1"/>
        <v>1994.2776319750958</v>
      </c>
      <c r="J13" s="138">
        <f t="shared" si="1"/>
        <v>1994.2776319750958</v>
      </c>
      <c r="K13" s="138">
        <f t="shared" si="1"/>
        <v>1994.2776319750958</v>
      </c>
      <c r="L13" s="138">
        <f t="shared" si="1"/>
        <v>1994.2776319750958</v>
      </c>
      <c r="M13" s="138">
        <f t="shared" si="1"/>
        <v>1994.2776319750958</v>
      </c>
      <c r="N13" s="138">
        <f t="shared" si="1"/>
        <v>1994.2776319750958</v>
      </c>
      <c r="O13" s="138">
        <f t="shared" si="1"/>
        <v>1994.2776319750958</v>
      </c>
      <c r="P13" s="138">
        <f t="shared" si="1"/>
        <v>4.8717871888184543E-2</v>
      </c>
      <c r="Q13" s="138">
        <f t="shared" si="1"/>
        <v>4.8717871888184543E-2</v>
      </c>
      <c r="R13" s="138">
        <f t="shared" si="1"/>
        <v>4.8717871888184543E-2</v>
      </c>
      <c r="S13" s="138">
        <f t="shared" si="1"/>
        <v>4.8717871888184543E-2</v>
      </c>
      <c r="T13" s="138">
        <f t="shared" si="1"/>
        <v>1661.906146291228</v>
      </c>
      <c r="U13" s="138">
        <f t="shared" si="1"/>
        <v>1661.906146291228</v>
      </c>
      <c r="V13" s="138">
        <f t="shared" si="1"/>
        <v>1661.906146291228</v>
      </c>
      <c r="W13" s="138">
        <f t="shared" si="1"/>
        <v>1661.906146291228</v>
      </c>
      <c r="X13" s="138">
        <f t="shared" si="1"/>
        <v>1661.906146291228</v>
      </c>
      <c r="Y13" s="138">
        <f t="shared" si="1"/>
        <v>1661.906146291228</v>
      </c>
      <c r="Z13" s="138">
        <f t="shared" si="1"/>
        <v>1661.906146291228</v>
      </c>
      <c r="AA13" s="138">
        <f t="shared" si="1"/>
        <v>1661.906146291228</v>
      </c>
      <c r="AB13" s="138">
        <f t="shared" si="1"/>
        <v>1661.906146291228</v>
      </c>
      <c r="AC13" s="138">
        <f t="shared" si="1"/>
        <v>1661.906146291228</v>
      </c>
      <c r="AD13" s="138">
        <f t="shared" si="1"/>
        <v>1661.906146291228</v>
      </c>
      <c r="AE13" s="138">
        <f t="shared" si="1"/>
        <v>1661.906146291228</v>
      </c>
      <c r="AF13" s="138">
        <f t="shared" si="1"/>
        <v>1661.906146291228</v>
      </c>
      <c r="AG13" s="138">
        <f t="shared" si="1"/>
        <v>1661.906146291228</v>
      </c>
      <c r="AH13" s="138">
        <f t="shared" si="1"/>
        <v>1661.906146291228</v>
      </c>
      <c r="AI13" s="138">
        <f t="shared" si="1"/>
        <v>1661.906146291228</v>
      </c>
      <c r="AJ13" s="138">
        <f t="shared" si="1"/>
        <v>1661.906146291228</v>
      </c>
      <c r="AK13" s="138">
        <f t="shared" si="1"/>
        <v>1661.906146291228</v>
      </c>
      <c r="AL13" s="138">
        <f t="shared" si="1"/>
        <v>1661.906146291228</v>
      </c>
      <c r="AM13" s="138">
        <f t="shared" si="1"/>
        <v>1661.906146291228</v>
      </c>
      <c r="AN13" s="138">
        <f t="shared" si="1"/>
        <v>1661.906146291228</v>
      </c>
      <c r="AO13" s="138">
        <f t="shared" si="1"/>
        <v>1661.906146291228</v>
      </c>
      <c r="AP13" s="138">
        <f t="shared" si="1"/>
        <v>1661.906146291228</v>
      </c>
      <c r="AQ13" s="138">
        <f t="shared" si="1"/>
        <v>1661.906146291228</v>
      </c>
      <c r="AR13" s="138">
        <f t="shared" si="1"/>
        <v>1661.906146291228</v>
      </c>
      <c r="AS13" s="138">
        <f t="shared" si="1"/>
        <v>1661.906146291228</v>
      </c>
      <c r="AT13" s="138">
        <f t="shared" si="1"/>
        <v>1661.906146291228</v>
      </c>
      <c r="AU13" s="138">
        <f t="shared" si="1"/>
        <v>1661.906146291228</v>
      </c>
      <c r="AV13" s="138">
        <f t="shared" si="1"/>
        <v>1661.906146291228</v>
      </c>
      <c r="AW13" s="138">
        <f t="shared" si="1"/>
        <v>1661.906146291228</v>
      </c>
      <c r="AX13" s="138">
        <f t="shared" si="1"/>
        <v>1661.906146291228</v>
      </c>
      <c r="AY13" s="138">
        <f t="shared" si="1"/>
        <v>1661.906146291228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1661.906146291228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1661.906146291228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 t="s">
        <v>339</v>
      </c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 t="s">
        <v>339</v>
      </c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shipping_manufacturing!$E$19/100</f>
        <v>0.43092530670417772</v>
      </c>
      <c r="C21" s="156" t="s">
        <v>293</v>
      </c>
      <c r="D21" s="106">
        <f>IF(C$20="Yes",0,SUM(C$13:C$16)*$B$21)</f>
        <v>700.60046508950927</v>
      </c>
      <c r="E21" s="106">
        <f t="shared" ref="E21:AY21" si="3">IF(D$20="Yes",0,SUM(D$13:D$16)*$B$21)</f>
        <v>716.15741580410543</v>
      </c>
      <c r="F21" s="106">
        <f t="shared" si="3"/>
        <v>0</v>
      </c>
      <c r="G21" s="106">
        <f t="shared" si="3"/>
        <v>1432.3148316082109</v>
      </c>
      <c r="H21" s="106">
        <f t="shared" si="3"/>
        <v>716.15741580410543</v>
      </c>
      <c r="I21" s="106">
        <f t="shared" si="3"/>
        <v>859.38470021214948</v>
      </c>
      <c r="J21" s="106">
        <f t="shared" si="3"/>
        <v>859.38470021214948</v>
      </c>
      <c r="K21" s="106">
        <f t="shared" si="3"/>
        <v>859.38470021214948</v>
      </c>
      <c r="L21" s="106">
        <f t="shared" si="3"/>
        <v>859.38470021214948</v>
      </c>
      <c r="M21" s="106">
        <f t="shared" si="3"/>
        <v>859.38470021214948</v>
      </c>
      <c r="N21" s="106">
        <f t="shared" si="3"/>
        <v>859.38470021214948</v>
      </c>
      <c r="O21" s="106">
        <f t="shared" si="3"/>
        <v>859.38470021214948</v>
      </c>
      <c r="P21" s="106">
        <f t="shared" si="3"/>
        <v>859.38470021214948</v>
      </c>
      <c r="Q21" s="106">
        <f t="shared" si="3"/>
        <v>2.0993763885390763E-2</v>
      </c>
      <c r="R21" s="106">
        <f t="shared" si="3"/>
        <v>2.0993763885390763E-2</v>
      </c>
      <c r="S21" s="106">
        <f t="shared" si="3"/>
        <v>2.0993763885390763E-2</v>
      </c>
      <c r="T21" s="106">
        <f t="shared" si="3"/>
        <v>2.0993763885390763E-2</v>
      </c>
      <c r="U21" s="106">
        <f t="shared" si="3"/>
        <v>716.15741580410543</v>
      </c>
      <c r="V21" s="106">
        <f t="shared" si="3"/>
        <v>716.15741580410543</v>
      </c>
      <c r="W21" s="106">
        <f t="shared" si="3"/>
        <v>716.15741580410543</v>
      </c>
      <c r="X21" s="106">
        <f t="shared" si="3"/>
        <v>716.15741580410543</v>
      </c>
      <c r="Y21" s="106">
        <f t="shared" si="3"/>
        <v>716.15741580410543</v>
      </c>
      <c r="Z21" s="106">
        <f t="shared" si="3"/>
        <v>716.15741580410543</v>
      </c>
      <c r="AA21" s="106">
        <f t="shared" si="3"/>
        <v>716.15741580410543</v>
      </c>
      <c r="AB21" s="106">
        <f t="shared" si="3"/>
        <v>716.15741580410543</v>
      </c>
      <c r="AC21" s="106">
        <f t="shared" si="3"/>
        <v>716.15741580410543</v>
      </c>
      <c r="AD21" s="106">
        <f t="shared" si="3"/>
        <v>716.15741580410543</v>
      </c>
      <c r="AE21" s="106">
        <f t="shared" si="3"/>
        <v>716.15741580410543</v>
      </c>
      <c r="AF21" s="106">
        <f t="shared" si="3"/>
        <v>716.15741580410543</v>
      </c>
      <c r="AG21" s="106">
        <f t="shared" si="3"/>
        <v>716.15741580410543</v>
      </c>
      <c r="AH21" s="106">
        <f t="shared" si="3"/>
        <v>716.15741580410543</v>
      </c>
      <c r="AI21" s="106">
        <f t="shared" si="3"/>
        <v>716.15741580410543</v>
      </c>
      <c r="AJ21" s="106">
        <f t="shared" si="3"/>
        <v>716.15741580410543</v>
      </c>
      <c r="AK21" s="106">
        <f t="shared" si="3"/>
        <v>716.15741580410543</v>
      </c>
      <c r="AL21" s="106">
        <f t="shared" si="3"/>
        <v>716.15741580410543</v>
      </c>
      <c r="AM21" s="106">
        <f t="shared" si="3"/>
        <v>716.15741580410543</v>
      </c>
      <c r="AN21" s="106">
        <f t="shared" si="3"/>
        <v>716.15741580410543</v>
      </c>
      <c r="AO21" s="106">
        <f t="shared" si="3"/>
        <v>716.15741580410543</v>
      </c>
      <c r="AP21" s="106">
        <f t="shared" si="3"/>
        <v>716.15741580410543</v>
      </c>
      <c r="AQ21" s="106">
        <f t="shared" si="3"/>
        <v>716.15741580410543</v>
      </c>
      <c r="AR21" s="106">
        <f t="shared" si="3"/>
        <v>716.15741580410543</v>
      </c>
      <c r="AS21" s="106">
        <f t="shared" si="3"/>
        <v>716.15741580410543</v>
      </c>
      <c r="AT21" s="106">
        <f t="shared" si="3"/>
        <v>716.15741580410543</v>
      </c>
      <c r="AU21" s="106">
        <f t="shared" si="3"/>
        <v>0</v>
      </c>
      <c r="AV21" s="106">
        <f t="shared" si="3"/>
        <v>1432.3148316082109</v>
      </c>
      <c r="AW21" s="106">
        <f t="shared" si="3"/>
        <v>716.15741580410543</v>
      </c>
      <c r="AX21" s="106">
        <f t="shared" si="3"/>
        <v>716.15741580410543</v>
      </c>
      <c r="AY21" s="106">
        <f t="shared" si="3"/>
        <v>716.15741580410543</v>
      </c>
      <c r="AZ21" s="157">
        <f>SUM($D21:$AY21)</f>
        <v>32641.271594985905</v>
      </c>
    </row>
    <row r="22" spans="1:52" s="110" customFormat="1">
      <c r="A22" s="158" t="s">
        <v>123</v>
      </c>
      <c r="B22" s="159">
        <f>1-$B$21</f>
        <v>0.56907469329582228</v>
      </c>
      <c r="C22" s="159" t="s">
        <v>293</v>
      </c>
      <c r="D22" s="114">
        <f>IF(C$20="Yes",0,SUM(C$13:C$16)*$B$22)</f>
        <v>925.20441150934539</v>
      </c>
      <c r="E22" s="114">
        <f t="shared" ref="E22:AY22" si="4">IF(D$20="Yes",0,SUM(D$13:D$16)*$B$22)</f>
        <v>945.74873048712254</v>
      </c>
      <c r="F22" s="114">
        <f t="shared" si="4"/>
        <v>0</v>
      </c>
      <c r="G22" s="114">
        <f t="shared" si="4"/>
        <v>1891.4974609742451</v>
      </c>
      <c r="H22" s="114">
        <f t="shared" si="4"/>
        <v>945.74873048712254</v>
      </c>
      <c r="I22" s="114">
        <f t="shared" si="4"/>
        <v>1134.8929317629463</v>
      </c>
      <c r="J22" s="114">
        <f t="shared" si="4"/>
        <v>1134.8929317629463</v>
      </c>
      <c r="K22" s="114">
        <f t="shared" si="4"/>
        <v>1134.8929317629463</v>
      </c>
      <c r="L22" s="114">
        <f t="shared" si="4"/>
        <v>1134.8929317629463</v>
      </c>
      <c r="M22" s="114">
        <f t="shared" si="4"/>
        <v>1134.8929317629463</v>
      </c>
      <c r="N22" s="114">
        <f t="shared" si="4"/>
        <v>1134.8929317629463</v>
      </c>
      <c r="O22" s="114">
        <f t="shared" si="4"/>
        <v>1134.8929317629463</v>
      </c>
      <c r="P22" s="114">
        <f t="shared" si="4"/>
        <v>1134.8929317629463</v>
      </c>
      <c r="Q22" s="114">
        <f t="shared" si="4"/>
        <v>2.772410800279378E-2</v>
      </c>
      <c r="R22" s="114">
        <f t="shared" si="4"/>
        <v>2.772410800279378E-2</v>
      </c>
      <c r="S22" s="114">
        <f t="shared" si="4"/>
        <v>2.772410800279378E-2</v>
      </c>
      <c r="T22" s="114">
        <f t="shared" si="4"/>
        <v>2.772410800279378E-2</v>
      </c>
      <c r="U22" s="114">
        <f t="shared" si="4"/>
        <v>945.74873048712254</v>
      </c>
      <c r="V22" s="114">
        <f t="shared" si="4"/>
        <v>945.74873048712254</v>
      </c>
      <c r="W22" s="114">
        <f t="shared" si="4"/>
        <v>945.74873048712254</v>
      </c>
      <c r="X22" s="114">
        <f t="shared" si="4"/>
        <v>945.74873048712254</v>
      </c>
      <c r="Y22" s="114">
        <f t="shared" si="4"/>
        <v>945.74873048712254</v>
      </c>
      <c r="Z22" s="114">
        <f t="shared" si="4"/>
        <v>945.74873048712254</v>
      </c>
      <c r="AA22" s="114">
        <f t="shared" si="4"/>
        <v>945.74873048712254</v>
      </c>
      <c r="AB22" s="114">
        <f t="shared" si="4"/>
        <v>945.74873048712254</v>
      </c>
      <c r="AC22" s="114">
        <f t="shared" si="4"/>
        <v>945.74873048712254</v>
      </c>
      <c r="AD22" s="114">
        <f t="shared" si="4"/>
        <v>945.74873048712254</v>
      </c>
      <c r="AE22" s="114">
        <f t="shared" si="4"/>
        <v>945.74873048712254</v>
      </c>
      <c r="AF22" s="114">
        <f t="shared" si="4"/>
        <v>945.74873048712254</v>
      </c>
      <c r="AG22" s="114">
        <f t="shared" si="4"/>
        <v>945.74873048712254</v>
      </c>
      <c r="AH22" s="114">
        <f t="shared" si="4"/>
        <v>945.74873048712254</v>
      </c>
      <c r="AI22" s="114">
        <f t="shared" si="4"/>
        <v>945.74873048712254</v>
      </c>
      <c r="AJ22" s="114">
        <f t="shared" si="4"/>
        <v>945.74873048712254</v>
      </c>
      <c r="AK22" s="114">
        <f t="shared" si="4"/>
        <v>945.74873048712254</v>
      </c>
      <c r="AL22" s="114">
        <f t="shared" si="4"/>
        <v>945.74873048712254</v>
      </c>
      <c r="AM22" s="114">
        <f t="shared" si="4"/>
        <v>945.74873048712254</v>
      </c>
      <c r="AN22" s="114">
        <f t="shared" si="4"/>
        <v>945.74873048712254</v>
      </c>
      <c r="AO22" s="114">
        <f t="shared" si="4"/>
        <v>945.74873048712254</v>
      </c>
      <c r="AP22" s="114">
        <f t="shared" si="4"/>
        <v>945.74873048712254</v>
      </c>
      <c r="AQ22" s="114">
        <f t="shared" si="4"/>
        <v>945.74873048712254</v>
      </c>
      <c r="AR22" s="114">
        <f t="shared" si="4"/>
        <v>945.74873048712254</v>
      </c>
      <c r="AS22" s="114">
        <f t="shared" si="4"/>
        <v>945.74873048712254</v>
      </c>
      <c r="AT22" s="114">
        <f t="shared" si="4"/>
        <v>945.74873048712254</v>
      </c>
      <c r="AU22" s="114">
        <f t="shared" si="4"/>
        <v>0</v>
      </c>
      <c r="AV22" s="114">
        <f t="shared" si="4"/>
        <v>1891.4974609742451</v>
      </c>
      <c r="AW22" s="114">
        <f t="shared" si="4"/>
        <v>945.74873048712254</v>
      </c>
      <c r="AX22" s="114">
        <f t="shared" si="4"/>
        <v>945.74873048712254</v>
      </c>
      <c r="AY22" s="114">
        <f t="shared" si="4"/>
        <v>945.74873048712254</v>
      </c>
      <c r="AZ22" s="141">
        <f t="shared" ref="AZ22:AZ30" si="5">SUM($D22:$AY22)</f>
        <v>43105.664329094201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1401200.9301790185</v>
      </c>
      <c r="E23" s="100">
        <f t="shared" ref="E23:AY23" si="6">E$21*$B$23</f>
        <v>1432314.8316082109</v>
      </c>
      <c r="F23" s="100">
        <f t="shared" si="6"/>
        <v>0</v>
      </c>
      <c r="G23" s="100">
        <f t="shared" si="6"/>
        <v>2864629.6632164218</v>
      </c>
      <c r="H23" s="100">
        <f t="shared" si="6"/>
        <v>1432314.8316082109</v>
      </c>
      <c r="I23" s="100">
        <f t="shared" si="6"/>
        <v>1718769.4004242991</v>
      </c>
      <c r="J23" s="100">
        <f t="shared" si="6"/>
        <v>1718769.4004242991</v>
      </c>
      <c r="K23" s="100">
        <f t="shared" si="6"/>
        <v>1718769.4004242991</v>
      </c>
      <c r="L23" s="100">
        <f t="shared" si="6"/>
        <v>1718769.4004242991</v>
      </c>
      <c r="M23" s="100">
        <f t="shared" si="6"/>
        <v>1718769.4004242991</v>
      </c>
      <c r="N23" s="100">
        <f t="shared" si="6"/>
        <v>1718769.4004242991</v>
      </c>
      <c r="O23" s="100">
        <f t="shared" si="6"/>
        <v>1718769.4004242991</v>
      </c>
      <c r="P23" s="100">
        <f t="shared" si="6"/>
        <v>1718769.4004242991</v>
      </c>
      <c r="Q23" s="100">
        <f t="shared" si="6"/>
        <v>41.987527770781526</v>
      </c>
      <c r="R23" s="100">
        <f t="shared" si="6"/>
        <v>41.987527770781526</v>
      </c>
      <c r="S23" s="100">
        <f t="shared" si="6"/>
        <v>41.987527770781526</v>
      </c>
      <c r="T23" s="100">
        <f t="shared" si="6"/>
        <v>41.987527770781526</v>
      </c>
      <c r="U23" s="100">
        <f t="shared" si="6"/>
        <v>1432314.8316082109</v>
      </c>
      <c r="V23" s="100">
        <f t="shared" si="6"/>
        <v>1432314.8316082109</v>
      </c>
      <c r="W23" s="100">
        <f t="shared" si="6"/>
        <v>1432314.8316082109</v>
      </c>
      <c r="X23" s="100">
        <f t="shared" si="6"/>
        <v>1432314.8316082109</v>
      </c>
      <c r="Y23" s="100">
        <f t="shared" si="6"/>
        <v>1432314.8316082109</v>
      </c>
      <c r="Z23" s="100">
        <f t="shared" si="6"/>
        <v>1432314.8316082109</v>
      </c>
      <c r="AA23" s="100">
        <f t="shared" si="6"/>
        <v>1432314.8316082109</v>
      </c>
      <c r="AB23" s="100">
        <f t="shared" si="6"/>
        <v>1432314.8316082109</v>
      </c>
      <c r="AC23" s="100">
        <f t="shared" si="6"/>
        <v>1432314.8316082109</v>
      </c>
      <c r="AD23" s="100">
        <f t="shared" si="6"/>
        <v>1432314.8316082109</v>
      </c>
      <c r="AE23" s="100">
        <f t="shared" si="6"/>
        <v>1432314.8316082109</v>
      </c>
      <c r="AF23" s="100">
        <f t="shared" si="6"/>
        <v>1432314.8316082109</v>
      </c>
      <c r="AG23" s="100">
        <f t="shared" si="6"/>
        <v>1432314.8316082109</v>
      </c>
      <c r="AH23" s="100">
        <f t="shared" si="6"/>
        <v>1432314.8316082109</v>
      </c>
      <c r="AI23" s="100">
        <f t="shared" si="6"/>
        <v>1432314.8316082109</v>
      </c>
      <c r="AJ23" s="100">
        <f t="shared" si="6"/>
        <v>1432314.8316082109</v>
      </c>
      <c r="AK23" s="100">
        <f t="shared" si="6"/>
        <v>1432314.8316082109</v>
      </c>
      <c r="AL23" s="100">
        <f t="shared" si="6"/>
        <v>1432314.8316082109</v>
      </c>
      <c r="AM23" s="100">
        <f t="shared" si="6"/>
        <v>1432314.8316082109</v>
      </c>
      <c r="AN23" s="100">
        <f t="shared" si="6"/>
        <v>1432314.8316082109</v>
      </c>
      <c r="AO23" s="100">
        <f t="shared" si="6"/>
        <v>1432314.8316082109</v>
      </c>
      <c r="AP23" s="100">
        <f t="shared" si="6"/>
        <v>1432314.8316082109</v>
      </c>
      <c r="AQ23" s="100">
        <f t="shared" si="6"/>
        <v>1432314.8316082109</v>
      </c>
      <c r="AR23" s="100">
        <f t="shared" si="6"/>
        <v>1432314.8316082109</v>
      </c>
      <c r="AS23" s="100">
        <f t="shared" si="6"/>
        <v>1432314.8316082109</v>
      </c>
      <c r="AT23" s="100">
        <f t="shared" si="6"/>
        <v>1432314.8316082109</v>
      </c>
      <c r="AU23" s="100">
        <f t="shared" si="6"/>
        <v>0</v>
      </c>
      <c r="AV23" s="100">
        <f t="shared" si="6"/>
        <v>2864629.6632164218</v>
      </c>
      <c r="AW23" s="100">
        <f t="shared" si="6"/>
        <v>1432314.8316082109</v>
      </c>
      <c r="AX23" s="100">
        <f t="shared" si="6"/>
        <v>1432314.8316082109</v>
      </c>
      <c r="AY23" s="100">
        <f t="shared" si="6"/>
        <v>1432314.8316082109</v>
      </c>
      <c r="AZ23" s="139">
        <f t="shared" si="5"/>
        <v>65282543.189971909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925204.4115093454</v>
      </c>
      <c r="E24" s="106">
        <f t="shared" ref="E24:AY24" si="7">E$22*$B$24</f>
        <v>945748.73048712255</v>
      </c>
      <c r="F24" s="106">
        <f t="shared" si="7"/>
        <v>0</v>
      </c>
      <c r="G24" s="106">
        <f t="shared" si="7"/>
        <v>1891497.4609742451</v>
      </c>
      <c r="H24" s="106">
        <f t="shared" si="7"/>
        <v>945748.73048712255</v>
      </c>
      <c r="I24" s="106">
        <f t="shared" si="7"/>
        <v>1134892.9317629463</v>
      </c>
      <c r="J24" s="106">
        <f t="shared" si="7"/>
        <v>1134892.9317629463</v>
      </c>
      <c r="K24" s="106">
        <f t="shared" si="7"/>
        <v>1134892.9317629463</v>
      </c>
      <c r="L24" s="106">
        <f t="shared" si="7"/>
        <v>1134892.9317629463</v>
      </c>
      <c r="M24" s="106">
        <f t="shared" si="7"/>
        <v>1134892.9317629463</v>
      </c>
      <c r="N24" s="106">
        <f t="shared" si="7"/>
        <v>1134892.9317629463</v>
      </c>
      <c r="O24" s="106">
        <f t="shared" si="7"/>
        <v>1134892.9317629463</v>
      </c>
      <c r="P24" s="106">
        <f t="shared" si="7"/>
        <v>1134892.9317629463</v>
      </c>
      <c r="Q24" s="106">
        <f t="shared" si="7"/>
        <v>27.724108002793781</v>
      </c>
      <c r="R24" s="106">
        <f t="shared" si="7"/>
        <v>27.724108002793781</v>
      </c>
      <c r="S24" s="106">
        <f t="shared" si="7"/>
        <v>27.724108002793781</v>
      </c>
      <c r="T24" s="106">
        <f t="shared" si="7"/>
        <v>27.724108002793781</v>
      </c>
      <c r="U24" s="106">
        <f t="shared" si="7"/>
        <v>945748.73048712255</v>
      </c>
      <c r="V24" s="106">
        <f t="shared" si="7"/>
        <v>945748.73048712255</v>
      </c>
      <c r="W24" s="106">
        <f t="shared" si="7"/>
        <v>945748.73048712255</v>
      </c>
      <c r="X24" s="106">
        <f t="shared" si="7"/>
        <v>945748.73048712255</v>
      </c>
      <c r="Y24" s="106">
        <f t="shared" si="7"/>
        <v>945748.73048712255</v>
      </c>
      <c r="Z24" s="106">
        <f t="shared" si="7"/>
        <v>945748.73048712255</v>
      </c>
      <c r="AA24" s="106">
        <f t="shared" si="7"/>
        <v>945748.73048712255</v>
      </c>
      <c r="AB24" s="106">
        <f t="shared" si="7"/>
        <v>945748.73048712255</v>
      </c>
      <c r="AC24" s="106">
        <f t="shared" si="7"/>
        <v>945748.73048712255</v>
      </c>
      <c r="AD24" s="106">
        <f t="shared" si="7"/>
        <v>945748.73048712255</v>
      </c>
      <c r="AE24" s="106">
        <f t="shared" si="7"/>
        <v>945748.73048712255</v>
      </c>
      <c r="AF24" s="106">
        <f t="shared" si="7"/>
        <v>945748.73048712255</v>
      </c>
      <c r="AG24" s="106">
        <f t="shared" si="7"/>
        <v>945748.73048712255</v>
      </c>
      <c r="AH24" s="106">
        <f t="shared" si="7"/>
        <v>945748.73048712255</v>
      </c>
      <c r="AI24" s="106">
        <f t="shared" si="7"/>
        <v>945748.73048712255</v>
      </c>
      <c r="AJ24" s="106">
        <f t="shared" si="7"/>
        <v>945748.73048712255</v>
      </c>
      <c r="AK24" s="106">
        <f t="shared" si="7"/>
        <v>945748.73048712255</v>
      </c>
      <c r="AL24" s="106">
        <f t="shared" si="7"/>
        <v>945748.73048712255</v>
      </c>
      <c r="AM24" s="106">
        <f t="shared" si="7"/>
        <v>945748.73048712255</v>
      </c>
      <c r="AN24" s="106">
        <f t="shared" si="7"/>
        <v>945748.73048712255</v>
      </c>
      <c r="AO24" s="106">
        <f t="shared" si="7"/>
        <v>945748.73048712255</v>
      </c>
      <c r="AP24" s="106">
        <f t="shared" si="7"/>
        <v>945748.73048712255</v>
      </c>
      <c r="AQ24" s="106">
        <f t="shared" si="7"/>
        <v>945748.73048712255</v>
      </c>
      <c r="AR24" s="106">
        <f t="shared" si="7"/>
        <v>945748.73048712255</v>
      </c>
      <c r="AS24" s="106">
        <f t="shared" si="7"/>
        <v>945748.73048712255</v>
      </c>
      <c r="AT24" s="106">
        <f t="shared" si="7"/>
        <v>945748.73048712255</v>
      </c>
      <c r="AU24" s="106">
        <f t="shared" si="7"/>
        <v>0</v>
      </c>
      <c r="AV24" s="106">
        <f t="shared" si="7"/>
        <v>1891497.4609742451</v>
      </c>
      <c r="AW24" s="106">
        <f t="shared" si="7"/>
        <v>945748.73048712255</v>
      </c>
      <c r="AX24" s="106">
        <f t="shared" si="7"/>
        <v>945748.73048712255</v>
      </c>
      <c r="AY24" s="106">
        <f t="shared" si="7"/>
        <v>945748.73048712255</v>
      </c>
      <c r="AZ24" s="141">
        <f t="shared" si="5"/>
        <v>43105664.329094239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0</v>
      </c>
      <c r="D27" s="124">
        <f>C$27-C$28+C$29</f>
        <v>15</v>
      </c>
      <c r="E27" s="124">
        <f t="shared" ref="E27:AY27" si="8">D27-D28+D29</f>
        <v>0</v>
      </c>
      <c r="F27" s="124">
        <f t="shared" si="8"/>
        <v>15</v>
      </c>
      <c r="G27" s="124">
        <f t="shared" si="8"/>
        <v>15</v>
      </c>
      <c r="H27" s="124">
        <f t="shared" si="8"/>
        <v>0</v>
      </c>
      <c r="I27" s="124">
        <f t="shared" si="8"/>
        <v>15</v>
      </c>
      <c r="J27" s="124">
        <f t="shared" si="8"/>
        <v>0</v>
      </c>
      <c r="K27" s="124">
        <f t="shared" si="8"/>
        <v>15</v>
      </c>
      <c r="L27" s="124">
        <f t="shared" si="8"/>
        <v>0</v>
      </c>
      <c r="M27" s="124">
        <f t="shared" si="8"/>
        <v>15</v>
      </c>
      <c r="N27" s="124">
        <f t="shared" si="8"/>
        <v>0</v>
      </c>
      <c r="O27" s="124">
        <f t="shared" si="8"/>
        <v>15</v>
      </c>
      <c r="P27" s="124">
        <f t="shared" si="8"/>
        <v>0</v>
      </c>
      <c r="Q27" s="124">
        <f t="shared" si="8"/>
        <v>15</v>
      </c>
      <c r="R27" s="124">
        <f t="shared" si="8"/>
        <v>13</v>
      </c>
      <c r="S27" s="124">
        <f t="shared" si="8"/>
        <v>13</v>
      </c>
      <c r="T27" s="124">
        <f t="shared" si="8"/>
        <v>13</v>
      </c>
      <c r="U27" s="124">
        <f t="shared" si="8"/>
        <v>13</v>
      </c>
      <c r="V27" s="124">
        <f t="shared" si="8"/>
        <v>2</v>
      </c>
      <c r="W27" s="124">
        <f t="shared" si="8"/>
        <v>13</v>
      </c>
      <c r="X27" s="124">
        <f t="shared" si="8"/>
        <v>2</v>
      </c>
      <c r="Y27" s="124">
        <f t="shared" si="8"/>
        <v>13</v>
      </c>
      <c r="Z27" s="124">
        <f t="shared" si="8"/>
        <v>2</v>
      </c>
      <c r="AA27" s="124">
        <f t="shared" si="8"/>
        <v>13</v>
      </c>
      <c r="AB27" s="124">
        <f t="shared" si="8"/>
        <v>2</v>
      </c>
      <c r="AC27" s="124">
        <f t="shared" si="8"/>
        <v>13</v>
      </c>
      <c r="AD27" s="124">
        <f t="shared" si="8"/>
        <v>2</v>
      </c>
      <c r="AE27" s="124">
        <f t="shared" si="8"/>
        <v>13</v>
      </c>
      <c r="AF27" s="124">
        <f t="shared" si="8"/>
        <v>2</v>
      </c>
      <c r="AG27" s="124">
        <f t="shared" si="8"/>
        <v>13</v>
      </c>
      <c r="AH27" s="124">
        <f t="shared" si="8"/>
        <v>2</v>
      </c>
      <c r="AI27" s="124">
        <f t="shared" si="8"/>
        <v>13</v>
      </c>
      <c r="AJ27" s="124">
        <f t="shared" si="8"/>
        <v>2</v>
      </c>
      <c r="AK27" s="124">
        <f t="shared" si="8"/>
        <v>13</v>
      </c>
      <c r="AL27" s="124">
        <f t="shared" si="8"/>
        <v>2</v>
      </c>
      <c r="AM27" s="124">
        <f t="shared" si="8"/>
        <v>13</v>
      </c>
      <c r="AN27" s="124">
        <f t="shared" si="8"/>
        <v>2</v>
      </c>
      <c r="AO27" s="124">
        <f t="shared" si="8"/>
        <v>13</v>
      </c>
      <c r="AP27" s="124">
        <f t="shared" si="8"/>
        <v>2</v>
      </c>
      <c r="AQ27" s="124">
        <f t="shared" si="8"/>
        <v>13</v>
      </c>
      <c r="AR27" s="124">
        <f t="shared" si="8"/>
        <v>2</v>
      </c>
      <c r="AS27" s="124">
        <f t="shared" si="8"/>
        <v>13</v>
      </c>
      <c r="AT27" s="124">
        <f t="shared" si="8"/>
        <v>2</v>
      </c>
      <c r="AU27" s="124">
        <f t="shared" si="8"/>
        <v>13</v>
      </c>
      <c r="AV27" s="124">
        <f t="shared" si="8"/>
        <v>15</v>
      </c>
      <c r="AW27" s="124">
        <f t="shared" si="8"/>
        <v>0</v>
      </c>
      <c r="AX27" s="124">
        <f t="shared" si="8"/>
        <v>15</v>
      </c>
      <c r="AY27" s="164">
        <f t="shared" si="8"/>
        <v>0</v>
      </c>
      <c r="AZ27" s="106"/>
    </row>
    <row r="28" spans="1:52">
      <c r="B28" s="165" t="s">
        <v>310</v>
      </c>
      <c r="C28" s="110">
        <v>0</v>
      </c>
      <c r="D28" s="110">
        <v>15</v>
      </c>
      <c r="E28" s="110">
        <v>0</v>
      </c>
      <c r="F28" s="110">
        <v>0</v>
      </c>
      <c r="G28" s="110">
        <v>15</v>
      </c>
      <c r="H28" s="110">
        <v>0</v>
      </c>
      <c r="I28" s="110">
        <v>15</v>
      </c>
      <c r="J28" s="110">
        <v>0</v>
      </c>
      <c r="K28" s="110">
        <v>15</v>
      </c>
      <c r="L28" s="110">
        <v>0</v>
      </c>
      <c r="M28" s="110">
        <v>15</v>
      </c>
      <c r="N28" s="110">
        <v>0</v>
      </c>
      <c r="O28" s="110">
        <v>15</v>
      </c>
      <c r="P28" s="110">
        <v>0</v>
      </c>
      <c r="Q28" s="110">
        <v>2</v>
      </c>
      <c r="R28" s="110">
        <v>2</v>
      </c>
      <c r="S28" s="110">
        <v>2</v>
      </c>
      <c r="T28" s="110">
        <v>2</v>
      </c>
      <c r="U28" s="110">
        <v>13</v>
      </c>
      <c r="V28" s="110">
        <v>2</v>
      </c>
      <c r="W28" s="110">
        <v>13</v>
      </c>
      <c r="X28" s="110">
        <v>2</v>
      </c>
      <c r="Y28" s="110">
        <v>13</v>
      </c>
      <c r="Z28" s="110">
        <v>2</v>
      </c>
      <c r="AA28" s="110">
        <v>13</v>
      </c>
      <c r="AB28" s="110">
        <v>2</v>
      </c>
      <c r="AC28" s="110">
        <v>13</v>
      </c>
      <c r="AD28" s="110">
        <v>2</v>
      </c>
      <c r="AE28" s="110">
        <v>13</v>
      </c>
      <c r="AF28" s="110">
        <v>2</v>
      </c>
      <c r="AG28" s="110">
        <v>13</v>
      </c>
      <c r="AH28" s="110">
        <v>2</v>
      </c>
      <c r="AI28" s="110">
        <v>13</v>
      </c>
      <c r="AJ28" s="110">
        <v>2</v>
      </c>
      <c r="AK28" s="110">
        <v>13</v>
      </c>
      <c r="AL28" s="110">
        <v>2</v>
      </c>
      <c r="AM28" s="110">
        <v>13</v>
      </c>
      <c r="AN28" s="110">
        <v>2</v>
      </c>
      <c r="AO28" s="110">
        <v>13</v>
      </c>
      <c r="AP28" s="110">
        <v>2</v>
      </c>
      <c r="AQ28" s="110">
        <v>13</v>
      </c>
      <c r="AR28" s="110">
        <v>2</v>
      </c>
      <c r="AS28" s="110">
        <v>13</v>
      </c>
      <c r="AT28" s="110">
        <v>2</v>
      </c>
      <c r="AU28" s="110">
        <v>0</v>
      </c>
      <c r="AV28" s="110">
        <v>15</v>
      </c>
      <c r="AW28" s="110">
        <v>0</v>
      </c>
      <c r="AX28" s="110">
        <v>15</v>
      </c>
      <c r="AY28" s="166">
        <v>0</v>
      </c>
      <c r="AZ28" s="106"/>
    </row>
    <row r="29" spans="1:52">
      <c r="B29" s="136" t="s">
        <v>311</v>
      </c>
      <c r="C29" s="125">
        <v>15</v>
      </c>
      <c r="D29" s="125">
        <f>C$28</f>
        <v>0</v>
      </c>
      <c r="E29" s="125">
        <f t="shared" ref="E29:AY29" si="9">D$28</f>
        <v>15</v>
      </c>
      <c r="F29" s="125">
        <f t="shared" si="9"/>
        <v>0</v>
      </c>
      <c r="G29" s="125">
        <f t="shared" si="9"/>
        <v>0</v>
      </c>
      <c r="H29" s="125">
        <f t="shared" si="9"/>
        <v>15</v>
      </c>
      <c r="I29" s="125">
        <f t="shared" si="9"/>
        <v>0</v>
      </c>
      <c r="J29" s="125">
        <f t="shared" si="9"/>
        <v>15</v>
      </c>
      <c r="K29" s="125">
        <f t="shared" si="9"/>
        <v>0</v>
      </c>
      <c r="L29" s="125">
        <f t="shared" si="9"/>
        <v>15</v>
      </c>
      <c r="M29" s="125">
        <f t="shared" si="9"/>
        <v>0</v>
      </c>
      <c r="N29" s="125">
        <f t="shared" si="9"/>
        <v>15</v>
      </c>
      <c r="O29" s="125">
        <f t="shared" si="9"/>
        <v>0</v>
      </c>
      <c r="P29" s="125">
        <f t="shared" si="9"/>
        <v>15</v>
      </c>
      <c r="Q29" s="125">
        <f t="shared" si="9"/>
        <v>0</v>
      </c>
      <c r="R29" s="125">
        <f t="shared" si="9"/>
        <v>2</v>
      </c>
      <c r="S29" s="125">
        <f t="shared" si="9"/>
        <v>2</v>
      </c>
      <c r="T29" s="125">
        <f t="shared" si="9"/>
        <v>2</v>
      </c>
      <c r="U29" s="125">
        <f t="shared" si="9"/>
        <v>2</v>
      </c>
      <c r="V29" s="125">
        <f t="shared" si="9"/>
        <v>13</v>
      </c>
      <c r="W29" s="125">
        <f t="shared" si="9"/>
        <v>2</v>
      </c>
      <c r="X29" s="125">
        <f t="shared" si="9"/>
        <v>13</v>
      </c>
      <c r="Y29" s="125">
        <f t="shared" si="9"/>
        <v>2</v>
      </c>
      <c r="Z29" s="125">
        <f t="shared" si="9"/>
        <v>13</v>
      </c>
      <c r="AA29" s="125">
        <f t="shared" si="9"/>
        <v>2</v>
      </c>
      <c r="AB29" s="125">
        <f t="shared" si="9"/>
        <v>13</v>
      </c>
      <c r="AC29" s="125">
        <f t="shared" si="9"/>
        <v>2</v>
      </c>
      <c r="AD29" s="125">
        <f t="shared" si="9"/>
        <v>13</v>
      </c>
      <c r="AE29" s="125">
        <f t="shared" si="9"/>
        <v>2</v>
      </c>
      <c r="AF29" s="125">
        <f t="shared" si="9"/>
        <v>13</v>
      </c>
      <c r="AG29" s="125">
        <f t="shared" si="9"/>
        <v>2</v>
      </c>
      <c r="AH29" s="125">
        <f t="shared" si="9"/>
        <v>13</v>
      </c>
      <c r="AI29" s="125">
        <f t="shared" si="9"/>
        <v>2</v>
      </c>
      <c r="AJ29" s="125">
        <f t="shared" si="9"/>
        <v>13</v>
      </c>
      <c r="AK29" s="125">
        <f t="shared" si="9"/>
        <v>2</v>
      </c>
      <c r="AL29" s="125">
        <f t="shared" si="9"/>
        <v>13</v>
      </c>
      <c r="AM29" s="125">
        <f t="shared" si="9"/>
        <v>2</v>
      </c>
      <c r="AN29" s="125">
        <f t="shared" si="9"/>
        <v>13</v>
      </c>
      <c r="AO29" s="125">
        <f t="shared" si="9"/>
        <v>2</v>
      </c>
      <c r="AP29" s="125">
        <f t="shared" si="9"/>
        <v>13</v>
      </c>
      <c r="AQ29" s="125">
        <f t="shared" si="9"/>
        <v>2</v>
      </c>
      <c r="AR29" s="125">
        <f t="shared" si="9"/>
        <v>13</v>
      </c>
      <c r="AS29" s="125">
        <f t="shared" si="9"/>
        <v>2</v>
      </c>
      <c r="AT29" s="125">
        <f t="shared" si="9"/>
        <v>13</v>
      </c>
      <c r="AU29" s="125">
        <f t="shared" si="9"/>
        <v>2</v>
      </c>
      <c r="AV29" s="125">
        <f t="shared" si="9"/>
        <v>0</v>
      </c>
      <c r="AW29" s="125">
        <f t="shared" si="9"/>
        <v>15</v>
      </c>
      <c r="AX29" s="125">
        <f t="shared" si="9"/>
        <v>0</v>
      </c>
      <c r="AY29" s="167">
        <f t="shared" si="9"/>
        <v>15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150</v>
      </c>
      <c r="E30" s="117">
        <f t="shared" ref="E30:AY30" si="10">E$27*$B$30</f>
        <v>0</v>
      </c>
      <c r="F30" s="117">
        <f t="shared" si="10"/>
        <v>150</v>
      </c>
      <c r="G30" s="117">
        <f t="shared" si="10"/>
        <v>150</v>
      </c>
      <c r="H30" s="117">
        <f t="shared" si="10"/>
        <v>0</v>
      </c>
      <c r="I30" s="117">
        <f t="shared" si="10"/>
        <v>150</v>
      </c>
      <c r="J30" s="117">
        <f t="shared" si="10"/>
        <v>0</v>
      </c>
      <c r="K30" s="117">
        <f t="shared" si="10"/>
        <v>150</v>
      </c>
      <c r="L30" s="117">
        <f t="shared" si="10"/>
        <v>0</v>
      </c>
      <c r="M30" s="117">
        <f t="shared" si="10"/>
        <v>150</v>
      </c>
      <c r="N30" s="117">
        <f t="shared" si="10"/>
        <v>0</v>
      </c>
      <c r="O30" s="117">
        <f t="shared" si="10"/>
        <v>150</v>
      </c>
      <c r="P30" s="117">
        <f t="shared" si="10"/>
        <v>0</v>
      </c>
      <c r="Q30" s="117">
        <f t="shared" si="10"/>
        <v>150</v>
      </c>
      <c r="R30" s="117">
        <f>R$27*$B$30</f>
        <v>130</v>
      </c>
      <c r="S30" s="117">
        <f t="shared" si="10"/>
        <v>130</v>
      </c>
      <c r="T30" s="117">
        <f t="shared" si="10"/>
        <v>130</v>
      </c>
      <c r="U30" s="117">
        <f t="shared" si="10"/>
        <v>130</v>
      </c>
      <c r="V30" s="117">
        <f t="shared" si="10"/>
        <v>20</v>
      </c>
      <c r="W30" s="117">
        <f t="shared" si="10"/>
        <v>130</v>
      </c>
      <c r="X30" s="117">
        <f t="shared" si="10"/>
        <v>20</v>
      </c>
      <c r="Y30" s="117">
        <f t="shared" si="10"/>
        <v>130</v>
      </c>
      <c r="Z30" s="117">
        <f t="shared" si="10"/>
        <v>20</v>
      </c>
      <c r="AA30" s="117">
        <f t="shared" si="10"/>
        <v>130</v>
      </c>
      <c r="AB30" s="117">
        <f t="shared" si="10"/>
        <v>20</v>
      </c>
      <c r="AC30" s="117">
        <f t="shared" si="10"/>
        <v>130</v>
      </c>
      <c r="AD30" s="117">
        <f t="shared" si="10"/>
        <v>20</v>
      </c>
      <c r="AE30" s="117">
        <f>AE$27*$B$30</f>
        <v>130</v>
      </c>
      <c r="AF30" s="117">
        <f t="shared" si="10"/>
        <v>20</v>
      </c>
      <c r="AG30" s="117">
        <f t="shared" si="10"/>
        <v>130</v>
      </c>
      <c r="AH30" s="117">
        <f t="shared" si="10"/>
        <v>20</v>
      </c>
      <c r="AI30" s="117">
        <f t="shared" si="10"/>
        <v>130</v>
      </c>
      <c r="AJ30" s="117">
        <f t="shared" si="10"/>
        <v>20</v>
      </c>
      <c r="AK30" s="117">
        <f t="shared" si="10"/>
        <v>130</v>
      </c>
      <c r="AL30" s="117">
        <f t="shared" si="10"/>
        <v>20</v>
      </c>
      <c r="AM30" s="117">
        <f t="shared" si="10"/>
        <v>130</v>
      </c>
      <c r="AN30" s="117">
        <f t="shared" si="10"/>
        <v>20</v>
      </c>
      <c r="AO30" s="117">
        <f t="shared" si="10"/>
        <v>130</v>
      </c>
      <c r="AP30" s="117">
        <f t="shared" si="10"/>
        <v>20</v>
      </c>
      <c r="AQ30" s="117">
        <f t="shared" si="10"/>
        <v>130</v>
      </c>
      <c r="AR30" s="117">
        <f t="shared" si="10"/>
        <v>20</v>
      </c>
      <c r="AS30" s="117">
        <f t="shared" si="10"/>
        <v>130</v>
      </c>
      <c r="AT30" s="117">
        <f t="shared" si="10"/>
        <v>20</v>
      </c>
      <c r="AU30" s="117">
        <f t="shared" si="10"/>
        <v>130</v>
      </c>
      <c r="AV30" s="117">
        <f t="shared" si="10"/>
        <v>150</v>
      </c>
      <c r="AW30" s="117">
        <f t="shared" si="10"/>
        <v>0</v>
      </c>
      <c r="AX30" s="117">
        <f t="shared" si="10"/>
        <v>150</v>
      </c>
      <c r="AY30" s="117">
        <f t="shared" si="10"/>
        <v>0</v>
      </c>
      <c r="AZ30" s="141">
        <f t="shared" si="5"/>
        <v>3970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108.14605012186492</v>
      </c>
      <c r="E33" s="124">
        <f>E$21*shipping_manufacturing!$F$27/100</f>
        <v>110.5474512849503</v>
      </c>
      <c r="F33" s="124">
        <f>F$21*shipping_manufacturing!$F$27/100</f>
        <v>0</v>
      </c>
      <c r="G33" s="124">
        <f>G$21*shipping_manufacturing!$F$27/100</f>
        <v>221.0949025699006</v>
      </c>
      <c r="H33" s="124">
        <f>H$21*shipping_manufacturing!$F$27/100</f>
        <v>110.5474512849503</v>
      </c>
      <c r="I33" s="124">
        <f>I$21*shipping_manufacturing!$F$27/100</f>
        <v>132.65629341429712</v>
      </c>
      <c r="J33" s="124">
        <f>J$21*shipping_manufacturing!$F$27/100</f>
        <v>132.65629341429712</v>
      </c>
      <c r="K33" s="124">
        <f>K$21*shipping_manufacturing!$F$27/100</f>
        <v>132.65629341429712</v>
      </c>
      <c r="L33" s="124">
        <f>L$21*shipping_manufacturing!$F$27/100</f>
        <v>132.65629341429712</v>
      </c>
      <c r="M33" s="124">
        <f>M$21*shipping_manufacturing!$F$27/100</f>
        <v>132.65629341429712</v>
      </c>
      <c r="N33" s="124">
        <f>N$21*shipping_manufacturing!$F$27/100</f>
        <v>132.65629341429712</v>
      </c>
      <c r="O33" s="124">
        <f>O$21*shipping_manufacturing!$F$27/100</f>
        <v>132.65629341429712</v>
      </c>
      <c r="P33" s="124">
        <f>P$21*shipping_manufacturing!$F$27/100</f>
        <v>132.65629341429712</v>
      </c>
      <c r="Q33" s="124">
        <f>Q$21*shipping_manufacturing!$F$27/100</f>
        <v>3.2406382161136588E-3</v>
      </c>
      <c r="R33" s="124">
        <f>R$21*shipping_manufacturing!$F$27/100</f>
        <v>3.2406382161136588E-3</v>
      </c>
      <c r="S33" s="124">
        <f>S$21*shipping_manufacturing!$F$27/100</f>
        <v>3.2406382161136588E-3</v>
      </c>
      <c r="T33" s="124">
        <f>T$21*shipping_manufacturing!$F$27/100</f>
        <v>3.2406382161136588E-3</v>
      </c>
      <c r="U33" s="124">
        <f>U$21*shipping_manufacturing!$F$27/100</f>
        <v>110.5474512849503</v>
      </c>
      <c r="V33" s="124">
        <f>V$21*shipping_manufacturing!$F$27/100</f>
        <v>110.5474512849503</v>
      </c>
      <c r="W33" s="124">
        <f>W$21*shipping_manufacturing!$F$27/100</f>
        <v>110.5474512849503</v>
      </c>
      <c r="X33" s="124">
        <f>X$21*shipping_manufacturing!$F$27/100</f>
        <v>110.5474512849503</v>
      </c>
      <c r="Y33" s="124">
        <f>Y$21*shipping_manufacturing!$F$27/100</f>
        <v>110.5474512849503</v>
      </c>
      <c r="Z33" s="124">
        <f>Z$21*shipping_manufacturing!$F$27/100</f>
        <v>110.5474512849503</v>
      </c>
      <c r="AA33" s="124">
        <f>AA$21*shipping_manufacturing!$F$27/100</f>
        <v>110.5474512849503</v>
      </c>
      <c r="AB33" s="124">
        <f>AB$21*shipping_manufacturing!$F$27/100</f>
        <v>110.5474512849503</v>
      </c>
      <c r="AC33" s="124">
        <f>AC$21*shipping_manufacturing!$F$27/100</f>
        <v>110.5474512849503</v>
      </c>
      <c r="AD33" s="124">
        <f>AD$21*shipping_manufacturing!$F$27/100</f>
        <v>110.5474512849503</v>
      </c>
      <c r="AE33" s="124">
        <f>AE$21*shipping_manufacturing!$F$27/100</f>
        <v>110.5474512849503</v>
      </c>
      <c r="AF33" s="124">
        <f>AF$21*shipping_manufacturing!$F$27/100</f>
        <v>110.5474512849503</v>
      </c>
      <c r="AG33" s="124">
        <f>AG$21*shipping_manufacturing!$F$27/100</f>
        <v>110.5474512849503</v>
      </c>
      <c r="AH33" s="124">
        <f>AH$21*shipping_manufacturing!$F$27/100</f>
        <v>110.5474512849503</v>
      </c>
      <c r="AI33" s="124">
        <f>AI$21*shipping_manufacturing!$F$27/100</f>
        <v>110.5474512849503</v>
      </c>
      <c r="AJ33" s="124">
        <f>AJ$21*shipping_manufacturing!$F$27/100</f>
        <v>110.5474512849503</v>
      </c>
      <c r="AK33" s="124">
        <f>AK$21*shipping_manufacturing!$F$27/100</f>
        <v>110.5474512849503</v>
      </c>
      <c r="AL33" s="124">
        <f>AL$21*shipping_manufacturing!$F$27/100</f>
        <v>110.5474512849503</v>
      </c>
      <c r="AM33" s="124">
        <f>AM$21*shipping_manufacturing!$F$27/100</f>
        <v>110.5474512849503</v>
      </c>
      <c r="AN33" s="124">
        <f>AN$21*shipping_manufacturing!$F$27/100</f>
        <v>110.5474512849503</v>
      </c>
      <c r="AO33" s="124">
        <f>AO$21*shipping_manufacturing!$F$27/100</f>
        <v>110.5474512849503</v>
      </c>
      <c r="AP33" s="124">
        <f>AP$21*shipping_manufacturing!$F$27/100</f>
        <v>110.5474512849503</v>
      </c>
      <c r="AQ33" s="124">
        <f>AQ$21*shipping_manufacturing!$F$27/100</f>
        <v>110.5474512849503</v>
      </c>
      <c r="AR33" s="124">
        <f>AR$21*shipping_manufacturing!$F$27/100</f>
        <v>110.5474512849503</v>
      </c>
      <c r="AS33" s="124">
        <f>AS$21*shipping_manufacturing!$F$27/100</f>
        <v>110.5474512849503</v>
      </c>
      <c r="AT33" s="124">
        <f>AT$21*shipping_manufacturing!$F$27/100</f>
        <v>110.5474512849503</v>
      </c>
      <c r="AU33" s="124">
        <f>AU$21*shipping_manufacturing!$F$27/100</f>
        <v>0</v>
      </c>
      <c r="AV33" s="124">
        <f>AV$21*shipping_manufacturing!$F$27/100</f>
        <v>221.0949025699006</v>
      </c>
      <c r="AW33" s="124">
        <f>AW$21*shipping_manufacturing!$F$27/100</f>
        <v>110.5474512849503</v>
      </c>
      <c r="AX33" s="124">
        <f>AX$21*shipping_manufacturing!$F$27/100</f>
        <v>110.5474512849503</v>
      </c>
      <c r="AY33" s="124">
        <f>AY$21*shipping_manufacturing!$F$27/100</f>
        <v>110.5474512849503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119.01352695452128</v>
      </c>
      <c r="E34" s="110">
        <f>E$22*shipping_manufacturing!$G$27/100</f>
        <v>121.65624226154755</v>
      </c>
      <c r="F34" s="110">
        <f>F$22*shipping_manufacturing!$G$27/100</f>
        <v>0</v>
      </c>
      <c r="G34" s="110">
        <f>G$22*shipping_manufacturing!$G$27/100</f>
        <v>243.31248452309509</v>
      </c>
      <c r="H34" s="110">
        <f>H$22*shipping_manufacturing!$G$27/100</f>
        <v>121.65624226154755</v>
      </c>
      <c r="I34" s="110">
        <f>I$22*shipping_manufacturing!$G$27/100</f>
        <v>145.98677745658458</v>
      </c>
      <c r="J34" s="110">
        <f>J$22*shipping_manufacturing!$G$27/100</f>
        <v>145.98677745658458</v>
      </c>
      <c r="K34" s="110">
        <f>K$22*shipping_manufacturing!$G$27/100</f>
        <v>145.98677745658458</v>
      </c>
      <c r="L34" s="110">
        <f>L$22*shipping_manufacturing!$G$27/100</f>
        <v>145.98677745658458</v>
      </c>
      <c r="M34" s="110">
        <f>M$22*shipping_manufacturing!$G$27/100</f>
        <v>145.98677745658458</v>
      </c>
      <c r="N34" s="110">
        <f>N$22*shipping_manufacturing!$G$27/100</f>
        <v>145.98677745658458</v>
      </c>
      <c r="O34" s="110">
        <f>O$22*shipping_manufacturing!$G$27/100</f>
        <v>145.98677745658458</v>
      </c>
      <c r="P34" s="110">
        <f>P$22*shipping_manufacturing!$G$27/100</f>
        <v>145.98677745658458</v>
      </c>
      <c r="Q34" s="110">
        <f>Q$22*shipping_manufacturing!$G$27/100</f>
        <v>3.5662863622729583E-3</v>
      </c>
      <c r="R34" s="110">
        <f>R$22*shipping_manufacturing!$G$27/100</f>
        <v>3.5662863622729583E-3</v>
      </c>
      <c r="S34" s="110">
        <f>S$22*shipping_manufacturing!$G$27/100</f>
        <v>3.5662863622729583E-3</v>
      </c>
      <c r="T34" s="110">
        <f>T$22*shipping_manufacturing!$G$27/100</f>
        <v>3.5662863622729583E-3</v>
      </c>
      <c r="U34" s="110">
        <f>U$22*shipping_manufacturing!$G$27/100</f>
        <v>121.65624226154755</v>
      </c>
      <c r="V34" s="110">
        <f>V$22*shipping_manufacturing!$G$27/100</f>
        <v>121.65624226154755</v>
      </c>
      <c r="W34" s="110">
        <f>W$22*shipping_manufacturing!$G$27/100</f>
        <v>121.65624226154755</v>
      </c>
      <c r="X34" s="110">
        <f>X$22*shipping_manufacturing!$G$27/100</f>
        <v>121.65624226154755</v>
      </c>
      <c r="Y34" s="110">
        <f>Y$22*shipping_manufacturing!$G$27/100</f>
        <v>121.65624226154755</v>
      </c>
      <c r="Z34" s="110">
        <f>Z$22*shipping_manufacturing!$G$27/100</f>
        <v>121.65624226154755</v>
      </c>
      <c r="AA34" s="110">
        <f>AA$22*shipping_manufacturing!$G$27/100</f>
        <v>121.65624226154755</v>
      </c>
      <c r="AB34" s="110">
        <f>AB$22*shipping_manufacturing!$G$27/100</f>
        <v>121.65624226154755</v>
      </c>
      <c r="AC34" s="110">
        <f>AC$22*shipping_manufacturing!$G$27/100</f>
        <v>121.65624226154755</v>
      </c>
      <c r="AD34" s="110">
        <f>AD$22*shipping_manufacturing!$G$27/100</f>
        <v>121.65624226154755</v>
      </c>
      <c r="AE34" s="110">
        <f>AE$22*shipping_manufacturing!$G$27/100</f>
        <v>121.65624226154755</v>
      </c>
      <c r="AF34" s="110">
        <f>AF$22*shipping_manufacturing!$G$27/100</f>
        <v>121.65624226154755</v>
      </c>
      <c r="AG34" s="110">
        <f>AG$22*shipping_manufacturing!$G$27/100</f>
        <v>121.65624226154755</v>
      </c>
      <c r="AH34" s="110">
        <f>AH$22*shipping_manufacturing!$G$27/100</f>
        <v>121.65624226154755</v>
      </c>
      <c r="AI34" s="110">
        <f>AI$22*shipping_manufacturing!$G$27/100</f>
        <v>121.65624226154755</v>
      </c>
      <c r="AJ34" s="110">
        <f>AJ$22*shipping_manufacturing!$G$27/100</f>
        <v>121.65624226154755</v>
      </c>
      <c r="AK34" s="110">
        <f>AK$22*shipping_manufacturing!$G$27/100</f>
        <v>121.65624226154755</v>
      </c>
      <c r="AL34" s="110">
        <f>AL$22*shipping_manufacturing!$G$27/100</f>
        <v>121.65624226154755</v>
      </c>
      <c r="AM34" s="110">
        <f>AM$22*shipping_manufacturing!$G$27/100</f>
        <v>121.65624226154755</v>
      </c>
      <c r="AN34" s="110">
        <f>AN$22*shipping_manufacturing!$G$27/100</f>
        <v>121.65624226154755</v>
      </c>
      <c r="AO34" s="110">
        <f>AO$22*shipping_manufacturing!$G$27/100</f>
        <v>121.65624226154755</v>
      </c>
      <c r="AP34" s="110">
        <f>AP$22*shipping_manufacturing!$G$27/100</f>
        <v>121.65624226154755</v>
      </c>
      <c r="AQ34" s="110">
        <f>AQ$22*shipping_manufacturing!$G$27/100</f>
        <v>121.65624226154755</v>
      </c>
      <c r="AR34" s="110">
        <f>AR$22*shipping_manufacturing!$G$27/100</f>
        <v>121.65624226154755</v>
      </c>
      <c r="AS34" s="110">
        <f>AS$22*shipping_manufacturing!$G$27/100</f>
        <v>121.65624226154755</v>
      </c>
      <c r="AT34" s="110">
        <f>AT$22*shipping_manufacturing!$G$27/100</f>
        <v>121.65624226154755</v>
      </c>
      <c r="AU34" s="110">
        <f>AU$22*shipping_manufacturing!$G$27/100</f>
        <v>0</v>
      </c>
      <c r="AV34" s="110">
        <f>AV$22*shipping_manufacturing!$G$27/100</f>
        <v>243.31248452309509</v>
      </c>
      <c r="AW34" s="110">
        <f>AW$22*shipping_manufacturing!$G$27/100</f>
        <v>121.65624226154755</v>
      </c>
      <c r="AX34" s="110">
        <f>AX$22*shipping_manufacturing!$G$27/100</f>
        <v>121.65624226154755</v>
      </c>
      <c r="AY34" s="110">
        <f>AY$22*shipping_manufacturing!$G$27/100</f>
        <v>121.65624226154755</v>
      </c>
    </row>
    <row r="35" spans="1:52">
      <c r="A35" s="110">
        <v>1245</v>
      </c>
      <c r="B35" s="165" t="s">
        <v>343</v>
      </c>
      <c r="C35" s="110"/>
      <c r="D35" s="110">
        <f>SUM(D33:D34)</f>
        <v>227.1595770763862</v>
      </c>
      <c r="E35" s="110">
        <f t="shared" ref="E35:AY35" si="11">SUM(E33:E34)</f>
        <v>232.20369354649785</v>
      </c>
      <c r="F35" s="110">
        <f t="shared" si="11"/>
        <v>0</v>
      </c>
      <c r="G35" s="110">
        <f t="shared" si="11"/>
        <v>464.40738709299569</v>
      </c>
      <c r="H35" s="110">
        <f t="shared" si="11"/>
        <v>232.20369354649785</v>
      </c>
      <c r="I35" s="110">
        <f t="shared" si="11"/>
        <v>278.64307087088173</v>
      </c>
      <c r="J35" s="110">
        <f t="shared" si="11"/>
        <v>278.64307087088173</v>
      </c>
      <c r="K35" s="110">
        <f t="shared" si="11"/>
        <v>278.64307087088173</v>
      </c>
      <c r="L35" s="110">
        <f t="shared" si="11"/>
        <v>278.64307087088173</v>
      </c>
      <c r="M35" s="110">
        <f t="shared" si="11"/>
        <v>278.64307087088173</v>
      </c>
      <c r="N35" s="110">
        <f t="shared" si="11"/>
        <v>278.64307087088173</v>
      </c>
      <c r="O35" s="110">
        <f t="shared" si="11"/>
        <v>278.64307087088173</v>
      </c>
      <c r="P35" s="110">
        <f t="shared" si="11"/>
        <v>278.64307087088173</v>
      </c>
      <c r="Q35" s="110">
        <f t="shared" si="11"/>
        <v>6.806924578386617E-3</v>
      </c>
      <c r="R35" s="110">
        <f t="shared" si="11"/>
        <v>6.806924578386617E-3</v>
      </c>
      <c r="S35" s="110">
        <f t="shared" si="11"/>
        <v>6.806924578386617E-3</v>
      </c>
      <c r="T35" s="110">
        <f t="shared" si="11"/>
        <v>6.806924578386617E-3</v>
      </c>
      <c r="U35" s="110">
        <f t="shared" si="11"/>
        <v>232.20369354649785</v>
      </c>
      <c r="V35" s="110">
        <f t="shared" si="11"/>
        <v>232.20369354649785</v>
      </c>
      <c r="W35" s="110">
        <f t="shared" si="11"/>
        <v>232.20369354649785</v>
      </c>
      <c r="X35" s="110">
        <f t="shared" si="11"/>
        <v>232.20369354649785</v>
      </c>
      <c r="Y35" s="110">
        <f t="shared" si="11"/>
        <v>232.20369354649785</v>
      </c>
      <c r="Z35" s="110">
        <f t="shared" si="11"/>
        <v>232.20369354649785</v>
      </c>
      <c r="AA35" s="110">
        <f t="shared" si="11"/>
        <v>232.20369354649785</v>
      </c>
      <c r="AB35" s="110">
        <f t="shared" si="11"/>
        <v>232.20369354649785</v>
      </c>
      <c r="AC35" s="110">
        <f t="shared" si="11"/>
        <v>232.20369354649785</v>
      </c>
      <c r="AD35" s="110">
        <f t="shared" si="11"/>
        <v>232.20369354649785</v>
      </c>
      <c r="AE35" s="110">
        <f t="shared" si="11"/>
        <v>232.20369354649785</v>
      </c>
      <c r="AF35" s="110">
        <f t="shared" si="11"/>
        <v>232.20369354649785</v>
      </c>
      <c r="AG35" s="110">
        <f t="shared" si="11"/>
        <v>232.20369354649785</v>
      </c>
      <c r="AH35" s="110">
        <f t="shared" si="11"/>
        <v>232.20369354649785</v>
      </c>
      <c r="AI35" s="110">
        <f t="shared" si="11"/>
        <v>232.20369354649785</v>
      </c>
      <c r="AJ35" s="110">
        <f t="shared" si="11"/>
        <v>232.20369354649785</v>
      </c>
      <c r="AK35" s="110">
        <f t="shared" si="11"/>
        <v>232.20369354649785</v>
      </c>
      <c r="AL35" s="110">
        <f t="shared" si="11"/>
        <v>232.20369354649785</v>
      </c>
      <c r="AM35" s="110">
        <f t="shared" si="11"/>
        <v>232.20369354649785</v>
      </c>
      <c r="AN35" s="110">
        <f t="shared" si="11"/>
        <v>232.20369354649785</v>
      </c>
      <c r="AO35" s="110">
        <f t="shared" si="11"/>
        <v>232.20369354649785</v>
      </c>
      <c r="AP35" s="110">
        <f t="shared" si="11"/>
        <v>232.20369354649785</v>
      </c>
      <c r="AQ35" s="110">
        <f t="shared" si="11"/>
        <v>232.20369354649785</v>
      </c>
      <c r="AR35" s="110">
        <f t="shared" si="11"/>
        <v>232.20369354649785</v>
      </c>
      <c r="AS35" s="110">
        <f t="shared" si="11"/>
        <v>232.20369354649785</v>
      </c>
      <c r="AT35" s="110">
        <f t="shared" si="11"/>
        <v>232.20369354649785</v>
      </c>
      <c r="AU35" s="110">
        <f t="shared" si="11"/>
        <v>0</v>
      </c>
      <c r="AV35" s="110">
        <f t="shared" si="11"/>
        <v>464.40738709299569</v>
      </c>
      <c r="AW35" s="110">
        <f t="shared" si="11"/>
        <v>232.20369354649785</v>
      </c>
      <c r="AX35" s="110">
        <f t="shared" si="11"/>
        <v>232.20369354649785</v>
      </c>
      <c r="AY35" s="110">
        <f t="shared" si="11"/>
        <v>232.20369354649785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>
        <v>3.2406382161136588E-3</v>
      </c>
      <c r="R36" s="110">
        <v>3.2406382161136588E-3</v>
      </c>
      <c r="S36" s="110">
        <v>3.2406382161136588E-3</v>
      </c>
      <c r="T36" s="110">
        <v>3.2406382161136588E-3</v>
      </c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>
        <v>3.5662863622729583E-3</v>
      </c>
      <c r="R37" s="110">
        <v>3.5662863622729583E-3</v>
      </c>
      <c r="S37" s="110">
        <v>3.5662863622729583E-3</v>
      </c>
      <c r="T37" s="110">
        <v>3.5662863622729583E-3</v>
      </c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>
        <v>1</v>
      </c>
      <c r="R38" s="110">
        <v>1</v>
      </c>
      <c r="S38" s="110">
        <v>1</v>
      </c>
      <c r="T38" s="110">
        <v>1</v>
      </c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2">
      <c r="A39" s="110"/>
      <c r="B39" s="165" t="s">
        <v>347</v>
      </c>
      <c r="C39" s="110"/>
      <c r="D39" s="110">
        <f>D33-D36</f>
        <v>108.14605012186492</v>
      </c>
      <c r="E39" s="110">
        <f t="shared" ref="E39:AY39" si="12">E33-E36</f>
        <v>110.5474512849503</v>
      </c>
      <c r="F39" s="110">
        <f t="shared" si="12"/>
        <v>0</v>
      </c>
      <c r="G39" s="110">
        <f t="shared" si="12"/>
        <v>221.0949025699006</v>
      </c>
      <c r="H39" s="110">
        <f t="shared" si="12"/>
        <v>110.5474512849503</v>
      </c>
      <c r="I39" s="110">
        <f t="shared" si="12"/>
        <v>132.65629341429712</v>
      </c>
      <c r="J39" s="110">
        <f t="shared" si="12"/>
        <v>132.65629341429712</v>
      </c>
      <c r="K39" s="110">
        <f t="shared" si="12"/>
        <v>132.65629341429712</v>
      </c>
      <c r="L39" s="110">
        <f t="shared" si="12"/>
        <v>132.65629341429712</v>
      </c>
      <c r="M39" s="110">
        <f t="shared" si="12"/>
        <v>132.65629341429712</v>
      </c>
      <c r="N39" s="110">
        <f t="shared" si="12"/>
        <v>132.65629341429712</v>
      </c>
      <c r="O39" s="110">
        <f t="shared" si="12"/>
        <v>132.65629341429712</v>
      </c>
      <c r="P39" s="110">
        <f t="shared" si="12"/>
        <v>132.65629341429712</v>
      </c>
      <c r="Q39" s="110">
        <f t="shared" si="12"/>
        <v>0</v>
      </c>
      <c r="R39" s="110">
        <f t="shared" si="12"/>
        <v>0</v>
      </c>
      <c r="S39" s="110">
        <f t="shared" si="12"/>
        <v>0</v>
      </c>
      <c r="T39" s="110">
        <f t="shared" si="12"/>
        <v>0</v>
      </c>
      <c r="U39" s="110">
        <f t="shared" si="12"/>
        <v>110.5474512849503</v>
      </c>
      <c r="V39" s="110">
        <f t="shared" si="12"/>
        <v>110.5474512849503</v>
      </c>
      <c r="W39" s="110">
        <f t="shared" si="12"/>
        <v>110.5474512849503</v>
      </c>
      <c r="X39" s="110">
        <f t="shared" si="12"/>
        <v>110.5474512849503</v>
      </c>
      <c r="Y39" s="110">
        <f t="shared" si="12"/>
        <v>110.5474512849503</v>
      </c>
      <c r="Z39" s="110">
        <f t="shared" si="12"/>
        <v>110.5474512849503</v>
      </c>
      <c r="AA39" s="110">
        <f t="shared" si="12"/>
        <v>110.5474512849503</v>
      </c>
      <c r="AB39" s="110">
        <f t="shared" si="12"/>
        <v>110.5474512849503</v>
      </c>
      <c r="AC39" s="110">
        <f t="shared" si="12"/>
        <v>110.5474512849503</v>
      </c>
      <c r="AD39" s="110">
        <f t="shared" si="12"/>
        <v>110.5474512849503</v>
      </c>
      <c r="AE39" s="110">
        <f t="shared" si="12"/>
        <v>110.5474512849503</v>
      </c>
      <c r="AF39" s="110">
        <f t="shared" si="12"/>
        <v>110.5474512849503</v>
      </c>
      <c r="AG39" s="110">
        <f t="shared" si="12"/>
        <v>110.5474512849503</v>
      </c>
      <c r="AH39" s="110">
        <f t="shared" si="12"/>
        <v>110.5474512849503</v>
      </c>
      <c r="AI39" s="110">
        <f t="shared" si="12"/>
        <v>110.5474512849503</v>
      </c>
      <c r="AJ39" s="110">
        <f t="shared" si="12"/>
        <v>110.5474512849503</v>
      </c>
      <c r="AK39" s="110">
        <f t="shared" si="12"/>
        <v>110.5474512849503</v>
      </c>
      <c r="AL39" s="110">
        <f t="shared" si="12"/>
        <v>110.5474512849503</v>
      </c>
      <c r="AM39" s="110">
        <f t="shared" si="12"/>
        <v>110.5474512849503</v>
      </c>
      <c r="AN39" s="110">
        <f t="shared" si="12"/>
        <v>110.5474512849503</v>
      </c>
      <c r="AO39" s="110">
        <f t="shared" si="12"/>
        <v>110.5474512849503</v>
      </c>
      <c r="AP39" s="110">
        <f t="shared" si="12"/>
        <v>110.5474512849503</v>
      </c>
      <c r="AQ39" s="110">
        <f t="shared" si="12"/>
        <v>110.5474512849503</v>
      </c>
      <c r="AR39" s="110">
        <f t="shared" si="12"/>
        <v>110.5474512849503</v>
      </c>
      <c r="AS39" s="110">
        <f t="shared" si="12"/>
        <v>110.5474512849503</v>
      </c>
      <c r="AT39" s="110">
        <f t="shared" si="12"/>
        <v>110.5474512849503</v>
      </c>
      <c r="AU39" s="110">
        <f t="shared" si="12"/>
        <v>0</v>
      </c>
      <c r="AV39" s="110">
        <f t="shared" si="12"/>
        <v>221.0949025699006</v>
      </c>
      <c r="AW39" s="110">
        <f t="shared" si="12"/>
        <v>110.5474512849503</v>
      </c>
      <c r="AX39" s="110">
        <f t="shared" si="12"/>
        <v>110.5474512849503</v>
      </c>
      <c r="AY39" s="110">
        <f t="shared" si="12"/>
        <v>110.5474512849503</v>
      </c>
    </row>
    <row r="40" spans="1:52">
      <c r="A40" s="110"/>
      <c r="B40" s="165" t="s">
        <v>348</v>
      </c>
      <c r="C40" s="110"/>
      <c r="D40" s="110">
        <f>D34-D37</f>
        <v>119.01352695452128</v>
      </c>
      <c r="E40" s="110">
        <f t="shared" ref="E40:AY40" si="13">E34-E37</f>
        <v>121.65624226154755</v>
      </c>
      <c r="F40" s="110">
        <f t="shared" si="13"/>
        <v>0</v>
      </c>
      <c r="G40" s="110">
        <f t="shared" si="13"/>
        <v>243.31248452309509</v>
      </c>
      <c r="H40" s="110">
        <f t="shared" si="13"/>
        <v>121.65624226154755</v>
      </c>
      <c r="I40" s="110">
        <f t="shared" si="13"/>
        <v>145.98677745658458</v>
      </c>
      <c r="J40" s="110">
        <f t="shared" si="13"/>
        <v>145.98677745658458</v>
      </c>
      <c r="K40" s="110">
        <f t="shared" si="13"/>
        <v>145.98677745658458</v>
      </c>
      <c r="L40" s="110">
        <f t="shared" si="13"/>
        <v>145.98677745658458</v>
      </c>
      <c r="M40" s="110">
        <f t="shared" si="13"/>
        <v>145.98677745658458</v>
      </c>
      <c r="N40" s="110">
        <f t="shared" si="13"/>
        <v>145.98677745658458</v>
      </c>
      <c r="O40" s="110">
        <f t="shared" si="13"/>
        <v>145.98677745658458</v>
      </c>
      <c r="P40" s="110">
        <f t="shared" si="13"/>
        <v>145.98677745658458</v>
      </c>
      <c r="Q40" s="110">
        <f t="shared" si="13"/>
        <v>0</v>
      </c>
      <c r="R40" s="110">
        <f t="shared" si="13"/>
        <v>0</v>
      </c>
      <c r="S40" s="110">
        <f t="shared" si="13"/>
        <v>0</v>
      </c>
      <c r="T40" s="110">
        <f t="shared" si="13"/>
        <v>0</v>
      </c>
      <c r="U40" s="110">
        <f t="shared" si="13"/>
        <v>121.65624226154755</v>
      </c>
      <c r="V40" s="110">
        <f t="shared" si="13"/>
        <v>121.65624226154755</v>
      </c>
      <c r="W40" s="110">
        <f t="shared" si="13"/>
        <v>121.65624226154755</v>
      </c>
      <c r="X40" s="110">
        <f t="shared" si="13"/>
        <v>121.65624226154755</v>
      </c>
      <c r="Y40" s="110">
        <f t="shared" si="13"/>
        <v>121.65624226154755</v>
      </c>
      <c r="Z40" s="110">
        <f t="shared" si="13"/>
        <v>121.65624226154755</v>
      </c>
      <c r="AA40" s="110">
        <f t="shared" si="13"/>
        <v>121.65624226154755</v>
      </c>
      <c r="AB40" s="110">
        <f t="shared" si="13"/>
        <v>121.65624226154755</v>
      </c>
      <c r="AC40" s="110">
        <f t="shared" si="13"/>
        <v>121.65624226154755</v>
      </c>
      <c r="AD40" s="110">
        <f t="shared" si="13"/>
        <v>121.65624226154755</v>
      </c>
      <c r="AE40" s="110">
        <f t="shared" si="13"/>
        <v>121.65624226154755</v>
      </c>
      <c r="AF40" s="110">
        <f t="shared" si="13"/>
        <v>121.65624226154755</v>
      </c>
      <c r="AG40" s="110">
        <f t="shared" si="13"/>
        <v>121.65624226154755</v>
      </c>
      <c r="AH40" s="110">
        <f t="shared" si="13"/>
        <v>121.65624226154755</v>
      </c>
      <c r="AI40" s="110">
        <f t="shared" si="13"/>
        <v>121.65624226154755</v>
      </c>
      <c r="AJ40" s="110">
        <f t="shared" si="13"/>
        <v>121.65624226154755</v>
      </c>
      <c r="AK40" s="110">
        <f t="shared" si="13"/>
        <v>121.65624226154755</v>
      </c>
      <c r="AL40" s="110">
        <f t="shared" si="13"/>
        <v>121.65624226154755</v>
      </c>
      <c r="AM40" s="110">
        <f t="shared" si="13"/>
        <v>121.65624226154755</v>
      </c>
      <c r="AN40" s="110">
        <f t="shared" si="13"/>
        <v>121.65624226154755</v>
      </c>
      <c r="AO40" s="110">
        <f t="shared" si="13"/>
        <v>121.65624226154755</v>
      </c>
      <c r="AP40" s="110">
        <f t="shared" si="13"/>
        <v>121.65624226154755</v>
      </c>
      <c r="AQ40" s="110">
        <f t="shared" si="13"/>
        <v>121.65624226154755</v>
      </c>
      <c r="AR40" s="110">
        <f t="shared" si="13"/>
        <v>121.65624226154755</v>
      </c>
      <c r="AS40" s="110">
        <f t="shared" si="13"/>
        <v>121.65624226154755</v>
      </c>
      <c r="AT40" s="110">
        <f t="shared" si="13"/>
        <v>121.65624226154755</v>
      </c>
      <c r="AU40" s="110">
        <f t="shared" si="13"/>
        <v>0</v>
      </c>
      <c r="AV40" s="110">
        <f t="shared" si="13"/>
        <v>243.31248452309509</v>
      </c>
      <c r="AW40" s="110">
        <f t="shared" si="13"/>
        <v>121.65624226154755</v>
      </c>
      <c r="AX40" s="110">
        <f t="shared" si="13"/>
        <v>121.65624226154755</v>
      </c>
      <c r="AY40" s="110">
        <f t="shared" si="13"/>
        <v>121.65624226154755</v>
      </c>
    </row>
    <row r="41" spans="1:52">
      <c r="A41" s="110"/>
      <c r="B41" s="165" t="s">
        <v>349</v>
      </c>
      <c r="C41" s="110"/>
      <c r="D41" s="110">
        <v>1</v>
      </c>
      <c r="E41" s="110">
        <v>1</v>
      </c>
      <c r="F41" s="110">
        <v>1</v>
      </c>
      <c r="G41" s="110">
        <v>1</v>
      </c>
      <c r="H41" s="110">
        <v>1</v>
      </c>
      <c r="I41" s="110">
        <v>1</v>
      </c>
      <c r="J41" s="110">
        <v>1</v>
      </c>
      <c r="K41" s="110">
        <v>1</v>
      </c>
      <c r="L41" s="110">
        <v>1</v>
      </c>
      <c r="M41" s="110">
        <v>2</v>
      </c>
      <c r="N41" s="110">
        <v>1</v>
      </c>
      <c r="O41" s="110">
        <v>1</v>
      </c>
      <c r="P41" s="110">
        <v>1</v>
      </c>
      <c r="Q41" s="110">
        <v>1</v>
      </c>
      <c r="R41" s="110">
        <v>1</v>
      </c>
      <c r="S41" s="110">
        <v>2</v>
      </c>
      <c r="T41" s="110">
        <v>1</v>
      </c>
      <c r="U41" s="110">
        <v>2</v>
      </c>
      <c r="V41" s="110">
        <v>1</v>
      </c>
      <c r="W41" s="110">
        <v>1</v>
      </c>
      <c r="X41" s="110">
        <v>1</v>
      </c>
      <c r="Y41" s="110">
        <v>2</v>
      </c>
      <c r="Z41" s="110">
        <v>2</v>
      </c>
      <c r="AA41" s="110">
        <v>1</v>
      </c>
      <c r="AB41" s="110">
        <v>1</v>
      </c>
      <c r="AC41" s="110">
        <v>2</v>
      </c>
      <c r="AD41" s="110">
        <v>1</v>
      </c>
      <c r="AE41" s="110">
        <v>2</v>
      </c>
      <c r="AF41" s="110">
        <v>1</v>
      </c>
      <c r="AG41" s="110">
        <v>2</v>
      </c>
      <c r="AH41" s="110">
        <v>1</v>
      </c>
      <c r="AI41" s="110">
        <v>1</v>
      </c>
      <c r="AJ41" s="110">
        <v>1</v>
      </c>
      <c r="AK41" s="110">
        <v>2</v>
      </c>
      <c r="AL41" s="110">
        <v>1</v>
      </c>
      <c r="AM41" s="110">
        <v>1</v>
      </c>
      <c r="AN41" s="110">
        <v>1</v>
      </c>
      <c r="AO41" s="110">
        <v>2</v>
      </c>
      <c r="AP41" s="110">
        <v>3</v>
      </c>
      <c r="AQ41" s="110">
        <v>1</v>
      </c>
      <c r="AR41" s="110">
        <v>1</v>
      </c>
      <c r="AS41" s="110">
        <v>1</v>
      </c>
      <c r="AT41" s="110">
        <v>1</v>
      </c>
      <c r="AU41" s="110">
        <v>2</v>
      </c>
      <c r="AV41" s="110">
        <v>1</v>
      </c>
      <c r="AW41" s="110">
        <v>1</v>
      </c>
      <c r="AX41" s="110">
        <v>1</v>
      </c>
      <c r="AY41" s="110">
        <v>1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44820</v>
      </c>
      <c r="R42" s="110">
        <v>44820</v>
      </c>
      <c r="S42" s="110">
        <v>44820</v>
      </c>
      <c r="T42" s="110">
        <v>44820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0</v>
      </c>
      <c r="AX42" s="110">
        <v>0</v>
      </c>
      <c r="AY42" s="110">
        <v>0</v>
      </c>
      <c r="AZ42" s="100">
        <f>SUM($D$42:$AY$42)</f>
        <v>179280</v>
      </c>
    </row>
    <row r="43" spans="1:52">
      <c r="A43" s="110"/>
      <c r="B43" s="178" t="s">
        <v>351</v>
      </c>
      <c r="C43" s="110"/>
      <c r="D43" s="110">
        <v>183828.88774906556</v>
      </c>
      <c r="E43" s="110">
        <v>187910.83900250337</v>
      </c>
      <c r="F43" s="110">
        <v>0</v>
      </c>
      <c r="G43" s="110">
        <v>375821.67800500675</v>
      </c>
      <c r="H43" s="110">
        <v>187910.83900250337</v>
      </c>
      <c r="I43" s="110">
        <v>225491.90510226102</v>
      </c>
      <c r="J43" s="110">
        <v>225491.90510226102</v>
      </c>
      <c r="K43" s="110">
        <v>225491.90510226102</v>
      </c>
      <c r="L43" s="110">
        <v>225491.90510226102</v>
      </c>
      <c r="M43" s="110">
        <v>225491.90510226102</v>
      </c>
      <c r="N43" s="110">
        <v>225491.90510226102</v>
      </c>
      <c r="O43" s="110">
        <v>225491.90510226102</v>
      </c>
      <c r="P43" s="110">
        <v>225491.90510226102</v>
      </c>
      <c r="Q43" s="110">
        <v>0</v>
      </c>
      <c r="R43" s="110">
        <v>0</v>
      </c>
      <c r="S43" s="110">
        <v>0</v>
      </c>
      <c r="T43" s="110">
        <v>0</v>
      </c>
      <c r="U43" s="110">
        <v>187910.83900250337</v>
      </c>
      <c r="V43" s="110">
        <v>187910.83900250337</v>
      </c>
      <c r="W43" s="110">
        <v>187910.83900250337</v>
      </c>
      <c r="X43" s="110">
        <v>187910.83900250337</v>
      </c>
      <c r="Y43" s="110">
        <v>187910.83900250337</v>
      </c>
      <c r="Z43" s="110">
        <v>187910.83900250337</v>
      </c>
      <c r="AA43" s="110">
        <v>187910.83900250337</v>
      </c>
      <c r="AB43" s="110">
        <v>187910.83900250337</v>
      </c>
      <c r="AC43" s="110">
        <v>187910.83900250337</v>
      </c>
      <c r="AD43" s="110">
        <v>187910.83900250337</v>
      </c>
      <c r="AE43" s="110">
        <v>187910.83900250337</v>
      </c>
      <c r="AF43" s="110">
        <v>187910.83900250337</v>
      </c>
      <c r="AG43" s="110">
        <v>187910.83900250337</v>
      </c>
      <c r="AH43" s="110">
        <v>187910.83900250337</v>
      </c>
      <c r="AI43" s="110">
        <v>187910.83900250337</v>
      </c>
      <c r="AJ43" s="110">
        <v>187910.83900250337</v>
      </c>
      <c r="AK43" s="110">
        <v>187910.83900250337</v>
      </c>
      <c r="AL43" s="110">
        <v>187910.83900250337</v>
      </c>
      <c r="AM43" s="110">
        <v>187910.83900250337</v>
      </c>
      <c r="AN43" s="110">
        <v>187910.83900250337</v>
      </c>
      <c r="AO43" s="110">
        <v>187910.83900250337</v>
      </c>
      <c r="AP43" s="110">
        <v>187910.83900250337</v>
      </c>
      <c r="AQ43" s="110">
        <v>187910.83900250337</v>
      </c>
      <c r="AR43" s="110">
        <v>187910.83900250337</v>
      </c>
      <c r="AS43" s="110">
        <v>187910.83900250337</v>
      </c>
      <c r="AT43" s="110">
        <v>187910.83900250337</v>
      </c>
      <c r="AU43" s="110">
        <v>0</v>
      </c>
      <c r="AV43" s="110">
        <v>375821.67800500675</v>
      </c>
      <c r="AW43" s="110">
        <v>187910.83900250337</v>
      </c>
      <c r="AX43" s="110">
        <v>187910.83900250337</v>
      </c>
      <c r="AY43" s="110">
        <v>187910.83900250337</v>
      </c>
      <c r="AZ43" s="100">
        <f>SUM($D$43:$AY$43)</f>
        <v>8564643.4936547671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1</v>
      </c>
      <c r="F52" s="110">
        <v>1</v>
      </c>
      <c r="G52" s="110">
        <v>1</v>
      </c>
      <c r="H52" s="110">
        <v>1</v>
      </c>
      <c r="I52" s="110">
        <v>3</v>
      </c>
      <c r="J52" s="110">
        <v>2</v>
      </c>
      <c r="K52" s="110">
        <v>1</v>
      </c>
      <c r="L52" s="110">
        <v>1</v>
      </c>
      <c r="M52" s="110">
        <v>2</v>
      </c>
      <c r="N52" s="110">
        <v>2</v>
      </c>
      <c r="O52" s="110">
        <v>1</v>
      </c>
      <c r="P52" s="110">
        <v>1</v>
      </c>
      <c r="Q52" s="110">
        <v>2</v>
      </c>
      <c r="R52" s="110">
        <v>1</v>
      </c>
      <c r="S52" s="110">
        <v>1</v>
      </c>
      <c r="T52" s="110">
        <v>2</v>
      </c>
      <c r="U52" s="110">
        <v>3</v>
      </c>
      <c r="V52" s="110">
        <v>1</v>
      </c>
      <c r="W52" s="110">
        <v>1</v>
      </c>
      <c r="X52" s="110">
        <v>1</v>
      </c>
      <c r="Y52" s="110">
        <v>1</v>
      </c>
      <c r="Z52" s="110">
        <v>1</v>
      </c>
      <c r="AA52" s="110">
        <v>1</v>
      </c>
      <c r="AB52" s="110">
        <v>3</v>
      </c>
      <c r="AC52" s="110">
        <v>1</v>
      </c>
      <c r="AD52" s="110">
        <v>2</v>
      </c>
      <c r="AE52" s="110">
        <v>1</v>
      </c>
      <c r="AF52" s="110">
        <v>3</v>
      </c>
      <c r="AG52" s="110">
        <v>1</v>
      </c>
      <c r="AH52" s="110">
        <v>1</v>
      </c>
      <c r="AI52" s="110">
        <v>1</v>
      </c>
      <c r="AJ52" s="110">
        <v>1</v>
      </c>
      <c r="AK52" s="110">
        <v>1</v>
      </c>
      <c r="AL52" s="110">
        <v>1</v>
      </c>
      <c r="AM52" s="110">
        <v>1</v>
      </c>
      <c r="AN52" s="110">
        <v>2</v>
      </c>
      <c r="AO52" s="110">
        <v>2</v>
      </c>
      <c r="AP52" s="110">
        <v>2</v>
      </c>
      <c r="AQ52" s="110">
        <v>1</v>
      </c>
      <c r="AR52" s="110">
        <v>2</v>
      </c>
      <c r="AS52" s="110">
        <v>2</v>
      </c>
      <c r="AT52" s="110">
        <v>2</v>
      </c>
      <c r="AU52" s="110">
        <v>1</v>
      </c>
      <c r="AV52" s="110">
        <v>2</v>
      </c>
      <c r="AW52" s="110">
        <v>2</v>
      </c>
      <c r="AX52" s="110">
        <v>2</v>
      </c>
      <c r="AY52" s="110">
        <v>1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592.45441496764442</v>
      </c>
      <c r="E55" s="124">
        <f>E$21*shipping_manufacturing!$F$29/100</f>
        <v>605.60996451915514</v>
      </c>
      <c r="F55" s="124">
        <f>F$21*shipping_manufacturing!$F$29/100</f>
        <v>0</v>
      </c>
      <c r="G55" s="124">
        <f>G$21*shipping_manufacturing!$F$29/100</f>
        <v>1211.2199290383103</v>
      </c>
      <c r="H55" s="124">
        <f>H$21*shipping_manufacturing!$F$29/100</f>
        <v>605.60996451915514</v>
      </c>
      <c r="I55" s="124">
        <f>I$21*shipping_manufacturing!$F$29/100</f>
        <v>726.72840679785236</v>
      </c>
      <c r="J55" s="124">
        <f>J$21*shipping_manufacturing!$F$29/100</f>
        <v>726.72840679785236</v>
      </c>
      <c r="K55" s="124">
        <f>K$21*shipping_manufacturing!$F$29/100</f>
        <v>726.72840679785236</v>
      </c>
      <c r="L55" s="124">
        <f>L$21*shipping_manufacturing!$F$29/100</f>
        <v>726.72840679785236</v>
      </c>
      <c r="M55" s="124">
        <f>M$21*shipping_manufacturing!$F$29/100</f>
        <v>726.72840679785236</v>
      </c>
      <c r="N55" s="124">
        <f>N$21*shipping_manufacturing!$F$29/100</f>
        <v>726.72840679785236</v>
      </c>
      <c r="O55" s="124">
        <f>O$21*shipping_manufacturing!$F$29/100</f>
        <v>726.72840679785236</v>
      </c>
      <c r="P55" s="124">
        <f>P$21*shipping_manufacturing!$F$29/100</f>
        <v>726.72840679785236</v>
      </c>
      <c r="Q55" s="124">
        <f>Q$21*shipping_manufacturing!$F$29/100</f>
        <v>1.7753125669277104E-2</v>
      </c>
      <c r="R55" s="124">
        <f>R$21*shipping_manufacturing!$F$29/100</f>
        <v>1.7753125669277104E-2</v>
      </c>
      <c r="S55" s="124">
        <f>S$21*shipping_manufacturing!$F$29/100</f>
        <v>1.7753125669277104E-2</v>
      </c>
      <c r="T55" s="124">
        <f>T$21*shipping_manufacturing!$F$29/100</f>
        <v>1.7753125669277104E-2</v>
      </c>
      <c r="U55" s="124">
        <f>U$21*shipping_manufacturing!$F$29/100</f>
        <v>605.60996451915514</v>
      </c>
      <c r="V55" s="124">
        <f>V$21*shipping_manufacturing!$F$29/100</f>
        <v>605.60996451915514</v>
      </c>
      <c r="W55" s="124">
        <f>W$21*shipping_manufacturing!$F$29/100</f>
        <v>605.60996451915514</v>
      </c>
      <c r="X55" s="124">
        <f>X$21*shipping_manufacturing!$F$29/100</f>
        <v>605.60996451915514</v>
      </c>
      <c r="Y55" s="124">
        <f>Y$21*shipping_manufacturing!$F$29/100</f>
        <v>605.60996451915514</v>
      </c>
      <c r="Z55" s="124">
        <f>Z$21*shipping_manufacturing!$F$29/100</f>
        <v>605.60996451915514</v>
      </c>
      <c r="AA55" s="124">
        <f>AA$21*shipping_manufacturing!$F$29/100</f>
        <v>605.60996451915514</v>
      </c>
      <c r="AB55" s="124">
        <f>AB$21*shipping_manufacturing!$F$29/100</f>
        <v>605.60996451915514</v>
      </c>
      <c r="AC55" s="124">
        <f>AC$21*shipping_manufacturing!$F$29/100</f>
        <v>605.60996451915514</v>
      </c>
      <c r="AD55" s="124">
        <f>AD$21*shipping_manufacturing!$F$29/100</f>
        <v>605.60996451915514</v>
      </c>
      <c r="AE55" s="124">
        <f>AE$21*shipping_manufacturing!$F$29/100</f>
        <v>605.60996451915514</v>
      </c>
      <c r="AF55" s="124">
        <f>AF$21*shipping_manufacturing!$F$29/100</f>
        <v>605.60996451915514</v>
      </c>
      <c r="AG55" s="124">
        <f>AG$21*shipping_manufacturing!$F$29/100</f>
        <v>605.60996451915514</v>
      </c>
      <c r="AH55" s="124">
        <f>AH$21*shipping_manufacturing!$F$29/100</f>
        <v>605.60996451915514</v>
      </c>
      <c r="AI55" s="124">
        <f>AI$21*shipping_manufacturing!$F$29/100</f>
        <v>605.60996451915514</v>
      </c>
      <c r="AJ55" s="124">
        <f>AJ$21*shipping_manufacturing!$F$29/100</f>
        <v>605.60996451915514</v>
      </c>
      <c r="AK55" s="124">
        <f>AK$21*shipping_manufacturing!$F$29/100</f>
        <v>605.60996451915514</v>
      </c>
      <c r="AL55" s="124">
        <f>AL$21*shipping_manufacturing!$F$29/100</f>
        <v>605.60996451915514</v>
      </c>
      <c r="AM55" s="124">
        <f>AM$21*shipping_manufacturing!$F$29/100</f>
        <v>605.60996451915514</v>
      </c>
      <c r="AN55" s="124">
        <f>AN$21*shipping_manufacturing!$F$29/100</f>
        <v>605.60996451915514</v>
      </c>
      <c r="AO55" s="124">
        <f>AO$21*shipping_manufacturing!$F$29/100</f>
        <v>605.60996451915514</v>
      </c>
      <c r="AP55" s="124">
        <f>AP$21*shipping_manufacturing!$F$29/100</f>
        <v>605.60996451915514</v>
      </c>
      <c r="AQ55" s="124">
        <f>AQ$21*shipping_manufacturing!$F$29/100</f>
        <v>605.60996451915514</v>
      </c>
      <c r="AR55" s="124">
        <f>AR$21*shipping_manufacturing!$F$29/100</f>
        <v>605.60996451915514</v>
      </c>
      <c r="AS55" s="124">
        <f>AS$21*shipping_manufacturing!$F$29/100</f>
        <v>605.60996451915514</v>
      </c>
      <c r="AT55" s="124">
        <f>AT$21*shipping_manufacturing!$F$29/100</f>
        <v>605.60996451915514</v>
      </c>
      <c r="AU55" s="124">
        <f>AU$21*shipping_manufacturing!$F$29/100</f>
        <v>0</v>
      </c>
      <c r="AV55" s="124">
        <f>AV$21*shipping_manufacturing!$F$29/100</f>
        <v>1211.2199290383103</v>
      </c>
      <c r="AW55" s="124">
        <f>AW$21*shipping_manufacturing!$F$29/100</f>
        <v>605.60996451915514</v>
      </c>
      <c r="AX55" s="124">
        <f>AX$21*shipping_manufacturing!$F$29/100</f>
        <v>605.60996451915514</v>
      </c>
      <c r="AY55" s="124">
        <f>AY$21*shipping_manufacturing!$F$29/100</f>
        <v>605.60996451915514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806.19088455482415</v>
      </c>
      <c r="E56" s="110">
        <f>E$22*shipping_manufacturing!$G$29/100</f>
        <v>824.09248822557504</v>
      </c>
      <c r="F56" s="110">
        <f>F$22*shipping_manufacturing!$G$29/100</f>
        <v>0</v>
      </c>
      <c r="G56" s="110">
        <f>G$22*shipping_manufacturing!$G$29/100</f>
        <v>1648.1849764511501</v>
      </c>
      <c r="H56" s="110">
        <f>H$22*shipping_manufacturing!$G$29/100</f>
        <v>824.09248822557504</v>
      </c>
      <c r="I56" s="110">
        <f>I$22*shipping_manufacturing!$G$29/100</f>
        <v>988.90615430636183</v>
      </c>
      <c r="J56" s="110">
        <f>J$22*shipping_manufacturing!$G$29/100</f>
        <v>988.90615430636183</v>
      </c>
      <c r="K56" s="110">
        <f>K$22*shipping_manufacturing!$G$29/100</f>
        <v>988.90615430636183</v>
      </c>
      <c r="L56" s="110">
        <f>L$22*shipping_manufacturing!$G$29/100</f>
        <v>988.90615430636183</v>
      </c>
      <c r="M56" s="110">
        <f>M$22*shipping_manufacturing!$G$29/100</f>
        <v>988.90615430636183</v>
      </c>
      <c r="N56" s="110">
        <f>N$22*shipping_manufacturing!$G$29/100</f>
        <v>988.90615430636183</v>
      </c>
      <c r="O56" s="110">
        <f>O$22*shipping_manufacturing!$G$29/100</f>
        <v>988.90615430636183</v>
      </c>
      <c r="P56" s="110">
        <f>P$22*shipping_manufacturing!$G$29/100</f>
        <v>988.90615430636183</v>
      </c>
      <c r="Q56" s="110">
        <f>Q$22*shipping_manufacturing!$G$29/100</f>
        <v>2.4157821640520823E-2</v>
      </c>
      <c r="R56" s="110">
        <f>R$22*shipping_manufacturing!$G$29/100</f>
        <v>2.4157821640520823E-2</v>
      </c>
      <c r="S56" s="110">
        <f>S$22*shipping_manufacturing!$G$29/100</f>
        <v>2.4157821640520823E-2</v>
      </c>
      <c r="T56" s="110">
        <f>T$22*shipping_manufacturing!$G$29/100</f>
        <v>2.4157821640520823E-2</v>
      </c>
      <c r="U56" s="110">
        <f>U$22*shipping_manufacturing!$G$29/100</f>
        <v>824.09248822557504</v>
      </c>
      <c r="V56" s="110">
        <f>V$22*shipping_manufacturing!$G$29/100</f>
        <v>824.09248822557504</v>
      </c>
      <c r="W56" s="110">
        <f>W$22*shipping_manufacturing!$G$29/100</f>
        <v>824.09248822557504</v>
      </c>
      <c r="X56" s="110">
        <f>X$22*shipping_manufacturing!$G$29/100</f>
        <v>824.09248822557504</v>
      </c>
      <c r="Y56" s="110">
        <f>Y$22*shipping_manufacturing!$G$29/100</f>
        <v>824.09248822557504</v>
      </c>
      <c r="Z56" s="110">
        <f>Z$22*shipping_manufacturing!$G$29/100</f>
        <v>824.09248822557504</v>
      </c>
      <c r="AA56" s="110">
        <f>AA$22*shipping_manufacturing!$G$29/100</f>
        <v>824.09248822557504</v>
      </c>
      <c r="AB56" s="110">
        <f>AB$22*shipping_manufacturing!$G$29/100</f>
        <v>824.09248822557504</v>
      </c>
      <c r="AC56" s="110">
        <f>AC$22*shipping_manufacturing!$G$29/100</f>
        <v>824.09248822557504</v>
      </c>
      <c r="AD56" s="110">
        <f>AD$22*shipping_manufacturing!$G$29/100</f>
        <v>824.09248822557504</v>
      </c>
      <c r="AE56" s="110">
        <f>AE$22*shipping_manufacturing!$G$29/100</f>
        <v>824.09248822557504</v>
      </c>
      <c r="AF56" s="110">
        <f>AF$22*shipping_manufacturing!$G$29/100</f>
        <v>824.09248822557504</v>
      </c>
      <c r="AG56" s="110">
        <f>AG$22*shipping_manufacturing!$G$29/100</f>
        <v>824.09248822557504</v>
      </c>
      <c r="AH56" s="110">
        <f>AH$22*shipping_manufacturing!$G$29/100</f>
        <v>824.09248822557504</v>
      </c>
      <c r="AI56" s="110">
        <f>AI$22*shipping_manufacturing!$G$29/100</f>
        <v>824.09248822557504</v>
      </c>
      <c r="AJ56" s="110">
        <f>AJ$22*shipping_manufacturing!$G$29/100</f>
        <v>824.09248822557504</v>
      </c>
      <c r="AK56" s="110">
        <f>AK$22*shipping_manufacturing!$G$29/100</f>
        <v>824.09248822557504</v>
      </c>
      <c r="AL56" s="110">
        <f>AL$22*shipping_manufacturing!$G$29/100</f>
        <v>824.09248822557504</v>
      </c>
      <c r="AM56" s="110">
        <f>AM$22*shipping_manufacturing!$G$29/100</f>
        <v>824.09248822557504</v>
      </c>
      <c r="AN56" s="110">
        <f>AN$22*shipping_manufacturing!$G$29/100</f>
        <v>824.09248822557504</v>
      </c>
      <c r="AO56" s="110">
        <f>AO$22*shipping_manufacturing!$G$29/100</f>
        <v>824.09248822557504</v>
      </c>
      <c r="AP56" s="110">
        <f>AP$22*shipping_manufacturing!$G$29/100</f>
        <v>824.09248822557504</v>
      </c>
      <c r="AQ56" s="110">
        <f>AQ$22*shipping_manufacturing!$G$29/100</f>
        <v>824.09248822557504</v>
      </c>
      <c r="AR56" s="110">
        <f>AR$22*shipping_manufacturing!$G$29/100</f>
        <v>824.09248822557504</v>
      </c>
      <c r="AS56" s="110">
        <f>AS$22*shipping_manufacturing!$G$29/100</f>
        <v>824.09248822557504</v>
      </c>
      <c r="AT56" s="110">
        <f>AT$22*shipping_manufacturing!$G$29/100</f>
        <v>824.09248822557504</v>
      </c>
      <c r="AU56" s="110">
        <f>AU$22*shipping_manufacturing!$G$29/100</f>
        <v>0</v>
      </c>
      <c r="AV56" s="110">
        <f>AV$22*shipping_manufacturing!$G$29/100</f>
        <v>1648.1849764511501</v>
      </c>
      <c r="AW56" s="110">
        <f>AW$22*shipping_manufacturing!$G$29/100</f>
        <v>824.09248822557504</v>
      </c>
      <c r="AX56" s="110">
        <f>AX$22*shipping_manufacturing!$G$29/100</f>
        <v>824.09248822557504</v>
      </c>
      <c r="AY56" s="110">
        <f>AY$22*shipping_manufacturing!$G$29/100</f>
        <v>824.09248822557504</v>
      </c>
    </row>
    <row r="57" spans="1:52">
      <c r="A57" s="110">
        <v>495</v>
      </c>
      <c r="B57" s="165" t="s">
        <v>343</v>
      </c>
      <c r="C57" s="110"/>
      <c r="D57" s="110">
        <f>SUM(D55:D56)</f>
        <v>1398.6452995224686</v>
      </c>
      <c r="E57" s="110">
        <f t="shared" ref="E57:AY57" si="17">SUM(E55:E56)</f>
        <v>1429.7024527447302</v>
      </c>
      <c r="F57" s="110">
        <f t="shared" si="17"/>
        <v>0</v>
      </c>
      <c r="G57" s="110">
        <f t="shared" si="17"/>
        <v>2859.4049054894604</v>
      </c>
      <c r="H57" s="110">
        <f t="shared" si="17"/>
        <v>1429.7024527447302</v>
      </c>
      <c r="I57" s="110">
        <f t="shared" si="17"/>
        <v>1715.6345611042143</v>
      </c>
      <c r="J57" s="110">
        <f t="shared" si="17"/>
        <v>1715.6345611042143</v>
      </c>
      <c r="K57" s="110">
        <f t="shared" si="17"/>
        <v>1715.6345611042143</v>
      </c>
      <c r="L57" s="110">
        <f t="shared" si="17"/>
        <v>1715.6345611042143</v>
      </c>
      <c r="M57" s="110">
        <f t="shared" si="17"/>
        <v>1715.6345611042143</v>
      </c>
      <c r="N57" s="110">
        <f t="shared" si="17"/>
        <v>1715.6345611042143</v>
      </c>
      <c r="O57" s="110">
        <f t="shared" si="17"/>
        <v>1715.6345611042143</v>
      </c>
      <c r="P57" s="110">
        <f t="shared" si="17"/>
        <v>1715.6345611042143</v>
      </c>
      <c r="Q57" s="110">
        <f t="shared" si="17"/>
        <v>4.1910947309797927E-2</v>
      </c>
      <c r="R57" s="110">
        <f t="shared" si="17"/>
        <v>4.1910947309797927E-2</v>
      </c>
      <c r="S57" s="110">
        <f t="shared" si="17"/>
        <v>4.1910947309797927E-2</v>
      </c>
      <c r="T57" s="110">
        <f t="shared" si="17"/>
        <v>4.1910947309797927E-2</v>
      </c>
      <c r="U57" s="110">
        <f t="shared" si="17"/>
        <v>1429.7024527447302</v>
      </c>
      <c r="V57" s="110">
        <f t="shared" si="17"/>
        <v>1429.7024527447302</v>
      </c>
      <c r="W57" s="110">
        <f t="shared" si="17"/>
        <v>1429.7024527447302</v>
      </c>
      <c r="X57" s="110">
        <f t="shared" si="17"/>
        <v>1429.7024527447302</v>
      </c>
      <c r="Y57" s="110">
        <f t="shared" si="17"/>
        <v>1429.7024527447302</v>
      </c>
      <c r="Z57" s="110">
        <f t="shared" si="17"/>
        <v>1429.7024527447302</v>
      </c>
      <c r="AA57" s="110">
        <f t="shared" si="17"/>
        <v>1429.7024527447302</v>
      </c>
      <c r="AB57" s="110">
        <f t="shared" si="17"/>
        <v>1429.7024527447302</v>
      </c>
      <c r="AC57" s="110">
        <f t="shared" si="17"/>
        <v>1429.7024527447302</v>
      </c>
      <c r="AD57" s="110">
        <f t="shared" si="17"/>
        <v>1429.7024527447302</v>
      </c>
      <c r="AE57" s="110">
        <f t="shared" si="17"/>
        <v>1429.7024527447302</v>
      </c>
      <c r="AF57" s="110">
        <f t="shared" si="17"/>
        <v>1429.7024527447302</v>
      </c>
      <c r="AG57" s="110">
        <f t="shared" si="17"/>
        <v>1429.7024527447302</v>
      </c>
      <c r="AH57" s="110">
        <f t="shared" si="17"/>
        <v>1429.7024527447302</v>
      </c>
      <c r="AI57" s="110">
        <f t="shared" si="17"/>
        <v>1429.7024527447302</v>
      </c>
      <c r="AJ57" s="110">
        <f t="shared" si="17"/>
        <v>1429.7024527447302</v>
      </c>
      <c r="AK57" s="110">
        <f t="shared" si="17"/>
        <v>1429.7024527447302</v>
      </c>
      <c r="AL57" s="110">
        <f t="shared" si="17"/>
        <v>1429.7024527447302</v>
      </c>
      <c r="AM57" s="110">
        <f t="shared" si="17"/>
        <v>1429.7024527447302</v>
      </c>
      <c r="AN57" s="110">
        <f t="shared" si="17"/>
        <v>1429.7024527447302</v>
      </c>
      <c r="AO57" s="110">
        <f t="shared" si="17"/>
        <v>1429.7024527447302</v>
      </c>
      <c r="AP57" s="110">
        <f t="shared" si="17"/>
        <v>1429.7024527447302</v>
      </c>
      <c r="AQ57" s="110">
        <f t="shared" si="17"/>
        <v>1429.7024527447302</v>
      </c>
      <c r="AR57" s="110">
        <f t="shared" si="17"/>
        <v>1429.7024527447302</v>
      </c>
      <c r="AS57" s="110">
        <f t="shared" si="17"/>
        <v>1429.7024527447302</v>
      </c>
      <c r="AT57" s="110">
        <f t="shared" si="17"/>
        <v>1429.7024527447302</v>
      </c>
      <c r="AU57" s="110">
        <f t="shared" si="17"/>
        <v>0</v>
      </c>
      <c r="AV57" s="110">
        <f t="shared" si="17"/>
        <v>2859.4049054894604</v>
      </c>
      <c r="AW57" s="110">
        <f t="shared" si="17"/>
        <v>1429.7024527447302</v>
      </c>
      <c r="AX57" s="110">
        <f t="shared" si="17"/>
        <v>1429.7024527447302</v>
      </c>
      <c r="AY57" s="110">
        <f t="shared" si="17"/>
        <v>1429.7024527447302</v>
      </c>
    </row>
    <row r="58" spans="1:52">
      <c r="A58" s="110"/>
      <c r="B58" s="165" t="s">
        <v>344</v>
      </c>
      <c r="C58" s="110"/>
      <c r="D58" s="110">
        <v>190.61622473293636</v>
      </c>
      <c r="E58" s="110"/>
      <c r="F58" s="110"/>
      <c r="G58" s="110">
        <v>190.61622473293647</v>
      </c>
      <c r="H58" s="110"/>
      <c r="I58" s="110">
        <v>190.61622473293636</v>
      </c>
      <c r="J58" s="110"/>
      <c r="K58" s="110">
        <v>190.61622473293636</v>
      </c>
      <c r="L58" s="110"/>
      <c r="M58" s="110">
        <v>190.61622473293636</v>
      </c>
      <c r="N58" s="110"/>
      <c r="O58" s="110">
        <v>190.61622473293636</v>
      </c>
      <c r="P58" s="110"/>
      <c r="Q58" s="110">
        <v>1.7753125669277104E-2</v>
      </c>
      <c r="R58" s="110">
        <v>1.7753125669277104E-2</v>
      </c>
      <c r="S58" s="110">
        <v>1.7753125669277104E-2</v>
      </c>
      <c r="T58" s="110">
        <v>1.7753125669277104E-2</v>
      </c>
      <c r="U58" s="110">
        <v>165.20072810187813</v>
      </c>
      <c r="V58" s="110">
        <v>25.415496631058183</v>
      </c>
      <c r="W58" s="110">
        <v>165.20072810187813</v>
      </c>
      <c r="X58" s="110">
        <v>25.415496631058183</v>
      </c>
      <c r="Y58" s="110">
        <v>165.20072810187813</v>
      </c>
      <c r="Z58" s="110">
        <v>25.415496631058183</v>
      </c>
      <c r="AA58" s="110">
        <v>165.20072810187813</v>
      </c>
      <c r="AB58" s="110">
        <v>25.415496631058183</v>
      </c>
      <c r="AC58" s="110">
        <v>165.20072810187813</v>
      </c>
      <c r="AD58" s="110">
        <v>25.415496631058183</v>
      </c>
      <c r="AE58" s="110">
        <v>165.20072810187813</v>
      </c>
      <c r="AF58" s="110">
        <v>25.415496631058183</v>
      </c>
      <c r="AG58" s="110">
        <v>165.20072810187813</v>
      </c>
      <c r="AH58" s="110">
        <v>25.415496631058183</v>
      </c>
      <c r="AI58" s="110">
        <v>165.20072810187813</v>
      </c>
      <c r="AJ58" s="110">
        <v>25.415496631058183</v>
      </c>
      <c r="AK58" s="110">
        <v>165.20072810187813</v>
      </c>
      <c r="AL58" s="110">
        <v>25.415496631058183</v>
      </c>
      <c r="AM58" s="110">
        <v>165.20072810187813</v>
      </c>
      <c r="AN58" s="110">
        <v>25.415496631058183</v>
      </c>
      <c r="AO58" s="110">
        <v>165.20072810187813</v>
      </c>
      <c r="AP58" s="110">
        <v>25.415496631058183</v>
      </c>
      <c r="AQ58" s="110">
        <v>165.20072810187813</v>
      </c>
      <c r="AR58" s="110">
        <v>25.415496631058183</v>
      </c>
      <c r="AS58" s="110">
        <v>165.20072810187813</v>
      </c>
      <c r="AT58" s="110">
        <v>25.415496631058183</v>
      </c>
      <c r="AU58" s="110"/>
      <c r="AV58" s="110">
        <v>190.61622473293647</v>
      </c>
      <c r="AW58" s="110"/>
      <c r="AX58" s="110">
        <v>190.61622473293627</v>
      </c>
      <c r="AY58" s="110"/>
    </row>
    <row r="59" spans="1:52">
      <c r="A59" s="110"/>
      <c r="B59" s="165" t="s">
        <v>345</v>
      </c>
      <c r="C59" s="110"/>
      <c r="D59" s="110">
        <v>259.38377526706358</v>
      </c>
      <c r="E59" s="110"/>
      <c r="F59" s="110"/>
      <c r="G59" s="110">
        <v>259.38377526706347</v>
      </c>
      <c r="H59" s="110"/>
      <c r="I59" s="110">
        <v>259.38377526706358</v>
      </c>
      <c r="J59" s="110"/>
      <c r="K59" s="110">
        <v>259.38377526706358</v>
      </c>
      <c r="L59" s="110"/>
      <c r="M59" s="110">
        <v>259.38377526706358</v>
      </c>
      <c r="N59" s="110"/>
      <c r="O59" s="110">
        <v>259.38377526706358</v>
      </c>
      <c r="P59" s="110"/>
      <c r="Q59" s="110">
        <v>2.4157821640520823E-2</v>
      </c>
      <c r="R59" s="110">
        <v>2.4157821640520823E-2</v>
      </c>
      <c r="S59" s="110">
        <v>2.4157821640520823E-2</v>
      </c>
      <c r="T59" s="110">
        <v>2.4157821640520823E-2</v>
      </c>
      <c r="U59" s="110">
        <v>224.79927189812179</v>
      </c>
      <c r="V59" s="110">
        <v>34.584503368941817</v>
      </c>
      <c r="W59" s="110">
        <v>224.79927189812179</v>
      </c>
      <c r="X59" s="110">
        <v>34.584503368941817</v>
      </c>
      <c r="Y59" s="110">
        <v>224.79927189812179</v>
      </c>
      <c r="Z59" s="110">
        <v>34.584503368941817</v>
      </c>
      <c r="AA59" s="110">
        <v>224.79927189812179</v>
      </c>
      <c r="AB59" s="110">
        <v>34.584503368941817</v>
      </c>
      <c r="AC59" s="110">
        <v>224.79927189812179</v>
      </c>
      <c r="AD59" s="110">
        <v>34.584503368941817</v>
      </c>
      <c r="AE59" s="110">
        <v>224.79927189812179</v>
      </c>
      <c r="AF59" s="110">
        <v>34.584503368941817</v>
      </c>
      <c r="AG59" s="110">
        <v>224.79927189812179</v>
      </c>
      <c r="AH59" s="110">
        <v>34.584503368941817</v>
      </c>
      <c r="AI59" s="110">
        <v>224.79927189812179</v>
      </c>
      <c r="AJ59" s="110">
        <v>34.584503368941817</v>
      </c>
      <c r="AK59" s="110">
        <v>224.79927189812179</v>
      </c>
      <c r="AL59" s="110">
        <v>34.584503368941817</v>
      </c>
      <c r="AM59" s="110">
        <v>224.79927189812179</v>
      </c>
      <c r="AN59" s="110">
        <v>34.584503368941817</v>
      </c>
      <c r="AO59" s="110">
        <v>224.79927189812179</v>
      </c>
      <c r="AP59" s="110">
        <v>34.584503368941817</v>
      </c>
      <c r="AQ59" s="110">
        <v>224.79927189812179</v>
      </c>
      <c r="AR59" s="110">
        <v>34.584503368941817</v>
      </c>
      <c r="AS59" s="110">
        <v>224.79927189812179</v>
      </c>
      <c r="AT59" s="110">
        <v>34.584503368941817</v>
      </c>
      <c r="AU59" s="110"/>
      <c r="AV59" s="110">
        <v>259.38377526706347</v>
      </c>
      <c r="AW59" s="110"/>
      <c r="AX59" s="110">
        <v>259.38377526706358</v>
      </c>
      <c r="AY59" s="110"/>
    </row>
    <row r="60" spans="1:52">
      <c r="A60" s="110"/>
      <c r="B60" s="165" t="s">
        <v>346</v>
      </c>
      <c r="C60" s="110"/>
      <c r="D60" s="110">
        <v>15</v>
      </c>
      <c r="E60" s="110"/>
      <c r="F60" s="110"/>
      <c r="G60" s="110">
        <v>15</v>
      </c>
      <c r="H60" s="110"/>
      <c r="I60" s="110">
        <v>15</v>
      </c>
      <c r="J60" s="110"/>
      <c r="K60" s="110">
        <v>15</v>
      </c>
      <c r="L60" s="110"/>
      <c r="M60" s="110">
        <v>15</v>
      </c>
      <c r="N60" s="110"/>
      <c r="O60" s="110">
        <v>15</v>
      </c>
      <c r="P60" s="110"/>
      <c r="Q60" s="110">
        <v>1</v>
      </c>
      <c r="R60" s="110">
        <v>1</v>
      </c>
      <c r="S60" s="110">
        <v>1</v>
      </c>
      <c r="T60" s="110">
        <v>1</v>
      </c>
      <c r="U60" s="110">
        <v>13</v>
      </c>
      <c r="V60" s="110">
        <v>2</v>
      </c>
      <c r="W60" s="110">
        <v>13</v>
      </c>
      <c r="X60" s="110">
        <v>2</v>
      </c>
      <c r="Y60" s="110">
        <v>13</v>
      </c>
      <c r="Z60" s="110">
        <v>2</v>
      </c>
      <c r="AA60" s="110">
        <v>13</v>
      </c>
      <c r="AB60" s="110">
        <v>2</v>
      </c>
      <c r="AC60" s="110">
        <v>13</v>
      </c>
      <c r="AD60" s="110">
        <v>2</v>
      </c>
      <c r="AE60" s="110">
        <v>13</v>
      </c>
      <c r="AF60" s="110">
        <v>2</v>
      </c>
      <c r="AG60" s="110">
        <v>13</v>
      </c>
      <c r="AH60" s="110">
        <v>2</v>
      </c>
      <c r="AI60" s="110">
        <v>13</v>
      </c>
      <c r="AJ60" s="110">
        <v>2</v>
      </c>
      <c r="AK60" s="110">
        <v>13</v>
      </c>
      <c r="AL60" s="110">
        <v>2</v>
      </c>
      <c r="AM60" s="110">
        <v>13</v>
      </c>
      <c r="AN60" s="110">
        <v>2</v>
      </c>
      <c r="AO60" s="110">
        <v>13</v>
      </c>
      <c r="AP60" s="110">
        <v>2</v>
      </c>
      <c r="AQ60" s="110">
        <v>13</v>
      </c>
      <c r="AR60" s="110">
        <v>2</v>
      </c>
      <c r="AS60" s="110">
        <v>13</v>
      </c>
      <c r="AT60" s="110">
        <v>2</v>
      </c>
      <c r="AU60" s="110"/>
      <c r="AV60" s="110">
        <v>15</v>
      </c>
      <c r="AW60" s="110"/>
      <c r="AX60" s="110">
        <v>15</v>
      </c>
      <c r="AY60" s="110"/>
    </row>
    <row r="61" spans="1:52">
      <c r="A61" s="110"/>
      <c r="B61" s="165" t="s">
        <v>347</v>
      </c>
      <c r="C61" s="110"/>
      <c r="D61" s="110">
        <f>D55-D58</f>
        <v>401.83819023470807</v>
      </c>
      <c r="E61" s="110">
        <f t="shared" ref="E61:AY61" si="18">E55-E58</f>
        <v>605.60996451915514</v>
      </c>
      <c r="F61" s="110">
        <f t="shared" si="18"/>
        <v>0</v>
      </c>
      <c r="G61" s="110">
        <f t="shared" si="18"/>
        <v>1020.6037043053739</v>
      </c>
      <c r="H61" s="110">
        <f t="shared" si="18"/>
        <v>605.60996451915514</v>
      </c>
      <c r="I61" s="110">
        <f t="shared" si="18"/>
        <v>536.11218206491594</v>
      </c>
      <c r="J61" s="110">
        <f t="shared" si="18"/>
        <v>726.72840679785236</v>
      </c>
      <c r="K61" s="110">
        <f t="shared" si="18"/>
        <v>536.11218206491594</v>
      </c>
      <c r="L61" s="110">
        <f t="shared" si="18"/>
        <v>726.72840679785236</v>
      </c>
      <c r="M61" s="110">
        <f t="shared" si="18"/>
        <v>536.11218206491594</v>
      </c>
      <c r="N61" s="110">
        <f t="shared" si="18"/>
        <v>726.72840679785236</v>
      </c>
      <c r="O61" s="110">
        <f t="shared" si="18"/>
        <v>536.11218206491594</v>
      </c>
      <c r="P61" s="110">
        <f t="shared" si="18"/>
        <v>726.72840679785236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440.40923641727704</v>
      </c>
      <c r="V61" s="110">
        <f t="shared" si="18"/>
        <v>580.19446788809694</v>
      </c>
      <c r="W61" s="110">
        <f t="shared" si="18"/>
        <v>440.40923641727704</v>
      </c>
      <c r="X61" s="110">
        <f t="shared" si="18"/>
        <v>580.19446788809694</v>
      </c>
      <c r="Y61" s="110">
        <f t="shared" si="18"/>
        <v>440.40923641727704</v>
      </c>
      <c r="Z61" s="110">
        <f t="shared" si="18"/>
        <v>580.19446788809694</v>
      </c>
      <c r="AA61" s="110">
        <f t="shared" si="18"/>
        <v>440.40923641727704</v>
      </c>
      <c r="AB61" s="110">
        <f t="shared" si="18"/>
        <v>580.19446788809694</v>
      </c>
      <c r="AC61" s="110">
        <f t="shared" si="18"/>
        <v>440.40923641727704</v>
      </c>
      <c r="AD61" s="110">
        <f t="shared" si="18"/>
        <v>580.19446788809694</v>
      </c>
      <c r="AE61" s="110">
        <f t="shared" si="18"/>
        <v>440.40923641727704</v>
      </c>
      <c r="AF61" s="110">
        <f t="shared" si="18"/>
        <v>580.19446788809694</v>
      </c>
      <c r="AG61" s="110">
        <f t="shared" si="18"/>
        <v>440.40923641727704</v>
      </c>
      <c r="AH61" s="110">
        <f t="shared" si="18"/>
        <v>580.19446788809694</v>
      </c>
      <c r="AI61" s="110">
        <f t="shared" si="18"/>
        <v>440.40923641727704</v>
      </c>
      <c r="AJ61" s="110">
        <f t="shared" si="18"/>
        <v>580.19446788809694</v>
      </c>
      <c r="AK61" s="110">
        <f t="shared" si="18"/>
        <v>440.40923641727704</v>
      </c>
      <c r="AL61" s="110">
        <f t="shared" si="18"/>
        <v>580.19446788809694</v>
      </c>
      <c r="AM61" s="110">
        <f t="shared" si="18"/>
        <v>440.40923641727704</v>
      </c>
      <c r="AN61" s="110">
        <f t="shared" si="18"/>
        <v>580.19446788809694</v>
      </c>
      <c r="AO61" s="110">
        <f t="shared" si="18"/>
        <v>440.40923641727704</v>
      </c>
      <c r="AP61" s="110">
        <f t="shared" si="18"/>
        <v>580.19446788809694</v>
      </c>
      <c r="AQ61" s="110">
        <f t="shared" si="18"/>
        <v>440.40923641727704</v>
      </c>
      <c r="AR61" s="110">
        <f t="shared" si="18"/>
        <v>580.19446788809694</v>
      </c>
      <c r="AS61" s="110">
        <f t="shared" si="18"/>
        <v>440.40923641727704</v>
      </c>
      <c r="AT61" s="110">
        <f t="shared" si="18"/>
        <v>580.19446788809694</v>
      </c>
      <c r="AU61" s="110">
        <f t="shared" si="18"/>
        <v>0</v>
      </c>
      <c r="AV61" s="110">
        <f t="shared" si="18"/>
        <v>1020.6037043053739</v>
      </c>
      <c r="AW61" s="110">
        <f t="shared" si="18"/>
        <v>605.60996451915514</v>
      </c>
      <c r="AX61" s="110">
        <f t="shared" si="18"/>
        <v>414.99373978621884</v>
      </c>
      <c r="AY61" s="110">
        <f t="shared" si="18"/>
        <v>605.60996451915514</v>
      </c>
    </row>
    <row r="62" spans="1:52">
      <c r="A62" s="110"/>
      <c r="B62" s="165" t="s">
        <v>348</v>
      </c>
      <c r="C62" s="110"/>
      <c r="D62" s="110">
        <f>D56-D59</f>
        <v>546.80710928776057</v>
      </c>
      <c r="E62" s="110">
        <f t="shared" ref="E62:AY62" si="19">E56-E59</f>
        <v>824.09248822557504</v>
      </c>
      <c r="F62" s="110">
        <f t="shared" si="19"/>
        <v>0</v>
      </c>
      <c r="G62" s="110">
        <f t="shared" si="19"/>
        <v>1388.8012011840865</v>
      </c>
      <c r="H62" s="110">
        <f t="shared" si="19"/>
        <v>824.09248822557504</v>
      </c>
      <c r="I62" s="110">
        <f t="shared" si="19"/>
        <v>729.52237903929824</v>
      </c>
      <c r="J62" s="110">
        <f t="shared" si="19"/>
        <v>988.90615430636183</v>
      </c>
      <c r="K62" s="110">
        <f t="shared" si="19"/>
        <v>729.52237903929824</v>
      </c>
      <c r="L62" s="110">
        <f t="shared" si="19"/>
        <v>988.90615430636183</v>
      </c>
      <c r="M62" s="110">
        <f t="shared" si="19"/>
        <v>729.52237903929824</v>
      </c>
      <c r="N62" s="110">
        <f t="shared" si="19"/>
        <v>988.90615430636183</v>
      </c>
      <c r="O62" s="110">
        <f t="shared" si="19"/>
        <v>729.52237903929824</v>
      </c>
      <c r="P62" s="110">
        <f t="shared" si="19"/>
        <v>988.90615430636183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599.29321632745325</v>
      </c>
      <c r="V62" s="110">
        <f t="shared" si="19"/>
        <v>789.50798485663324</v>
      </c>
      <c r="W62" s="110">
        <f t="shared" si="19"/>
        <v>599.29321632745325</v>
      </c>
      <c r="X62" s="110">
        <f t="shared" si="19"/>
        <v>789.50798485663324</v>
      </c>
      <c r="Y62" s="110">
        <f t="shared" si="19"/>
        <v>599.29321632745325</v>
      </c>
      <c r="Z62" s="110">
        <f t="shared" si="19"/>
        <v>789.50798485663324</v>
      </c>
      <c r="AA62" s="110">
        <f t="shared" si="19"/>
        <v>599.29321632745325</v>
      </c>
      <c r="AB62" s="110">
        <f t="shared" si="19"/>
        <v>789.50798485663324</v>
      </c>
      <c r="AC62" s="110">
        <f t="shared" si="19"/>
        <v>599.29321632745325</v>
      </c>
      <c r="AD62" s="110">
        <f t="shared" si="19"/>
        <v>789.50798485663324</v>
      </c>
      <c r="AE62" s="110">
        <f t="shared" si="19"/>
        <v>599.29321632745325</v>
      </c>
      <c r="AF62" s="110">
        <f t="shared" si="19"/>
        <v>789.50798485663324</v>
      </c>
      <c r="AG62" s="110">
        <f t="shared" si="19"/>
        <v>599.29321632745325</v>
      </c>
      <c r="AH62" s="110">
        <f t="shared" si="19"/>
        <v>789.50798485663324</v>
      </c>
      <c r="AI62" s="110">
        <f t="shared" si="19"/>
        <v>599.29321632745325</v>
      </c>
      <c r="AJ62" s="110">
        <f t="shared" si="19"/>
        <v>789.50798485663324</v>
      </c>
      <c r="AK62" s="110">
        <f t="shared" si="19"/>
        <v>599.29321632745325</v>
      </c>
      <c r="AL62" s="110">
        <f t="shared" si="19"/>
        <v>789.50798485663324</v>
      </c>
      <c r="AM62" s="110">
        <f t="shared" si="19"/>
        <v>599.29321632745325</v>
      </c>
      <c r="AN62" s="110">
        <f t="shared" si="19"/>
        <v>789.50798485663324</v>
      </c>
      <c r="AO62" s="110">
        <f t="shared" si="19"/>
        <v>599.29321632745325</v>
      </c>
      <c r="AP62" s="110">
        <f t="shared" si="19"/>
        <v>789.50798485663324</v>
      </c>
      <c r="AQ62" s="110">
        <f t="shared" si="19"/>
        <v>599.29321632745325</v>
      </c>
      <c r="AR62" s="110">
        <f t="shared" si="19"/>
        <v>789.50798485663324</v>
      </c>
      <c r="AS62" s="110">
        <f t="shared" si="19"/>
        <v>599.29321632745325</v>
      </c>
      <c r="AT62" s="110">
        <f t="shared" si="19"/>
        <v>789.50798485663324</v>
      </c>
      <c r="AU62" s="110">
        <f t="shared" si="19"/>
        <v>0</v>
      </c>
      <c r="AV62" s="110">
        <f t="shared" si="19"/>
        <v>1388.8012011840865</v>
      </c>
      <c r="AW62" s="110">
        <f t="shared" si="19"/>
        <v>824.09248822557504</v>
      </c>
      <c r="AX62" s="110">
        <f t="shared" si="19"/>
        <v>564.70871295851146</v>
      </c>
      <c r="AY62" s="110">
        <f t="shared" si="19"/>
        <v>824.09248822557504</v>
      </c>
    </row>
    <row r="63" spans="1:52">
      <c r="A63" s="110"/>
      <c r="B63" s="165" t="s">
        <v>349</v>
      </c>
      <c r="C63" s="110"/>
      <c r="D63" s="110">
        <v>1</v>
      </c>
      <c r="E63" s="110">
        <v>1</v>
      </c>
      <c r="F63" s="110">
        <v>1</v>
      </c>
      <c r="G63" s="110">
        <v>1</v>
      </c>
      <c r="H63" s="110">
        <v>1</v>
      </c>
      <c r="I63" s="110">
        <v>1</v>
      </c>
      <c r="J63" s="110">
        <v>1</v>
      </c>
      <c r="K63" s="110">
        <v>2</v>
      </c>
      <c r="L63" s="110">
        <v>1</v>
      </c>
      <c r="M63" s="110">
        <v>1</v>
      </c>
      <c r="N63" s="110">
        <v>3</v>
      </c>
      <c r="O63" s="110">
        <v>3</v>
      </c>
      <c r="P63" s="110">
        <v>1</v>
      </c>
      <c r="Q63" s="110">
        <v>1</v>
      </c>
      <c r="R63" s="110">
        <v>1</v>
      </c>
      <c r="S63" s="110">
        <v>2</v>
      </c>
      <c r="T63" s="110">
        <v>1</v>
      </c>
      <c r="U63" s="110">
        <v>2</v>
      </c>
      <c r="V63" s="110">
        <v>1</v>
      </c>
      <c r="W63" s="110">
        <v>1</v>
      </c>
      <c r="X63" s="110">
        <v>1</v>
      </c>
      <c r="Y63" s="110">
        <v>2</v>
      </c>
      <c r="Z63" s="110">
        <v>1</v>
      </c>
      <c r="AA63" s="110">
        <v>1</v>
      </c>
      <c r="AB63" s="110">
        <v>2</v>
      </c>
      <c r="AC63" s="110">
        <v>2</v>
      </c>
      <c r="AD63" s="110">
        <v>1</v>
      </c>
      <c r="AE63" s="110">
        <v>1</v>
      </c>
      <c r="AF63" s="110">
        <v>1</v>
      </c>
      <c r="AG63" s="110">
        <v>1</v>
      </c>
      <c r="AH63" s="110">
        <v>2</v>
      </c>
      <c r="AI63" s="110">
        <v>1</v>
      </c>
      <c r="AJ63" s="110">
        <v>1</v>
      </c>
      <c r="AK63" s="110">
        <v>3</v>
      </c>
      <c r="AL63" s="110">
        <v>2</v>
      </c>
      <c r="AM63" s="110">
        <v>2</v>
      </c>
      <c r="AN63" s="110">
        <v>1</v>
      </c>
      <c r="AO63" s="110">
        <v>1</v>
      </c>
      <c r="AP63" s="110">
        <v>1</v>
      </c>
      <c r="AQ63" s="110">
        <v>2</v>
      </c>
      <c r="AR63" s="110">
        <v>1</v>
      </c>
      <c r="AS63" s="110">
        <v>1</v>
      </c>
      <c r="AT63" s="110">
        <v>1</v>
      </c>
      <c r="AU63" s="110">
        <v>2</v>
      </c>
      <c r="AV63" s="110">
        <v>2</v>
      </c>
      <c r="AW63" s="110">
        <v>1</v>
      </c>
      <c r="AX63" s="110">
        <v>1</v>
      </c>
      <c r="AY63" s="110">
        <v>1</v>
      </c>
    </row>
    <row r="64" spans="1:52">
      <c r="A64" s="110"/>
      <c r="B64" s="178" t="s">
        <v>350</v>
      </c>
      <c r="C64" s="110"/>
      <c r="D64" s="110">
        <v>267300</v>
      </c>
      <c r="E64" s="110">
        <v>0</v>
      </c>
      <c r="F64" s="110">
        <v>0</v>
      </c>
      <c r="G64" s="110">
        <v>267300</v>
      </c>
      <c r="H64" s="110">
        <v>0</v>
      </c>
      <c r="I64" s="110">
        <v>267300</v>
      </c>
      <c r="J64" s="110">
        <v>0</v>
      </c>
      <c r="K64" s="110">
        <v>267300</v>
      </c>
      <c r="L64" s="110">
        <v>0</v>
      </c>
      <c r="M64" s="110">
        <v>267300</v>
      </c>
      <c r="N64" s="110">
        <v>0</v>
      </c>
      <c r="O64" s="110">
        <v>267300</v>
      </c>
      <c r="P64" s="110">
        <v>0</v>
      </c>
      <c r="Q64" s="110">
        <v>17820</v>
      </c>
      <c r="R64" s="110">
        <v>17820</v>
      </c>
      <c r="S64" s="110">
        <v>17820</v>
      </c>
      <c r="T64" s="110">
        <v>17820</v>
      </c>
      <c r="U64" s="110">
        <v>231660</v>
      </c>
      <c r="V64" s="110">
        <v>35640</v>
      </c>
      <c r="W64" s="110">
        <v>231660</v>
      </c>
      <c r="X64" s="110">
        <v>35640</v>
      </c>
      <c r="Y64" s="110">
        <v>231660</v>
      </c>
      <c r="Z64" s="110">
        <v>35640</v>
      </c>
      <c r="AA64" s="110">
        <v>231660</v>
      </c>
      <c r="AB64" s="110">
        <v>35640</v>
      </c>
      <c r="AC64" s="110">
        <v>231660</v>
      </c>
      <c r="AD64" s="110">
        <v>35640</v>
      </c>
      <c r="AE64" s="110">
        <v>231660</v>
      </c>
      <c r="AF64" s="110">
        <v>35640</v>
      </c>
      <c r="AG64" s="110">
        <v>231660</v>
      </c>
      <c r="AH64" s="110">
        <v>35640</v>
      </c>
      <c r="AI64" s="110">
        <v>231660</v>
      </c>
      <c r="AJ64" s="110">
        <v>35640</v>
      </c>
      <c r="AK64" s="110">
        <v>231660</v>
      </c>
      <c r="AL64" s="110">
        <v>35640</v>
      </c>
      <c r="AM64" s="110">
        <v>231660</v>
      </c>
      <c r="AN64" s="110">
        <v>35640</v>
      </c>
      <c r="AO64" s="110">
        <v>231660</v>
      </c>
      <c r="AP64" s="110">
        <v>35640</v>
      </c>
      <c r="AQ64" s="110">
        <v>231660</v>
      </c>
      <c r="AR64" s="110">
        <v>35640</v>
      </c>
      <c r="AS64" s="110">
        <v>231660</v>
      </c>
      <c r="AT64" s="110">
        <v>35640</v>
      </c>
      <c r="AU64" s="110">
        <v>0</v>
      </c>
      <c r="AV64" s="110">
        <v>267300</v>
      </c>
      <c r="AW64" s="110">
        <v>0</v>
      </c>
      <c r="AX64" s="110">
        <v>267300</v>
      </c>
      <c r="AY64" s="110">
        <v>0</v>
      </c>
      <c r="AZ64" s="100">
        <f>SUM($D$64:$AY$64)</f>
        <v>5684580</v>
      </c>
    </row>
    <row r="65" spans="1:52">
      <c r="A65" s="125"/>
      <c r="B65" s="140" t="s">
        <v>351</v>
      </c>
      <c r="C65" s="125"/>
      <c r="D65" s="125">
        <v>305226.62512135424</v>
      </c>
      <c r="E65" s="125">
        <v>460006.76417061698</v>
      </c>
      <c r="F65" s="125">
        <v>0</v>
      </c>
      <c r="G65" s="125">
        <v>775226.02834123396</v>
      </c>
      <c r="H65" s="125">
        <v>460006.76417061698</v>
      </c>
      <c r="I65" s="125">
        <v>407217.92003528099</v>
      </c>
      <c r="J65" s="125">
        <v>552005.42003528099</v>
      </c>
      <c r="K65" s="125">
        <v>407217.92003528099</v>
      </c>
      <c r="L65" s="125">
        <v>552005.42003528099</v>
      </c>
      <c r="M65" s="125">
        <v>407217.92003528099</v>
      </c>
      <c r="N65" s="125">
        <v>552005.42003528099</v>
      </c>
      <c r="O65" s="125">
        <v>407217.92003528099</v>
      </c>
      <c r="P65" s="125">
        <v>552005.42003528099</v>
      </c>
      <c r="Q65" s="125">
        <v>0</v>
      </c>
      <c r="R65" s="125">
        <v>0</v>
      </c>
      <c r="S65" s="125">
        <v>0</v>
      </c>
      <c r="T65" s="125">
        <v>0</v>
      </c>
      <c r="U65" s="125">
        <v>334524.26417061692</v>
      </c>
      <c r="V65" s="125">
        <v>440701.76417061698</v>
      </c>
      <c r="W65" s="125">
        <v>334524.26417061692</v>
      </c>
      <c r="X65" s="125">
        <v>440701.76417061698</v>
      </c>
      <c r="Y65" s="125">
        <v>334524.26417061692</v>
      </c>
      <c r="Z65" s="125">
        <v>440701.76417061698</v>
      </c>
      <c r="AA65" s="125">
        <v>334524.26417061692</v>
      </c>
      <c r="AB65" s="125">
        <v>440701.76417061698</v>
      </c>
      <c r="AC65" s="125">
        <v>334524.26417061692</v>
      </c>
      <c r="AD65" s="125">
        <v>440701.76417061698</v>
      </c>
      <c r="AE65" s="125">
        <v>334524.26417061692</v>
      </c>
      <c r="AF65" s="125">
        <v>440701.76417061698</v>
      </c>
      <c r="AG65" s="125">
        <v>334524.26417061692</v>
      </c>
      <c r="AH65" s="125">
        <v>440701.76417061698</v>
      </c>
      <c r="AI65" s="125">
        <v>334524.26417061692</v>
      </c>
      <c r="AJ65" s="125">
        <v>440701.76417061698</v>
      </c>
      <c r="AK65" s="125">
        <v>334524.26417061692</v>
      </c>
      <c r="AL65" s="125">
        <v>440701.76417061698</v>
      </c>
      <c r="AM65" s="125">
        <v>334524.26417061692</v>
      </c>
      <c r="AN65" s="125">
        <v>440701.76417061698</v>
      </c>
      <c r="AO65" s="125">
        <v>334524.26417061692</v>
      </c>
      <c r="AP65" s="125">
        <v>440701.76417061698</v>
      </c>
      <c r="AQ65" s="125">
        <v>334524.26417061692</v>
      </c>
      <c r="AR65" s="125">
        <v>440701.76417061698</v>
      </c>
      <c r="AS65" s="125">
        <v>334524.26417061692</v>
      </c>
      <c r="AT65" s="125">
        <v>440701.76417061698</v>
      </c>
      <c r="AU65" s="125">
        <v>0</v>
      </c>
      <c r="AV65" s="125">
        <v>775226.02834123396</v>
      </c>
      <c r="AW65" s="125">
        <v>460006.76417061698</v>
      </c>
      <c r="AX65" s="125">
        <v>315219.26417061698</v>
      </c>
      <c r="AY65" s="125">
        <v>460006.76417061698</v>
      </c>
      <c r="AZ65" s="100">
        <f>SUM($D$65:$AY$65)</f>
        <v>17925756.731375195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22</v>
      </c>
    </row>
    <row r="3" spans="1:53">
      <c r="A3" s="100" t="s">
        <v>286</v>
      </c>
      <c r="B3" s="108">
        <v>1300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140</v>
      </c>
      <c r="E9" s="117">
        <v>140</v>
      </c>
      <c r="F9" s="117">
        <v>140</v>
      </c>
      <c r="G9" s="117">
        <v>140</v>
      </c>
      <c r="H9" s="117">
        <v>112</v>
      </c>
      <c r="I9" s="117">
        <v>112</v>
      </c>
      <c r="J9" s="117">
        <v>112</v>
      </c>
      <c r="K9" s="117">
        <v>112</v>
      </c>
      <c r="L9" s="117">
        <v>140</v>
      </c>
      <c r="M9" s="117">
        <v>140</v>
      </c>
      <c r="N9" s="117">
        <v>140</v>
      </c>
      <c r="O9" s="117">
        <v>140</v>
      </c>
      <c r="P9" s="117">
        <v>140</v>
      </c>
      <c r="Q9" s="117">
        <v>140</v>
      </c>
      <c r="R9" s="117">
        <v>140</v>
      </c>
      <c r="S9" s="117">
        <v>140</v>
      </c>
      <c r="T9" s="117">
        <v>140</v>
      </c>
      <c r="U9" s="117">
        <v>140</v>
      </c>
      <c r="V9" s="117">
        <v>140</v>
      </c>
      <c r="W9" s="117">
        <v>140</v>
      </c>
      <c r="X9" s="117">
        <v>140</v>
      </c>
      <c r="Y9" s="117">
        <v>140</v>
      </c>
      <c r="Z9" s="117">
        <v>140</v>
      </c>
      <c r="AA9" s="117">
        <v>140</v>
      </c>
      <c r="AB9" s="117">
        <v>140</v>
      </c>
      <c r="AC9" s="117">
        <v>140</v>
      </c>
      <c r="AD9" s="117">
        <v>140</v>
      </c>
      <c r="AE9" s="117">
        <v>140</v>
      </c>
      <c r="AF9" s="117">
        <v>140</v>
      </c>
      <c r="AG9" s="117">
        <v>140</v>
      </c>
      <c r="AH9" s="117">
        <v>140</v>
      </c>
      <c r="AI9" s="117">
        <v>140</v>
      </c>
      <c r="AJ9" s="117">
        <v>140</v>
      </c>
      <c r="AK9" s="117">
        <v>140</v>
      </c>
      <c r="AL9" s="117">
        <v>140</v>
      </c>
      <c r="AM9" s="117">
        <v>140</v>
      </c>
      <c r="AN9" s="117">
        <v>140</v>
      </c>
      <c r="AO9" s="117">
        <v>140</v>
      </c>
      <c r="AP9" s="117">
        <v>140</v>
      </c>
      <c r="AQ9" s="117">
        <v>140</v>
      </c>
      <c r="AR9" s="117">
        <v>140</v>
      </c>
      <c r="AS9" s="117">
        <v>140</v>
      </c>
      <c r="AT9" s="117">
        <v>140</v>
      </c>
      <c r="AU9" s="117">
        <v>140</v>
      </c>
      <c r="AV9" s="117">
        <v>140</v>
      </c>
      <c r="AW9" s="117">
        <v>140</v>
      </c>
      <c r="AX9" s="117">
        <v>140</v>
      </c>
      <c r="AY9" s="117">
        <v>140</v>
      </c>
    </row>
    <row r="10" spans="1:53">
      <c r="A10" s="118" t="s">
        <v>133</v>
      </c>
      <c r="B10" s="119">
        <v>1</v>
      </c>
      <c r="C10" s="106" t="s">
        <v>293</v>
      </c>
      <c r="D10" s="100">
        <v>87.798741235542394</v>
      </c>
      <c r="E10" s="100">
        <v>177.59859883691485</v>
      </c>
      <c r="F10" s="100">
        <v>166.10949025698989</v>
      </c>
      <c r="G10" s="100">
        <v>55.562038972039588</v>
      </c>
      <c r="H10" s="100">
        <v>276.65694154194017</v>
      </c>
      <c r="I10" s="100">
        <v>166.10949025698989</v>
      </c>
      <c r="J10" s="100">
        <v>202.10884212934661</v>
      </c>
      <c r="K10" s="100">
        <v>132.65629341429712</v>
      </c>
      <c r="L10" s="100">
        <v>188.21144445579662</v>
      </c>
      <c r="M10" s="100">
        <v>202.10884212934661</v>
      </c>
      <c r="N10" s="100">
        <v>69.452548715049488</v>
      </c>
      <c r="O10" s="100">
        <v>202.10884212934661</v>
      </c>
      <c r="P10" s="100">
        <v>202.10884212934661</v>
      </c>
      <c r="Q10" s="100">
        <v>202.10884212934661</v>
      </c>
      <c r="R10" s="100">
        <v>69.455789353265601</v>
      </c>
      <c r="S10" s="100">
        <v>3.2406382161136588E-3</v>
      </c>
      <c r="T10" s="100">
        <v>69.455789353265601</v>
      </c>
      <c r="U10" s="100">
        <v>3.2406382161136588E-3</v>
      </c>
      <c r="V10" s="100">
        <v>55.555151041499506</v>
      </c>
      <c r="W10" s="100">
        <v>110.5474512849503</v>
      </c>
      <c r="X10" s="100">
        <v>166.10260232644981</v>
      </c>
      <c r="Y10" s="100">
        <v>110.5474512849503</v>
      </c>
      <c r="Z10" s="100">
        <v>55.562038972039588</v>
      </c>
      <c r="AA10" s="100">
        <v>0</v>
      </c>
      <c r="AB10" s="100">
        <v>166.10949025698989</v>
      </c>
      <c r="AC10" s="100">
        <v>138.2965721453937</v>
      </c>
      <c r="AD10" s="100">
        <v>55.555151041499506</v>
      </c>
      <c r="AE10" s="100">
        <v>110.5474512849503</v>
      </c>
      <c r="AF10" s="100">
        <v>27.915472912522809</v>
      </c>
      <c r="AG10" s="100">
        <v>124.43623904532518</v>
      </c>
      <c r="AH10" s="100">
        <v>0</v>
      </c>
      <c r="AI10" s="100">
        <v>179.99999999999977</v>
      </c>
      <c r="AJ10" s="100">
        <v>179.99999999999977</v>
      </c>
      <c r="AK10" s="100">
        <v>124.43623904532518</v>
      </c>
      <c r="AL10" s="100">
        <v>55.562038972039588</v>
      </c>
      <c r="AM10" s="100">
        <v>138.84274382651068</v>
      </c>
      <c r="AN10" s="100">
        <v>138.89592238379058</v>
      </c>
      <c r="AO10" s="100">
        <v>166.10949025698989</v>
      </c>
      <c r="AP10" s="100">
        <v>0</v>
      </c>
      <c r="AQ10" s="100">
        <v>69.452548715049488</v>
      </c>
      <c r="AR10" s="100">
        <v>110.5474512849503</v>
      </c>
      <c r="AS10" s="100">
        <v>124.43623904532518</v>
      </c>
      <c r="AT10" s="100">
        <v>179.99999999999977</v>
      </c>
      <c r="AU10" s="100">
        <v>124.43623904532518</v>
      </c>
      <c r="AV10" s="100">
        <v>69.452548715049488</v>
      </c>
      <c r="AW10" s="100">
        <v>234.98369033027546</v>
      </c>
      <c r="AX10" s="100">
        <v>110.5474512849503</v>
      </c>
      <c r="AY10" s="100">
        <v>179.99999999999977</v>
      </c>
      <c r="AZ10" s="100">
        <v>179.99999999999977</v>
      </c>
    </row>
    <row r="11" spans="1:53">
      <c r="B11" s="119">
        <v>2</v>
      </c>
      <c r="C11" s="106" t="s">
        <v>293</v>
      </c>
      <c r="D11" s="100">
        <v>92.201258764457592</v>
      </c>
      <c r="G11" s="100">
        <v>0</v>
      </c>
      <c r="I11" s="100">
        <v>0</v>
      </c>
      <c r="L11" s="100">
        <v>69.452548715049488</v>
      </c>
      <c r="O11" s="100">
        <v>132.65629341429712</v>
      </c>
      <c r="T11" s="100">
        <v>69.452548715049488</v>
      </c>
      <c r="U11" s="100">
        <v>0</v>
      </c>
      <c r="V11" s="100">
        <v>69.452548715049488</v>
      </c>
      <c r="W11" s="100">
        <v>124.44484895850027</v>
      </c>
      <c r="X11" s="100">
        <v>69.452548715049488</v>
      </c>
      <c r="Y11" s="100">
        <v>13.897397673549982</v>
      </c>
      <c r="Z11" s="100">
        <v>69.452548715049488</v>
      </c>
      <c r="AA11" s="100">
        <v>110.5474512849503</v>
      </c>
      <c r="AB11" s="100">
        <v>166.10949025698989</v>
      </c>
      <c r="AE11" s="100">
        <v>124.44484895850027</v>
      </c>
      <c r="AG11" s="100">
        <v>110.5474512849503</v>
      </c>
      <c r="AH11" s="100">
        <v>55.563760954674606</v>
      </c>
      <c r="AI11" s="100">
        <v>110.5474512849503</v>
      </c>
      <c r="AL11" s="100">
        <v>55.563760954674606</v>
      </c>
      <c r="AM11" s="100">
        <v>110.5474512849503</v>
      </c>
      <c r="AQ11" s="100">
        <v>179.99999999999977</v>
      </c>
      <c r="AT11" s="100">
        <v>55.563760954674606</v>
      </c>
      <c r="AV11" s="100">
        <v>55.563760954674606</v>
      </c>
      <c r="AW11" s="100">
        <v>0</v>
      </c>
      <c r="AX11" s="100">
        <v>55.563760954674606</v>
      </c>
    </row>
    <row r="12" spans="1:53">
      <c r="B12" s="120">
        <v>3</v>
      </c>
      <c r="C12" s="106" t="s">
        <v>293</v>
      </c>
      <c r="F12" s="100">
        <v>92.201258764457592</v>
      </c>
      <c r="N12" s="100">
        <v>13.897397673549982</v>
      </c>
      <c r="AB12" s="100">
        <v>0</v>
      </c>
      <c r="AG12" s="100">
        <v>69.452548715049488</v>
      </c>
      <c r="AJ12" s="100">
        <v>69.452548715049488</v>
      </c>
      <c r="AS12" s="100">
        <v>110.5474512849503</v>
      </c>
      <c r="AT12" s="100">
        <v>69.452548715049488</v>
      </c>
      <c r="AZ12" s="100">
        <v>69.452548715049488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107.14403846620802</v>
      </c>
      <c r="E14" s="117">
        <f t="shared" ref="E14:AZ14" si="0">D$172*SUM(D$122:D$169)</f>
        <v>83.13051355325149</v>
      </c>
      <c r="F14" s="117">
        <f t="shared" si="0"/>
        <v>76.804600691399372</v>
      </c>
      <c r="G14" s="117">
        <f t="shared" si="0"/>
        <v>122.88354470256344</v>
      </c>
      <c r="H14" s="117">
        <f t="shared" si="0"/>
        <v>63.441354839625618</v>
      </c>
      <c r="I14" s="117">
        <f t="shared" si="0"/>
        <v>109.93658218025408</v>
      </c>
      <c r="J14" s="117">
        <f t="shared" si="0"/>
        <v>84.285849162297495</v>
      </c>
      <c r="K14" s="117">
        <f t="shared" si="0"/>
        <v>91.173285739073251</v>
      </c>
      <c r="L14" s="117">
        <f t="shared" si="0"/>
        <v>55.392957450764712</v>
      </c>
      <c r="M14" s="117">
        <f t="shared" si="0"/>
        <v>103.94732138706725</v>
      </c>
      <c r="N14" s="117">
        <f t="shared" si="0"/>
        <v>90.238572509522342</v>
      </c>
      <c r="O14" s="117">
        <f t="shared" si="0"/>
        <v>38.254319529410196</v>
      </c>
      <c r="P14" s="117">
        <f t="shared" si="0"/>
        <v>133.07340188502664</v>
      </c>
      <c r="Q14" s="117">
        <f t="shared" si="0"/>
        <v>118.24804375008839</v>
      </c>
      <c r="R14" s="117">
        <f t="shared" si="0"/>
        <v>104.07468795253743</v>
      </c>
      <c r="S14" s="117">
        <f t="shared" si="0"/>
        <v>45.320317682063994</v>
      </c>
      <c r="T14" s="117">
        <f t="shared" si="0"/>
        <v>6.7107324508606583E-3</v>
      </c>
      <c r="U14" s="117">
        <f t="shared" si="0"/>
        <v>57.56171996337531</v>
      </c>
      <c r="V14" s="117">
        <f t="shared" si="0"/>
        <v>6.7107324508581204E-3</v>
      </c>
      <c r="W14" s="117">
        <f t="shared" si="0"/>
        <v>51.802091194994055</v>
      </c>
      <c r="X14" s="117">
        <f t="shared" si="0"/>
        <v>92.672933409232769</v>
      </c>
      <c r="Y14" s="117">
        <f t="shared" si="0"/>
        <v>99.560453855555551</v>
      </c>
      <c r="Z14" s="117">
        <f t="shared" si="0"/>
        <v>58.566379192453482</v>
      </c>
      <c r="AA14" s="117">
        <f t="shared" si="0"/>
        <v>55.864729176835084</v>
      </c>
      <c r="AB14" s="117">
        <f t="shared" si="0"/>
        <v>43.460007686651174</v>
      </c>
      <c r="AC14" s="117">
        <f t="shared" si="0"/>
        <v>132.95858587262384</v>
      </c>
      <c r="AD14" s="117">
        <f t="shared" si="0"/>
        <v>79.059104378837361</v>
      </c>
      <c r="AE14" s="117">
        <f t="shared" si="0"/>
        <v>23.123266701342857</v>
      </c>
      <c r="AF14" s="117">
        <f t="shared" si="0"/>
        <v>92.672933409232769</v>
      </c>
      <c r="AG14" s="117">
        <f t="shared" si="0"/>
        <v>11.572149201173037</v>
      </c>
      <c r="AH14" s="117">
        <f t="shared" si="0"/>
        <v>121.44687052687497</v>
      </c>
      <c r="AI14" s="117">
        <f t="shared" si="0"/>
        <v>59.069982047509747</v>
      </c>
      <c r="AJ14" s="117">
        <f t="shared" si="0"/>
        <v>115.69208310334653</v>
      </c>
      <c r="AK14" s="117">
        <f t="shared" si="0"/>
        <v>137.87777262916879</v>
      </c>
      <c r="AL14" s="117">
        <f t="shared" si="0"/>
        <v>92.480489391230535</v>
      </c>
      <c r="AM14" s="117">
        <f t="shared" si="0"/>
        <v>71.92140887888894</v>
      </c>
      <c r="AN14" s="117">
        <f t="shared" si="0"/>
        <v>108.79402656006994</v>
      </c>
      <c r="AO14" s="117">
        <f t="shared" si="0"/>
        <v>72.63271654334342</v>
      </c>
      <c r="AP14" s="117">
        <f t="shared" si="0"/>
        <v>80.309327523331405</v>
      </c>
      <c r="AQ14" s="117">
        <f t="shared" si="0"/>
        <v>8.4087917829930063</v>
      </c>
      <c r="AR14" s="117">
        <f t="shared" si="0"/>
        <v>101.01501691757564</v>
      </c>
      <c r="AS14" s="117">
        <f t="shared" si="0"/>
        <v>67.673496772339021</v>
      </c>
      <c r="AT14" s="117">
        <f t="shared" si="0"/>
        <v>92.669365911412754</v>
      </c>
      <c r="AU14" s="117">
        <f t="shared" si="0"/>
        <v>124.03773410950943</v>
      </c>
      <c r="AV14" s="117">
        <f t="shared" si="0"/>
        <v>65.367229973896414</v>
      </c>
      <c r="AW14" s="117">
        <f t="shared" si="0"/>
        <v>51.805658692814077</v>
      </c>
      <c r="AX14" s="117">
        <f t="shared" si="0"/>
        <v>92.669365911412754</v>
      </c>
      <c r="AY14" s="117">
        <f t="shared" si="0"/>
        <v>81.072619430593249</v>
      </c>
      <c r="AZ14" s="110">
        <f t="shared" si="0"/>
        <v>72.237512302113416</v>
      </c>
      <c r="BA14" s="107">
        <f>SUM($E14:$AZ14)</f>
        <v>3736.2745975305784</v>
      </c>
    </row>
    <row r="15" spans="1:53">
      <c r="A15" s="122" t="s">
        <v>123</v>
      </c>
      <c r="B15" s="123">
        <v>1</v>
      </c>
      <c r="C15" s="124" t="s">
        <v>293</v>
      </c>
      <c r="D15" s="124">
        <v>98.783651848055669</v>
      </c>
      <c r="E15" s="124">
        <v>199.59479699508739</v>
      </c>
      <c r="F15" s="124">
        <v>186.12430253554868</v>
      </c>
      <c r="G15" s="124">
        <v>64.468060274001132</v>
      </c>
      <c r="H15" s="124">
        <v>307.78054479709624</v>
      </c>
      <c r="I15" s="124">
        <v>186.12430253554868</v>
      </c>
      <c r="J15" s="124">
        <v>226.56804749715016</v>
      </c>
      <c r="K15" s="124">
        <v>146.001998664328</v>
      </c>
      <c r="L15" s="124">
        <v>210.4468476228285</v>
      </c>
      <c r="M15" s="124">
        <v>226.56804749715016</v>
      </c>
      <c r="N15" s="124">
        <v>80.581270040565585</v>
      </c>
      <c r="O15" s="124">
        <v>226.56804749715016</v>
      </c>
      <c r="P15" s="124">
        <v>226.56804749715016</v>
      </c>
      <c r="Q15" s="124">
        <v>226.56804749715016</v>
      </c>
      <c r="R15" s="124">
        <v>80.584836326927856</v>
      </c>
      <c r="S15" s="124">
        <v>1.8787494105703073E-2</v>
      </c>
      <c r="T15" s="124">
        <v>80.584836326927856</v>
      </c>
      <c r="U15" s="124">
        <v>1.8787494105703073E-2</v>
      </c>
      <c r="V15" s="124">
        <v>64.460070166243909</v>
      </c>
      <c r="W15" s="124">
        <v>121.67146346929098</v>
      </c>
      <c r="X15" s="124">
        <v>186.11631242779146</v>
      </c>
      <c r="Y15" s="124">
        <v>121.67146346929098</v>
      </c>
      <c r="Z15" s="124">
        <v>64.468060274001132</v>
      </c>
      <c r="AA15" s="124">
        <v>1.5221207743430117E-2</v>
      </c>
      <c r="AB15" s="124">
        <v>186.12430253554868</v>
      </c>
      <c r="AC15" s="124">
        <v>153.8608800950617</v>
      </c>
      <c r="AD15" s="124">
        <v>64.460070166243909</v>
      </c>
      <c r="AE15" s="124">
        <v>121.67146346929098</v>
      </c>
      <c r="AF15" s="124">
        <v>32.397608830248316</v>
      </c>
      <c r="AG15" s="124">
        <v>137.78267570891609</v>
      </c>
      <c r="AH15" s="124">
        <v>1.5221207743430117E-2</v>
      </c>
      <c r="AI15" s="124">
        <v>202.23751230211315</v>
      </c>
      <c r="AJ15" s="124">
        <v>202.23751230211315</v>
      </c>
      <c r="AK15" s="124">
        <v>137.78267570891609</v>
      </c>
      <c r="AL15" s="124">
        <v>64.468060274001118</v>
      </c>
      <c r="AM15" s="124">
        <v>154.49444783513863</v>
      </c>
      <c r="AN15" s="124">
        <v>154.55613579795551</v>
      </c>
      <c r="AO15" s="124">
        <v>186.12430253554868</v>
      </c>
      <c r="AP15" s="124">
        <v>1.5221207743430117E-2</v>
      </c>
      <c r="AQ15" s="124">
        <v>80.581270040565585</v>
      </c>
      <c r="AR15" s="124">
        <v>121.67146346929098</v>
      </c>
      <c r="AS15" s="124">
        <v>137.78267570891609</v>
      </c>
      <c r="AT15" s="124">
        <v>202.23751230211315</v>
      </c>
      <c r="AU15" s="124">
        <v>137.78267570891609</v>
      </c>
      <c r="AV15" s="124">
        <v>80.581270040565585</v>
      </c>
      <c r="AW15" s="124">
        <v>259.43891797046365</v>
      </c>
      <c r="AX15" s="124">
        <v>121.67146346929098</v>
      </c>
      <c r="AY15" s="124">
        <v>202.23751230211315</v>
      </c>
      <c r="AZ15" s="100">
        <v>202.22229109436969</v>
      </c>
    </row>
    <row r="16" spans="1:53">
      <c r="A16" s="110"/>
      <c r="B16" s="119">
        <v>2</v>
      </c>
      <c r="C16" s="109" t="s">
        <v>293</v>
      </c>
      <c r="D16" s="106">
        <v>103.17014107959182</v>
      </c>
      <c r="E16" s="110"/>
      <c r="F16" s="110"/>
      <c r="G16" s="110">
        <v>0</v>
      </c>
      <c r="H16" s="110"/>
      <c r="I16" s="110">
        <v>0</v>
      </c>
      <c r="J16" s="110"/>
      <c r="K16" s="110"/>
      <c r="L16" s="110">
        <v>80.566048832822148</v>
      </c>
      <c r="M16" s="110"/>
      <c r="N16" s="110"/>
      <c r="O16" s="110">
        <v>145.98677745658458</v>
      </c>
      <c r="P16" s="110"/>
      <c r="Q16" s="110"/>
      <c r="R16" s="110"/>
      <c r="S16" s="110"/>
      <c r="T16" s="110">
        <v>80.566048832822148</v>
      </c>
      <c r="U16" s="110">
        <v>0</v>
      </c>
      <c r="V16" s="110">
        <v>80.566048832822148</v>
      </c>
      <c r="W16" s="110">
        <v>137.77744213586922</v>
      </c>
      <c r="X16" s="110">
        <v>80.566048832822148</v>
      </c>
      <c r="Y16" s="110">
        <v>16.121199874321675</v>
      </c>
      <c r="Z16" s="110">
        <v>80.566048832822148</v>
      </c>
      <c r="AA16" s="110">
        <v>121.65624226154755</v>
      </c>
      <c r="AB16" s="110">
        <v>186.10908132780526</v>
      </c>
      <c r="AC16" s="110"/>
      <c r="AD16" s="110"/>
      <c r="AE16" s="110">
        <v>137.77744213586922</v>
      </c>
      <c r="AF16" s="110"/>
      <c r="AG16" s="110">
        <v>121.65624226154755</v>
      </c>
      <c r="AH16" s="110">
        <v>64.45483659319703</v>
      </c>
      <c r="AI16" s="110">
        <v>121.65624226154755</v>
      </c>
      <c r="AJ16" s="110"/>
      <c r="AK16" s="110"/>
      <c r="AL16" s="110">
        <v>64.45483659319703</v>
      </c>
      <c r="AM16" s="110">
        <v>121.65624226154755</v>
      </c>
      <c r="AN16" s="110"/>
      <c r="AO16" s="110"/>
      <c r="AP16" s="110"/>
      <c r="AQ16" s="110">
        <v>202.22229109436969</v>
      </c>
      <c r="AR16" s="110"/>
      <c r="AS16" s="110"/>
      <c r="AT16" s="110">
        <v>64.45483659319703</v>
      </c>
      <c r="AU16" s="110"/>
      <c r="AV16" s="110">
        <v>64.45483659319703</v>
      </c>
      <c r="AW16" s="110">
        <v>0</v>
      </c>
      <c r="AX16" s="110">
        <v>64.45483659319703</v>
      </c>
      <c r="AY16" s="110"/>
    </row>
    <row r="17" spans="1:52">
      <c r="A17" s="110"/>
      <c r="B17" s="119">
        <v>3</v>
      </c>
      <c r="C17" s="109" t="s">
        <v>293</v>
      </c>
      <c r="D17" s="106"/>
      <c r="E17" s="110"/>
      <c r="F17" s="110">
        <v>103.17014107959182</v>
      </c>
      <c r="G17" s="110"/>
      <c r="H17" s="110"/>
      <c r="I17" s="110"/>
      <c r="J17" s="110"/>
      <c r="K17" s="110"/>
      <c r="L17" s="110"/>
      <c r="M17" s="110"/>
      <c r="N17" s="110">
        <v>16.121199874321675</v>
      </c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>
        <v>0</v>
      </c>
      <c r="AC17" s="110"/>
      <c r="AD17" s="110"/>
      <c r="AE17" s="110"/>
      <c r="AF17" s="110"/>
      <c r="AG17" s="110">
        <v>80.566048832822148</v>
      </c>
      <c r="AH17" s="110"/>
      <c r="AI17" s="110"/>
      <c r="AJ17" s="110">
        <v>80.566048832822148</v>
      </c>
      <c r="AK17" s="110"/>
      <c r="AL17" s="110"/>
      <c r="AM17" s="110"/>
      <c r="AN17" s="110"/>
      <c r="AO17" s="110"/>
      <c r="AP17" s="110"/>
      <c r="AQ17" s="110"/>
      <c r="AR17" s="110"/>
      <c r="AS17" s="110">
        <v>121.65624226154755</v>
      </c>
      <c r="AT17" s="110">
        <v>80.566048832822148</v>
      </c>
      <c r="AU17" s="110"/>
      <c r="AV17" s="110"/>
      <c r="AW17" s="110"/>
      <c r="AX17" s="110"/>
      <c r="AY17" s="110"/>
      <c r="AZ17" s="100">
        <v>80.566048832822148</v>
      </c>
    </row>
    <row r="18" spans="1:52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2">
      <c r="A20" s="102" t="s">
        <v>294</v>
      </c>
    </row>
    <row r="21" spans="1:52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2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2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2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2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2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2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2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2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2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2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2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140</v>
      </c>
      <c r="D95" s="110">
        <v>140</v>
      </c>
      <c r="E95" s="110">
        <v>140</v>
      </c>
      <c r="F95" s="110">
        <v>140</v>
      </c>
      <c r="G95" s="110">
        <v>140</v>
      </c>
      <c r="H95" s="110">
        <v>112</v>
      </c>
      <c r="I95" s="110">
        <v>112</v>
      </c>
      <c r="J95" s="110">
        <v>112</v>
      </c>
      <c r="K95" s="110">
        <v>112</v>
      </c>
      <c r="L95" s="110">
        <v>140</v>
      </c>
      <c r="M95" s="110">
        <v>140</v>
      </c>
      <c r="N95" s="110">
        <v>140</v>
      </c>
      <c r="O95" s="110">
        <v>140</v>
      </c>
      <c r="P95" s="110">
        <v>140</v>
      </c>
      <c r="Q95" s="110">
        <v>140</v>
      </c>
      <c r="R95" s="110">
        <v>140</v>
      </c>
      <c r="S95" s="110">
        <v>140</v>
      </c>
      <c r="T95" s="110">
        <v>140</v>
      </c>
      <c r="U95" s="110">
        <v>140</v>
      </c>
      <c r="V95" s="110">
        <v>140</v>
      </c>
      <c r="W95" s="110">
        <v>140</v>
      </c>
      <c r="X95" s="110">
        <v>140</v>
      </c>
      <c r="Y95" s="110">
        <v>140</v>
      </c>
      <c r="Z95" s="110">
        <v>140</v>
      </c>
      <c r="AA95" s="110">
        <v>140</v>
      </c>
      <c r="AB95" s="110">
        <v>140</v>
      </c>
      <c r="AC95" s="110">
        <v>140</v>
      </c>
      <c r="AD95" s="110">
        <v>140</v>
      </c>
      <c r="AE95" s="110">
        <v>140</v>
      </c>
      <c r="AF95" s="110">
        <v>140</v>
      </c>
      <c r="AG95" s="110">
        <v>140</v>
      </c>
      <c r="AH95" s="110">
        <v>140</v>
      </c>
      <c r="AI95" s="110">
        <v>140</v>
      </c>
      <c r="AJ95" s="110">
        <v>140</v>
      </c>
      <c r="AK95" s="110">
        <v>140</v>
      </c>
      <c r="AL95" s="110">
        <v>140</v>
      </c>
      <c r="AM95" s="110">
        <v>140</v>
      </c>
      <c r="AN95" s="110">
        <v>140</v>
      </c>
      <c r="AO95" s="110">
        <v>140</v>
      </c>
      <c r="AP95" s="110">
        <v>140</v>
      </c>
      <c r="AQ95" s="110">
        <v>140</v>
      </c>
      <c r="AR95" s="110">
        <v>140</v>
      </c>
      <c r="AS95" s="110">
        <v>140</v>
      </c>
      <c r="AT95" s="110">
        <v>140</v>
      </c>
      <c r="AU95" s="110">
        <v>140</v>
      </c>
      <c r="AV95" s="110">
        <v>140</v>
      </c>
      <c r="AW95" s="110">
        <v>140</v>
      </c>
      <c r="AX95" s="110">
        <v>140</v>
      </c>
      <c r="AY95" s="110">
        <v>140</v>
      </c>
    </row>
    <row r="96" spans="1:52">
      <c r="A96" s="109"/>
      <c r="B96" s="120">
        <v>2</v>
      </c>
      <c r="C96" s="110">
        <v>0</v>
      </c>
      <c r="D96" s="110">
        <v>0</v>
      </c>
      <c r="E96" s="110">
        <v>5</v>
      </c>
      <c r="F96" s="110">
        <v>0</v>
      </c>
      <c r="G96" s="110">
        <v>0</v>
      </c>
      <c r="H96" s="110">
        <v>0</v>
      </c>
      <c r="I96" s="110">
        <v>0</v>
      </c>
      <c r="J96" s="110">
        <v>0</v>
      </c>
      <c r="K96" s="110">
        <v>0</v>
      </c>
      <c r="L96" s="110">
        <v>0</v>
      </c>
      <c r="M96" s="110">
        <v>0</v>
      </c>
      <c r="N96" s="110">
        <v>6</v>
      </c>
      <c r="O96" s="110">
        <v>7</v>
      </c>
      <c r="P96" s="110">
        <v>0</v>
      </c>
      <c r="Q96" s="110">
        <v>6</v>
      </c>
      <c r="R96" s="110">
        <v>39</v>
      </c>
      <c r="S96" s="110">
        <v>7</v>
      </c>
      <c r="T96" s="110">
        <v>26</v>
      </c>
      <c r="U96" s="110">
        <v>29</v>
      </c>
      <c r="V96" s="110">
        <v>10</v>
      </c>
      <c r="W96" s="110">
        <v>11</v>
      </c>
      <c r="X96" s="110">
        <v>0</v>
      </c>
      <c r="Y96" s="110">
        <v>0</v>
      </c>
      <c r="Z96" s="110">
        <v>0</v>
      </c>
      <c r="AA96" s="110">
        <v>0</v>
      </c>
      <c r="AB96" s="110">
        <v>18</v>
      </c>
      <c r="AC96" s="110">
        <v>0</v>
      </c>
      <c r="AD96" s="110">
        <v>0</v>
      </c>
      <c r="AE96" s="110">
        <v>30</v>
      </c>
      <c r="AF96" s="110">
        <v>61</v>
      </c>
      <c r="AG96" s="110">
        <v>61</v>
      </c>
      <c r="AH96" s="110">
        <v>93</v>
      </c>
      <c r="AI96" s="110">
        <v>122</v>
      </c>
      <c r="AJ96" s="110">
        <v>136</v>
      </c>
      <c r="AK96" s="110">
        <v>102</v>
      </c>
      <c r="AL96" s="110">
        <v>118</v>
      </c>
      <c r="AM96" s="110">
        <v>97</v>
      </c>
      <c r="AN96" s="110">
        <v>110</v>
      </c>
      <c r="AO96" s="110">
        <v>135</v>
      </c>
      <c r="AP96" s="110">
        <v>102</v>
      </c>
      <c r="AQ96" s="110">
        <v>84</v>
      </c>
      <c r="AR96" s="110">
        <v>109</v>
      </c>
      <c r="AS96" s="110">
        <v>73</v>
      </c>
      <c r="AT96" s="110">
        <v>44</v>
      </c>
      <c r="AU96" s="110">
        <v>57</v>
      </c>
      <c r="AV96" s="110">
        <v>55</v>
      </c>
      <c r="AW96" s="110">
        <v>66</v>
      </c>
      <c r="AX96" s="110">
        <v>71</v>
      </c>
      <c r="AY96" s="110">
        <v>39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87.79874123554238</v>
      </c>
      <c r="D100" s="106">
        <v>87.798741235542394</v>
      </c>
      <c r="E100" s="106">
        <v>177.59859883691485</v>
      </c>
      <c r="F100" s="106">
        <v>166.10949025698989</v>
      </c>
      <c r="G100" s="106">
        <v>55.562038972039588</v>
      </c>
      <c r="H100" s="106">
        <v>276.65694154194017</v>
      </c>
      <c r="I100" s="106">
        <v>166.10949025698989</v>
      </c>
      <c r="J100" s="106">
        <v>202.10884212934661</v>
      </c>
      <c r="K100" s="106">
        <v>132.65629341429712</v>
      </c>
      <c r="L100" s="106">
        <v>188.21144445579662</v>
      </c>
      <c r="M100" s="106">
        <v>202.10884212934661</v>
      </c>
      <c r="N100" s="106">
        <v>69.452548715049488</v>
      </c>
      <c r="O100" s="106">
        <v>202.10884212934661</v>
      </c>
      <c r="P100" s="106">
        <v>202.10884212934661</v>
      </c>
      <c r="Q100" s="106">
        <v>202.10884212934661</v>
      </c>
      <c r="R100" s="106">
        <v>69.455789353265601</v>
      </c>
      <c r="S100" s="106">
        <v>3.2406382161136588E-3</v>
      </c>
      <c r="T100" s="106">
        <v>69.455789353265601</v>
      </c>
      <c r="U100" s="106">
        <v>3.2406382161136588E-3</v>
      </c>
      <c r="V100" s="106">
        <v>55.555151041499506</v>
      </c>
      <c r="W100" s="106">
        <v>110.5474512849503</v>
      </c>
      <c r="X100" s="106">
        <v>166.10260232644981</v>
      </c>
      <c r="Y100" s="106">
        <v>110.5474512849503</v>
      </c>
      <c r="Z100" s="106">
        <v>55.562038972039588</v>
      </c>
      <c r="AA100" s="106">
        <v>0</v>
      </c>
      <c r="AB100" s="106">
        <v>166.10949025698989</v>
      </c>
      <c r="AC100" s="106">
        <v>138.2965721453937</v>
      </c>
      <c r="AD100" s="106">
        <v>55.555151041499506</v>
      </c>
      <c r="AE100" s="106">
        <v>110.5474512849503</v>
      </c>
      <c r="AF100" s="106">
        <v>27.915472912522809</v>
      </c>
      <c r="AG100" s="106">
        <v>124.43623904532518</v>
      </c>
      <c r="AH100" s="106">
        <v>0</v>
      </c>
      <c r="AI100" s="106">
        <v>179.99999999999977</v>
      </c>
      <c r="AJ100" s="106">
        <v>179.99999999999977</v>
      </c>
      <c r="AK100" s="106">
        <v>124.43623904532518</v>
      </c>
      <c r="AL100" s="106">
        <v>55.562038972039588</v>
      </c>
      <c r="AM100" s="106">
        <v>138.84274382651068</v>
      </c>
      <c r="AN100" s="106">
        <v>138.89592238379058</v>
      </c>
      <c r="AO100" s="106">
        <v>166.10949025698989</v>
      </c>
      <c r="AP100" s="106">
        <v>0</v>
      </c>
      <c r="AQ100" s="106">
        <v>69.452548715049488</v>
      </c>
      <c r="AR100" s="106">
        <v>110.5474512849503</v>
      </c>
      <c r="AS100" s="106">
        <v>124.43623904532518</v>
      </c>
      <c r="AT100" s="106">
        <v>179.99999999999977</v>
      </c>
      <c r="AU100" s="106">
        <v>124.43623904532518</v>
      </c>
      <c r="AV100" s="106">
        <v>69.452548715049488</v>
      </c>
      <c r="AW100" s="106">
        <v>234.98369033027546</v>
      </c>
      <c r="AX100" s="106">
        <v>110.5474512849503</v>
      </c>
      <c r="AY100" s="106">
        <v>179.99999999999977</v>
      </c>
    </row>
    <row r="101" spans="1:52">
      <c r="A101" s="109"/>
      <c r="B101" s="119">
        <v>2</v>
      </c>
      <c r="C101" s="106">
        <v>92.201258764457606</v>
      </c>
      <c r="D101" s="106">
        <v>112.99999999999994</v>
      </c>
      <c r="E101" s="106">
        <v>0</v>
      </c>
      <c r="F101" s="106">
        <v>0</v>
      </c>
      <c r="G101" s="106">
        <v>35.310749021447464</v>
      </c>
      <c r="H101" s="106">
        <v>0</v>
      </c>
      <c r="I101" s="106">
        <v>61.656941541940171</v>
      </c>
      <c r="J101" s="106">
        <v>48.766431798930057</v>
      </c>
      <c r="K101" s="106">
        <v>97.87527392827667</v>
      </c>
      <c r="L101" s="106">
        <v>151.98411605762328</v>
      </c>
      <c r="M101" s="106">
        <v>188.21144445579662</v>
      </c>
      <c r="N101" s="106">
        <v>195.30440264276652</v>
      </c>
      <c r="O101" s="106">
        <v>202.10884212934661</v>
      </c>
      <c r="P101" s="106">
        <v>202.10884212934661</v>
      </c>
      <c r="Q101" s="106">
        <v>202.10884212934661</v>
      </c>
      <c r="R101" s="106">
        <v>201.63716883370296</v>
      </c>
      <c r="S101" s="106">
        <v>41.092958186968559</v>
      </c>
      <c r="T101" s="106">
        <v>69.452548715049488</v>
      </c>
      <c r="U101" s="106">
        <v>0</v>
      </c>
      <c r="V101" s="106">
        <v>69.452548715049488</v>
      </c>
      <c r="W101" s="106">
        <v>124.44484895850027</v>
      </c>
      <c r="X101" s="106">
        <v>69.452548715049474</v>
      </c>
      <c r="Y101" s="106">
        <v>51.452548715049289</v>
      </c>
      <c r="Z101" s="106">
        <v>69.452548715049474</v>
      </c>
      <c r="AA101" s="106">
        <v>110.5474512849503</v>
      </c>
      <c r="AB101" s="106">
        <v>166.10949025698989</v>
      </c>
      <c r="AC101" s="106">
        <v>151.21898051397977</v>
      </c>
      <c r="AD101" s="106">
        <v>123.51555265937347</v>
      </c>
      <c r="AE101" s="106">
        <v>124.44484895850027</v>
      </c>
      <c r="AF101" s="106">
        <v>33.992300243450572</v>
      </c>
      <c r="AG101" s="106">
        <v>110.54745128495031</v>
      </c>
      <c r="AH101" s="106">
        <v>179.99999999999977</v>
      </c>
      <c r="AI101" s="106">
        <v>110.5474512849503</v>
      </c>
      <c r="AJ101" s="106">
        <v>106.54745128494964</v>
      </c>
      <c r="AK101" s="106">
        <v>179.99999999999977</v>
      </c>
      <c r="AL101" s="106">
        <v>179.99999999999977</v>
      </c>
      <c r="AM101" s="106">
        <v>166.10949025698989</v>
      </c>
      <c r="AN101" s="106">
        <v>138.84274382651068</v>
      </c>
      <c r="AO101" s="106">
        <v>21.848156467289812</v>
      </c>
      <c r="AP101" s="106">
        <v>21.957646724279698</v>
      </c>
      <c r="AQ101" s="106">
        <v>179.99999999999977</v>
      </c>
      <c r="AR101" s="106">
        <v>35.452548715049261</v>
      </c>
      <c r="AS101" s="106">
        <v>1.9999999999995595</v>
      </c>
      <c r="AT101" s="106">
        <v>105.54745128494962</v>
      </c>
      <c r="AU101" s="106">
        <v>107.99999999999888</v>
      </c>
      <c r="AV101" s="106">
        <v>128.99999999999864</v>
      </c>
      <c r="AW101" s="106">
        <v>35.452548715048124</v>
      </c>
      <c r="AX101" s="106">
        <v>163.99999999999818</v>
      </c>
      <c r="AY101" s="106">
        <v>31.54745128494848</v>
      </c>
    </row>
    <row r="102" spans="1:52">
      <c r="A102" s="109"/>
      <c r="B102" s="120">
        <v>3</v>
      </c>
      <c r="C102" s="106">
        <v>87.79874123554238</v>
      </c>
      <c r="D102" s="106">
        <v>0</v>
      </c>
      <c r="E102" s="106">
        <v>0</v>
      </c>
      <c r="F102" s="106">
        <v>92.201258764457592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12.984116057623282</v>
      </c>
      <c r="N102" s="106">
        <v>13.897397673549989</v>
      </c>
      <c r="O102" s="106">
        <v>9.2018003163165076</v>
      </c>
      <c r="P102" s="106">
        <v>4.3106424456631203</v>
      </c>
      <c r="Q102" s="106">
        <v>20.419484575009733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69.452548715049488</v>
      </c>
      <c r="AH102" s="106">
        <v>35.999999999999801</v>
      </c>
      <c r="AI102" s="106">
        <v>0.99999999999957367</v>
      </c>
      <c r="AJ102" s="106">
        <v>69.452548715049474</v>
      </c>
      <c r="AK102" s="106">
        <v>6.9999999999991189</v>
      </c>
      <c r="AL102" s="106">
        <v>44.999999999998892</v>
      </c>
      <c r="AM102" s="106">
        <v>64.999999999998664</v>
      </c>
      <c r="AN102" s="106">
        <v>3.1094902569885505</v>
      </c>
      <c r="AO102" s="106">
        <v>0</v>
      </c>
      <c r="AP102" s="106">
        <v>0</v>
      </c>
      <c r="AQ102" s="106">
        <v>0</v>
      </c>
      <c r="AR102" s="106">
        <v>0</v>
      </c>
      <c r="AS102" s="106">
        <v>110.54745128495028</v>
      </c>
      <c r="AT102" s="106">
        <v>69.452548715049488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71.953944903552596</v>
      </c>
      <c r="D109" s="106">
        <v>107.14403846620802</v>
      </c>
      <c r="E109" s="106">
        <v>83.13051355325149</v>
      </c>
      <c r="F109" s="106">
        <v>76.804600691399372</v>
      </c>
      <c r="G109" s="106">
        <v>122.88354470256344</v>
      </c>
      <c r="H109" s="106">
        <v>63.441354839625618</v>
      </c>
      <c r="I109" s="106">
        <v>109.93658218025408</v>
      </c>
      <c r="J109" s="106">
        <v>84.285849162297495</v>
      </c>
      <c r="K109" s="106">
        <v>91.173285739073251</v>
      </c>
      <c r="L109" s="106">
        <v>55.392957450764712</v>
      </c>
      <c r="M109" s="106">
        <v>103.94732138706725</v>
      </c>
      <c r="N109" s="106">
        <v>90.238572509522342</v>
      </c>
      <c r="O109" s="106">
        <v>38.254319529410196</v>
      </c>
      <c r="P109" s="106">
        <v>133.07340188502664</v>
      </c>
      <c r="Q109" s="106">
        <v>118.24804375008839</v>
      </c>
      <c r="R109" s="106">
        <v>104.07468795253743</v>
      </c>
      <c r="S109" s="106">
        <v>45.320317682063994</v>
      </c>
      <c r="T109" s="106">
        <v>6.7107324508606583E-3</v>
      </c>
      <c r="U109" s="106">
        <v>57.56171996337531</v>
      </c>
      <c r="V109" s="106">
        <v>6.7107324508581204E-3</v>
      </c>
      <c r="W109" s="106">
        <v>51.802091194994055</v>
      </c>
      <c r="X109" s="106">
        <v>92.672933409232769</v>
      </c>
      <c r="Y109" s="106">
        <v>99.560453855555551</v>
      </c>
      <c r="Z109" s="106">
        <v>58.566379192453482</v>
      </c>
      <c r="AA109" s="106">
        <v>55.864729176835084</v>
      </c>
      <c r="AB109" s="106">
        <v>43.460007686651174</v>
      </c>
      <c r="AC109" s="106">
        <v>132.95858587262384</v>
      </c>
      <c r="AD109" s="106">
        <v>79.059104378837361</v>
      </c>
      <c r="AE109" s="106">
        <v>23.123266701342857</v>
      </c>
      <c r="AF109" s="106">
        <v>92.672933409232769</v>
      </c>
      <c r="AG109" s="106">
        <v>11.572149201173037</v>
      </c>
      <c r="AH109" s="106">
        <v>121.44687052687497</v>
      </c>
      <c r="AI109" s="106">
        <v>59.069982047509747</v>
      </c>
      <c r="AJ109" s="106">
        <v>115.69208310334653</v>
      </c>
      <c r="AK109" s="106">
        <v>137.87777262916879</v>
      </c>
      <c r="AL109" s="106">
        <v>92.480489391230535</v>
      </c>
      <c r="AM109" s="106">
        <v>71.92140887888894</v>
      </c>
      <c r="AN109" s="106">
        <v>108.79402656006994</v>
      </c>
      <c r="AO109" s="106">
        <v>72.63271654334342</v>
      </c>
      <c r="AP109" s="106">
        <v>80.309327523331405</v>
      </c>
      <c r="AQ109" s="106">
        <v>8.4087917829930063</v>
      </c>
      <c r="AR109" s="106">
        <v>101.01501691757564</v>
      </c>
      <c r="AS109" s="106">
        <v>67.673496772339021</v>
      </c>
      <c r="AT109" s="106">
        <v>92.669365911412754</v>
      </c>
      <c r="AU109" s="106">
        <v>124.03773410950943</v>
      </c>
      <c r="AV109" s="106">
        <v>65.367229973896414</v>
      </c>
      <c r="AW109" s="106">
        <v>51.805658692814077</v>
      </c>
      <c r="AX109" s="106">
        <v>92.669365911412754</v>
      </c>
      <c r="AY109" s="106">
        <v>81.072619430593249</v>
      </c>
    </row>
    <row r="110" spans="1:52">
      <c r="A110" s="109"/>
      <c r="B110" s="119">
        <v>2</v>
      </c>
      <c r="C110" s="106">
        <v>10.206834627530078</v>
      </c>
      <c r="D110" s="106">
        <v>0</v>
      </c>
      <c r="E110" s="106">
        <v>31.969609153478288</v>
      </c>
      <c r="F110" s="106">
        <v>19.613767158806525</v>
      </c>
      <c r="G110" s="106">
        <v>34.418367850205897</v>
      </c>
      <c r="H110" s="106">
        <v>67.773524951950861</v>
      </c>
      <c r="I110" s="106">
        <v>30.214879791576479</v>
      </c>
      <c r="J110" s="106">
        <v>61.151461971830557</v>
      </c>
      <c r="K110" s="106">
        <v>84.285849162297495</v>
      </c>
      <c r="L110" s="106">
        <v>91.173285739073251</v>
      </c>
      <c r="M110" s="106">
        <v>55.392957450764712</v>
      </c>
      <c r="N110" s="106">
        <v>90.950875711033262</v>
      </c>
      <c r="O110" s="106">
        <v>90.238572509522342</v>
      </c>
      <c r="P110" s="106">
        <v>28.443767749965801</v>
      </c>
      <c r="Q110" s="106">
        <v>104.51716963499244</v>
      </c>
      <c r="R110" s="106">
        <v>118.24804375008839</v>
      </c>
      <c r="S110" s="106">
        <v>104.07468795253743</v>
      </c>
      <c r="T110" s="106">
        <v>45.320317682063994</v>
      </c>
      <c r="U110" s="106">
        <v>6.7107324508606583E-3</v>
      </c>
      <c r="V110" s="106">
        <v>27.450264476142646</v>
      </c>
      <c r="W110" s="106">
        <v>0</v>
      </c>
      <c r="X110" s="106">
        <v>0</v>
      </c>
      <c r="Y110" s="106">
        <v>12.672933409232769</v>
      </c>
      <c r="Z110" s="106">
        <v>42.202066622313595</v>
      </c>
      <c r="AA110" s="106">
        <v>23.523558447461227</v>
      </c>
      <c r="AB110" s="106">
        <v>0</v>
      </c>
      <c r="AC110" s="106">
        <v>0</v>
      </c>
      <c r="AD110" s="106">
        <v>21.958585872623843</v>
      </c>
      <c r="AE110" s="106">
        <v>13.953130731979599</v>
      </c>
      <c r="AF110" s="106">
        <v>0</v>
      </c>
      <c r="AG110" s="106">
        <v>8.505762964611506</v>
      </c>
      <c r="AH110" s="106">
        <v>0</v>
      </c>
      <c r="AI110" s="106">
        <v>49.446870526874974</v>
      </c>
      <c r="AJ110" s="106">
        <v>27.516852574384721</v>
      </c>
      <c r="AK110" s="106">
        <v>83.208935677731262</v>
      </c>
      <c r="AL110" s="106">
        <v>127.08670830690005</v>
      </c>
      <c r="AM110" s="106">
        <v>92.480489391230535</v>
      </c>
      <c r="AN110" s="106">
        <v>71.92140887888894</v>
      </c>
      <c r="AO110" s="106">
        <v>108.79402656006994</v>
      </c>
      <c r="AP110" s="106">
        <v>72.63271654334342</v>
      </c>
      <c r="AQ110" s="106">
        <v>80.309327523331405</v>
      </c>
      <c r="AR110" s="106">
        <v>8.4087917829930063</v>
      </c>
      <c r="AS110" s="106">
        <v>42.678038000235304</v>
      </c>
      <c r="AT110" s="106">
        <v>23.351534772574325</v>
      </c>
      <c r="AU110" s="106">
        <v>33.02090068398708</v>
      </c>
      <c r="AV110" s="106">
        <v>52.058634793496509</v>
      </c>
      <c r="AW110" s="106">
        <v>12.425864767392923</v>
      </c>
      <c r="AX110" s="106">
        <v>0</v>
      </c>
      <c r="AY110" s="106">
        <v>29.669365911412754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2.1514619718305568</v>
      </c>
      <c r="L111" s="106">
        <v>9.437311134128052</v>
      </c>
      <c r="M111" s="106">
        <v>8.6105968732013025</v>
      </c>
      <c r="N111" s="106">
        <v>0</v>
      </c>
      <c r="O111" s="106">
        <v>0.95087571103326241</v>
      </c>
      <c r="P111" s="106">
        <v>0</v>
      </c>
      <c r="Q111" s="106">
        <v>0</v>
      </c>
      <c r="R111" s="106">
        <v>25.517169634992442</v>
      </c>
      <c r="S111" s="106">
        <v>66.765213385080827</v>
      </c>
      <c r="T111" s="106">
        <v>78.104334451815305</v>
      </c>
      <c r="U111" s="106">
        <v>45.320317682063994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12.08670830690005</v>
      </c>
      <c r="AN111" s="106">
        <v>37.567197698130585</v>
      </c>
      <c r="AO111" s="106">
        <v>22.488606577019524</v>
      </c>
      <c r="AP111" s="106">
        <v>58.282633137089462</v>
      </c>
      <c r="AQ111" s="106">
        <v>48.944901776335257</v>
      </c>
      <c r="AR111" s="106">
        <v>24.254229299666662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14.562164215846195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98.783803823961023</v>
      </c>
      <c r="D122" s="106">
        <v>98.783651848055669</v>
      </c>
      <c r="E122" s="106">
        <v>199.59479699508739</v>
      </c>
      <c r="F122" s="106">
        <v>186.12430253554868</v>
      </c>
      <c r="G122" s="106">
        <v>64.468060274001132</v>
      </c>
      <c r="H122" s="106">
        <v>307.78054479709624</v>
      </c>
      <c r="I122" s="106">
        <v>186.12430253554868</v>
      </c>
      <c r="J122" s="106">
        <v>226.56804749715016</v>
      </c>
      <c r="K122" s="106">
        <v>146.001998664328</v>
      </c>
      <c r="L122" s="106">
        <v>210.4468476228285</v>
      </c>
      <c r="M122" s="106">
        <v>226.56804749715016</v>
      </c>
      <c r="N122" s="106">
        <v>80.581270040565585</v>
      </c>
      <c r="O122" s="106">
        <v>226.56804749715016</v>
      </c>
      <c r="P122" s="106">
        <v>226.56804749715016</v>
      </c>
      <c r="Q122" s="106">
        <v>226.56804749715016</v>
      </c>
      <c r="R122" s="106">
        <v>80.584836326927856</v>
      </c>
      <c r="S122" s="106">
        <v>1.8787494105703073E-2</v>
      </c>
      <c r="T122" s="106">
        <v>80.584836326927856</v>
      </c>
      <c r="U122" s="106">
        <v>1.8787494105703073E-2</v>
      </c>
      <c r="V122" s="106">
        <v>64.460070166243909</v>
      </c>
      <c r="W122" s="106">
        <v>121.67146346929098</v>
      </c>
      <c r="X122" s="106">
        <v>186.11631242779146</v>
      </c>
      <c r="Y122" s="106">
        <v>121.67146346929098</v>
      </c>
      <c r="Z122" s="106">
        <v>64.468060274001132</v>
      </c>
      <c r="AA122" s="106">
        <v>1.5221207743430117E-2</v>
      </c>
      <c r="AB122" s="106">
        <v>186.12430253554868</v>
      </c>
      <c r="AC122" s="106">
        <v>153.8608800950617</v>
      </c>
      <c r="AD122" s="106">
        <v>64.460070166243909</v>
      </c>
      <c r="AE122" s="106">
        <v>121.67146346929098</v>
      </c>
      <c r="AF122" s="106">
        <v>32.397608830248316</v>
      </c>
      <c r="AG122" s="106">
        <v>137.78267570891609</v>
      </c>
      <c r="AH122" s="106">
        <v>1.5221207743430117E-2</v>
      </c>
      <c r="AI122" s="106">
        <v>202.23751230211315</v>
      </c>
      <c r="AJ122" s="106">
        <v>202.23751230211315</v>
      </c>
      <c r="AK122" s="106">
        <v>137.78267570891609</v>
      </c>
      <c r="AL122" s="106">
        <v>64.468060274001118</v>
      </c>
      <c r="AM122" s="106">
        <v>154.49444783513863</v>
      </c>
      <c r="AN122" s="106">
        <v>154.55613579795551</v>
      </c>
      <c r="AO122" s="106">
        <v>186.12430253554868</v>
      </c>
      <c r="AP122" s="106">
        <v>1.5221207743430117E-2</v>
      </c>
      <c r="AQ122" s="106">
        <v>80.581270040565585</v>
      </c>
      <c r="AR122" s="106">
        <v>121.67146346929098</v>
      </c>
      <c r="AS122" s="106">
        <v>137.78267570891609</v>
      </c>
      <c r="AT122" s="106">
        <v>202.23751230211315</v>
      </c>
      <c r="AU122" s="106">
        <v>137.78267570891609</v>
      </c>
      <c r="AV122" s="106">
        <v>80.581270040565585</v>
      </c>
      <c r="AW122" s="106">
        <v>259.43891797046365</v>
      </c>
      <c r="AX122" s="106">
        <v>121.67146346929098</v>
      </c>
      <c r="AY122" s="106">
        <v>202.23751230211315</v>
      </c>
    </row>
    <row r="123" spans="1:52">
      <c r="A123" s="109"/>
      <c r="B123" s="119">
        <v>2</v>
      </c>
      <c r="C123" s="106">
        <v>103.17014107959182</v>
      </c>
      <c r="D123" s="106">
        <v>133.95011377630152</v>
      </c>
      <c r="E123" s="106">
        <v>15.428822758375972</v>
      </c>
      <c r="F123" s="106">
        <v>54.732663514140754</v>
      </c>
      <c r="G123" s="106">
        <v>113.14356242671781</v>
      </c>
      <c r="H123" s="106">
        <v>0</v>
      </c>
      <c r="I123" s="106">
        <v>49.843962616842163</v>
      </c>
      <c r="J123" s="106">
        <v>28.682415990093332</v>
      </c>
      <c r="K123" s="106">
        <v>9.0771777481702429</v>
      </c>
      <c r="L123" s="106">
        <v>80.566048832822148</v>
      </c>
      <c r="M123" s="106">
        <v>26.065575068583399</v>
      </c>
      <c r="N123" s="106">
        <v>10.395050056211204</v>
      </c>
      <c r="O123" s="106">
        <v>145.98677745658455</v>
      </c>
      <c r="P123" s="106">
        <v>104.48142306870807</v>
      </c>
      <c r="Q123" s="106">
        <v>64.80142681576983</v>
      </c>
      <c r="R123" s="106">
        <v>46.294786360382545</v>
      </c>
      <c r="S123" s="106">
        <v>7.1054273576010019E-15</v>
      </c>
      <c r="T123" s="106">
        <v>80.566048832822148</v>
      </c>
      <c r="U123" s="106">
        <v>0</v>
      </c>
      <c r="V123" s="106">
        <v>80.566048832822148</v>
      </c>
      <c r="W123" s="106">
        <v>137.77744213586922</v>
      </c>
      <c r="X123" s="106">
        <v>92.615026314999241</v>
      </c>
      <c r="Y123" s="106">
        <v>42.292084761556822</v>
      </c>
      <c r="Z123" s="106">
        <v>91.931897228741761</v>
      </c>
      <c r="AA123" s="106">
        <v>121.65624226154753</v>
      </c>
      <c r="AB123" s="106">
        <v>186.10908132780526</v>
      </c>
      <c r="AC123" s="106">
        <v>67.474491028196027</v>
      </c>
      <c r="AD123" s="106">
        <v>0.27626674442036858</v>
      </c>
      <c r="AE123" s="106">
        <v>137.77744213586922</v>
      </c>
      <c r="AF123" s="106">
        <v>0</v>
      </c>
      <c r="AG123" s="106">
        <v>121.65624226154753</v>
      </c>
      <c r="AH123" s="106">
        <v>153.02271719193351</v>
      </c>
      <c r="AI123" s="106">
        <v>121.65624226154756</v>
      </c>
      <c r="AJ123" s="106">
        <v>103.20167146031417</v>
      </c>
      <c r="AK123" s="106">
        <v>121.12745996608068</v>
      </c>
      <c r="AL123" s="106">
        <v>136.88448287696326</v>
      </c>
      <c r="AM123" s="106">
        <v>150.087376533623</v>
      </c>
      <c r="AN123" s="106">
        <v>48.787797808691721</v>
      </c>
      <c r="AO123" s="106">
        <v>38.711217063303806</v>
      </c>
      <c r="AP123" s="106">
        <v>23.526192075521081</v>
      </c>
      <c r="AQ123" s="106">
        <v>202.22229109436969</v>
      </c>
      <c r="AR123" s="106">
        <v>51.798328539685301</v>
      </c>
      <c r="AS123" s="106">
        <v>0</v>
      </c>
      <c r="AT123" s="106">
        <v>64.454836593197044</v>
      </c>
      <c r="AU123" s="106">
        <v>45.220663618622922</v>
      </c>
      <c r="AV123" s="106">
        <v>64.454836593197044</v>
      </c>
      <c r="AW123" s="106">
        <v>0</v>
      </c>
      <c r="AX123" s="106">
        <v>105.30098265935921</v>
      </c>
      <c r="AY123" s="106">
        <v>0</v>
      </c>
    </row>
    <row r="124" spans="1:52">
      <c r="A124" s="109"/>
      <c r="B124" s="119">
        <v>3</v>
      </c>
      <c r="C124" s="106">
        <v>98.768430640312232</v>
      </c>
      <c r="D124" s="106">
        <v>0</v>
      </c>
      <c r="E124" s="106">
        <v>0</v>
      </c>
      <c r="F124" s="106">
        <v>103.17014107959182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16.121199874321672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80.566048832822148</v>
      </c>
      <c r="AH124" s="106">
        <v>12.335505955069394</v>
      </c>
      <c r="AI124" s="106">
        <v>0</v>
      </c>
      <c r="AJ124" s="106">
        <v>80.566048832822133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15.990215677674342</v>
      </c>
      <c r="AS124" s="106">
        <v>121.65624226154756</v>
      </c>
      <c r="AT124" s="106">
        <v>80.566048832822148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0.35628888030840722</v>
      </c>
      <c r="D172" s="134">
        <v>0.35719146007987468</v>
      </c>
      <c r="E172" s="134">
        <v>0.35719146007987468</v>
      </c>
      <c r="F172" s="134">
        <v>0.35719146007987468</v>
      </c>
      <c r="G172" s="134">
        <v>0.35719146007987468</v>
      </c>
      <c r="H172" s="134">
        <v>0.35719146007987468</v>
      </c>
      <c r="I172" s="134">
        <v>0.35719146007987468</v>
      </c>
      <c r="J172" s="134">
        <v>0.35719146007987468</v>
      </c>
      <c r="K172" s="134">
        <v>0.35719146007987468</v>
      </c>
      <c r="L172" s="134">
        <v>0.35719146007987468</v>
      </c>
      <c r="M172" s="134">
        <v>0.35719146007987468</v>
      </c>
      <c r="N172" s="134">
        <v>0.35719146007987468</v>
      </c>
      <c r="O172" s="134">
        <v>0.35719146007987468</v>
      </c>
      <c r="P172" s="134">
        <v>0.35719146007987468</v>
      </c>
      <c r="Q172" s="134">
        <v>0.35719146007987468</v>
      </c>
      <c r="R172" s="134">
        <v>0.35719146007987468</v>
      </c>
      <c r="S172" s="134">
        <v>0.35719146007987468</v>
      </c>
      <c r="T172" s="134">
        <v>0.35719146007987468</v>
      </c>
      <c r="U172" s="134">
        <v>0.35719146007987468</v>
      </c>
      <c r="V172" s="134">
        <v>0.35719146007987468</v>
      </c>
      <c r="W172" s="134">
        <v>0.35719146007987468</v>
      </c>
      <c r="X172" s="134">
        <v>0.35719146007987468</v>
      </c>
      <c r="Y172" s="134">
        <v>0.35719146007987468</v>
      </c>
      <c r="Z172" s="134">
        <v>0.35719146007987468</v>
      </c>
      <c r="AA172" s="134">
        <v>0.35719146007987468</v>
      </c>
      <c r="AB172" s="134">
        <v>0.35719146007987468</v>
      </c>
      <c r="AC172" s="134">
        <v>0.35719146007987468</v>
      </c>
      <c r="AD172" s="134">
        <v>0.35719146007987468</v>
      </c>
      <c r="AE172" s="134">
        <v>0.35719146007987468</v>
      </c>
      <c r="AF172" s="134">
        <v>0.35719146007987468</v>
      </c>
      <c r="AG172" s="134">
        <v>0.35719146007987468</v>
      </c>
      <c r="AH172" s="134">
        <v>0.35719146007987468</v>
      </c>
      <c r="AI172" s="134">
        <v>0.35719146007987468</v>
      </c>
      <c r="AJ172" s="134">
        <v>0.35719146007987468</v>
      </c>
      <c r="AK172" s="134">
        <v>0.35719146007987468</v>
      </c>
      <c r="AL172" s="134">
        <v>0.35719146007987468</v>
      </c>
      <c r="AM172" s="134">
        <v>0.35719146007987468</v>
      </c>
      <c r="AN172" s="134">
        <v>0.35719146007987468</v>
      </c>
      <c r="AO172" s="134">
        <v>0.35719146007987468</v>
      </c>
      <c r="AP172" s="134">
        <v>0.35719146007987468</v>
      </c>
      <c r="AQ172" s="134">
        <v>0.35719146007987468</v>
      </c>
      <c r="AR172" s="134">
        <v>0.35719146007987468</v>
      </c>
      <c r="AS172" s="134">
        <v>0.35719146007987468</v>
      </c>
      <c r="AT172" s="134">
        <v>0.35719146007987468</v>
      </c>
      <c r="AU172" s="134">
        <v>0.35719146007987468</v>
      </c>
      <c r="AV172" s="134">
        <v>0.35719146007987468</v>
      </c>
      <c r="AW172" s="134">
        <v>0.35719146007987468</v>
      </c>
      <c r="AX172" s="134">
        <v>0.35719146007987468</v>
      </c>
      <c r="AY172" s="134">
        <v>0.35719146007987468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140</v>
      </c>
      <c r="E175" s="124">
        <f t="shared" si="1"/>
        <v>145</v>
      </c>
      <c r="F175" s="124">
        <f t="shared" si="1"/>
        <v>140</v>
      </c>
      <c r="G175" s="124">
        <f t="shared" si="1"/>
        <v>140</v>
      </c>
      <c r="H175" s="124">
        <f t="shared" si="1"/>
        <v>112</v>
      </c>
      <c r="I175" s="124">
        <f t="shared" si="1"/>
        <v>112</v>
      </c>
      <c r="J175" s="124">
        <f t="shared" si="1"/>
        <v>112</v>
      </c>
      <c r="K175" s="124">
        <f t="shared" si="1"/>
        <v>112</v>
      </c>
      <c r="L175" s="124">
        <f t="shared" si="1"/>
        <v>140</v>
      </c>
      <c r="M175" s="124">
        <f t="shared" si="1"/>
        <v>140</v>
      </c>
      <c r="N175" s="124">
        <f t="shared" si="1"/>
        <v>146</v>
      </c>
      <c r="O175" s="124">
        <f t="shared" si="1"/>
        <v>147</v>
      </c>
      <c r="P175" s="124">
        <f t="shared" si="1"/>
        <v>140</v>
      </c>
      <c r="Q175" s="124">
        <f t="shared" si="1"/>
        <v>146</v>
      </c>
      <c r="R175" s="124">
        <f t="shared" si="1"/>
        <v>179</v>
      </c>
      <c r="S175" s="124">
        <f t="shared" si="1"/>
        <v>147</v>
      </c>
      <c r="T175" s="124">
        <f t="shared" si="1"/>
        <v>166</v>
      </c>
      <c r="U175" s="124">
        <f t="shared" si="1"/>
        <v>169</v>
      </c>
      <c r="V175" s="124">
        <f t="shared" si="1"/>
        <v>150</v>
      </c>
      <c r="W175" s="124">
        <f t="shared" si="1"/>
        <v>151</v>
      </c>
      <c r="X175" s="124">
        <f t="shared" si="1"/>
        <v>140</v>
      </c>
      <c r="Y175" s="124">
        <f t="shared" si="1"/>
        <v>140</v>
      </c>
      <c r="Z175" s="124">
        <f t="shared" si="1"/>
        <v>140</v>
      </c>
      <c r="AA175" s="124">
        <f t="shared" si="1"/>
        <v>140</v>
      </c>
      <c r="AB175" s="124">
        <f t="shared" si="1"/>
        <v>158</v>
      </c>
      <c r="AC175" s="124">
        <f t="shared" si="1"/>
        <v>140</v>
      </c>
      <c r="AD175" s="124">
        <f t="shared" si="1"/>
        <v>140</v>
      </c>
      <c r="AE175" s="124">
        <f t="shared" si="1"/>
        <v>170</v>
      </c>
      <c r="AF175" s="124">
        <f t="shared" si="1"/>
        <v>201</v>
      </c>
      <c r="AG175" s="124">
        <f t="shared" si="1"/>
        <v>201</v>
      </c>
      <c r="AH175" s="124">
        <f t="shared" si="1"/>
        <v>233</v>
      </c>
      <c r="AI175" s="124">
        <f t="shared" si="1"/>
        <v>262</v>
      </c>
      <c r="AJ175" s="124">
        <f t="shared" si="1"/>
        <v>276</v>
      </c>
      <c r="AK175" s="124">
        <f t="shared" si="1"/>
        <v>242</v>
      </c>
      <c r="AL175" s="124">
        <f t="shared" si="1"/>
        <v>258</v>
      </c>
      <c r="AM175" s="124">
        <f t="shared" si="1"/>
        <v>237</v>
      </c>
      <c r="AN175" s="124">
        <f t="shared" si="1"/>
        <v>250</v>
      </c>
      <c r="AO175" s="124">
        <f t="shared" si="1"/>
        <v>275</v>
      </c>
      <c r="AP175" s="124">
        <f t="shared" si="1"/>
        <v>242</v>
      </c>
      <c r="AQ175" s="124">
        <f t="shared" si="1"/>
        <v>224</v>
      </c>
      <c r="AR175" s="124">
        <f t="shared" si="1"/>
        <v>249</v>
      </c>
      <c r="AS175" s="124">
        <f t="shared" si="1"/>
        <v>213</v>
      </c>
      <c r="AT175" s="124">
        <f t="shared" si="1"/>
        <v>184</v>
      </c>
      <c r="AU175" s="124">
        <f t="shared" si="1"/>
        <v>197</v>
      </c>
      <c r="AV175" s="124">
        <f t="shared" si="1"/>
        <v>195</v>
      </c>
      <c r="AW175" s="124">
        <f t="shared" si="1"/>
        <v>206</v>
      </c>
      <c r="AX175" s="124">
        <f t="shared" si="1"/>
        <v>211</v>
      </c>
      <c r="AY175" s="124">
        <f t="shared" si="1"/>
        <v>179</v>
      </c>
    </row>
    <row r="176" spans="1:52">
      <c r="A176" s="125"/>
      <c r="B176" s="136" t="s">
        <v>299</v>
      </c>
      <c r="C176" s="125" t="s">
        <v>293</v>
      </c>
      <c r="D176" s="125">
        <v>135</v>
      </c>
      <c r="E176" s="125">
        <v>145</v>
      </c>
      <c r="F176" s="125">
        <v>140</v>
      </c>
      <c r="G176" s="125">
        <v>140</v>
      </c>
      <c r="H176" s="125">
        <v>112</v>
      </c>
      <c r="I176" s="125">
        <v>112</v>
      </c>
      <c r="J176" s="125">
        <v>112</v>
      </c>
      <c r="K176" s="125">
        <v>112</v>
      </c>
      <c r="L176" s="125">
        <v>140</v>
      </c>
      <c r="M176" s="125">
        <v>134</v>
      </c>
      <c r="N176" s="125">
        <v>139</v>
      </c>
      <c r="O176" s="125">
        <v>147</v>
      </c>
      <c r="P176" s="125">
        <v>134</v>
      </c>
      <c r="Q176" s="125">
        <v>107</v>
      </c>
      <c r="R176" s="125">
        <v>172</v>
      </c>
      <c r="S176" s="125">
        <v>121</v>
      </c>
      <c r="T176" s="125">
        <v>137</v>
      </c>
      <c r="U176" s="125">
        <v>159</v>
      </c>
      <c r="V176" s="125">
        <v>139</v>
      </c>
      <c r="W176" s="125">
        <v>151</v>
      </c>
      <c r="X176" s="125">
        <v>140</v>
      </c>
      <c r="Y176" s="125">
        <v>140</v>
      </c>
      <c r="Z176" s="125">
        <v>140</v>
      </c>
      <c r="AA176" s="125">
        <v>122</v>
      </c>
      <c r="AB176" s="125">
        <v>158</v>
      </c>
      <c r="AC176" s="125">
        <v>140</v>
      </c>
      <c r="AD176" s="125">
        <v>110</v>
      </c>
      <c r="AE176" s="125">
        <v>109</v>
      </c>
      <c r="AF176" s="125">
        <v>140</v>
      </c>
      <c r="AG176" s="125">
        <v>108</v>
      </c>
      <c r="AH176" s="125">
        <v>111</v>
      </c>
      <c r="AI176" s="125">
        <v>126</v>
      </c>
      <c r="AJ176" s="125">
        <v>174</v>
      </c>
      <c r="AK176" s="125">
        <v>124</v>
      </c>
      <c r="AL176" s="125">
        <v>161</v>
      </c>
      <c r="AM176" s="125">
        <v>127</v>
      </c>
      <c r="AN176" s="125">
        <v>115</v>
      </c>
      <c r="AO176" s="125">
        <v>173</v>
      </c>
      <c r="AP176" s="125">
        <v>158</v>
      </c>
      <c r="AQ176" s="125">
        <v>115</v>
      </c>
      <c r="AR176" s="125">
        <v>176</v>
      </c>
      <c r="AS176" s="125">
        <v>169</v>
      </c>
      <c r="AT176" s="125">
        <v>127</v>
      </c>
      <c r="AU176" s="125">
        <v>142</v>
      </c>
      <c r="AV176" s="125">
        <v>129</v>
      </c>
      <c r="AW176" s="125">
        <v>135</v>
      </c>
      <c r="AX176" s="125">
        <v>172</v>
      </c>
      <c r="AY176" s="125">
        <v>149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200.79874123554234</v>
      </c>
      <c r="E177" s="124">
        <f t="shared" si="2"/>
        <v>177.59859883691485</v>
      </c>
      <c r="F177" s="124">
        <f t="shared" si="2"/>
        <v>258.31074902144746</v>
      </c>
      <c r="G177" s="124">
        <f t="shared" si="2"/>
        <v>90.872787993487051</v>
      </c>
      <c r="H177" s="124">
        <f t="shared" si="2"/>
        <v>276.65694154194017</v>
      </c>
      <c r="I177" s="124">
        <f t="shared" si="2"/>
        <v>227.76643179893006</v>
      </c>
      <c r="J177" s="124">
        <f t="shared" si="2"/>
        <v>250.87527392827667</v>
      </c>
      <c r="K177" s="124">
        <f t="shared" si="2"/>
        <v>230.53156734257379</v>
      </c>
      <c r="L177" s="124">
        <f t="shared" si="2"/>
        <v>340.19556051341988</v>
      </c>
      <c r="M177" s="124">
        <f t="shared" si="2"/>
        <v>403.30440264276649</v>
      </c>
      <c r="N177" s="124">
        <f t="shared" si="2"/>
        <v>278.654349031366</v>
      </c>
      <c r="O177" s="124">
        <f t="shared" si="2"/>
        <v>413.41948457500973</v>
      </c>
      <c r="P177" s="124">
        <f t="shared" si="2"/>
        <v>408.52832670435635</v>
      </c>
      <c r="Q177" s="124">
        <f t="shared" si="2"/>
        <v>424.63716883370296</v>
      </c>
      <c r="R177" s="124">
        <f t="shared" si="2"/>
        <v>271.09295818696853</v>
      </c>
      <c r="S177" s="124">
        <f t="shared" si="2"/>
        <v>41.096198825184672</v>
      </c>
      <c r="T177" s="124">
        <f t="shared" si="2"/>
        <v>138.90833806831509</v>
      </c>
      <c r="U177" s="124">
        <f t="shared" si="2"/>
        <v>3.2406382161136588E-3</v>
      </c>
      <c r="V177" s="124">
        <f t="shared" si="2"/>
        <v>125.00769975654899</v>
      </c>
      <c r="W177" s="124">
        <f t="shared" si="2"/>
        <v>234.99230024345059</v>
      </c>
      <c r="X177" s="124">
        <f t="shared" si="2"/>
        <v>235.5551510414993</v>
      </c>
      <c r="Y177" s="124">
        <f t="shared" si="2"/>
        <v>161.9999999999996</v>
      </c>
      <c r="Z177" s="124">
        <f t="shared" si="2"/>
        <v>125.01458768708906</v>
      </c>
      <c r="AA177" s="124">
        <f t="shared" si="2"/>
        <v>110.5474512849503</v>
      </c>
      <c r="AB177" s="124">
        <f t="shared" si="2"/>
        <v>332.21898051397977</v>
      </c>
      <c r="AC177" s="124">
        <f t="shared" si="2"/>
        <v>289.5155526593735</v>
      </c>
      <c r="AD177" s="124">
        <f t="shared" si="2"/>
        <v>179.07070370087297</v>
      </c>
      <c r="AE177" s="124">
        <f t="shared" si="2"/>
        <v>234.99230024345059</v>
      </c>
      <c r="AF177" s="124">
        <f t="shared" si="2"/>
        <v>61.907773155973381</v>
      </c>
      <c r="AG177" s="124">
        <f t="shared" si="2"/>
        <v>304.43623904532501</v>
      </c>
      <c r="AH177" s="124">
        <f t="shared" si="2"/>
        <v>215.99999999999957</v>
      </c>
      <c r="AI177" s="124">
        <f t="shared" si="2"/>
        <v>291.5474512849496</v>
      </c>
      <c r="AJ177" s="124">
        <f t="shared" si="2"/>
        <v>355.99999999999892</v>
      </c>
      <c r="AK177" s="124">
        <f t="shared" si="2"/>
        <v>311.4362390453241</v>
      </c>
      <c r="AL177" s="124">
        <f t="shared" si="2"/>
        <v>280.56203897203829</v>
      </c>
      <c r="AM177" s="124">
        <f t="shared" si="2"/>
        <v>369.95223408349921</v>
      </c>
      <c r="AN177" s="124">
        <f t="shared" si="2"/>
        <v>280.84815646728987</v>
      </c>
      <c r="AO177" s="124">
        <f t="shared" si="2"/>
        <v>187.9576467242797</v>
      </c>
      <c r="AP177" s="124">
        <f t="shared" si="2"/>
        <v>21.957646724279698</v>
      </c>
      <c r="AQ177" s="124">
        <f t="shared" si="2"/>
        <v>249.45254871504926</v>
      </c>
      <c r="AR177" s="124">
        <f t="shared" si="2"/>
        <v>145.99999999999955</v>
      </c>
      <c r="AS177" s="124">
        <f t="shared" si="2"/>
        <v>236.98369033027501</v>
      </c>
      <c r="AT177" s="124">
        <f t="shared" si="2"/>
        <v>354.99999999999886</v>
      </c>
      <c r="AU177" s="124">
        <f t="shared" si="2"/>
        <v>232.43623904532404</v>
      </c>
      <c r="AV177" s="124">
        <f t="shared" si="2"/>
        <v>198.45254871504812</v>
      </c>
      <c r="AW177" s="124">
        <f t="shared" si="2"/>
        <v>270.43623904532359</v>
      </c>
      <c r="AX177" s="124">
        <f t="shared" si="2"/>
        <v>274.54745128494847</v>
      </c>
      <c r="AY177" s="124">
        <f t="shared" si="2"/>
        <v>211.54745128494824</v>
      </c>
    </row>
    <row r="178" spans="1:51">
      <c r="A178" s="125"/>
      <c r="B178" s="136" t="s">
        <v>299</v>
      </c>
      <c r="C178" s="125" t="s">
        <v>293</v>
      </c>
      <c r="D178" s="125">
        <v>200.79874123554234</v>
      </c>
      <c r="E178" s="125">
        <v>177.59859883691485</v>
      </c>
      <c r="F178" s="125">
        <v>223</v>
      </c>
      <c r="G178" s="125">
        <v>90.872787993487051</v>
      </c>
      <c r="H178" s="125">
        <v>215</v>
      </c>
      <c r="I178" s="125">
        <v>179</v>
      </c>
      <c r="J178" s="125">
        <v>153</v>
      </c>
      <c r="K178" s="125">
        <v>148</v>
      </c>
      <c r="L178" s="125">
        <v>139</v>
      </c>
      <c r="M178" s="125">
        <v>208</v>
      </c>
      <c r="N178" s="125">
        <v>200</v>
      </c>
      <c r="O178" s="125">
        <v>207</v>
      </c>
      <c r="P178" s="125">
        <v>186</v>
      </c>
      <c r="Q178" s="125">
        <v>223</v>
      </c>
      <c r="R178" s="125">
        <v>230</v>
      </c>
      <c r="S178" s="125">
        <v>41.096198825184672</v>
      </c>
      <c r="T178" s="125">
        <v>138.90833806831509</v>
      </c>
      <c r="U178" s="125">
        <v>3.2406382161136588E-3</v>
      </c>
      <c r="V178" s="125">
        <v>125.00769975654899</v>
      </c>
      <c r="W178" s="125">
        <v>234.99230024345059</v>
      </c>
      <c r="X178" s="125">
        <v>198</v>
      </c>
      <c r="Y178" s="125">
        <v>161.9999999999996</v>
      </c>
      <c r="Z178" s="125">
        <v>125.01458768708906</v>
      </c>
      <c r="AA178" s="125">
        <v>110.5474512849503</v>
      </c>
      <c r="AB178" s="125">
        <v>181</v>
      </c>
      <c r="AC178" s="125">
        <v>166</v>
      </c>
      <c r="AD178" s="125">
        <v>179.07070370087297</v>
      </c>
      <c r="AE178" s="125">
        <v>201</v>
      </c>
      <c r="AF178" s="125">
        <v>61.907773155973381</v>
      </c>
      <c r="AG178" s="125">
        <v>144</v>
      </c>
      <c r="AH178" s="125">
        <v>215</v>
      </c>
      <c r="AI178" s="125">
        <v>185</v>
      </c>
      <c r="AJ178" s="125">
        <v>169</v>
      </c>
      <c r="AK178" s="125">
        <v>142</v>
      </c>
      <c r="AL178" s="125">
        <v>160</v>
      </c>
      <c r="AM178" s="125">
        <v>228</v>
      </c>
      <c r="AN178" s="125">
        <v>259</v>
      </c>
      <c r="AO178" s="125">
        <v>166</v>
      </c>
      <c r="AP178" s="125">
        <v>21.957646724279698</v>
      </c>
      <c r="AQ178" s="125">
        <v>214</v>
      </c>
      <c r="AR178" s="125">
        <v>144</v>
      </c>
      <c r="AS178" s="125">
        <v>187</v>
      </c>
      <c r="AT178" s="125">
        <v>247</v>
      </c>
      <c r="AU178" s="125">
        <v>159</v>
      </c>
      <c r="AV178" s="125">
        <v>163</v>
      </c>
      <c r="AW178" s="125">
        <v>162</v>
      </c>
      <c r="AX178" s="125">
        <v>243</v>
      </c>
      <c r="AY178" s="125">
        <v>177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107.14403846620802</v>
      </c>
      <c r="E179" s="124">
        <f t="shared" si="3"/>
        <v>115.10012270672978</v>
      </c>
      <c r="F179" s="124">
        <f t="shared" si="3"/>
        <v>96.418367850205897</v>
      </c>
      <c r="G179" s="124">
        <f t="shared" si="3"/>
        <v>157.30191255276935</v>
      </c>
      <c r="H179" s="124">
        <f t="shared" si="3"/>
        <v>131.21487979157649</v>
      </c>
      <c r="I179" s="124">
        <f t="shared" si="3"/>
        <v>140.15146197183054</v>
      </c>
      <c r="J179" s="124">
        <f t="shared" si="3"/>
        <v>145.43731113412804</v>
      </c>
      <c r="K179" s="124">
        <f t="shared" si="3"/>
        <v>177.6105968732013</v>
      </c>
      <c r="L179" s="124">
        <f t="shared" si="3"/>
        <v>156.003554323966</v>
      </c>
      <c r="M179" s="124">
        <f t="shared" si="3"/>
        <v>167.95087571103326</v>
      </c>
      <c r="N179" s="124">
        <f t="shared" si="3"/>
        <v>181.18944822055562</v>
      </c>
      <c r="O179" s="124">
        <f t="shared" si="3"/>
        <v>129.44376774996582</v>
      </c>
      <c r="P179" s="124">
        <f t="shared" si="3"/>
        <v>161.51716963499246</v>
      </c>
      <c r="Q179" s="124">
        <f t="shared" si="3"/>
        <v>222.76521338508081</v>
      </c>
      <c r="R179" s="124">
        <f t="shared" si="3"/>
        <v>247.83990133761824</v>
      </c>
      <c r="S179" s="124">
        <f t="shared" si="3"/>
        <v>216.16021901968224</v>
      </c>
      <c r="T179" s="124">
        <f t="shared" si="3"/>
        <v>123.43136286633016</v>
      </c>
      <c r="U179" s="124">
        <f t="shared" si="3"/>
        <v>117.45091259373636</v>
      </c>
      <c r="V179" s="124">
        <f t="shared" si="3"/>
        <v>27.456975208593505</v>
      </c>
      <c r="W179" s="124">
        <f t="shared" si="3"/>
        <v>51.802091194994055</v>
      </c>
      <c r="X179" s="124">
        <f t="shared" si="3"/>
        <v>92.672933409232769</v>
      </c>
      <c r="Y179" s="124">
        <f t="shared" si="3"/>
        <v>112.23338726478832</v>
      </c>
      <c r="Z179" s="124">
        <f t="shared" si="3"/>
        <v>100.76844581476708</v>
      </c>
      <c r="AA179" s="124">
        <f t="shared" si="3"/>
        <v>79.388287624296311</v>
      </c>
      <c r="AB179" s="124">
        <f t="shared" si="3"/>
        <v>43.460007686651174</v>
      </c>
      <c r="AC179" s="124">
        <f t="shared" si="3"/>
        <v>132.95858587262384</v>
      </c>
      <c r="AD179" s="124">
        <f t="shared" si="3"/>
        <v>101.0176902514612</v>
      </c>
      <c r="AE179" s="124">
        <f t="shared" si="3"/>
        <v>37.076397433322455</v>
      </c>
      <c r="AF179" s="124">
        <f t="shared" si="3"/>
        <v>92.672933409232769</v>
      </c>
      <c r="AG179" s="124">
        <f t="shared" si="3"/>
        <v>20.077912165784543</v>
      </c>
      <c r="AH179" s="124">
        <f t="shared" si="3"/>
        <v>121.44687052687497</v>
      </c>
      <c r="AI179" s="124">
        <f t="shared" si="3"/>
        <v>108.51685257438473</v>
      </c>
      <c r="AJ179" s="124">
        <f t="shared" si="3"/>
        <v>143.20893567773126</v>
      </c>
      <c r="AK179" s="124">
        <f t="shared" si="3"/>
        <v>221.08670830690005</v>
      </c>
      <c r="AL179" s="124">
        <f t="shared" si="3"/>
        <v>219.5671976981306</v>
      </c>
      <c r="AM179" s="124">
        <f t="shared" si="3"/>
        <v>176.48860657701954</v>
      </c>
      <c r="AN179" s="124">
        <f t="shared" si="3"/>
        <v>218.28263313708948</v>
      </c>
      <c r="AO179" s="124">
        <f t="shared" si="3"/>
        <v>203.91534968043288</v>
      </c>
      <c r="AP179" s="124">
        <f t="shared" si="3"/>
        <v>211.22467720376432</v>
      </c>
      <c r="AQ179" s="124">
        <f t="shared" si="3"/>
        <v>137.66302108265967</v>
      </c>
      <c r="AR179" s="124">
        <f t="shared" si="3"/>
        <v>133.67803800023529</v>
      </c>
      <c r="AS179" s="124">
        <f t="shared" si="3"/>
        <v>110.35153477257433</v>
      </c>
      <c r="AT179" s="124">
        <f t="shared" si="3"/>
        <v>116.02090068398708</v>
      </c>
      <c r="AU179" s="124">
        <f t="shared" si="3"/>
        <v>157.05863479349651</v>
      </c>
      <c r="AV179" s="124">
        <f t="shared" si="3"/>
        <v>117.42586476739292</v>
      </c>
      <c r="AW179" s="124">
        <f t="shared" si="3"/>
        <v>64.231523460207001</v>
      </c>
      <c r="AX179" s="124">
        <f t="shared" si="3"/>
        <v>92.669365911412754</v>
      </c>
      <c r="AY179" s="124">
        <f t="shared" si="3"/>
        <v>110.741985342006</v>
      </c>
    </row>
    <row r="180" spans="1:51">
      <c r="A180" s="125"/>
      <c r="B180" s="136" t="s">
        <v>299</v>
      </c>
      <c r="C180" s="125" t="s">
        <v>293</v>
      </c>
      <c r="D180" s="125">
        <v>75.174429312729728</v>
      </c>
      <c r="E180" s="125">
        <v>95.486355547923253</v>
      </c>
      <c r="F180" s="125">
        <v>62</v>
      </c>
      <c r="G180" s="125">
        <v>89.528387600818476</v>
      </c>
      <c r="H180" s="125">
        <v>101</v>
      </c>
      <c r="I180" s="125">
        <v>79</v>
      </c>
      <c r="J180" s="125">
        <v>59</v>
      </c>
      <c r="K180" s="125">
        <v>77</v>
      </c>
      <c r="L180" s="125">
        <v>92</v>
      </c>
      <c r="M180" s="125">
        <v>77</v>
      </c>
      <c r="N180" s="125">
        <v>90</v>
      </c>
      <c r="O180" s="125">
        <v>101</v>
      </c>
      <c r="P180" s="125">
        <v>57</v>
      </c>
      <c r="Q180" s="125">
        <v>79</v>
      </c>
      <c r="R180" s="125">
        <v>77</v>
      </c>
      <c r="S180" s="125">
        <v>92.735566885802953</v>
      </c>
      <c r="T180" s="125">
        <v>63.54217023596911</v>
      </c>
      <c r="U180" s="125">
        <v>90.000648117593713</v>
      </c>
      <c r="V180" s="125">
        <v>27.456975208593505</v>
      </c>
      <c r="W180" s="125">
        <v>51.802091194994055</v>
      </c>
      <c r="X180" s="125">
        <v>80</v>
      </c>
      <c r="Y180" s="125">
        <v>70.031320642474725</v>
      </c>
      <c r="Z180" s="125">
        <v>77.24488736730585</v>
      </c>
      <c r="AA180" s="125">
        <v>79.388287624296311</v>
      </c>
      <c r="AB180" s="125">
        <v>43.460007686651174</v>
      </c>
      <c r="AC180" s="125">
        <v>111</v>
      </c>
      <c r="AD180" s="125">
        <v>87.064559519481605</v>
      </c>
      <c r="AE180" s="125">
        <v>37.076397433322455</v>
      </c>
      <c r="AF180" s="125">
        <v>84.167170444621263</v>
      </c>
      <c r="AG180" s="125">
        <v>20.077912165784543</v>
      </c>
      <c r="AH180" s="125">
        <v>72</v>
      </c>
      <c r="AI180" s="125">
        <v>81</v>
      </c>
      <c r="AJ180" s="125">
        <v>60</v>
      </c>
      <c r="AK180" s="125">
        <v>94</v>
      </c>
      <c r="AL180" s="125">
        <v>115</v>
      </c>
      <c r="AM180" s="125">
        <v>67</v>
      </c>
      <c r="AN180" s="125">
        <v>87</v>
      </c>
      <c r="AO180" s="125">
        <v>73</v>
      </c>
      <c r="AP180" s="125">
        <v>81.970447904097625</v>
      </c>
      <c r="AQ180" s="125">
        <v>105</v>
      </c>
      <c r="AR180" s="125">
        <v>91</v>
      </c>
      <c r="AS180" s="125">
        <v>87</v>
      </c>
      <c r="AT180" s="125">
        <v>83</v>
      </c>
      <c r="AU180" s="125">
        <v>105</v>
      </c>
      <c r="AV180" s="125">
        <v>105</v>
      </c>
      <c r="AW180" s="125">
        <v>64.231523460207001</v>
      </c>
      <c r="AX180" s="125">
        <v>63</v>
      </c>
      <c r="AY180" s="125">
        <v>72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149.60325207110571</v>
      </c>
      <c r="E181" s="124">
        <f t="shared" si="4"/>
        <v>138.21901906206401</v>
      </c>
      <c r="F181" s="124">
        <f t="shared" si="4"/>
        <v>221.14356242671784</v>
      </c>
      <c r="G181" s="124">
        <f t="shared" si="4"/>
        <v>114.17026786109334</v>
      </c>
      <c r="H181" s="124">
        <f t="shared" si="4"/>
        <v>197.84396261684216</v>
      </c>
      <c r="I181" s="124">
        <f t="shared" si="4"/>
        <v>151.68241599009335</v>
      </c>
      <c r="J181" s="124">
        <f t="shared" si="4"/>
        <v>164.07717774817027</v>
      </c>
      <c r="K181" s="124">
        <f t="shared" si="4"/>
        <v>99.68621896173353</v>
      </c>
      <c r="L181" s="124">
        <f t="shared" si="4"/>
        <v>187.06557506858343</v>
      </c>
      <c r="M181" s="124">
        <f t="shared" si="4"/>
        <v>162.3950500562112</v>
      </c>
      <c r="N181" s="124">
        <f t="shared" si="4"/>
        <v>68.843200441688268</v>
      </c>
      <c r="O181" s="124">
        <f t="shared" si="4"/>
        <v>239.4814230687081</v>
      </c>
      <c r="P181" s="124">
        <f t="shared" si="4"/>
        <v>212.80142681576982</v>
      </c>
      <c r="Q181" s="124">
        <f t="shared" si="4"/>
        <v>187.29478636038255</v>
      </c>
      <c r="R181" s="124">
        <f t="shared" si="4"/>
        <v>81.559305005246401</v>
      </c>
      <c r="S181" s="124">
        <f t="shared" si="4"/>
        <v>1.207676165484952E-2</v>
      </c>
      <c r="T181" s="124">
        <f t="shared" si="4"/>
        <v>103.58916519637469</v>
      </c>
      <c r="U181" s="124">
        <f t="shared" si="4"/>
        <v>1.2076761654844953E-2</v>
      </c>
      <c r="V181" s="124">
        <f t="shared" si="4"/>
        <v>93.224027804071994</v>
      </c>
      <c r="W181" s="124">
        <f t="shared" si="4"/>
        <v>166.77597219592747</v>
      </c>
      <c r="X181" s="124">
        <f t="shared" si="4"/>
        <v>179.17088488723513</v>
      </c>
      <c r="Y181" s="124">
        <f t="shared" si="4"/>
        <v>105.39716903839432</v>
      </c>
      <c r="Z181" s="124">
        <f t="shared" si="4"/>
        <v>100.53522832590781</v>
      </c>
      <c r="AA181" s="124">
        <f t="shared" si="4"/>
        <v>78.211455782639788</v>
      </c>
      <c r="AB181" s="124">
        <f t="shared" si="4"/>
        <v>239.27479799073009</v>
      </c>
      <c r="AC181" s="124">
        <f t="shared" si="4"/>
        <v>142.27626674442038</v>
      </c>
      <c r="AD181" s="124">
        <f t="shared" si="4"/>
        <v>41.613070209321421</v>
      </c>
      <c r="AE181" s="124">
        <f t="shared" si="4"/>
        <v>166.77597219592747</v>
      </c>
      <c r="AF181" s="124">
        <f t="shared" si="4"/>
        <v>20.825459629075279</v>
      </c>
      <c r="AG181" s="124">
        <f t="shared" si="4"/>
        <v>218.55809627641082</v>
      </c>
      <c r="AH181" s="124">
        <f t="shared" si="4"/>
        <v>106.30346230723657</v>
      </c>
      <c r="AI181" s="124">
        <f t="shared" si="4"/>
        <v>208.20167146031417</v>
      </c>
      <c r="AJ181" s="124">
        <f t="shared" si="4"/>
        <v>248.12745996608069</v>
      </c>
      <c r="AK181" s="124">
        <f t="shared" si="4"/>
        <v>166.4296462837662</v>
      </c>
      <c r="AL181" s="124">
        <f t="shared" si="4"/>
        <v>129.43113427207544</v>
      </c>
      <c r="AM181" s="124">
        <f t="shared" si="4"/>
        <v>195.78779780869172</v>
      </c>
      <c r="AN181" s="124">
        <f t="shared" si="4"/>
        <v>130.71121706330382</v>
      </c>
      <c r="AO181" s="124">
        <f t="shared" si="4"/>
        <v>144.5261920755211</v>
      </c>
      <c r="AP181" s="124">
        <f t="shared" si="4"/>
        <v>15.132621500271505</v>
      </c>
      <c r="AQ181" s="124">
        <f t="shared" si="4"/>
        <v>181.78854421735966</v>
      </c>
      <c r="AR181" s="124">
        <f t="shared" si="4"/>
        <v>121.78651091431162</v>
      </c>
      <c r="AS181" s="124">
        <f t="shared" si="4"/>
        <v>166.76955205905091</v>
      </c>
      <c r="AT181" s="124">
        <f t="shared" si="4"/>
        <v>223.22066361862292</v>
      </c>
      <c r="AU181" s="124">
        <f t="shared" si="4"/>
        <v>117.6361093536426</v>
      </c>
      <c r="AV181" s="124">
        <f t="shared" si="4"/>
        <v>93.230447940948565</v>
      </c>
      <c r="AW181" s="124">
        <f t="shared" si="4"/>
        <v>166.76955205905091</v>
      </c>
      <c r="AX181" s="124">
        <f t="shared" si="4"/>
        <v>145.89982669805693</v>
      </c>
      <c r="AY181" s="124">
        <f t="shared" si="4"/>
        <v>129.99999999999974</v>
      </c>
    </row>
    <row r="182" spans="1:51">
      <c r="A182" s="125"/>
      <c r="B182" s="136" t="s">
        <v>299</v>
      </c>
      <c r="C182" s="125" t="s">
        <v>293</v>
      </c>
      <c r="D182" s="125">
        <v>134.17442931272973</v>
      </c>
      <c r="E182" s="125">
        <v>83.486355547923253</v>
      </c>
      <c r="F182" s="125">
        <v>108</v>
      </c>
      <c r="G182" s="125">
        <v>114.17026786109334</v>
      </c>
      <c r="H182" s="125">
        <v>148</v>
      </c>
      <c r="I182" s="125">
        <v>123</v>
      </c>
      <c r="J182" s="125">
        <v>155</v>
      </c>
      <c r="K182" s="125">
        <v>99.68621896173353</v>
      </c>
      <c r="L182" s="125">
        <v>161</v>
      </c>
      <c r="M182" s="125">
        <v>152</v>
      </c>
      <c r="N182" s="125">
        <v>68.843200441688268</v>
      </c>
      <c r="O182" s="125">
        <v>135</v>
      </c>
      <c r="P182" s="125">
        <v>148</v>
      </c>
      <c r="Q182" s="125">
        <v>141</v>
      </c>
      <c r="R182" s="125">
        <v>81.559305005246401</v>
      </c>
      <c r="S182" s="125">
        <v>1.207676165484952E-2</v>
      </c>
      <c r="T182" s="125">
        <v>103.58916519637469</v>
      </c>
      <c r="U182" s="125">
        <v>1.2076761654844953E-2</v>
      </c>
      <c r="V182" s="125">
        <v>93.224027804071994</v>
      </c>
      <c r="W182" s="125">
        <v>154.72699471375037</v>
      </c>
      <c r="X182" s="125">
        <v>153</v>
      </c>
      <c r="Y182" s="125">
        <v>94.031320642474725</v>
      </c>
      <c r="Z182" s="125">
        <v>100.53522832590781</v>
      </c>
      <c r="AA182" s="125">
        <v>78.211455782639788</v>
      </c>
      <c r="AB182" s="125">
        <v>171.80030696253405</v>
      </c>
      <c r="AC182" s="125">
        <v>142</v>
      </c>
      <c r="AD182" s="125">
        <v>41.613070209321421</v>
      </c>
      <c r="AE182" s="125">
        <v>166.77597219592747</v>
      </c>
      <c r="AF182" s="125">
        <v>20.825459629075279</v>
      </c>
      <c r="AG182" s="125">
        <v>117.65470972260495</v>
      </c>
      <c r="AH182" s="125">
        <v>106.30346230723657</v>
      </c>
      <c r="AI182" s="125">
        <v>105</v>
      </c>
      <c r="AJ182" s="125">
        <v>127</v>
      </c>
      <c r="AK182" s="125">
        <v>94</v>
      </c>
      <c r="AL182" s="125">
        <v>101</v>
      </c>
      <c r="AM182" s="125">
        <v>147</v>
      </c>
      <c r="AN182" s="125">
        <v>92</v>
      </c>
      <c r="AO182" s="125">
        <v>121</v>
      </c>
      <c r="AP182" s="125">
        <v>15.132621500271505</v>
      </c>
      <c r="AQ182" s="125">
        <v>114</v>
      </c>
      <c r="AR182" s="125">
        <v>121.78651091431162</v>
      </c>
      <c r="AS182" s="125">
        <v>166.76955205905091</v>
      </c>
      <c r="AT182" s="125">
        <v>178</v>
      </c>
      <c r="AU182" s="125">
        <v>117.6361093536426</v>
      </c>
      <c r="AV182" s="125">
        <v>93.230447940948565</v>
      </c>
      <c r="AW182" s="125">
        <v>125.92340599288873</v>
      </c>
      <c r="AX182" s="125">
        <v>145.89982669805693</v>
      </c>
      <c r="AY182" s="125">
        <v>121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140</v>
      </c>
      <c r="D185" s="124">
        <v>135</v>
      </c>
      <c r="E185" s="124">
        <v>140</v>
      </c>
      <c r="F185" s="124">
        <v>140</v>
      </c>
      <c r="G185" s="124">
        <v>140</v>
      </c>
      <c r="H185" s="124">
        <v>112</v>
      </c>
      <c r="I185" s="124">
        <v>112</v>
      </c>
      <c r="J185" s="124">
        <v>112</v>
      </c>
      <c r="K185" s="124">
        <v>112</v>
      </c>
      <c r="L185" s="124">
        <v>140</v>
      </c>
      <c r="M185" s="124">
        <v>134</v>
      </c>
      <c r="N185" s="124">
        <v>133</v>
      </c>
      <c r="O185" s="124">
        <v>140</v>
      </c>
      <c r="P185" s="124">
        <v>134</v>
      </c>
      <c r="Q185" s="124">
        <v>101</v>
      </c>
      <c r="R185" s="124">
        <v>133</v>
      </c>
      <c r="S185" s="124">
        <v>114</v>
      </c>
      <c r="T185" s="124">
        <v>111</v>
      </c>
      <c r="U185" s="124">
        <v>130</v>
      </c>
      <c r="V185" s="124">
        <v>129</v>
      </c>
      <c r="W185" s="124">
        <v>140</v>
      </c>
      <c r="X185" s="124">
        <v>140</v>
      </c>
      <c r="Y185" s="124">
        <v>140</v>
      </c>
      <c r="Z185" s="124">
        <v>140</v>
      </c>
      <c r="AA185" s="124">
        <v>122</v>
      </c>
      <c r="AB185" s="124">
        <v>140</v>
      </c>
      <c r="AC185" s="124">
        <v>140</v>
      </c>
      <c r="AD185" s="124">
        <v>110</v>
      </c>
      <c r="AE185" s="124">
        <v>79</v>
      </c>
      <c r="AF185" s="124">
        <v>79</v>
      </c>
      <c r="AG185" s="124">
        <v>47</v>
      </c>
      <c r="AH185" s="124">
        <v>18</v>
      </c>
      <c r="AI185" s="124">
        <v>4</v>
      </c>
      <c r="AJ185" s="124">
        <v>38</v>
      </c>
      <c r="AK185" s="124">
        <v>22</v>
      </c>
      <c r="AL185" s="124">
        <v>43</v>
      </c>
      <c r="AM185" s="124">
        <v>30</v>
      </c>
      <c r="AN185" s="124">
        <v>5</v>
      </c>
      <c r="AO185" s="124">
        <v>38</v>
      </c>
      <c r="AP185" s="124">
        <v>56</v>
      </c>
      <c r="AQ185" s="124">
        <v>31</v>
      </c>
      <c r="AR185" s="124">
        <v>67</v>
      </c>
      <c r="AS185" s="124">
        <v>96</v>
      </c>
      <c r="AT185" s="124">
        <v>83</v>
      </c>
      <c r="AU185" s="124">
        <v>85</v>
      </c>
      <c r="AV185" s="124">
        <v>74</v>
      </c>
      <c r="AW185" s="124">
        <v>69</v>
      </c>
      <c r="AX185" s="124">
        <v>101</v>
      </c>
      <c r="AY185" s="124">
        <v>110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5</v>
      </c>
      <c r="F186" s="106">
        <v>0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0</v>
      </c>
      <c r="N186" s="106">
        <v>6</v>
      </c>
      <c r="O186" s="106">
        <v>7</v>
      </c>
      <c r="P186" s="106">
        <v>0</v>
      </c>
      <c r="Q186" s="106">
        <v>6</v>
      </c>
      <c r="R186" s="106">
        <v>39</v>
      </c>
      <c r="S186" s="106">
        <v>7</v>
      </c>
      <c r="T186" s="106">
        <v>26</v>
      </c>
      <c r="U186" s="106">
        <v>29</v>
      </c>
      <c r="V186" s="106">
        <v>10</v>
      </c>
      <c r="W186" s="106">
        <v>11</v>
      </c>
      <c r="X186" s="106">
        <v>0</v>
      </c>
      <c r="Y186" s="106">
        <v>0</v>
      </c>
      <c r="Z186" s="106">
        <v>0</v>
      </c>
      <c r="AA186" s="106">
        <v>0</v>
      </c>
      <c r="AB186" s="106">
        <v>18</v>
      </c>
      <c r="AC186" s="106">
        <v>0</v>
      </c>
      <c r="AD186" s="106">
        <v>0</v>
      </c>
      <c r="AE186" s="106">
        <v>30</v>
      </c>
      <c r="AF186" s="106">
        <v>61</v>
      </c>
      <c r="AG186" s="106">
        <v>61</v>
      </c>
      <c r="AH186" s="106">
        <v>93</v>
      </c>
      <c r="AI186" s="106">
        <v>122</v>
      </c>
      <c r="AJ186" s="106">
        <v>136</v>
      </c>
      <c r="AK186" s="106">
        <v>102</v>
      </c>
      <c r="AL186" s="106">
        <v>118</v>
      </c>
      <c r="AM186" s="106">
        <v>97</v>
      </c>
      <c r="AN186" s="106">
        <v>110</v>
      </c>
      <c r="AO186" s="106">
        <v>135</v>
      </c>
      <c r="AP186" s="106">
        <v>102</v>
      </c>
      <c r="AQ186" s="106">
        <v>84</v>
      </c>
      <c r="AR186" s="106">
        <v>109</v>
      </c>
      <c r="AS186" s="106">
        <v>73</v>
      </c>
      <c r="AT186" s="106">
        <v>44</v>
      </c>
      <c r="AU186" s="106">
        <v>57</v>
      </c>
      <c r="AV186" s="106">
        <v>55</v>
      </c>
      <c r="AW186" s="106">
        <v>66</v>
      </c>
      <c r="AX186" s="106">
        <v>71</v>
      </c>
      <c r="AY186" s="106">
        <v>39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67.000000000000028</v>
      </c>
      <c r="D189" s="124">
        <v>87.798741235542394</v>
      </c>
      <c r="E189" s="124">
        <v>177.59859883691485</v>
      </c>
      <c r="F189" s="124">
        <v>130.79874123554242</v>
      </c>
      <c r="G189" s="124">
        <v>55.562038972039588</v>
      </c>
      <c r="H189" s="124">
        <v>215</v>
      </c>
      <c r="I189" s="124">
        <v>117.34305845805983</v>
      </c>
      <c r="J189" s="124">
        <v>104.23356820106994</v>
      </c>
      <c r="K189" s="124">
        <v>50.12472607172333</v>
      </c>
      <c r="L189" s="124">
        <v>0</v>
      </c>
      <c r="M189" s="124">
        <v>6.8044394865800939</v>
      </c>
      <c r="N189" s="124">
        <v>0</v>
      </c>
      <c r="O189" s="124">
        <v>0</v>
      </c>
      <c r="P189" s="124">
        <v>0</v>
      </c>
      <c r="Q189" s="124">
        <v>0.47167329564365446</v>
      </c>
      <c r="R189" s="124">
        <v>28.362831166297042</v>
      </c>
      <c r="S189" s="124">
        <v>3.2406382161127567E-3</v>
      </c>
      <c r="T189" s="124">
        <v>69.455789353265601</v>
      </c>
      <c r="U189" s="124">
        <v>3.2406382161136588E-3</v>
      </c>
      <c r="V189" s="124">
        <v>55.555151041499499</v>
      </c>
      <c r="W189" s="124">
        <v>110.5474512849503</v>
      </c>
      <c r="X189" s="124">
        <v>128.54745128495051</v>
      </c>
      <c r="Y189" s="124">
        <v>110.5474512849503</v>
      </c>
      <c r="Z189" s="124">
        <v>55.562038972039588</v>
      </c>
      <c r="AA189" s="124">
        <v>0</v>
      </c>
      <c r="AB189" s="124">
        <v>14.890509743010114</v>
      </c>
      <c r="AC189" s="124">
        <v>14.781019486020227</v>
      </c>
      <c r="AD189" s="124">
        <v>55.555151041499499</v>
      </c>
      <c r="AE189" s="124">
        <v>76.555151041499727</v>
      </c>
      <c r="AF189" s="124">
        <v>27.915472912522809</v>
      </c>
      <c r="AG189" s="124">
        <v>0</v>
      </c>
      <c r="AH189" s="124">
        <v>0</v>
      </c>
      <c r="AI189" s="124">
        <v>73.452548715050128</v>
      </c>
      <c r="AJ189" s="124">
        <v>0</v>
      </c>
      <c r="AK189" s="124">
        <v>0</v>
      </c>
      <c r="AL189" s="124">
        <v>0</v>
      </c>
      <c r="AM189" s="124">
        <v>0</v>
      </c>
      <c r="AN189" s="124">
        <v>117.04776591650077</v>
      </c>
      <c r="AO189" s="124">
        <v>144.15184353271019</v>
      </c>
      <c r="AP189" s="124">
        <v>0</v>
      </c>
      <c r="AQ189" s="124">
        <v>34.000000000000227</v>
      </c>
      <c r="AR189" s="124">
        <v>108.54745128495074</v>
      </c>
      <c r="AS189" s="124">
        <v>74.452548715050156</v>
      </c>
      <c r="AT189" s="124">
        <v>72.000000000000895</v>
      </c>
      <c r="AU189" s="124">
        <v>51.000000000001123</v>
      </c>
      <c r="AV189" s="124">
        <v>34.000000000001364</v>
      </c>
      <c r="AW189" s="124">
        <v>126.54745128495188</v>
      </c>
      <c r="AX189" s="124">
        <v>79.000000000001819</v>
      </c>
      <c r="AY189" s="124">
        <v>145.45254871505153</v>
      </c>
    </row>
    <row r="190" spans="1:51">
      <c r="A190" s="109"/>
      <c r="B190" s="119">
        <v>2</v>
      </c>
      <c r="C190" s="106">
        <v>92.201258764457606</v>
      </c>
      <c r="D190" s="106">
        <v>112.99999999999994</v>
      </c>
      <c r="E190" s="106">
        <v>0</v>
      </c>
      <c r="F190" s="106">
        <v>0</v>
      </c>
      <c r="G190" s="106">
        <v>35.310749021447464</v>
      </c>
      <c r="H190" s="106">
        <v>0</v>
      </c>
      <c r="I190" s="106">
        <v>61.656941541940171</v>
      </c>
      <c r="J190" s="106">
        <v>48.766431798930057</v>
      </c>
      <c r="K190" s="106">
        <v>97.87527392827667</v>
      </c>
      <c r="L190" s="106">
        <v>139</v>
      </c>
      <c r="M190" s="106">
        <v>188.21144445579662</v>
      </c>
      <c r="N190" s="106">
        <v>186.10260232645001</v>
      </c>
      <c r="O190" s="106">
        <v>197.79819968368349</v>
      </c>
      <c r="P190" s="106">
        <v>181.68935755433688</v>
      </c>
      <c r="Q190" s="106">
        <v>202.10884212934661</v>
      </c>
      <c r="R190" s="106">
        <v>201.63716883370296</v>
      </c>
      <c r="S190" s="106">
        <v>41.092958186968559</v>
      </c>
      <c r="T190" s="106">
        <v>69.452548715049488</v>
      </c>
      <c r="U190" s="106">
        <v>0</v>
      </c>
      <c r="V190" s="106">
        <v>69.452548715049488</v>
      </c>
      <c r="W190" s="106">
        <v>124.44484895850027</v>
      </c>
      <c r="X190" s="106">
        <v>69.452548715049474</v>
      </c>
      <c r="Y190" s="106">
        <v>51.452548715049289</v>
      </c>
      <c r="Z190" s="106">
        <v>69.452548715049474</v>
      </c>
      <c r="AA190" s="106">
        <v>110.5474512849503</v>
      </c>
      <c r="AB190" s="106">
        <v>166.10949025698989</v>
      </c>
      <c r="AC190" s="106">
        <v>151.21898051397977</v>
      </c>
      <c r="AD190" s="106">
        <v>123.51555265937347</v>
      </c>
      <c r="AE190" s="106">
        <v>124.44484895850027</v>
      </c>
      <c r="AF190" s="106">
        <v>33.992300243450572</v>
      </c>
      <c r="AG190" s="106">
        <v>74.547451284950512</v>
      </c>
      <c r="AH190" s="106">
        <v>179.0000000000002</v>
      </c>
      <c r="AI190" s="106">
        <v>110.5474512849503</v>
      </c>
      <c r="AJ190" s="106">
        <v>99.547451284950526</v>
      </c>
      <c r="AK190" s="106">
        <v>135.00000000000088</v>
      </c>
      <c r="AL190" s="106">
        <v>115.00000000000111</v>
      </c>
      <c r="AM190" s="106">
        <v>163.00000000000134</v>
      </c>
      <c r="AN190" s="106">
        <v>138.84274382651068</v>
      </c>
      <c r="AO190" s="106">
        <v>21.848156467289812</v>
      </c>
      <c r="AP190" s="106">
        <v>21.957646724279698</v>
      </c>
      <c r="AQ190" s="106">
        <v>179.99999999999977</v>
      </c>
      <c r="AR190" s="106">
        <v>35.452548715049261</v>
      </c>
      <c r="AS190" s="106">
        <v>1.9999999999995595</v>
      </c>
      <c r="AT190" s="106">
        <v>105.54745128494962</v>
      </c>
      <c r="AU190" s="106">
        <v>107.99999999999888</v>
      </c>
      <c r="AV190" s="106">
        <v>128.99999999999864</v>
      </c>
      <c r="AW190" s="106">
        <v>35.452548715048124</v>
      </c>
      <c r="AX190" s="106">
        <v>163.99999999999818</v>
      </c>
      <c r="AY190" s="106">
        <v>31.54745128494848</v>
      </c>
    </row>
    <row r="191" spans="1:51">
      <c r="A191" s="109"/>
      <c r="B191" s="120">
        <v>3</v>
      </c>
      <c r="C191" s="106">
        <v>87.79874123554238</v>
      </c>
      <c r="D191" s="106">
        <v>0</v>
      </c>
      <c r="E191" s="106">
        <v>0</v>
      </c>
      <c r="F191" s="106">
        <v>92.201258764457592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12.984116057623282</v>
      </c>
      <c r="N191" s="106">
        <v>13.897397673549989</v>
      </c>
      <c r="O191" s="106">
        <v>9.2018003163165076</v>
      </c>
      <c r="P191" s="106">
        <v>4.3106424456631203</v>
      </c>
      <c r="Q191" s="106">
        <v>20.419484575009733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69.452548715049488</v>
      </c>
      <c r="AH191" s="106">
        <v>35.999999999999801</v>
      </c>
      <c r="AI191" s="106">
        <v>0.99999999999957367</v>
      </c>
      <c r="AJ191" s="106">
        <v>69.452548715049474</v>
      </c>
      <c r="AK191" s="106">
        <v>6.9999999999991189</v>
      </c>
      <c r="AL191" s="106">
        <v>44.999999999998892</v>
      </c>
      <c r="AM191" s="106">
        <v>64.999999999998664</v>
      </c>
      <c r="AN191" s="106">
        <v>3.1094902569885505</v>
      </c>
      <c r="AO191" s="106">
        <v>0</v>
      </c>
      <c r="AP191" s="106">
        <v>0</v>
      </c>
      <c r="AQ191" s="106">
        <v>0</v>
      </c>
      <c r="AR191" s="106">
        <v>0</v>
      </c>
      <c r="AS191" s="106">
        <v>110.54745128495028</v>
      </c>
      <c r="AT191" s="106">
        <v>69.452548715049488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71.953944903552596</v>
      </c>
      <c r="D197" s="106">
        <v>75.174429312729728</v>
      </c>
      <c r="E197" s="106">
        <v>63.516746394444965</v>
      </c>
      <c r="F197" s="106">
        <v>42.386232841193475</v>
      </c>
      <c r="G197" s="106">
        <v>55.11001975061258</v>
      </c>
      <c r="H197" s="106">
        <v>33.226475048049139</v>
      </c>
      <c r="I197" s="106">
        <v>48.785120208423521</v>
      </c>
      <c r="J197" s="106">
        <v>0</v>
      </c>
      <c r="K197" s="106">
        <v>0</v>
      </c>
      <c r="L197" s="106">
        <v>0</v>
      </c>
      <c r="M197" s="106">
        <v>12.996445676033986</v>
      </c>
      <c r="N197" s="106">
        <v>0</v>
      </c>
      <c r="O197" s="106">
        <v>9.8105517794443955</v>
      </c>
      <c r="P197" s="106">
        <v>28.556232250034199</v>
      </c>
      <c r="Q197" s="106">
        <v>0</v>
      </c>
      <c r="R197" s="106">
        <v>0</v>
      </c>
      <c r="S197" s="106">
        <v>0</v>
      </c>
      <c r="T197" s="106">
        <v>0</v>
      </c>
      <c r="U197" s="106">
        <v>30.111455487232664</v>
      </c>
      <c r="V197" s="106">
        <v>6.7107324508581204E-3</v>
      </c>
      <c r="W197" s="106">
        <v>51.802091194994055</v>
      </c>
      <c r="X197" s="106">
        <v>80</v>
      </c>
      <c r="Y197" s="106">
        <v>57.358387233241956</v>
      </c>
      <c r="Z197" s="106">
        <v>35.042820744992255</v>
      </c>
      <c r="AA197" s="106">
        <v>55.864729176835084</v>
      </c>
      <c r="AB197" s="106">
        <v>43.460007686651174</v>
      </c>
      <c r="AC197" s="106">
        <v>111</v>
      </c>
      <c r="AD197" s="106">
        <v>65.105973646857763</v>
      </c>
      <c r="AE197" s="106">
        <v>23.123266701342857</v>
      </c>
      <c r="AF197" s="106">
        <v>84.167170444621263</v>
      </c>
      <c r="AG197" s="106">
        <v>11.572149201173037</v>
      </c>
      <c r="AH197" s="106">
        <v>72</v>
      </c>
      <c r="AI197" s="106">
        <v>31.553129473125026</v>
      </c>
      <c r="AJ197" s="106">
        <v>32.483147425615279</v>
      </c>
      <c r="AK197" s="106">
        <v>10.791064322268738</v>
      </c>
      <c r="AL197" s="106">
        <v>0</v>
      </c>
      <c r="AM197" s="106">
        <v>0</v>
      </c>
      <c r="AN197" s="106">
        <v>0</v>
      </c>
      <c r="AO197" s="106">
        <v>0</v>
      </c>
      <c r="AP197" s="106">
        <v>0</v>
      </c>
      <c r="AQ197" s="106">
        <v>0</v>
      </c>
      <c r="AR197" s="106">
        <v>58.336978917340332</v>
      </c>
      <c r="AS197" s="106">
        <v>44.321961999764696</v>
      </c>
      <c r="AT197" s="106">
        <v>59.648465227425675</v>
      </c>
      <c r="AU197" s="106">
        <v>71.97909931601292</v>
      </c>
      <c r="AV197" s="106">
        <v>52.941365206503491</v>
      </c>
      <c r="AW197" s="106">
        <v>51.805658692814077</v>
      </c>
      <c r="AX197" s="106">
        <v>63</v>
      </c>
      <c r="AY197" s="106">
        <v>42.330634088587246</v>
      </c>
    </row>
    <row r="198" spans="1:51">
      <c r="A198" s="109"/>
      <c r="B198" s="119">
        <v>2</v>
      </c>
      <c r="C198" s="106">
        <v>10.206834627530078</v>
      </c>
      <c r="D198" s="106">
        <v>0</v>
      </c>
      <c r="E198" s="106">
        <v>31.969609153478288</v>
      </c>
      <c r="F198" s="106">
        <v>19.613767158806525</v>
      </c>
      <c r="G198" s="106">
        <v>34.418367850205897</v>
      </c>
      <c r="H198" s="106">
        <v>67.773524951950861</v>
      </c>
      <c r="I198" s="106">
        <v>30.214879791576479</v>
      </c>
      <c r="J198" s="106">
        <v>59</v>
      </c>
      <c r="K198" s="106">
        <v>74.848538028169443</v>
      </c>
      <c r="L198" s="106">
        <v>82.562688865871948</v>
      </c>
      <c r="M198" s="106">
        <v>55.392957450764712</v>
      </c>
      <c r="N198" s="106">
        <v>90</v>
      </c>
      <c r="O198" s="106">
        <v>90.238572509522342</v>
      </c>
      <c r="P198" s="106">
        <v>28.443767749965801</v>
      </c>
      <c r="Q198" s="106">
        <v>79</v>
      </c>
      <c r="R198" s="106">
        <v>51.482830365007558</v>
      </c>
      <c r="S198" s="106">
        <v>25.970353500722126</v>
      </c>
      <c r="T198" s="106">
        <v>0</v>
      </c>
      <c r="U198" s="106">
        <v>6.7107324508606583E-3</v>
      </c>
      <c r="V198" s="106">
        <v>27.450264476142646</v>
      </c>
      <c r="W198" s="106">
        <v>0</v>
      </c>
      <c r="X198" s="106">
        <v>0</v>
      </c>
      <c r="Y198" s="106">
        <v>12.672933409232769</v>
      </c>
      <c r="Z198" s="106">
        <v>42.202066622313595</v>
      </c>
      <c r="AA198" s="106">
        <v>23.523558447461227</v>
      </c>
      <c r="AB198" s="106">
        <v>0</v>
      </c>
      <c r="AC198" s="106">
        <v>0</v>
      </c>
      <c r="AD198" s="106">
        <v>21.958585872623843</v>
      </c>
      <c r="AE198" s="106">
        <v>13.953130731979599</v>
      </c>
      <c r="AF198" s="106">
        <v>0</v>
      </c>
      <c r="AG198" s="106">
        <v>8.505762964611506</v>
      </c>
      <c r="AH198" s="106">
        <v>0</v>
      </c>
      <c r="AI198" s="106">
        <v>49.446870526874974</v>
      </c>
      <c r="AJ198" s="106">
        <v>27.516852574384721</v>
      </c>
      <c r="AK198" s="106">
        <v>83.208935677731262</v>
      </c>
      <c r="AL198" s="106">
        <v>115</v>
      </c>
      <c r="AM198" s="106">
        <v>54.91329169309995</v>
      </c>
      <c r="AN198" s="106">
        <v>49.432802301869415</v>
      </c>
      <c r="AO198" s="106">
        <v>50.511393422980476</v>
      </c>
      <c r="AP198" s="106">
        <v>23.687814767008163</v>
      </c>
      <c r="AQ198" s="106">
        <v>56.055098223664743</v>
      </c>
      <c r="AR198" s="106">
        <v>8.4087917829930063</v>
      </c>
      <c r="AS198" s="106">
        <v>42.678038000235304</v>
      </c>
      <c r="AT198" s="106">
        <v>23.351534772574325</v>
      </c>
      <c r="AU198" s="106">
        <v>33.02090068398708</v>
      </c>
      <c r="AV198" s="106">
        <v>52.058634793496509</v>
      </c>
      <c r="AW198" s="106">
        <v>12.425864767392923</v>
      </c>
      <c r="AX198" s="106">
        <v>0</v>
      </c>
      <c r="AY198" s="106">
        <v>29.669365911412754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2.1514619718305568</v>
      </c>
      <c r="L199" s="106">
        <v>9.437311134128052</v>
      </c>
      <c r="M199" s="106">
        <v>8.6105968732013025</v>
      </c>
      <c r="N199" s="106">
        <v>0</v>
      </c>
      <c r="O199" s="106">
        <v>0.95087571103326241</v>
      </c>
      <c r="P199" s="106">
        <v>0</v>
      </c>
      <c r="Q199" s="106">
        <v>0</v>
      </c>
      <c r="R199" s="106">
        <v>25.517169634992442</v>
      </c>
      <c r="S199" s="106">
        <v>66.765213385080827</v>
      </c>
      <c r="T199" s="106">
        <v>63.54217023596911</v>
      </c>
      <c r="U199" s="106">
        <v>45.320317682063994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12.08670830690005</v>
      </c>
      <c r="AN199" s="106">
        <v>37.567197698130585</v>
      </c>
      <c r="AO199" s="106">
        <v>22.488606577019524</v>
      </c>
      <c r="AP199" s="106">
        <v>58.282633137089462</v>
      </c>
      <c r="AQ199" s="106">
        <v>48.944901776335257</v>
      </c>
      <c r="AR199" s="106">
        <v>24.254229299666662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14.562164215846195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32.808260270206887</v>
      </c>
      <c r="D209" s="124">
        <v>48.070152254050683</v>
      </c>
      <c r="E209" s="124">
        <v>73.568576517925194</v>
      </c>
      <c r="F209" s="124">
        <v>6.4987287298099048</v>
      </c>
      <c r="G209" s="124">
        <v>41.440619696213304</v>
      </c>
      <c r="H209" s="124">
        <v>148</v>
      </c>
      <c r="I209" s="124">
        <v>90.959875166434387</v>
      </c>
      <c r="J209" s="124">
        <v>136.56269805602645</v>
      </c>
      <c r="K209" s="124">
        <v>93.851331586836764</v>
      </c>
      <c r="L209" s="124">
        <v>109.21145578264009</v>
      </c>
      <c r="M209" s="124">
        <v>135.24482574798549</v>
      </c>
      <c r="N209" s="124">
        <v>51.798328539685301</v>
      </c>
      <c r="O209" s="124">
        <v>41.158452735488623</v>
      </c>
      <c r="P209" s="124">
        <v>80.838448988426862</v>
      </c>
      <c r="Q209" s="124">
        <v>99.345089443814146</v>
      </c>
      <c r="R209" s="124">
        <v>51.800620979014766</v>
      </c>
      <c r="S209" s="124">
        <v>1.2076761654844953E-2</v>
      </c>
      <c r="T209" s="124">
        <v>51.800620979014774</v>
      </c>
      <c r="U209" s="124">
        <v>1.2076761654844953E-2</v>
      </c>
      <c r="V209" s="124">
        <v>41.435483586712074</v>
      </c>
      <c r="W209" s="124">
        <v>66.162478300462723</v>
      </c>
      <c r="X209" s="124">
        <v>93.46627015979135</v>
      </c>
      <c r="Y209" s="124">
        <v>66.845607386720204</v>
      </c>
      <c r="Z209" s="124">
        <v>41.440619696213304</v>
      </c>
      <c r="AA209" s="124">
        <v>9.7843223253732958E-3</v>
      </c>
      <c r="AB209" s="124">
        <v>52.167800128331692</v>
      </c>
      <c r="AC209" s="124">
        <v>98.626820940311717</v>
      </c>
      <c r="AD209" s="124">
        <v>41.435483586712074</v>
      </c>
      <c r="AE209" s="124">
        <v>78.211455782639803</v>
      </c>
      <c r="AF209" s="124">
        <v>20.825459629075279</v>
      </c>
      <c r="AG209" s="124">
        <v>0</v>
      </c>
      <c r="AH209" s="124">
        <v>9.784322325359085E-3</v>
      </c>
      <c r="AI209" s="124">
        <v>26.798328539685571</v>
      </c>
      <c r="AJ209" s="124">
        <v>8.8725400339190656</v>
      </c>
      <c r="AK209" s="124">
        <v>16.138234314970248</v>
      </c>
      <c r="AL209" s="124">
        <v>13.00948542413785</v>
      </c>
      <c r="AM209" s="124">
        <v>50.522552629979714</v>
      </c>
      <c r="AN209" s="124">
        <v>60.63878692467658</v>
      </c>
      <c r="AO209" s="124">
        <v>96.116099081006638</v>
      </c>
      <c r="AP209" s="124">
        <v>9.7843223253750722E-3</v>
      </c>
      <c r="AQ209" s="124">
        <v>0</v>
      </c>
      <c r="AR209" s="124">
        <v>78.211455782639803</v>
      </c>
      <c r="AS209" s="124">
        <v>88.567880598736465</v>
      </c>
      <c r="AT209" s="124">
        <v>84.779336381376822</v>
      </c>
      <c r="AU209" s="124">
        <v>88.567880598736465</v>
      </c>
      <c r="AV209" s="124">
        <v>51.798328539685301</v>
      </c>
      <c r="AW209" s="124">
        <v>125.92340599288873</v>
      </c>
      <c r="AX209" s="124">
        <v>78.211455782639803</v>
      </c>
      <c r="AY209" s="124">
        <v>121</v>
      </c>
    </row>
    <row r="210" spans="1:51">
      <c r="A210" s="109"/>
      <c r="B210" s="119">
        <v>2</v>
      </c>
      <c r="C210" s="106">
        <v>66.411767033083635</v>
      </c>
      <c r="D210" s="110">
        <v>86.104277058679045</v>
      </c>
      <c r="E210" s="110">
        <v>9.9177790299980586</v>
      </c>
      <c r="F210" s="110">
        <v>35.182623519464336</v>
      </c>
      <c r="G210" s="110">
        <v>72.729648164880018</v>
      </c>
      <c r="H210" s="110">
        <v>0</v>
      </c>
      <c r="I210" s="110">
        <v>32.040124833565621</v>
      </c>
      <c r="J210" s="110">
        <v>18.437301943973551</v>
      </c>
      <c r="K210" s="110">
        <v>5.8348873748967645</v>
      </c>
      <c r="L210" s="110">
        <v>51.78854421735992</v>
      </c>
      <c r="M210" s="110">
        <v>16.755174252014516</v>
      </c>
      <c r="N210" s="110">
        <v>6.6820269490297406</v>
      </c>
      <c r="O210" s="110">
        <v>93.841547264511377</v>
      </c>
      <c r="P210" s="110">
        <v>67.161551011573138</v>
      </c>
      <c r="Q210" s="110">
        <v>41.654910556185861</v>
      </c>
      <c r="R210" s="110">
        <v>29.758684026231638</v>
      </c>
      <c r="S210" s="110">
        <v>4.5674293852480142E-15</v>
      </c>
      <c r="T210" s="110">
        <v>51.78854421735992</v>
      </c>
      <c r="U210" s="110">
        <v>0</v>
      </c>
      <c r="V210" s="110">
        <v>51.78854421735992</v>
      </c>
      <c r="W210" s="110">
        <v>88.564516413287649</v>
      </c>
      <c r="X210" s="110">
        <v>59.53372984020865</v>
      </c>
      <c r="Y210" s="110">
        <v>27.185713255754521</v>
      </c>
      <c r="Z210" s="110">
        <v>59.094608629694505</v>
      </c>
      <c r="AA210" s="110">
        <v>78.201671460314415</v>
      </c>
      <c r="AB210" s="110">
        <v>119.63250683420236</v>
      </c>
      <c r="AC210" s="110">
        <v>43.373179059688283</v>
      </c>
      <c r="AD210" s="110">
        <v>0.17758662260934355</v>
      </c>
      <c r="AE210" s="110">
        <v>88.564516413287649</v>
      </c>
      <c r="AF210" s="110">
        <v>0</v>
      </c>
      <c r="AG210" s="110">
        <v>65.866165505245021</v>
      </c>
      <c r="AH210" s="110">
        <v>98.364309412757038</v>
      </c>
      <c r="AI210" s="110">
        <v>78.201671460314429</v>
      </c>
      <c r="AJ210" s="110">
        <v>66.338915748721021</v>
      </c>
      <c r="AK210" s="110">
        <v>77.861765685029752</v>
      </c>
      <c r="AL210" s="110">
        <v>87.99051457586215</v>
      </c>
      <c r="AM210" s="110">
        <v>96.477447370020286</v>
      </c>
      <c r="AN210" s="110">
        <v>31.361213075323416</v>
      </c>
      <c r="AO210" s="110">
        <v>24.883900918993362</v>
      </c>
      <c r="AP210" s="110">
        <v>15.122837177946129</v>
      </c>
      <c r="AQ210" s="110">
        <v>114</v>
      </c>
      <c r="AR210" s="110">
        <v>33.296407938898064</v>
      </c>
      <c r="AS210" s="110">
        <v>0</v>
      </c>
      <c r="AT210" s="110">
        <v>41.432119401263257</v>
      </c>
      <c r="AU210" s="110">
        <v>29.06822875490613</v>
      </c>
      <c r="AV210" s="110">
        <v>41.432119401263257</v>
      </c>
      <c r="AW210" s="110">
        <v>0</v>
      </c>
      <c r="AX210" s="110">
        <v>67.688370915417124</v>
      </c>
      <c r="AY210" s="110">
        <v>0</v>
      </c>
    </row>
    <row r="211" spans="1:51">
      <c r="A211" s="109"/>
      <c r="B211" s="119">
        <v>3</v>
      </c>
      <c r="C211" s="106">
        <v>63.578337077656805</v>
      </c>
      <c r="D211" s="110">
        <v>0</v>
      </c>
      <c r="E211" s="110">
        <v>0</v>
      </c>
      <c r="F211" s="110">
        <v>66.318647750725759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10.362844952973221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51.78854421735992</v>
      </c>
      <c r="AH211" s="110">
        <v>7.9293685721541678</v>
      </c>
      <c r="AI211" s="110">
        <v>0</v>
      </c>
      <c r="AJ211" s="110">
        <v>51.788544217359913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10.278647192773741</v>
      </c>
      <c r="AS211" s="110">
        <v>78.201671460314429</v>
      </c>
      <c r="AT211" s="110">
        <v>51.78854421735992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54034.833809613468</v>
      </c>
      <c r="E259" s="124">
        <f t="shared" ref="E259:AX259" si="5">F$14*$B$259</f>
        <v>49922.99044940959</v>
      </c>
      <c r="F259" s="124">
        <f t="shared" si="5"/>
        <v>79874.304056666238</v>
      </c>
      <c r="G259" s="124">
        <f t="shared" si="5"/>
        <v>41236.880645756653</v>
      </c>
      <c r="H259" s="124">
        <f t="shared" si="5"/>
        <v>71458.778417165144</v>
      </c>
      <c r="I259" s="124">
        <f t="shared" si="5"/>
        <v>54785.801955493371</v>
      </c>
      <c r="J259" s="124">
        <f t="shared" si="5"/>
        <v>59262.635730397611</v>
      </c>
      <c r="K259" s="124">
        <f t="shared" si="5"/>
        <v>36005.422342997066</v>
      </c>
      <c r="L259" s="124">
        <f t="shared" si="5"/>
        <v>67565.758901593712</v>
      </c>
      <c r="M259" s="124">
        <f t="shared" si="5"/>
        <v>58655.072131189525</v>
      </c>
      <c r="N259" s="124">
        <f t="shared" si="5"/>
        <v>24865.307694116629</v>
      </c>
      <c r="O259" s="124">
        <f t="shared" si="5"/>
        <v>86497.711225267311</v>
      </c>
      <c r="P259" s="124">
        <f t="shared" si="5"/>
        <v>76861.228437557453</v>
      </c>
      <c r="Q259" s="124">
        <f t="shared" si="5"/>
        <v>67648.547169149329</v>
      </c>
      <c r="R259" s="124">
        <f t="shared" si="5"/>
        <v>29458.206493341597</v>
      </c>
      <c r="S259" s="124">
        <f t="shared" si="5"/>
        <v>4.361976093059428</v>
      </c>
      <c r="T259" s="124">
        <f t="shared" si="5"/>
        <v>37415.117976193949</v>
      </c>
      <c r="U259" s="124">
        <f t="shared" si="5"/>
        <v>4.3619760930577787</v>
      </c>
      <c r="V259" s="124">
        <f t="shared" si="5"/>
        <v>33671.359276746138</v>
      </c>
      <c r="W259" s="124">
        <f t="shared" si="5"/>
        <v>60237.4067160013</v>
      </c>
      <c r="X259" s="124">
        <f t="shared" si="5"/>
        <v>64714.295006111111</v>
      </c>
      <c r="Y259" s="124">
        <f t="shared" si="5"/>
        <v>38068.146475094763</v>
      </c>
      <c r="Z259" s="124">
        <f t="shared" si="5"/>
        <v>36312.073964942807</v>
      </c>
      <c r="AA259" s="124">
        <f t="shared" si="5"/>
        <v>28249.004996323263</v>
      </c>
      <c r="AB259" s="124">
        <f t="shared" si="5"/>
        <v>86423.080817205497</v>
      </c>
      <c r="AC259" s="124">
        <f t="shared" si="5"/>
        <v>51388.417846244287</v>
      </c>
      <c r="AD259" s="124">
        <f t="shared" si="5"/>
        <v>15030.123355872856</v>
      </c>
      <c r="AE259" s="124">
        <f t="shared" si="5"/>
        <v>60237.4067160013</v>
      </c>
      <c r="AF259" s="124">
        <f t="shared" si="5"/>
        <v>7521.8969807624744</v>
      </c>
      <c r="AG259" s="124">
        <f t="shared" si="5"/>
        <v>78940.465842468737</v>
      </c>
      <c r="AH259" s="124">
        <f t="shared" si="5"/>
        <v>38395.488330881337</v>
      </c>
      <c r="AI259" s="124">
        <f t="shared" si="5"/>
        <v>75199.854017175254</v>
      </c>
      <c r="AJ259" s="124">
        <f t="shared" si="5"/>
        <v>89620.552208959707</v>
      </c>
      <c r="AK259" s="124">
        <f t="shared" si="5"/>
        <v>60112.318104299848</v>
      </c>
      <c r="AL259" s="124">
        <f t="shared" si="5"/>
        <v>46748.915771277811</v>
      </c>
      <c r="AM259" s="124">
        <f t="shared" si="5"/>
        <v>70716.117264045461</v>
      </c>
      <c r="AN259" s="124">
        <f t="shared" si="5"/>
        <v>47211.265753173226</v>
      </c>
      <c r="AO259" s="124">
        <f t="shared" si="5"/>
        <v>52201.062890165413</v>
      </c>
      <c r="AP259" s="124">
        <f t="shared" si="5"/>
        <v>5465.7146589454542</v>
      </c>
      <c r="AQ259" s="124">
        <f t="shared" si="5"/>
        <v>65659.760996424156</v>
      </c>
      <c r="AR259" s="124">
        <f t="shared" si="5"/>
        <v>43987.772902020362</v>
      </c>
      <c r="AS259" s="124">
        <f t="shared" si="5"/>
        <v>60235.087842418288</v>
      </c>
      <c r="AT259" s="124">
        <f t="shared" si="5"/>
        <v>80624.527171181122</v>
      </c>
      <c r="AU259" s="124">
        <f t="shared" si="5"/>
        <v>42488.699483032666</v>
      </c>
      <c r="AV259" s="124">
        <f t="shared" si="5"/>
        <v>33673.67815032915</v>
      </c>
      <c r="AW259" s="124">
        <f t="shared" si="5"/>
        <v>60235.087842418288</v>
      </c>
      <c r="AX259" s="124">
        <f t="shared" si="5"/>
        <v>52697.202629885614</v>
      </c>
      <c r="AY259" s="124">
        <f>AZ$14*$B$259</f>
        <v>46954.382996373723</v>
      </c>
      <c r="AZ259" s="139">
        <f>SUM($D259:$AY259)</f>
        <v>2428578.4883948765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3143.9059147112575</v>
      </c>
      <c r="E260" s="125">
        <f t="shared" ref="E260:AY260" si="6">(E$175-E$176+E$177-E$178+E$179-E$180+E$181-E$182)*$B$260</f>
        <v>4460.7858403768369</v>
      </c>
      <c r="F260" s="125">
        <f t="shared" si="6"/>
        <v>10972.36075790227</v>
      </c>
      <c r="G260" s="125">
        <f t="shared" si="6"/>
        <v>4066.4114971170525</v>
      </c>
      <c r="H260" s="125">
        <f t="shared" si="6"/>
        <v>8502.9470370215313</v>
      </c>
      <c r="I260" s="125">
        <f t="shared" si="6"/>
        <v>8316.018585651238</v>
      </c>
      <c r="J260" s="125">
        <f t="shared" si="6"/>
        <v>11603.3857686345</v>
      </c>
      <c r="K260" s="125">
        <f t="shared" si="6"/>
        <v>10988.529852946505</v>
      </c>
      <c r="L260" s="125">
        <f t="shared" si="6"/>
        <v>17475.881394358159</v>
      </c>
      <c r="M260" s="125">
        <f t="shared" si="6"/>
        <v>18159.019704600658</v>
      </c>
      <c r="N260" s="125">
        <f t="shared" si="6"/>
        <v>10610.627835115298</v>
      </c>
      <c r="O260" s="125">
        <f t="shared" si="6"/>
        <v>20360.680523621017</v>
      </c>
      <c r="P260" s="125">
        <f t="shared" si="6"/>
        <v>23870.815389307114</v>
      </c>
      <c r="Q260" s="125">
        <f t="shared" si="6"/>
        <v>25841.830114749981</v>
      </c>
      <c r="R260" s="125">
        <f t="shared" si="6"/>
        <v>13135.971571475206</v>
      </c>
      <c r="S260" s="125">
        <f t="shared" si="6"/>
        <v>8965.479128032759</v>
      </c>
      <c r="T260" s="125">
        <f t="shared" si="6"/>
        <v>5333.3515578216638</v>
      </c>
      <c r="U260" s="125">
        <f t="shared" si="6"/>
        <v>2247.0158685685592</v>
      </c>
      <c r="V260" s="125">
        <f t="shared" si="6"/>
        <v>660</v>
      </c>
      <c r="W260" s="125">
        <f t="shared" si="6"/>
        <v>722.93864893062562</v>
      </c>
      <c r="X260" s="125">
        <f t="shared" si="6"/>
        <v>4583.9381602780322</v>
      </c>
      <c r="Y260" s="125">
        <f t="shared" si="6"/>
        <v>3214.0749010939908</v>
      </c>
      <c r="Z260" s="125">
        <f t="shared" si="6"/>
        <v>1411.4135068476735</v>
      </c>
      <c r="AA260" s="125">
        <f t="shared" si="6"/>
        <v>1079.9999999999991</v>
      </c>
      <c r="AB260" s="125">
        <f t="shared" si="6"/>
        <v>13121.608292530551</v>
      </c>
      <c r="AC260" s="125">
        <f t="shared" si="6"/>
        <v>8745.0243165850625</v>
      </c>
      <c r="AD260" s="125">
        <f t="shared" si="6"/>
        <v>2637.1878439187758</v>
      </c>
      <c r="AE260" s="125">
        <f t="shared" si="6"/>
        <v>5699.5380146070347</v>
      </c>
      <c r="AF260" s="125">
        <f t="shared" si="6"/>
        <v>4170.3457778766906</v>
      </c>
      <c r="AG260" s="125">
        <f t="shared" si="6"/>
        <v>21260.377535947853</v>
      </c>
      <c r="AH260" s="125">
        <f t="shared" si="6"/>
        <v>10346.81223161247</v>
      </c>
      <c r="AI260" s="125">
        <f t="shared" si="6"/>
        <v>22395.958519178912</v>
      </c>
      <c r="AJ260" s="125">
        <f t="shared" si="6"/>
        <v>29600.183738628653</v>
      </c>
      <c r="AK260" s="125">
        <f t="shared" si="6"/>
        <v>29217.155618159417</v>
      </c>
      <c r="AL260" s="125">
        <f t="shared" si="6"/>
        <v>21033.622256534662</v>
      </c>
      <c r="AM260" s="125">
        <f t="shared" si="6"/>
        <v>24613.718308152624</v>
      </c>
      <c r="AN260" s="125">
        <f t="shared" si="6"/>
        <v>19610.520400060988</v>
      </c>
      <c r="AO260" s="125">
        <f t="shared" si="6"/>
        <v>16703.951308814019</v>
      </c>
      <c r="AP260" s="125">
        <f t="shared" si="6"/>
        <v>12795.253757980001</v>
      </c>
      <c r="AQ260" s="125">
        <f t="shared" si="6"/>
        <v>14694.246840904114</v>
      </c>
      <c r="AR260" s="125">
        <f t="shared" si="6"/>
        <v>7060.6822800140908</v>
      </c>
      <c r="AS260" s="125">
        <f t="shared" si="6"/>
        <v>7040.1135061709601</v>
      </c>
      <c r="AT260" s="125">
        <f t="shared" si="6"/>
        <v>14594.493858156529</v>
      </c>
      <c r="AU260" s="125">
        <f t="shared" si="6"/>
        <v>10829.692430329234</v>
      </c>
      <c r="AV260" s="125">
        <f t="shared" si="6"/>
        <v>6832.7048089464624</v>
      </c>
      <c r="AW260" s="125">
        <f t="shared" si="6"/>
        <v>13216.943106689147</v>
      </c>
      <c r="AX260" s="125">
        <f t="shared" si="6"/>
        <v>6013.0090317816721</v>
      </c>
      <c r="AY260" s="125">
        <f t="shared" si="6"/>
        <v>6737.366197617238</v>
      </c>
      <c r="AZ260" s="141">
        <f>SUM($D260:$AY260)</f>
        <v>548697.8935403591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46</v>
      </c>
    </row>
    <row r="3" spans="1:53">
      <c r="A3" s="100" t="s">
        <v>286</v>
      </c>
      <c r="B3" s="108">
        <v>1250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152.00000000000003</v>
      </c>
      <c r="E9" s="117">
        <v>152.00000000000003</v>
      </c>
      <c r="F9" s="117">
        <v>152.00000000000003</v>
      </c>
      <c r="G9" s="117">
        <v>152.00000000000003</v>
      </c>
      <c r="H9" s="117">
        <v>190</v>
      </c>
      <c r="I9" s="117">
        <v>190</v>
      </c>
      <c r="J9" s="117">
        <v>190</v>
      </c>
      <c r="K9" s="117">
        <v>190</v>
      </c>
      <c r="L9" s="117">
        <v>190</v>
      </c>
      <c r="M9" s="117">
        <v>190</v>
      </c>
      <c r="N9" s="117">
        <v>190</v>
      </c>
      <c r="O9" s="117">
        <v>190</v>
      </c>
      <c r="P9" s="117">
        <v>190</v>
      </c>
      <c r="Q9" s="117">
        <v>190</v>
      </c>
      <c r="R9" s="117">
        <v>190</v>
      </c>
      <c r="S9" s="117">
        <v>190</v>
      </c>
      <c r="T9" s="117">
        <v>190</v>
      </c>
      <c r="U9" s="117">
        <v>190</v>
      </c>
      <c r="V9" s="117">
        <v>190</v>
      </c>
      <c r="W9" s="117">
        <v>190</v>
      </c>
      <c r="X9" s="117">
        <v>152.00000000000003</v>
      </c>
      <c r="Y9" s="117">
        <v>152.00000000000003</v>
      </c>
      <c r="Z9" s="117">
        <v>152.00000000000003</v>
      </c>
      <c r="AA9" s="117">
        <v>75.912735544315566</v>
      </c>
      <c r="AB9" s="117">
        <v>190</v>
      </c>
      <c r="AC9" s="117">
        <v>190</v>
      </c>
      <c r="AD9" s="117">
        <v>76.367821649575234</v>
      </c>
      <c r="AE9" s="117">
        <v>190</v>
      </c>
      <c r="AF9" s="117">
        <v>190</v>
      </c>
      <c r="AG9" s="117">
        <v>190</v>
      </c>
      <c r="AH9" s="117">
        <v>190</v>
      </c>
      <c r="AI9" s="117">
        <v>190</v>
      </c>
      <c r="AJ9" s="117">
        <v>152.00000000000003</v>
      </c>
      <c r="AK9" s="117">
        <v>77.406886894152819</v>
      </c>
      <c r="AL9" s="117">
        <v>77.55236644918881</v>
      </c>
      <c r="AM9" s="117">
        <v>152.00000000000003</v>
      </c>
      <c r="AN9" s="117">
        <v>190</v>
      </c>
      <c r="AO9" s="117">
        <v>190</v>
      </c>
      <c r="AP9" s="117">
        <v>190</v>
      </c>
      <c r="AQ9" s="117">
        <v>190</v>
      </c>
      <c r="AR9" s="117">
        <v>190</v>
      </c>
      <c r="AS9" s="117">
        <v>190</v>
      </c>
      <c r="AT9" s="117">
        <v>190</v>
      </c>
      <c r="AU9" s="117">
        <v>190</v>
      </c>
      <c r="AV9" s="117">
        <v>190</v>
      </c>
      <c r="AW9" s="117">
        <v>190</v>
      </c>
      <c r="AX9" s="117">
        <v>190</v>
      </c>
      <c r="AY9" s="117">
        <v>190</v>
      </c>
    </row>
    <row r="10" spans="1:53">
      <c r="A10" s="118" t="s">
        <v>133</v>
      </c>
      <c r="B10" s="119">
        <v>1</v>
      </c>
      <c r="C10" s="106" t="s">
        <v>293</v>
      </c>
      <c r="D10" s="100">
        <v>169.99999999999983</v>
      </c>
      <c r="E10" s="100">
        <v>11.333801735378641</v>
      </c>
      <c r="F10" s="100">
        <v>136.00000000000003</v>
      </c>
      <c r="G10" s="100">
        <v>136.00000000000003</v>
      </c>
      <c r="H10" s="100">
        <v>136.00000000000003</v>
      </c>
      <c r="I10" s="100">
        <v>136.00000000000003</v>
      </c>
      <c r="J10" s="100">
        <v>170.00000000000003</v>
      </c>
      <c r="K10" s="100">
        <v>56.669008676893185</v>
      </c>
      <c r="L10" s="100">
        <v>170.00000000000003</v>
      </c>
      <c r="M10" s="100">
        <v>56.669008676893185</v>
      </c>
      <c r="N10" s="100">
        <v>170.00000000000003</v>
      </c>
      <c r="O10" s="100">
        <v>170.00000000000003</v>
      </c>
      <c r="P10" s="100">
        <v>170.00000000000003</v>
      </c>
      <c r="Q10" s="100">
        <v>56.669008676893185</v>
      </c>
      <c r="R10" s="100">
        <v>147.33942255992233</v>
      </c>
      <c r="S10" s="100">
        <v>170.00000000000003</v>
      </c>
      <c r="T10" s="100">
        <v>170.00000000000003</v>
      </c>
      <c r="U10" s="100">
        <v>56.669008676893185</v>
      </c>
      <c r="V10" s="100">
        <v>147.33942255992233</v>
      </c>
      <c r="W10" s="100">
        <v>56.669008676893185</v>
      </c>
      <c r="X10" s="100">
        <v>147.33942255992233</v>
      </c>
      <c r="Y10" s="100">
        <v>56.669008676893185</v>
      </c>
      <c r="Z10" s="100">
        <v>136.00000000000003</v>
      </c>
      <c r="AA10" s="100">
        <v>136.00000000000003</v>
      </c>
      <c r="AB10" s="100">
        <v>136.00000000000003</v>
      </c>
      <c r="AC10" s="100">
        <v>67.921921276492881</v>
      </c>
      <c r="AD10" s="100">
        <v>147.33942255992233</v>
      </c>
      <c r="AE10" s="100">
        <v>56.669008676893185</v>
      </c>
      <c r="AF10" s="100">
        <v>68.329103581198893</v>
      </c>
      <c r="AG10" s="100">
        <v>170.00000000000003</v>
      </c>
      <c r="AH10" s="100">
        <v>170.00000000000003</v>
      </c>
      <c r="AI10" s="100">
        <v>124.67181908916504</v>
      </c>
      <c r="AJ10" s="100">
        <v>170.00000000000003</v>
      </c>
      <c r="AK10" s="100">
        <v>124.67181908916504</v>
      </c>
      <c r="AL10" s="100">
        <v>136.00000000000003</v>
      </c>
      <c r="AM10" s="100">
        <v>69.258793536873583</v>
      </c>
      <c r="AN10" s="100">
        <v>69.388959454537357</v>
      </c>
      <c r="AO10" s="100">
        <v>136.00000000000003</v>
      </c>
      <c r="AP10" s="100">
        <v>113.3380173537864</v>
      </c>
      <c r="AQ10" s="100">
        <v>124.67181908916504</v>
      </c>
      <c r="AR10" s="100">
        <v>170.00000000000003</v>
      </c>
      <c r="AS10" s="100">
        <v>170.00000000000003</v>
      </c>
      <c r="AT10" s="100">
        <v>170.00000000000003</v>
      </c>
      <c r="AU10" s="100">
        <v>170.00000000000003</v>
      </c>
      <c r="AV10" s="100">
        <v>113.3380173537864</v>
      </c>
      <c r="AW10" s="100">
        <v>124.67181908916504</v>
      </c>
      <c r="AX10" s="100">
        <v>170.00000000000003</v>
      </c>
      <c r="AY10" s="100">
        <v>124.67181908916504</v>
      </c>
      <c r="AZ10" s="100">
        <v>170.00000000000003</v>
      </c>
    </row>
    <row r="11" spans="1:53">
      <c r="B11" s="119">
        <v>2</v>
      </c>
      <c r="C11" s="106" t="s">
        <v>293</v>
      </c>
      <c r="E11" s="100">
        <v>0</v>
      </c>
      <c r="F11" s="100">
        <v>158.66619826462252</v>
      </c>
      <c r="G11" s="100">
        <v>0</v>
      </c>
      <c r="L11" s="100">
        <v>0</v>
      </c>
      <c r="N11" s="100">
        <v>113.33099132310684</v>
      </c>
      <c r="O11" s="100">
        <v>0</v>
      </c>
      <c r="P11" s="100">
        <v>0</v>
      </c>
      <c r="R11" s="100">
        <v>113.33099132310684</v>
      </c>
      <c r="S11" s="100">
        <v>22.660577440077702</v>
      </c>
      <c r="V11" s="100">
        <v>113.33099132310684</v>
      </c>
      <c r="W11" s="100">
        <v>22.660577440077702</v>
      </c>
      <c r="X11" s="100">
        <v>113.33099132310684</v>
      </c>
      <c r="Y11" s="100">
        <v>22.660577440077702</v>
      </c>
      <c r="Z11" s="100">
        <v>113.33099132310684</v>
      </c>
      <c r="AA11" s="100">
        <v>0</v>
      </c>
      <c r="AE11" s="100">
        <v>22.660577440077702</v>
      </c>
      <c r="AF11" s="100">
        <v>113.33099132310684</v>
      </c>
      <c r="AG11" s="100">
        <v>0</v>
      </c>
      <c r="AJ11" s="100">
        <v>45.328180910834988</v>
      </c>
      <c r="AL11" s="100">
        <v>45.328180910834988</v>
      </c>
      <c r="AO11" s="100">
        <v>0</v>
      </c>
      <c r="AP11" s="100">
        <v>0</v>
      </c>
      <c r="AQ11" s="100">
        <v>56.66198264621363</v>
      </c>
      <c r="AR11" s="100">
        <v>45.328180910834988</v>
      </c>
      <c r="AT11" s="100">
        <v>0</v>
      </c>
      <c r="AU11" s="100">
        <v>0</v>
      </c>
      <c r="AV11" s="100">
        <v>0</v>
      </c>
      <c r="AW11" s="100">
        <v>56.66198264621363</v>
      </c>
      <c r="AX11" s="100">
        <v>45.328180910834988</v>
      </c>
      <c r="AY11" s="100">
        <v>0</v>
      </c>
      <c r="AZ11" s="100">
        <v>45.328180910834988</v>
      </c>
    </row>
    <row r="12" spans="1:53">
      <c r="B12" s="120">
        <v>3</v>
      </c>
      <c r="C12" s="106" t="s">
        <v>293</v>
      </c>
      <c r="L12" s="100">
        <v>0</v>
      </c>
      <c r="M12" s="100">
        <v>113.33099132310684</v>
      </c>
      <c r="X12" s="100">
        <v>0</v>
      </c>
      <c r="AE12" s="100">
        <v>0</v>
      </c>
      <c r="AI12" s="100">
        <v>0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119.99999999999991</v>
      </c>
      <c r="E14" s="117">
        <f t="shared" ref="E14:AZ14" si="0">D$172*SUM(D$122:D$169)</f>
        <v>104.33632528800914</v>
      </c>
      <c r="F14" s="117">
        <f t="shared" si="0"/>
        <v>11.064311708653387</v>
      </c>
      <c r="G14" s="117">
        <f t="shared" si="0"/>
        <v>207.99382444160571</v>
      </c>
      <c r="H14" s="117">
        <f t="shared" si="0"/>
        <v>133.82283404578581</v>
      </c>
      <c r="I14" s="117">
        <f t="shared" si="0"/>
        <v>106.04321353026697</v>
      </c>
      <c r="J14" s="117">
        <f t="shared" si="0"/>
        <v>96.001594075532225</v>
      </c>
      <c r="K14" s="117">
        <f t="shared" si="0"/>
        <v>120.00000000000004</v>
      </c>
      <c r="L14" s="117">
        <f t="shared" si="0"/>
        <v>50.292680944706838</v>
      </c>
      <c r="M14" s="117">
        <f t="shared" si="0"/>
        <v>120.00000000000004</v>
      </c>
      <c r="N14" s="117">
        <f t="shared" si="0"/>
        <v>120.00000000000004</v>
      </c>
      <c r="O14" s="117">
        <f t="shared" si="0"/>
        <v>199.99303334100756</v>
      </c>
      <c r="P14" s="117">
        <f t="shared" si="0"/>
        <v>172.54654170008797</v>
      </c>
      <c r="Q14" s="117">
        <f t="shared" si="0"/>
        <v>142.31230954290746</v>
      </c>
      <c r="R14" s="117">
        <f t="shared" si="0"/>
        <v>65.61400068351108</v>
      </c>
      <c r="S14" s="117">
        <f t="shared" si="0"/>
        <v>183.9983940501304</v>
      </c>
      <c r="T14" s="117">
        <f t="shared" si="0"/>
        <v>160.9937216052374</v>
      </c>
      <c r="U14" s="117">
        <f t="shared" si="0"/>
        <v>133.99641234584999</v>
      </c>
      <c r="V14" s="117">
        <f t="shared" si="0"/>
        <v>58.1769915932625</v>
      </c>
      <c r="W14" s="117">
        <f t="shared" si="0"/>
        <v>183.9983940501304</v>
      </c>
      <c r="X14" s="117">
        <f t="shared" si="0"/>
        <v>78.42925969280131</v>
      </c>
      <c r="Y14" s="117">
        <f t="shared" si="0"/>
        <v>183.9983940501304</v>
      </c>
      <c r="Z14" s="117">
        <f t="shared" si="0"/>
        <v>76.286402549944171</v>
      </c>
      <c r="AA14" s="117">
        <f t="shared" si="0"/>
        <v>175.99462741653974</v>
      </c>
      <c r="AB14" s="117">
        <f t="shared" si="0"/>
        <v>102.24127495179806</v>
      </c>
      <c r="AC14" s="117">
        <f t="shared" si="0"/>
        <v>96.001594075532225</v>
      </c>
      <c r="AD14" s="117">
        <f t="shared" si="0"/>
        <v>47.949671494220496</v>
      </c>
      <c r="AE14" s="117">
        <f t="shared" si="0"/>
        <v>104.0053607091229</v>
      </c>
      <c r="AF14" s="117">
        <f t="shared" si="0"/>
        <v>56.001605949869656</v>
      </c>
      <c r="AG14" s="117">
        <f t="shared" si="0"/>
        <v>128.23010854798082</v>
      </c>
      <c r="AH14" s="117">
        <f t="shared" si="0"/>
        <v>120.00000000000004</v>
      </c>
      <c r="AI14" s="117">
        <f t="shared" si="0"/>
        <v>120.00000000000004</v>
      </c>
      <c r="AJ14" s="117">
        <f t="shared" si="0"/>
        <v>88.005762196590311</v>
      </c>
      <c r="AK14" s="117">
        <f t="shared" si="0"/>
        <v>151.99423780340976</v>
      </c>
      <c r="AL14" s="117">
        <f t="shared" si="0"/>
        <v>98.051700262337974</v>
      </c>
      <c r="AM14" s="117">
        <f t="shared" si="0"/>
        <v>127.99583187894196</v>
      </c>
      <c r="AN14" s="117">
        <f t="shared" si="0"/>
        <v>48.893283352272761</v>
      </c>
      <c r="AO14" s="117">
        <f t="shared" si="0"/>
        <v>48.985159073732362</v>
      </c>
      <c r="AP14" s="117">
        <f t="shared" si="0"/>
        <v>96.001594075532225</v>
      </c>
      <c r="AQ14" s="117">
        <f t="shared" si="0"/>
        <v>80.005962940324011</v>
      </c>
      <c r="AR14" s="117">
        <f t="shared" si="0"/>
        <v>127.99979925626634</v>
      </c>
      <c r="AS14" s="117">
        <f t="shared" si="0"/>
        <v>151.99423780340976</v>
      </c>
      <c r="AT14" s="117">
        <f t="shared" si="0"/>
        <v>120.00000000000004</v>
      </c>
      <c r="AU14" s="117">
        <f t="shared" si="0"/>
        <v>120.00000000000004</v>
      </c>
      <c r="AV14" s="117">
        <f t="shared" si="0"/>
        <v>120.00000000000004</v>
      </c>
      <c r="AW14" s="117">
        <f t="shared" si="0"/>
        <v>84.899806446773042</v>
      </c>
      <c r="AX14" s="117">
        <f t="shared" si="0"/>
        <v>127.99979925626634</v>
      </c>
      <c r="AY14" s="117">
        <f t="shared" si="0"/>
        <v>151.99423780340976</v>
      </c>
      <c r="AZ14" s="110">
        <f t="shared" si="0"/>
        <v>88.005762196590311</v>
      </c>
      <c r="BA14" s="107">
        <f>SUM($E14:$AZ14)</f>
        <v>5493.1500567304838</v>
      </c>
    </row>
    <row r="15" spans="1:53">
      <c r="A15" s="122" t="s">
        <v>123</v>
      </c>
      <c r="B15" s="123">
        <v>1</v>
      </c>
      <c r="C15" s="124" t="s">
        <v>293</v>
      </c>
      <c r="D15" s="124">
        <v>243.45142567202132</v>
      </c>
      <c r="E15" s="124">
        <v>18.684795812497132</v>
      </c>
      <c r="F15" s="124">
        <v>224.00371950957521</v>
      </c>
      <c r="G15" s="124">
        <v>224.00371950957521</v>
      </c>
      <c r="H15" s="124">
        <v>224.00371950957521</v>
      </c>
      <c r="I15" s="124">
        <v>224.00371950957521</v>
      </c>
      <c r="J15" s="124">
        <v>280.00000000000011</v>
      </c>
      <c r="K15" s="124">
        <v>93.349588870982572</v>
      </c>
      <c r="L15" s="124">
        <v>280.00000000000011</v>
      </c>
      <c r="M15" s="124">
        <v>93.349588870982572</v>
      </c>
      <c r="N15" s="124">
        <v>280.00000000000011</v>
      </c>
      <c r="O15" s="124">
        <v>280.00000000000011</v>
      </c>
      <c r="P15" s="124">
        <v>280.00000000000011</v>
      </c>
      <c r="Q15" s="124">
        <v>93.349588870982572</v>
      </c>
      <c r="R15" s="124">
        <v>242.67917498795344</v>
      </c>
      <c r="S15" s="124">
        <v>280.00000000000011</v>
      </c>
      <c r="T15" s="124">
        <v>280.00000000000011</v>
      </c>
      <c r="U15" s="124">
        <v>93.349588870982572</v>
      </c>
      <c r="V15" s="124">
        <v>242.67917498795344</v>
      </c>
      <c r="W15" s="124">
        <v>93.349588870982572</v>
      </c>
      <c r="X15" s="124">
        <v>242.67917498795344</v>
      </c>
      <c r="Y15" s="124">
        <v>93.349588870982572</v>
      </c>
      <c r="Z15" s="124">
        <v>224.00371950957521</v>
      </c>
      <c r="AA15" s="124">
        <v>224.00371950957521</v>
      </c>
      <c r="AB15" s="124">
        <v>224.00371950957521</v>
      </c>
      <c r="AC15" s="124">
        <v>111.88256681984784</v>
      </c>
      <c r="AD15" s="124">
        <v>242.67917498795344</v>
      </c>
      <c r="AE15" s="124">
        <v>93.349588870982572</v>
      </c>
      <c r="AF15" s="124">
        <v>112.55317548293772</v>
      </c>
      <c r="AG15" s="124">
        <v>280.00000000000011</v>
      </c>
      <c r="AH15" s="124">
        <v>280.00000000000011</v>
      </c>
      <c r="AI15" s="124">
        <v>205.34677845871073</v>
      </c>
      <c r="AJ15" s="124">
        <v>280.00000000000011</v>
      </c>
      <c r="AK15" s="124">
        <v>205.34677845871073</v>
      </c>
      <c r="AL15" s="124">
        <v>224.00371950957521</v>
      </c>
      <c r="AM15" s="124">
        <v>114.08432782196978</v>
      </c>
      <c r="AN15" s="124">
        <v>114.29870450537553</v>
      </c>
      <c r="AO15" s="124">
        <v>224.00371950957521</v>
      </c>
      <c r="AP15" s="124">
        <v>186.68058019408937</v>
      </c>
      <c r="AQ15" s="124">
        <v>205.34677845871073</v>
      </c>
      <c r="AR15" s="124">
        <v>280.00000000000011</v>
      </c>
      <c r="AS15" s="124">
        <v>280.00000000000011</v>
      </c>
      <c r="AT15" s="124">
        <v>280.00000000000011</v>
      </c>
      <c r="AU15" s="124">
        <v>280.00000000000011</v>
      </c>
      <c r="AV15" s="124">
        <v>186.68058019408937</v>
      </c>
      <c r="AW15" s="124">
        <v>205.34677845871073</v>
      </c>
      <c r="AX15" s="124">
        <v>280.00000000000011</v>
      </c>
      <c r="AY15" s="124">
        <v>205.34677845871073</v>
      </c>
      <c r="AZ15" s="100">
        <v>279.98140245212431</v>
      </c>
    </row>
    <row r="16" spans="1:53">
      <c r="A16" s="110"/>
      <c r="B16" s="119">
        <v>2</v>
      </c>
      <c r="C16" s="109" t="s">
        <v>293</v>
      </c>
      <c r="D16" s="106"/>
      <c r="E16" s="110">
        <v>0</v>
      </c>
      <c r="F16" s="110">
        <v>261.31520418750483</v>
      </c>
      <c r="G16" s="110">
        <v>0</v>
      </c>
      <c r="H16" s="110"/>
      <c r="I16" s="110"/>
      <c r="J16" s="110"/>
      <c r="K16" s="110"/>
      <c r="L16" s="110">
        <v>0</v>
      </c>
      <c r="M16" s="110"/>
      <c r="N16" s="110">
        <v>186.65041112901753</v>
      </c>
      <c r="O16" s="110">
        <v>0</v>
      </c>
      <c r="P16" s="110">
        <v>0</v>
      </c>
      <c r="Q16" s="110"/>
      <c r="R16" s="110">
        <v>186.65041112901753</v>
      </c>
      <c r="S16" s="110">
        <v>37.32082501204664</v>
      </c>
      <c r="T16" s="110"/>
      <c r="U16" s="110"/>
      <c r="V16" s="110">
        <v>186.65041112901753</v>
      </c>
      <c r="W16" s="110">
        <v>37.32082501204664</v>
      </c>
      <c r="X16" s="110">
        <v>186.65041112901753</v>
      </c>
      <c r="Y16" s="110">
        <v>37.32082501204664</v>
      </c>
      <c r="Z16" s="110">
        <v>186.65041112901753</v>
      </c>
      <c r="AA16" s="110">
        <v>0</v>
      </c>
      <c r="AB16" s="110"/>
      <c r="AC16" s="110"/>
      <c r="AD16" s="110"/>
      <c r="AE16" s="110">
        <v>37.32082501204664</v>
      </c>
      <c r="AF16" s="110">
        <v>186.65041112901753</v>
      </c>
      <c r="AG16" s="110">
        <v>0</v>
      </c>
      <c r="AH16" s="110"/>
      <c r="AI16" s="110"/>
      <c r="AJ16" s="110">
        <v>74.653221541289355</v>
      </c>
      <c r="AK16" s="110"/>
      <c r="AL16" s="110">
        <v>74.653221541289355</v>
      </c>
      <c r="AM16" s="110"/>
      <c r="AN16" s="110"/>
      <c r="AO16" s="110">
        <v>0</v>
      </c>
      <c r="AP16" s="110">
        <v>0</v>
      </c>
      <c r="AQ16" s="110">
        <v>93.319419805910712</v>
      </c>
      <c r="AR16" s="110">
        <v>74.653221541289355</v>
      </c>
      <c r="AS16" s="110"/>
      <c r="AT16" s="110">
        <v>0</v>
      </c>
      <c r="AU16" s="110">
        <v>0</v>
      </c>
      <c r="AV16" s="110">
        <v>0</v>
      </c>
      <c r="AW16" s="110">
        <v>93.319419805910712</v>
      </c>
      <c r="AX16" s="110">
        <v>74.653221541289355</v>
      </c>
      <c r="AY16" s="110">
        <v>0</v>
      </c>
      <c r="AZ16" s="100">
        <v>74.653221541289355</v>
      </c>
    </row>
    <row r="17" spans="1:51">
      <c r="A17" s="110"/>
      <c r="B17" s="119">
        <v>3</v>
      </c>
      <c r="C17" s="109" t="s">
        <v>293</v>
      </c>
      <c r="D17" s="106"/>
      <c r="E17" s="110"/>
      <c r="F17" s="110"/>
      <c r="G17" s="110"/>
      <c r="H17" s="110"/>
      <c r="I17" s="110"/>
      <c r="J17" s="110"/>
      <c r="K17" s="110"/>
      <c r="L17" s="110">
        <v>0</v>
      </c>
      <c r="M17" s="110">
        <v>186.65041112901753</v>
      </c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>
        <v>0</v>
      </c>
      <c r="Y17" s="110"/>
      <c r="Z17" s="110"/>
      <c r="AA17" s="110"/>
      <c r="AB17" s="110"/>
      <c r="AC17" s="110"/>
      <c r="AD17" s="110"/>
      <c r="AE17" s="110">
        <v>0</v>
      </c>
      <c r="AF17" s="110"/>
      <c r="AG17" s="110"/>
      <c r="AH17" s="110"/>
      <c r="AI17" s="110">
        <v>0</v>
      </c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190</v>
      </c>
      <c r="D95" s="110">
        <v>152.00000000000003</v>
      </c>
      <c r="E95" s="110">
        <v>152.00000000000003</v>
      </c>
      <c r="F95" s="110">
        <v>152.00000000000003</v>
      </c>
      <c r="G95" s="110">
        <v>152.00000000000003</v>
      </c>
      <c r="H95" s="110">
        <v>190</v>
      </c>
      <c r="I95" s="110">
        <v>190</v>
      </c>
      <c r="J95" s="110">
        <v>190</v>
      </c>
      <c r="K95" s="110">
        <v>190</v>
      </c>
      <c r="L95" s="110">
        <v>190</v>
      </c>
      <c r="M95" s="110">
        <v>190</v>
      </c>
      <c r="N95" s="110">
        <v>190</v>
      </c>
      <c r="O95" s="110">
        <v>190</v>
      </c>
      <c r="P95" s="110">
        <v>190</v>
      </c>
      <c r="Q95" s="110">
        <v>190</v>
      </c>
      <c r="R95" s="110">
        <v>190</v>
      </c>
      <c r="S95" s="110">
        <v>190</v>
      </c>
      <c r="T95" s="110">
        <v>190</v>
      </c>
      <c r="U95" s="110">
        <v>190</v>
      </c>
      <c r="V95" s="110">
        <v>190</v>
      </c>
      <c r="W95" s="110">
        <v>190</v>
      </c>
      <c r="X95" s="110">
        <v>152.00000000000003</v>
      </c>
      <c r="Y95" s="110">
        <v>152.00000000000003</v>
      </c>
      <c r="Z95" s="110">
        <v>152.00000000000003</v>
      </c>
      <c r="AA95" s="110">
        <v>75.912735544315566</v>
      </c>
      <c r="AB95" s="110">
        <v>190</v>
      </c>
      <c r="AC95" s="110">
        <v>190</v>
      </c>
      <c r="AD95" s="110">
        <v>76.367821649575234</v>
      </c>
      <c r="AE95" s="110">
        <v>190</v>
      </c>
      <c r="AF95" s="110">
        <v>190</v>
      </c>
      <c r="AG95" s="110">
        <v>190</v>
      </c>
      <c r="AH95" s="110">
        <v>190</v>
      </c>
      <c r="AI95" s="110">
        <v>190</v>
      </c>
      <c r="AJ95" s="110">
        <v>152.00000000000003</v>
      </c>
      <c r="AK95" s="110">
        <v>77.406886894152819</v>
      </c>
      <c r="AL95" s="110">
        <v>77.55236644918881</v>
      </c>
      <c r="AM95" s="110">
        <v>152.00000000000003</v>
      </c>
      <c r="AN95" s="110">
        <v>190</v>
      </c>
      <c r="AO95" s="110">
        <v>190</v>
      </c>
      <c r="AP95" s="110">
        <v>190</v>
      </c>
      <c r="AQ95" s="110">
        <v>190</v>
      </c>
      <c r="AR95" s="110">
        <v>190</v>
      </c>
      <c r="AS95" s="110">
        <v>190</v>
      </c>
      <c r="AT95" s="110">
        <v>190</v>
      </c>
      <c r="AU95" s="110">
        <v>190</v>
      </c>
      <c r="AV95" s="110">
        <v>190</v>
      </c>
      <c r="AW95" s="110">
        <v>190</v>
      </c>
      <c r="AX95" s="110">
        <v>190</v>
      </c>
      <c r="AY95" s="110">
        <v>190</v>
      </c>
    </row>
    <row r="96" spans="1:52">
      <c r="A96" s="109"/>
      <c r="B96" s="120">
        <v>2</v>
      </c>
      <c r="C96" s="110">
        <v>0</v>
      </c>
      <c r="D96" s="110">
        <v>0</v>
      </c>
      <c r="E96" s="110">
        <v>0</v>
      </c>
      <c r="F96" s="110">
        <v>0</v>
      </c>
      <c r="G96" s="110">
        <v>0</v>
      </c>
      <c r="H96" s="110">
        <v>0</v>
      </c>
      <c r="I96" s="110">
        <v>6</v>
      </c>
      <c r="J96" s="110">
        <v>44</v>
      </c>
      <c r="K96" s="110">
        <v>50</v>
      </c>
      <c r="L96" s="110">
        <v>75</v>
      </c>
      <c r="M96" s="110">
        <v>63</v>
      </c>
      <c r="N96" s="110">
        <v>50</v>
      </c>
      <c r="O96" s="110">
        <v>48</v>
      </c>
      <c r="P96" s="110">
        <v>44</v>
      </c>
      <c r="Q96" s="110">
        <v>37</v>
      </c>
      <c r="R96" s="110">
        <v>92</v>
      </c>
      <c r="S96" s="110">
        <v>60</v>
      </c>
      <c r="T96" s="110">
        <v>48</v>
      </c>
      <c r="U96" s="110">
        <v>28</v>
      </c>
      <c r="V96" s="110">
        <v>46</v>
      </c>
      <c r="W96" s="110">
        <v>15</v>
      </c>
      <c r="X96" s="110">
        <v>46</v>
      </c>
      <c r="Y96" s="110">
        <v>26.000000000000028</v>
      </c>
      <c r="Z96" s="110">
        <v>0</v>
      </c>
      <c r="AA96" s="110">
        <v>0</v>
      </c>
      <c r="AB96" s="110">
        <v>0</v>
      </c>
      <c r="AC96" s="110">
        <v>18</v>
      </c>
      <c r="AD96" s="110">
        <v>0</v>
      </c>
      <c r="AE96" s="110">
        <v>0</v>
      </c>
      <c r="AF96" s="110">
        <v>6</v>
      </c>
      <c r="AG96" s="110">
        <v>33</v>
      </c>
      <c r="AH96" s="110">
        <v>0</v>
      </c>
      <c r="AI96" s="110">
        <v>16</v>
      </c>
      <c r="AJ96" s="110">
        <v>34</v>
      </c>
      <c r="AK96" s="110">
        <v>0</v>
      </c>
      <c r="AL96" s="110">
        <v>0</v>
      </c>
      <c r="AM96" s="110">
        <v>0</v>
      </c>
      <c r="AN96" s="110">
        <v>0</v>
      </c>
      <c r="AO96" s="110">
        <v>3</v>
      </c>
      <c r="AP96" s="110">
        <v>0</v>
      </c>
      <c r="AQ96" s="110">
        <v>0</v>
      </c>
      <c r="AR96" s="110">
        <v>0</v>
      </c>
      <c r="AS96" s="110">
        <v>0</v>
      </c>
      <c r="AT96" s="110">
        <v>0</v>
      </c>
      <c r="AU96" s="110">
        <v>0</v>
      </c>
      <c r="AV96" s="110">
        <v>0</v>
      </c>
      <c r="AW96" s="110">
        <v>0</v>
      </c>
      <c r="AX96" s="110">
        <v>1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169.99999999999986</v>
      </c>
      <c r="D100" s="106">
        <v>169.99999999999983</v>
      </c>
      <c r="E100" s="106">
        <v>11.333801735378641</v>
      </c>
      <c r="F100" s="106">
        <v>136.00000000000003</v>
      </c>
      <c r="G100" s="106">
        <v>136.00000000000003</v>
      </c>
      <c r="H100" s="106">
        <v>136.00000000000003</v>
      </c>
      <c r="I100" s="106">
        <v>136.00000000000003</v>
      </c>
      <c r="J100" s="106">
        <v>170.00000000000003</v>
      </c>
      <c r="K100" s="106">
        <v>56.669008676893185</v>
      </c>
      <c r="L100" s="106">
        <v>170.00000000000003</v>
      </c>
      <c r="M100" s="106">
        <v>56.669008676893185</v>
      </c>
      <c r="N100" s="106">
        <v>170.00000000000003</v>
      </c>
      <c r="O100" s="106">
        <v>170.00000000000003</v>
      </c>
      <c r="P100" s="106">
        <v>170.00000000000003</v>
      </c>
      <c r="Q100" s="106">
        <v>56.669008676893185</v>
      </c>
      <c r="R100" s="106">
        <v>147.33942255992233</v>
      </c>
      <c r="S100" s="106">
        <v>170.00000000000003</v>
      </c>
      <c r="T100" s="106">
        <v>170.00000000000003</v>
      </c>
      <c r="U100" s="106">
        <v>56.669008676893185</v>
      </c>
      <c r="V100" s="106">
        <v>147.33942255992233</v>
      </c>
      <c r="W100" s="106">
        <v>56.669008676893185</v>
      </c>
      <c r="X100" s="106">
        <v>147.33942255992233</v>
      </c>
      <c r="Y100" s="106">
        <v>56.669008676893185</v>
      </c>
      <c r="Z100" s="106">
        <v>136.00000000000003</v>
      </c>
      <c r="AA100" s="106">
        <v>136.00000000000003</v>
      </c>
      <c r="AB100" s="106">
        <v>136.00000000000003</v>
      </c>
      <c r="AC100" s="106">
        <v>67.921921276492881</v>
      </c>
      <c r="AD100" s="106">
        <v>147.33942255992233</v>
      </c>
      <c r="AE100" s="106">
        <v>56.669008676893185</v>
      </c>
      <c r="AF100" s="106">
        <v>68.329103581198893</v>
      </c>
      <c r="AG100" s="106">
        <v>170.00000000000003</v>
      </c>
      <c r="AH100" s="106">
        <v>170.00000000000003</v>
      </c>
      <c r="AI100" s="106">
        <v>124.67181908916504</v>
      </c>
      <c r="AJ100" s="106">
        <v>170.00000000000003</v>
      </c>
      <c r="AK100" s="106">
        <v>124.67181908916504</v>
      </c>
      <c r="AL100" s="106">
        <v>136.00000000000003</v>
      </c>
      <c r="AM100" s="106">
        <v>69.258793536873583</v>
      </c>
      <c r="AN100" s="106">
        <v>69.388959454537357</v>
      </c>
      <c r="AO100" s="106">
        <v>136.00000000000003</v>
      </c>
      <c r="AP100" s="106">
        <v>113.3380173537864</v>
      </c>
      <c r="AQ100" s="106">
        <v>124.67181908916504</v>
      </c>
      <c r="AR100" s="106">
        <v>170.00000000000003</v>
      </c>
      <c r="AS100" s="106">
        <v>170.00000000000003</v>
      </c>
      <c r="AT100" s="106">
        <v>170.00000000000003</v>
      </c>
      <c r="AU100" s="106">
        <v>170.00000000000003</v>
      </c>
      <c r="AV100" s="106">
        <v>113.3380173537864</v>
      </c>
      <c r="AW100" s="106">
        <v>124.67181908916504</v>
      </c>
      <c r="AX100" s="106">
        <v>170.00000000000003</v>
      </c>
      <c r="AY100" s="106">
        <v>124.67181908916504</v>
      </c>
    </row>
    <row r="101" spans="1:52">
      <c r="A101" s="109"/>
      <c r="B101" s="119">
        <v>2</v>
      </c>
      <c r="C101" s="106">
        <v>0</v>
      </c>
      <c r="D101" s="106">
        <v>0</v>
      </c>
      <c r="E101" s="106">
        <v>0</v>
      </c>
      <c r="F101" s="106">
        <v>158.66619826462252</v>
      </c>
      <c r="G101" s="106">
        <v>100.66619826462255</v>
      </c>
      <c r="H101" s="106">
        <v>76.666198264622579</v>
      </c>
      <c r="I101" s="106">
        <v>57.666198264622608</v>
      </c>
      <c r="J101" s="106">
        <v>29.666198264622636</v>
      </c>
      <c r="K101" s="106">
        <v>60.666198264622665</v>
      </c>
      <c r="L101" s="106">
        <v>0</v>
      </c>
      <c r="M101" s="106">
        <v>0</v>
      </c>
      <c r="N101" s="106">
        <v>113.33099132310684</v>
      </c>
      <c r="O101" s="106">
        <v>86.330991323106872</v>
      </c>
      <c r="P101" s="106">
        <v>67.3309913231069</v>
      </c>
      <c r="Q101" s="106">
        <v>60.330991323106929</v>
      </c>
      <c r="R101" s="106">
        <v>113.33099132310684</v>
      </c>
      <c r="S101" s="106">
        <v>58.330991323106872</v>
      </c>
      <c r="T101" s="106">
        <v>28.3309913231069</v>
      </c>
      <c r="U101" s="106">
        <v>0</v>
      </c>
      <c r="V101" s="106">
        <v>113.33099132310684</v>
      </c>
      <c r="W101" s="106">
        <v>118.33099132310687</v>
      </c>
      <c r="X101" s="106">
        <v>113.33099132310684</v>
      </c>
      <c r="Y101" s="106">
        <v>106.33099132310687</v>
      </c>
      <c r="Z101" s="106">
        <v>113.33099132310684</v>
      </c>
      <c r="AA101" s="106">
        <v>36.330991323106872</v>
      </c>
      <c r="AB101" s="106">
        <v>0</v>
      </c>
      <c r="AC101" s="106">
        <v>0</v>
      </c>
      <c r="AD101" s="106">
        <v>0</v>
      </c>
      <c r="AE101" s="106">
        <v>22.660577440077702</v>
      </c>
      <c r="AF101" s="106">
        <v>113.33099132310684</v>
      </c>
      <c r="AG101" s="106">
        <v>5.6600949043057369</v>
      </c>
      <c r="AH101" s="106">
        <v>0</v>
      </c>
      <c r="AI101" s="106">
        <v>0</v>
      </c>
      <c r="AJ101" s="106">
        <v>45.328180910834988</v>
      </c>
      <c r="AK101" s="106">
        <v>33.328180910835016</v>
      </c>
      <c r="AL101" s="106">
        <v>56.328180910835044</v>
      </c>
      <c r="AM101" s="106">
        <v>0</v>
      </c>
      <c r="AN101" s="106">
        <v>0</v>
      </c>
      <c r="AO101" s="106">
        <v>0</v>
      </c>
      <c r="AP101" s="106">
        <v>0</v>
      </c>
      <c r="AQ101" s="106">
        <v>56.66198264621363</v>
      </c>
      <c r="AR101" s="106">
        <v>45.328180910834988</v>
      </c>
      <c r="AS101" s="106">
        <v>7.328180910835016</v>
      </c>
      <c r="AT101" s="106">
        <v>2.3281809108350444</v>
      </c>
      <c r="AU101" s="106">
        <v>0</v>
      </c>
      <c r="AV101" s="106">
        <v>0</v>
      </c>
      <c r="AW101" s="106">
        <v>56.66198264621363</v>
      </c>
      <c r="AX101" s="106">
        <v>45.328180910834988</v>
      </c>
      <c r="AY101" s="106">
        <v>42.328180910835016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113.33099132310684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119.99999999999993</v>
      </c>
      <c r="D109" s="106">
        <v>119.99999999999991</v>
      </c>
      <c r="E109" s="106">
        <v>104.33632528800914</v>
      </c>
      <c r="F109" s="106">
        <v>11.064311708653387</v>
      </c>
      <c r="G109" s="106">
        <v>207.99382444160571</v>
      </c>
      <c r="H109" s="106">
        <v>133.82283404578581</v>
      </c>
      <c r="I109" s="106">
        <v>106.04321353026697</v>
      </c>
      <c r="J109" s="106">
        <v>96.001594075532225</v>
      </c>
      <c r="K109" s="106">
        <v>120.00000000000004</v>
      </c>
      <c r="L109" s="106">
        <v>50.292680944706838</v>
      </c>
      <c r="M109" s="106">
        <v>120.00000000000004</v>
      </c>
      <c r="N109" s="106">
        <v>120.00000000000004</v>
      </c>
      <c r="O109" s="106">
        <v>199.99303334100756</v>
      </c>
      <c r="P109" s="106">
        <v>172.54654170008797</v>
      </c>
      <c r="Q109" s="106">
        <v>142.31230954290746</v>
      </c>
      <c r="R109" s="106">
        <v>65.61400068351108</v>
      </c>
      <c r="S109" s="106">
        <v>183.9983940501304</v>
      </c>
      <c r="T109" s="106">
        <v>160.9937216052374</v>
      </c>
      <c r="U109" s="106">
        <v>133.99641234584999</v>
      </c>
      <c r="V109" s="106">
        <v>58.1769915932625</v>
      </c>
      <c r="W109" s="106">
        <v>183.9983940501304</v>
      </c>
      <c r="X109" s="106">
        <v>78.42925969280131</v>
      </c>
      <c r="Y109" s="106">
        <v>183.9983940501304</v>
      </c>
      <c r="Z109" s="106">
        <v>76.286402549944171</v>
      </c>
      <c r="AA109" s="106">
        <v>175.99462741653974</v>
      </c>
      <c r="AB109" s="106">
        <v>102.24127495179806</v>
      </c>
      <c r="AC109" s="106">
        <v>96.001594075532225</v>
      </c>
      <c r="AD109" s="106">
        <v>47.949671494220496</v>
      </c>
      <c r="AE109" s="106">
        <v>104.0053607091229</v>
      </c>
      <c r="AF109" s="106">
        <v>56.001605949869656</v>
      </c>
      <c r="AG109" s="106">
        <v>128.23010854798082</v>
      </c>
      <c r="AH109" s="106">
        <v>120.00000000000004</v>
      </c>
      <c r="AI109" s="106">
        <v>120.00000000000004</v>
      </c>
      <c r="AJ109" s="106">
        <v>88.005762196590311</v>
      </c>
      <c r="AK109" s="106">
        <v>151.99423780340976</v>
      </c>
      <c r="AL109" s="106">
        <v>98.051700262337974</v>
      </c>
      <c r="AM109" s="106">
        <v>127.99583187894196</v>
      </c>
      <c r="AN109" s="106">
        <v>48.893283352272761</v>
      </c>
      <c r="AO109" s="106">
        <v>48.985159073732362</v>
      </c>
      <c r="AP109" s="106">
        <v>96.001594075532225</v>
      </c>
      <c r="AQ109" s="106">
        <v>80.005962940324011</v>
      </c>
      <c r="AR109" s="106">
        <v>127.99979925626634</v>
      </c>
      <c r="AS109" s="106">
        <v>151.99423780340976</v>
      </c>
      <c r="AT109" s="106">
        <v>120.00000000000004</v>
      </c>
      <c r="AU109" s="106">
        <v>120.00000000000004</v>
      </c>
      <c r="AV109" s="106">
        <v>120.00000000000004</v>
      </c>
      <c r="AW109" s="106">
        <v>84.899806446773042</v>
      </c>
      <c r="AX109" s="106">
        <v>127.99979925626634</v>
      </c>
      <c r="AY109" s="106">
        <v>151.99423780340976</v>
      </c>
    </row>
    <row r="110" spans="1:52">
      <c r="A110" s="109"/>
      <c r="B110" s="119">
        <v>2</v>
      </c>
      <c r="C110" s="106">
        <v>15.055179183535017</v>
      </c>
      <c r="D110" s="106">
        <v>0</v>
      </c>
      <c r="E110" s="106">
        <v>0</v>
      </c>
      <c r="F110" s="106">
        <v>0</v>
      </c>
      <c r="G110" s="106">
        <v>0</v>
      </c>
      <c r="H110" s="106">
        <v>105.99382444160571</v>
      </c>
      <c r="I110" s="106">
        <v>66.816658487391521</v>
      </c>
      <c r="J110" s="106">
        <v>66.859872017658489</v>
      </c>
      <c r="K110" s="106">
        <v>6.8614660931907139</v>
      </c>
      <c r="L110" s="106">
        <v>0</v>
      </c>
      <c r="M110" s="106">
        <v>0</v>
      </c>
      <c r="N110" s="106">
        <v>0</v>
      </c>
      <c r="O110" s="106">
        <v>0</v>
      </c>
      <c r="P110" s="106">
        <v>68.99303334100756</v>
      </c>
      <c r="Q110" s="106">
        <v>136.53957504109553</v>
      </c>
      <c r="R110" s="106">
        <v>142.31230954290746</v>
      </c>
      <c r="S110" s="106">
        <v>65.61400068351108</v>
      </c>
      <c r="T110" s="106">
        <v>110.42820336827739</v>
      </c>
      <c r="U110" s="106">
        <v>134.15676669234475</v>
      </c>
      <c r="V110" s="106">
        <v>133.99641234584999</v>
      </c>
      <c r="W110" s="106">
        <v>45.114210201342473</v>
      </c>
      <c r="X110" s="106">
        <v>80.580236664329362</v>
      </c>
      <c r="Y110" s="106">
        <v>30.009496357130672</v>
      </c>
      <c r="Z110" s="106">
        <v>27.093445765039633</v>
      </c>
      <c r="AA110" s="106">
        <v>0</v>
      </c>
      <c r="AB110" s="106">
        <v>14.57321501759435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44.99423780340976</v>
      </c>
      <c r="AM110" s="106">
        <v>7.045938065747734</v>
      </c>
      <c r="AN110" s="106">
        <v>13.343067931845951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12.99423780340976</v>
      </c>
      <c r="AU110" s="106">
        <v>17.303681297509257</v>
      </c>
      <c r="AV110" s="106">
        <v>1.4210854715202004E-14</v>
      </c>
      <c r="AW110" s="106">
        <v>0</v>
      </c>
      <c r="AX110" s="106">
        <v>0</v>
      </c>
      <c r="AY110" s="106">
        <v>14.999799256266343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3.5034990917284574</v>
      </c>
      <c r="S111" s="106">
        <v>19.815808634635914</v>
      </c>
      <c r="T111" s="106">
        <v>0</v>
      </c>
      <c r="U111" s="106">
        <v>0</v>
      </c>
      <c r="V111" s="106">
        <v>9.9408062622299838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243.45154821266112</v>
      </c>
      <c r="D122" s="106">
        <v>243.45142567202132</v>
      </c>
      <c r="E122" s="106">
        <v>18.684795812497132</v>
      </c>
      <c r="F122" s="106">
        <v>224.00371950957521</v>
      </c>
      <c r="G122" s="106">
        <v>224.00371950957521</v>
      </c>
      <c r="H122" s="106">
        <v>224.00371950957521</v>
      </c>
      <c r="I122" s="106">
        <v>224.00371950957521</v>
      </c>
      <c r="J122" s="106">
        <v>280.00000000000011</v>
      </c>
      <c r="K122" s="106">
        <v>93.349588870982572</v>
      </c>
      <c r="L122" s="106">
        <v>280.00000000000011</v>
      </c>
      <c r="M122" s="106">
        <v>93.349588870982572</v>
      </c>
      <c r="N122" s="106">
        <v>280.00000000000011</v>
      </c>
      <c r="O122" s="106">
        <v>280.00000000000011</v>
      </c>
      <c r="P122" s="106">
        <v>280.00000000000011</v>
      </c>
      <c r="Q122" s="106">
        <v>93.349588870982572</v>
      </c>
      <c r="R122" s="106">
        <v>242.67917498795344</v>
      </c>
      <c r="S122" s="106">
        <v>280.00000000000011</v>
      </c>
      <c r="T122" s="106">
        <v>280.00000000000011</v>
      </c>
      <c r="U122" s="106">
        <v>93.349588870982572</v>
      </c>
      <c r="V122" s="106">
        <v>242.67917498795344</v>
      </c>
      <c r="W122" s="106">
        <v>93.349588870982572</v>
      </c>
      <c r="X122" s="106">
        <v>242.67917498795344</v>
      </c>
      <c r="Y122" s="106">
        <v>93.349588870982572</v>
      </c>
      <c r="Z122" s="106">
        <v>224.00371950957521</v>
      </c>
      <c r="AA122" s="106">
        <v>224.00371950957521</v>
      </c>
      <c r="AB122" s="106">
        <v>224.00371950957521</v>
      </c>
      <c r="AC122" s="106">
        <v>111.88256681984784</v>
      </c>
      <c r="AD122" s="106">
        <v>242.67917498795344</v>
      </c>
      <c r="AE122" s="106">
        <v>93.349588870982572</v>
      </c>
      <c r="AF122" s="106">
        <v>112.55317548293772</v>
      </c>
      <c r="AG122" s="106">
        <v>280.00000000000011</v>
      </c>
      <c r="AH122" s="106">
        <v>280.00000000000011</v>
      </c>
      <c r="AI122" s="106">
        <v>205.34677845871073</v>
      </c>
      <c r="AJ122" s="106">
        <v>280.00000000000011</v>
      </c>
      <c r="AK122" s="106">
        <v>205.34677845871073</v>
      </c>
      <c r="AL122" s="106">
        <v>224.00371950957521</v>
      </c>
      <c r="AM122" s="106">
        <v>114.08432782196978</v>
      </c>
      <c r="AN122" s="106">
        <v>114.29870450537553</v>
      </c>
      <c r="AO122" s="106">
        <v>224.00371950957521</v>
      </c>
      <c r="AP122" s="106">
        <v>186.68058019408937</v>
      </c>
      <c r="AQ122" s="106">
        <v>205.34677845871073</v>
      </c>
      <c r="AR122" s="106">
        <v>280.00000000000011</v>
      </c>
      <c r="AS122" s="106">
        <v>280.00000000000011</v>
      </c>
      <c r="AT122" s="106">
        <v>280.00000000000011</v>
      </c>
      <c r="AU122" s="106">
        <v>280.00000000000011</v>
      </c>
      <c r="AV122" s="106">
        <v>186.68058019408937</v>
      </c>
      <c r="AW122" s="106">
        <v>205.34677845871073</v>
      </c>
      <c r="AX122" s="106">
        <v>280.00000000000011</v>
      </c>
      <c r="AY122" s="106">
        <v>205.34677845871073</v>
      </c>
    </row>
    <row r="123" spans="1:52">
      <c r="A123" s="109"/>
      <c r="B123" s="119">
        <v>2</v>
      </c>
      <c r="C123" s="106">
        <v>0</v>
      </c>
      <c r="D123" s="106">
        <v>0</v>
      </c>
      <c r="E123" s="106">
        <v>7.1319315076941052</v>
      </c>
      <c r="F123" s="106">
        <v>261.31520418750483</v>
      </c>
      <c r="G123" s="106">
        <v>88.249559930591715</v>
      </c>
      <c r="H123" s="106">
        <v>23.430445394381081</v>
      </c>
      <c r="I123" s="106">
        <v>0</v>
      </c>
      <c r="J123" s="106">
        <v>0</v>
      </c>
      <c r="K123" s="106">
        <v>24.000000000000057</v>
      </c>
      <c r="L123" s="106">
        <v>0</v>
      </c>
      <c r="M123" s="106">
        <v>0</v>
      </c>
      <c r="N123" s="106">
        <v>186.65041112901753</v>
      </c>
      <c r="O123" s="106">
        <v>122.6085973002052</v>
      </c>
      <c r="P123" s="106">
        <v>52.062055600117318</v>
      </c>
      <c r="Q123" s="106">
        <v>59.749746057209947</v>
      </c>
      <c r="R123" s="106">
        <v>186.65041112901753</v>
      </c>
      <c r="S123" s="106">
        <v>95.65201707888717</v>
      </c>
      <c r="T123" s="106">
        <v>32.658295473649872</v>
      </c>
      <c r="U123" s="106">
        <v>42.396724846629937</v>
      </c>
      <c r="V123" s="106">
        <v>186.65041112901753</v>
      </c>
      <c r="W123" s="106">
        <v>89.65201707888717</v>
      </c>
      <c r="X123" s="106">
        <v>186.65041112901753</v>
      </c>
      <c r="Y123" s="106">
        <v>84.65201707888717</v>
      </c>
      <c r="Z123" s="106">
        <v>186.65041112901753</v>
      </c>
      <c r="AA123" s="106">
        <v>14.559255377953619</v>
      </c>
      <c r="AB123" s="106">
        <v>0</v>
      </c>
      <c r="AC123" s="106">
        <v>0</v>
      </c>
      <c r="AD123" s="106">
        <v>0</v>
      </c>
      <c r="AE123" s="106">
        <v>37.32082501204664</v>
      </c>
      <c r="AF123" s="106">
        <v>186.65041112901753</v>
      </c>
      <c r="AG123" s="106">
        <v>0</v>
      </c>
      <c r="AH123" s="106">
        <v>0</v>
      </c>
      <c r="AI123" s="106">
        <v>0</v>
      </c>
      <c r="AJ123" s="106">
        <v>74.653221541289355</v>
      </c>
      <c r="AK123" s="106">
        <v>23.440522153411223</v>
      </c>
      <c r="AL123" s="106">
        <v>74.653221541289355</v>
      </c>
      <c r="AM123" s="106">
        <v>0</v>
      </c>
      <c r="AN123" s="106">
        <v>0</v>
      </c>
      <c r="AO123" s="106">
        <v>0</v>
      </c>
      <c r="AP123" s="106">
        <v>0</v>
      </c>
      <c r="AQ123" s="106">
        <v>93.319419805910712</v>
      </c>
      <c r="AR123" s="106">
        <v>74.653221541289355</v>
      </c>
      <c r="AS123" s="106">
        <v>0</v>
      </c>
      <c r="AT123" s="106">
        <v>0</v>
      </c>
      <c r="AU123" s="106">
        <v>0</v>
      </c>
      <c r="AV123" s="106">
        <v>11.418968181714405</v>
      </c>
      <c r="AW123" s="106">
        <v>93.319419805910712</v>
      </c>
      <c r="AX123" s="106">
        <v>74.653221541289355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186.65041112901753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0.49291122147712474</v>
      </c>
      <c r="D172" s="134">
        <v>0.42857142857142855</v>
      </c>
      <c r="E172" s="134">
        <v>0.42857142857142855</v>
      </c>
      <c r="F172" s="134">
        <v>0.42857142857142855</v>
      </c>
      <c r="G172" s="134">
        <v>0.42857142857142855</v>
      </c>
      <c r="H172" s="134">
        <v>0.42857142857142855</v>
      </c>
      <c r="I172" s="134">
        <v>0.42857142857142855</v>
      </c>
      <c r="J172" s="134">
        <v>0.42857142857142855</v>
      </c>
      <c r="K172" s="134">
        <v>0.42857142857142855</v>
      </c>
      <c r="L172" s="134">
        <v>0.42857142857142855</v>
      </c>
      <c r="M172" s="134">
        <v>0.42857142857142855</v>
      </c>
      <c r="N172" s="134">
        <v>0.42857142857142855</v>
      </c>
      <c r="O172" s="134">
        <v>0.42857142857142855</v>
      </c>
      <c r="P172" s="134">
        <v>0.42857142857142855</v>
      </c>
      <c r="Q172" s="134">
        <v>0.42857142857142855</v>
      </c>
      <c r="R172" s="134">
        <v>0.42857142857142855</v>
      </c>
      <c r="S172" s="134">
        <v>0.42857142857142855</v>
      </c>
      <c r="T172" s="134">
        <v>0.42857142857142855</v>
      </c>
      <c r="U172" s="134">
        <v>0.42857142857142855</v>
      </c>
      <c r="V172" s="134">
        <v>0.42857142857142855</v>
      </c>
      <c r="W172" s="134">
        <v>0.42857142857142855</v>
      </c>
      <c r="X172" s="134">
        <v>0.42857142857142855</v>
      </c>
      <c r="Y172" s="134">
        <v>0.42857142857142855</v>
      </c>
      <c r="Z172" s="134">
        <v>0.42857142857142855</v>
      </c>
      <c r="AA172" s="134">
        <v>0.42857142857142855</v>
      </c>
      <c r="AB172" s="134">
        <v>0.42857142857142855</v>
      </c>
      <c r="AC172" s="134">
        <v>0.42857142857142855</v>
      </c>
      <c r="AD172" s="134">
        <v>0.42857142857142855</v>
      </c>
      <c r="AE172" s="134">
        <v>0.42857142857142855</v>
      </c>
      <c r="AF172" s="134">
        <v>0.42857142857142855</v>
      </c>
      <c r="AG172" s="134">
        <v>0.42857142857142855</v>
      </c>
      <c r="AH172" s="134">
        <v>0.42857142857142855</v>
      </c>
      <c r="AI172" s="134">
        <v>0.42857142857142855</v>
      </c>
      <c r="AJ172" s="134">
        <v>0.42857142857142855</v>
      </c>
      <c r="AK172" s="134">
        <v>0.42857142857142855</v>
      </c>
      <c r="AL172" s="134">
        <v>0.42857142857142855</v>
      </c>
      <c r="AM172" s="134">
        <v>0.42857142857142855</v>
      </c>
      <c r="AN172" s="134">
        <v>0.42857142857142855</v>
      </c>
      <c r="AO172" s="134">
        <v>0.42857142857142855</v>
      </c>
      <c r="AP172" s="134">
        <v>0.42857142857142855</v>
      </c>
      <c r="AQ172" s="134">
        <v>0.42857142857142855</v>
      </c>
      <c r="AR172" s="134">
        <v>0.42857142857142855</v>
      </c>
      <c r="AS172" s="134">
        <v>0.42857142857142855</v>
      </c>
      <c r="AT172" s="134">
        <v>0.42857142857142855</v>
      </c>
      <c r="AU172" s="134">
        <v>0.42857142857142855</v>
      </c>
      <c r="AV172" s="134">
        <v>0.42857142857142855</v>
      </c>
      <c r="AW172" s="134">
        <v>0.42857142857142855</v>
      </c>
      <c r="AX172" s="134">
        <v>0.42857142857142855</v>
      </c>
      <c r="AY172" s="134">
        <v>0.42857142857142855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152.00000000000003</v>
      </c>
      <c r="E175" s="124">
        <f t="shared" si="1"/>
        <v>152.00000000000003</v>
      </c>
      <c r="F175" s="124">
        <f t="shared" si="1"/>
        <v>152.00000000000003</v>
      </c>
      <c r="G175" s="124">
        <f t="shared" si="1"/>
        <v>152.00000000000003</v>
      </c>
      <c r="H175" s="124">
        <f t="shared" si="1"/>
        <v>190</v>
      </c>
      <c r="I175" s="124">
        <f t="shared" si="1"/>
        <v>196</v>
      </c>
      <c r="J175" s="124">
        <f t="shared" si="1"/>
        <v>234</v>
      </c>
      <c r="K175" s="124">
        <f t="shared" si="1"/>
        <v>240</v>
      </c>
      <c r="L175" s="124">
        <f t="shared" si="1"/>
        <v>265</v>
      </c>
      <c r="M175" s="124">
        <f t="shared" si="1"/>
        <v>253</v>
      </c>
      <c r="N175" s="124">
        <f t="shared" si="1"/>
        <v>240</v>
      </c>
      <c r="O175" s="124">
        <f t="shared" si="1"/>
        <v>238</v>
      </c>
      <c r="P175" s="124">
        <f t="shared" si="1"/>
        <v>234</v>
      </c>
      <c r="Q175" s="124">
        <f t="shared" si="1"/>
        <v>227</v>
      </c>
      <c r="R175" s="124">
        <f t="shared" si="1"/>
        <v>282</v>
      </c>
      <c r="S175" s="124">
        <f t="shared" si="1"/>
        <v>250</v>
      </c>
      <c r="T175" s="124">
        <f t="shared" si="1"/>
        <v>238</v>
      </c>
      <c r="U175" s="124">
        <f t="shared" si="1"/>
        <v>218</v>
      </c>
      <c r="V175" s="124">
        <f t="shared" si="1"/>
        <v>236</v>
      </c>
      <c r="W175" s="124">
        <f t="shared" si="1"/>
        <v>205</v>
      </c>
      <c r="X175" s="124">
        <f t="shared" si="1"/>
        <v>198.00000000000003</v>
      </c>
      <c r="Y175" s="124">
        <f t="shared" si="1"/>
        <v>178.00000000000006</v>
      </c>
      <c r="Z175" s="124">
        <f t="shared" si="1"/>
        <v>152.00000000000003</v>
      </c>
      <c r="AA175" s="124">
        <f t="shared" si="1"/>
        <v>75.912735544315566</v>
      </c>
      <c r="AB175" s="124">
        <f t="shared" si="1"/>
        <v>190</v>
      </c>
      <c r="AC175" s="124">
        <f t="shared" si="1"/>
        <v>208</v>
      </c>
      <c r="AD175" s="124">
        <f t="shared" si="1"/>
        <v>76.367821649575234</v>
      </c>
      <c r="AE175" s="124">
        <f t="shared" si="1"/>
        <v>190</v>
      </c>
      <c r="AF175" s="124">
        <f t="shared" si="1"/>
        <v>196</v>
      </c>
      <c r="AG175" s="124">
        <f t="shared" si="1"/>
        <v>223</v>
      </c>
      <c r="AH175" s="124">
        <f t="shared" si="1"/>
        <v>190</v>
      </c>
      <c r="AI175" s="124">
        <f t="shared" si="1"/>
        <v>206</v>
      </c>
      <c r="AJ175" s="124">
        <f t="shared" si="1"/>
        <v>186.00000000000003</v>
      </c>
      <c r="AK175" s="124">
        <f t="shared" si="1"/>
        <v>77.406886894152819</v>
      </c>
      <c r="AL175" s="124">
        <f t="shared" si="1"/>
        <v>77.55236644918881</v>
      </c>
      <c r="AM175" s="124">
        <f t="shared" si="1"/>
        <v>152.00000000000003</v>
      </c>
      <c r="AN175" s="124">
        <f t="shared" si="1"/>
        <v>190</v>
      </c>
      <c r="AO175" s="124">
        <f t="shared" si="1"/>
        <v>193</v>
      </c>
      <c r="AP175" s="124">
        <f t="shared" si="1"/>
        <v>190</v>
      </c>
      <c r="AQ175" s="124">
        <f t="shared" si="1"/>
        <v>190</v>
      </c>
      <c r="AR175" s="124">
        <f t="shared" si="1"/>
        <v>190</v>
      </c>
      <c r="AS175" s="124">
        <f t="shared" si="1"/>
        <v>190</v>
      </c>
      <c r="AT175" s="124">
        <f t="shared" si="1"/>
        <v>190</v>
      </c>
      <c r="AU175" s="124">
        <f t="shared" si="1"/>
        <v>190</v>
      </c>
      <c r="AV175" s="124">
        <f t="shared" si="1"/>
        <v>190</v>
      </c>
      <c r="AW175" s="124">
        <f t="shared" si="1"/>
        <v>190</v>
      </c>
      <c r="AX175" s="124">
        <f t="shared" si="1"/>
        <v>191</v>
      </c>
      <c r="AY175" s="124">
        <f t="shared" si="1"/>
        <v>190</v>
      </c>
    </row>
    <row r="176" spans="1:52">
      <c r="A176" s="125"/>
      <c r="B176" s="136" t="s">
        <v>299</v>
      </c>
      <c r="C176" s="125" t="s">
        <v>293</v>
      </c>
      <c r="D176" s="125">
        <v>152.00000000000003</v>
      </c>
      <c r="E176" s="125">
        <v>152.00000000000003</v>
      </c>
      <c r="F176" s="125">
        <v>152.00000000000003</v>
      </c>
      <c r="G176" s="125">
        <v>152.00000000000003</v>
      </c>
      <c r="H176" s="125">
        <v>184</v>
      </c>
      <c r="I176" s="125">
        <v>152</v>
      </c>
      <c r="J176" s="125">
        <v>184</v>
      </c>
      <c r="K176" s="125">
        <v>165</v>
      </c>
      <c r="L176" s="125">
        <v>202</v>
      </c>
      <c r="M176" s="125">
        <v>203</v>
      </c>
      <c r="N176" s="125">
        <v>192</v>
      </c>
      <c r="O176" s="125">
        <v>194</v>
      </c>
      <c r="P176" s="125">
        <v>197</v>
      </c>
      <c r="Q176" s="125">
        <v>135</v>
      </c>
      <c r="R176" s="125">
        <v>222</v>
      </c>
      <c r="S176" s="125">
        <v>202</v>
      </c>
      <c r="T176" s="125">
        <v>210</v>
      </c>
      <c r="U176" s="125">
        <v>172</v>
      </c>
      <c r="V176" s="125">
        <v>221</v>
      </c>
      <c r="W176" s="125">
        <v>159</v>
      </c>
      <c r="X176" s="125">
        <v>172</v>
      </c>
      <c r="Y176" s="125">
        <v>178.00000000000006</v>
      </c>
      <c r="Z176" s="125">
        <v>152.00000000000003</v>
      </c>
      <c r="AA176" s="125">
        <v>75.912735544315566</v>
      </c>
      <c r="AB176" s="125">
        <v>172</v>
      </c>
      <c r="AC176" s="125">
        <v>208</v>
      </c>
      <c r="AD176" s="125">
        <v>76.367821649575234</v>
      </c>
      <c r="AE176" s="125">
        <v>184</v>
      </c>
      <c r="AF176" s="125">
        <v>163</v>
      </c>
      <c r="AG176" s="125">
        <v>223</v>
      </c>
      <c r="AH176" s="125">
        <v>174</v>
      </c>
      <c r="AI176" s="125">
        <v>172</v>
      </c>
      <c r="AJ176" s="125">
        <v>186.00000000000003</v>
      </c>
      <c r="AK176" s="125">
        <v>77.406886894152819</v>
      </c>
      <c r="AL176" s="125">
        <v>77.55236644918881</v>
      </c>
      <c r="AM176" s="125">
        <v>152.00000000000003</v>
      </c>
      <c r="AN176" s="125">
        <v>187</v>
      </c>
      <c r="AO176" s="125">
        <v>193</v>
      </c>
      <c r="AP176" s="125">
        <v>190</v>
      </c>
      <c r="AQ176" s="125">
        <v>190</v>
      </c>
      <c r="AR176" s="125">
        <v>190</v>
      </c>
      <c r="AS176" s="125">
        <v>190</v>
      </c>
      <c r="AT176" s="125">
        <v>190</v>
      </c>
      <c r="AU176" s="125">
        <v>190</v>
      </c>
      <c r="AV176" s="125">
        <v>190</v>
      </c>
      <c r="AW176" s="125">
        <v>189</v>
      </c>
      <c r="AX176" s="125">
        <v>191</v>
      </c>
      <c r="AY176" s="125">
        <v>190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169.99999999999983</v>
      </c>
      <c r="E177" s="124">
        <f t="shared" si="2"/>
        <v>11.333801735378641</v>
      </c>
      <c r="F177" s="124">
        <f t="shared" si="2"/>
        <v>294.66619826462255</v>
      </c>
      <c r="G177" s="124">
        <f t="shared" si="2"/>
        <v>236.66619826462258</v>
      </c>
      <c r="H177" s="124">
        <f t="shared" si="2"/>
        <v>212.66619826462261</v>
      </c>
      <c r="I177" s="124">
        <f t="shared" si="2"/>
        <v>193.66619826462264</v>
      </c>
      <c r="J177" s="124">
        <f t="shared" si="2"/>
        <v>199.66619826462266</v>
      </c>
      <c r="K177" s="124">
        <f t="shared" si="2"/>
        <v>117.33520694151585</v>
      </c>
      <c r="L177" s="124">
        <f t="shared" si="2"/>
        <v>170.00000000000003</v>
      </c>
      <c r="M177" s="124">
        <f t="shared" si="2"/>
        <v>170.00000000000003</v>
      </c>
      <c r="N177" s="124">
        <f t="shared" si="2"/>
        <v>283.3309913231069</v>
      </c>
      <c r="O177" s="124">
        <f t="shared" si="2"/>
        <v>256.3309913231069</v>
      </c>
      <c r="P177" s="124">
        <f t="shared" si="2"/>
        <v>237.33099132310693</v>
      </c>
      <c r="Q177" s="124">
        <f t="shared" si="2"/>
        <v>117.00000000000011</v>
      </c>
      <c r="R177" s="124">
        <f t="shared" si="2"/>
        <v>260.67041388302914</v>
      </c>
      <c r="S177" s="124">
        <f t="shared" si="2"/>
        <v>228.3309913231069</v>
      </c>
      <c r="T177" s="124">
        <f t="shared" si="2"/>
        <v>198.33099132310693</v>
      </c>
      <c r="U177" s="124">
        <f t="shared" si="2"/>
        <v>56.669008676893185</v>
      </c>
      <c r="V177" s="124">
        <f t="shared" si="2"/>
        <v>260.67041388302914</v>
      </c>
      <c r="W177" s="124">
        <f t="shared" si="2"/>
        <v>175.00000000000006</v>
      </c>
      <c r="X177" s="124">
        <f t="shared" si="2"/>
        <v>260.67041388302914</v>
      </c>
      <c r="Y177" s="124">
        <f t="shared" si="2"/>
        <v>163.00000000000006</v>
      </c>
      <c r="Z177" s="124">
        <f t="shared" si="2"/>
        <v>249.33099132310687</v>
      </c>
      <c r="AA177" s="124">
        <f t="shared" si="2"/>
        <v>172.3309913231069</v>
      </c>
      <c r="AB177" s="124">
        <f t="shared" si="2"/>
        <v>136.00000000000003</v>
      </c>
      <c r="AC177" s="124">
        <f t="shared" si="2"/>
        <v>67.921921276492881</v>
      </c>
      <c r="AD177" s="124">
        <f t="shared" si="2"/>
        <v>147.33942255992233</v>
      </c>
      <c r="AE177" s="124">
        <f t="shared" si="2"/>
        <v>79.329586116970887</v>
      </c>
      <c r="AF177" s="124">
        <f t="shared" si="2"/>
        <v>181.66009490430574</v>
      </c>
      <c r="AG177" s="124">
        <f t="shared" si="2"/>
        <v>175.66009490430577</v>
      </c>
      <c r="AH177" s="124">
        <f t="shared" si="2"/>
        <v>170.00000000000003</v>
      </c>
      <c r="AI177" s="124">
        <f t="shared" si="2"/>
        <v>124.67181908916504</v>
      </c>
      <c r="AJ177" s="124">
        <f t="shared" si="2"/>
        <v>215.32818091083502</v>
      </c>
      <c r="AK177" s="124">
        <f t="shared" si="2"/>
        <v>158.00000000000006</v>
      </c>
      <c r="AL177" s="124">
        <f t="shared" si="2"/>
        <v>192.32818091083507</v>
      </c>
      <c r="AM177" s="124">
        <f t="shared" si="2"/>
        <v>69.258793536873583</v>
      </c>
      <c r="AN177" s="124">
        <f t="shared" si="2"/>
        <v>69.388959454537357</v>
      </c>
      <c r="AO177" s="124">
        <f t="shared" si="2"/>
        <v>136.00000000000003</v>
      </c>
      <c r="AP177" s="124">
        <f t="shared" si="2"/>
        <v>113.3380173537864</v>
      </c>
      <c r="AQ177" s="124">
        <f t="shared" si="2"/>
        <v>181.33380173537867</v>
      </c>
      <c r="AR177" s="124">
        <f t="shared" si="2"/>
        <v>215.32818091083502</v>
      </c>
      <c r="AS177" s="124">
        <f t="shared" si="2"/>
        <v>177.32818091083504</v>
      </c>
      <c r="AT177" s="124">
        <f t="shared" si="2"/>
        <v>172.32818091083507</v>
      </c>
      <c r="AU177" s="124">
        <f t="shared" si="2"/>
        <v>170.00000000000003</v>
      </c>
      <c r="AV177" s="124">
        <f t="shared" si="2"/>
        <v>113.3380173537864</v>
      </c>
      <c r="AW177" s="124">
        <f t="shared" si="2"/>
        <v>181.33380173537867</v>
      </c>
      <c r="AX177" s="124">
        <f t="shared" si="2"/>
        <v>215.32818091083502</v>
      </c>
      <c r="AY177" s="124">
        <f t="shared" si="2"/>
        <v>167.00000000000006</v>
      </c>
    </row>
    <row r="178" spans="1:51">
      <c r="A178" s="125"/>
      <c r="B178" s="136" t="s">
        <v>299</v>
      </c>
      <c r="C178" s="125" t="s">
        <v>293</v>
      </c>
      <c r="D178" s="125">
        <v>169.99999999999983</v>
      </c>
      <c r="E178" s="125">
        <v>11.333801735378641</v>
      </c>
      <c r="F178" s="125">
        <v>194</v>
      </c>
      <c r="G178" s="125">
        <v>160</v>
      </c>
      <c r="H178" s="125">
        <v>155</v>
      </c>
      <c r="I178" s="125">
        <v>164</v>
      </c>
      <c r="J178" s="125">
        <v>139</v>
      </c>
      <c r="K178" s="125">
        <v>117.33520694151585</v>
      </c>
      <c r="L178" s="125">
        <v>170.00000000000003</v>
      </c>
      <c r="M178" s="125">
        <v>170.00000000000003</v>
      </c>
      <c r="N178" s="125">
        <v>197</v>
      </c>
      <c r="O178" s="125">
        <v>189</v>
      </c>
      <c r="P178" s="125">
        <v>177</v>
      </c>
      <c r="Q178" s="125">
        <v>117.00000000000011</v>
      </c>
      <c r="R178" s="125">
        <v>225</v>
      </c>
      <c r="S178" s="125">
        <v>200</v>
      </c>
      <c r="T178" s="125">
        <v>198.33099132310693</v>
      </c>
      <c r="U178" s="125">
        <v>56.669008676893185</v>
      </c>
      <c r="V178" s="125">
        <v>165</v>
      </c>
      <c r="W178" s="125">
        <v>175.00000000000006</v>
      </c>
      <c r="X178" s="125">
        <v>177</v>
      </c>
      <c r="Y178" s="125">
        <v>163.00000000000006</v>
      </c>
      <c r="Z178" s="125">
        <v>213</v>
      </c>
      <c r="AA178" s="125">
        <v>172.3309913231069</v>
      </c>
      <c r="AB178" s="125">
        <v>136.00000000000003</v>
      </c>
      <c r="AC178" s="125">
        <v>67.921921276492881</v>
      </c>
      <c r="AD178" s="125">
        <v>147.33942255992233</v>
      </c>
      <c r="AE178" s="125">
        <v>79.329586116970887</v>
      </c>
      <c r="AF178" s="125">
        <v>176</v>
      </c>
      <c r="AG178" s="125">
        <v>175.66009490430577</v>
      </c>
      <c r="AH178" s="125">
        <v>170.00000000000003</v>
      </c>
      <c r="AI178" s="125">
        <v>124.67181908916504</v>
      </c>
      <c r="AJ178" s="125">
        <v>182</v>
      </c>
      <c r="AK178" s="125">
        <v>147</v>
      </c>
      <c r="AL178" s="125">
        <v>192.32818091083507</v>
      </c>
      <c r="AM178" s="125">
        <v>69.258793536873583</v>
      </c>
      <c r="AN178" s="125">
        <v>69.388959454537357</v>
      </c>
      <c r="AO178" s="125">
        <v>136.00000000000003</v>
      </c>
      <c r="AP178" s="125">
        <v>113.3380173537864</v>
      </c>
      <c r="AQ178" s="125">
        <v>181.33380173537867</v>
      </c>
      <c r="AR178" s="125">
        <v>208</v>
      </c>
      <c r="AS178" s="125">
        <v>175</v>
      </c>
      <c r="AT178" s="125">
        <v>172.32818091083507</v>
      </c>
      <c r="AU178" s="125">
        <v>170.00000000000003</v>
      </c>
      <c r="AV178" s="125">
        <v>113.3380173537864</v>
      </c>
      <c r="AW178" s="125">
        <v>181.33380173537867</v>
      </c>
      <c r="AX178" s="125">
        <v>173</v>
      </c>
      <c r="AY178" s="125">
        <v>167.00000000000006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119.99999999999991</v>
      </c>
      <c r="E179" s="124">
        <f t="shared" si="3"/>
        <v>104.33632528800914</v>
      </c>
      <c r="F179" s="124">
        <f t="shared" si="3"/>
        <v>11.064311708653387</v>
      </c>
      <c r="G179" s="124">
        <f t="shared" si="3"/>
        <v>207.99382444160571</v>
      </c>
      <c r="H179" s="124">
        <f t="shared" si="3"/>
        <v>239.81665848739152</v>
      </c>
      <c r="I179" s="124">
        <f t="shared" si="3"/>
        <v>172.85987201765849</v>
      </c>
      <c r="J179" s="124">
        <f t="shared" si="3"/>
        <v>162.8614660931907</v>
      </c>
      <c r="K179" s="124">
        <f t="shared" si="3"/>
        <v>126.86146609319076</v>
      </c>
      <c r="L179" s="124">
        <f t="shared" si="3"/>
        <v>50.292680944706838</v>
      </c>
      <c r="M179" s="124">
        <f t="shared" si="3"/>
        <v>120.00000000000004</v>
      </c>
      <c r="N179" s="124">
        <f t="shared" si="3"/>
        <v>120.00000000000004</v>
      </c>
      <c r="O179" s="124">
        <f t="shared" si="3"/>
        <v>199.99303334100756</v>
      </c>
      <c r="P179" s="124">
        <f t="shared" si="3"/>
        <v>241.53957504109553</v>
      </c>
      <c r="Q179" s="124">
        <f t="shared" si="3"/>
        <v>278.85188458400296</v>
      </c>
      <c r="R179" s="124">
        <f t="shared" si="3"/>
        <v>211.42980931814699</v>
      </c>
      <c r="S179" s="124">
        <f t="shared" si="3"/>
        <v>269.42820336827742</v>
      </c>
      <c r="T179" s="124">
        <f t="shared" si="3"/>
        <v>271.42192497351482</v>
      </c>
      <c r="U179" s="124">
        <f t="shared" si="3"/>
        <v>268.15317903819471</v>
      </c>
      <c r="V179" s="124">
        <f t="shared" si="3"/>
        <v>202.11421020134247</v>
      </c>
      <c r="W179" s="124">
        <f t="shared" si="3"/>
        <v>229.11260425147287</v>
      </c>
      <c r="X179" s="124">
        <f t="shared" si="3"/>
        <v>159.00949635713067</v>
      </c>
      <c r="Y179" s="124">
        <f t="shared" si="3"/>
        <v>214.00789040726107</v>
      </c>
      <c r="Z179" s="124">
        <f t="shared" si="3"/>
        <v>103.3798483149838</v>
      </c>
      <c r="AA179" s="124">
        <f t="shared" si="3"/>
        <v>175.99462741653974</v>
      </c>
      <c r="AB179" s="124">
        <f t="shared" si="3"/>
        <v>116.81448996939241</v>
      </c>
      <c r="AC179" s="124">
        <f t="shared" si="3"/>
        <v>96.001594075532225</v>
      </c>
      <c r="AD179" s="124">
        <f t="shared" si="3"/>
        <v>47.949671494220496</v>
      </c>
      <c r="AE179" s="124">
        <f t="shared" si="3"/>
        <v>104.0053607091229</v>
      </c>
      <c r="AF179" s="124">
        <f t="shared" si="3"/>
        <v>56.001605949869656</v>
      </c>
      <c r="AG179" s="124">
        <f t="shared" si="3"/>
        <v>128.23010854798082</v>
      </c>
      <c r="AH179" s="124">
        <f t="shared" si="3"/>
        <v>120.00000000000004</v>
      </c>
      <c r="AI179" s="124">
        <f t="shared" si="3"/>
        <v>120.00000000000004</v>
      </c>
      <c r="AJ179" s="124">
        <f t="shared" si="3"/>
        <v>88.005762196590311</v>
      </c>
      <c r="AK179" s="124">
        <f t="shared" si="3"/>
        <v>151.99423780340976</v>
      </c>
      <c r="AL179" s="124">
        <f t="shared" si="3"/>
        <v>143.04593806574775</v>
      </c>
      <c r="AM179" s="124">
        <f t="shared" si="3"/>
        <v>135.04176994468969</v>
      </c>
      <c r="AN179" s="124">
        <f t="shared" si="3"/>
        <v>62.236351284118712</v>
      </c>
      <c r="AO179" s="124">
        <f t="shared" si="3"/>
        <v>48.985159073732362</v>
      </c>
      <c r="AP179" s="124">
        <f t="shared" si="3"/>
        <v>96.001594075532225</v>
      </c>
      <c r="AQ179" s="124">
        <f t="shared" si="3"/>
        <v>80.005962940324011</v>
      </c>
      <c r="AR179" s="124">
        <f t="shared" si="3"/>
        <v>127.99979925626634</v>
      </c>
      <c r="AS179" s="124">
        <f t="shared" si="3"/>
        <v>151.99423780340976</v>
      </c>
      <c r="AT179" s="124">
        <f t="shared" si="3"/>
        <v>132.99423780340982</v>
      </c>
      <c r="AU179" s="124">
        <f t="shared" si="3"/>
        <v>137.30368129750929</v>
      </c>
      <c r="AV179" s="124">
        <f t="shared" si="3"/>
        <v>120.00000000000006</v>
      </c>
      <c r="AW179" s="124">
        <f t="shared" si="3"/>
        <v>84.899806446773042</v>
      </c>
      <c r="AX179" s="124">
        <f t="shared" si="3"/>
        <v>127.99979925626634</v>
      </c>
      <c r="AY179" s="124">
        <f t="shared" si="3"/>
        <v>166.99403705967609</v>
      </c>
    </row>
    <row r="180" spans="1:51">
      <c r="A180" s="125"/>
      <c r="B180" s="136" t="s">
        <v>299</v>
      </c>
      <c r="C180" s="125" t="s">
        <v>293</v>
      </c>
      <c r="D180" s="125">
        <v>119.99999999999991</v>
      </c>
      <c r="E180" s="125">
        <v>104.33632528800914</v>
      </c>
      <c r="F180" s="125">
        <v>11.064311708653387</v>
      </c>
      <c r="G180" s="125">
        <v>102</v>
      </c>
      <c r="H180" s="125">
        <v>173</v>
      </c>
      <c r="I180" s="125">
        <v>106</v>
      </c>
      <c r="J180" s="125">
        <v>156</v>
      </c>
      <c r="K180" s="125">
        <v>126.86146609319076</v>
      </c>
      <c r="L180" s="125">
        <v>50.292680944706838</v>
      </c>
      <c r="M180" s="125">
        <v>120.00000000000004</v>
      </c>
      <c r="N180" s="125">
        <v>120.00000000000004</v>
      </c>
      <c r="O180" s="125">
        <v>131</v>
      </c>
      <c r="P180" s="125">
        <v>105</v>
      </c>
      <c r="Q180" s="125">
        <v>133.03607594936707</v>
      </c>
      <c r="R180" s="125">
        <v>126</v>
      </c>
      <c r="S180" s="125">
        <v>159</v>
      </c>
      <c r="T180" s="125">
        <v>137.26515828117005</v>
      </c>
      <c r="U180" s="125">
        <v>124.21596043011476</v>
      </c>
      <c r="V180" s="125">
        <v>157</v>
      </c>
      <c r="W180" s="125">
        <v>148.53236758714351</v>
      </c>
      <c r="X180" s="125">
        <v>129</v>
      </c>
      <c r="Y180" s="125">
        <v>186.91444464222144</v>
      </c>
      <c r="Z180" s="125">
        <v>103.3798483149838</v>
      </c>
      <c r="AA180" s="125">
        <v>161.42141239894539</v>
      </c>
      <c r="AB180" s="125">
        <v>116.81448996939241</v>
      </c>
      <c r="AC180" s="125">
        <v>96.001594075532225</v>
      </c>
      <c r="AD180" s="125">
        <v>47.949671494220496</v>
      </c>
      <c r="AE180" s="125">
        <v>104.0053607091229</v>
      </c>
      <c r="AF180" s="125">
        <v>56.001605949869656</v>
      </c>
      <c r="AG180" s="125">
        <v>128.23010854798082</v>
      </c>
      <c r="AH180" s="125">
        <v>120.00000000000004</v>
      </c>
      <c r="AI180" s="125">
        <v>120.00000000000004</v>
      </c>
      <c r="AJ180" s="125">
        <v>88.005762196590311</v>
      </c>
      <c r="AK180" s="125">
        <v>107</v>
      </c>
      <c r="AL180" s="125">
        <v>136</v>
      </c>
      <c r="AM180" s="125">
        <v>121.69870201284374</v>
      </c>
      <c r="AN180" s="125">
        <v>62.236351284118712</v>
      </c>
      <c r="AO180" s="125">
        <v>48.985159073732362</v>
      </c>
      <c r="AP180" s="125">
        <v>96.001594075532225</v>
      </c>
      <c r="AQ180" s="125">
        <v>80.005962940324011</v>
      </c>
      <c r="AR180" s="125">
        <v>127.99979925626634</v>
      </c>
      <c r="AS180" s="125">
        <v>139</v>
      </c>
      <c r="AT180" s="125">
        <v>115.69055650590055</v>
      </c>
      <c r="AU180" s="125">
        <v>137.30368129750929</v>
      </c>
      <c r="AV180" s="125">
        <v>120.00000000000006</v>
      </c>
      <c r="AW180" s="125">
        <v>84.899806446773042</v>
      </c>
      <c r="AX180" s="125">
        <v>113</v>
      </c>
      <c r="AY180" s="125">
        <v>117.63349836976209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139.11510038401218</v>
      </c>
      <c r="E181" s="124">
        <f t="shared" si="4"/>
        <v>14.752415611537849</v>
      </c>
      <c r="F181" s="124">
        <f t="shared" si="4"/>
        <v>277.3250992554743</v>
      </c>
      <c r="G181" s="124">
        <f t="shared" si="4"/>
        <v>178.43044539438108</v>
      </c>
      <c r="H181" s="124">
        <f t="shared" si="4"/>
        <v>141.39095137368929</v>
      </c>
      <c r="I181" s="124">
        <f t="shared" si="4"/>
        <v>128.00212543404297</v>
      </c>
      <c r="J181" s="124">
        <f t="shared" si="4"/>
        <v>160.00000000000006</v>
      </c>
      <c r="K181" s="124">
        <f t="shared" si="4"/>
        <v>67.056907926275784</v>
      </c>
      <c r="L181" s="124">
        <f t="shared" si="4"/>
        <v>160.00000000000006</v>
      </c>
      <c r="M181" s="124">
        <f t="shared" si="4"/>
        <v>160.00000000000006</v>
      </c>
      <c r="N181" s="124">
        <f t="shared" si="4"/>
        <v>266.65737778801008</v>
      </c>
      <c r="O181" s="124">
        <f t="shared" si="4"/>
        <v>230.0620556001173</v>
      </c>
      <c r="P181" s="124">
        <f t="shared" si="4"/>
        <v>189.74974605720996</v>
      </c>
      <c r="Q181" s="124">
        <f t="shared" si="4"/>
        <v>87.485334244681439</v>
      </c>
      <c r="R181" s="124">
        <f t="shared" si="4"/>
        <v>245.33119206684054</v>
      </c>
      <c r="S181" s="124">
        <f t="shared" si="4"/>
        <v>214.65829547364987</v>
      </c>
      <c r="T181" s="124">
        <f t="shared" si="4"/>
        <v>178.6618831278</v>
      </c>
      <c r="U181" s="124">
        <f t="shared" si="4"/>
        <v>77.569322124349995</v>
      </c>
      <c r="V181" s="124">
        <f t="shared" si="4"/>
        <v>245.33119206684054</v>
      </c>
      <c r="W181" s="124">
        <f t="shared" si="4"/>
        <v>104.57234625706842</v>
      </c>
      <c r="X181" s="124">
        <f t="shared" si="4"/>
        <v>245.33119206684054</v>
      </c>
      <c r="Y181" s="124">
        <f t="shared" si="4"/>
        <v>101.71520339992556</v>
      </c>
      <c r="Z181" s="124">
        <f t="shared" si="4"/>
        <v>234.65950322205299</v>
      </c>
      <c r="AA181" s="124">
        <f t="shared" si="4"/>
        <v>136.32169993573075</v>
      </c>
      <c r="AB181" s="124">
        <f t="shared" si="4"/>
        <v>128.00212543404297</v>
      </c>
      <c r="AC181" s="124">
        <f t="shared" si="4"/>
        <v>63.932895325627335</v>
      </c>
      <c r="AD181" s="124">
        <f t="shared" si="4"/>
        <v>138.67381427883052</v>
      </c>
      <c r="AE181" s="124">
        <f t="shared" si="4"/>
        <v>74.668807933159542</v>
      </c>
      <c r="AF181" s="124">
        <f t="shared" si="4"/>
        <v>170.97347806397443</v>
      </c>
      <c r="AG181" s="124">
        <f t="shared" si="4"/>
        <v>160.00000000000006</v>
      </c>
      <c r="AH181" s="124">
        <f t="shared" si="4"/>
        <v>160.00000000000006</v>
      </c>
      <c r="AI181" s="124">
        <f t="shared" si="4"/>
        <v>117.34101626212041</v>
      </c>
      <c r="AJ181" s="124">
        <f t="shared" si="4"/>
        <v>202.65898373787968</v>
      </c>
      <c r="AK181" s="124">
        <f t="shared" si="4"/>
        <v>130.73560034978397</v>
      </c>
      <c r="AL181" s="124">
        <f t="shared" si="4"/>
        <v>170.66110917192262</v>
      </c>
      <c r="AM181" s="124">
        <f t="shared" si="4"/>
        <v>65.191044469697019</v>
      </c>
      <c r="AN181" s="124">
        <f t="shared" si="4"/>
        <v>65.313545431643149</v>
      </c>
      <c r="AO181" s="124">
        <f t="shared" si="4"/>
        <v>128.00212543404297</v>
      </c>
      <c r="AP181" s="124">
        <f t="shared" si="4"/>
        <v>106.67461725376535</v>
      </c>
      <c r="AQ181" s="124">
        <f t="shared" si="4"/>
        <v>170.66639900835511</v>
      </c>
      <c r="AR181" s="124">
        <f t="shared" si="4"/>
        <v>202.65898373787968</v>
      </c>
      <c r="AS181" s="124">
        <f t="shared" si="4"/>
        <v>160.00000000000006</v>
      </c>
      <c r="AT181" s="124">
        <f t="shared" si="4"/>
        <v>160.00000000000006</v>
      </c>
      <c r="AU181" s="124">
        <f t="shared" si="4"/>
        <v>160.00000000000006</v>
      </c>
      <c r="AV181" s="124">
        <f t="shared" si="4"/>
        <v>113.19974192903072</v>
      </c>
      <c r="AW181" s="124">
        <f t="shared" si="4"/>
        <v>170.66639900835511</v>
      </c>
      <c r="AX181" s="124">
        <f t="shared" si="4"/>
        <v>202.65898373787968</v>
      </c>
      <c r="AY181" s="124">
        <f t="shared" si="4"/>
        <v>117.34101626212041</v>
      </c>
    </row>
    <row r="182" spans="1:51">
      <c r="A182" s="125"/>
      <c r="B182" s="136" t="s">
        <v>299</v>
      </c>
      <c r="C182" s="125" t="s">
        <v>293</v>
      </c>
      <c r="D182" s="125">
        <v>131.98316887631808</v>
      </c>
      <c r="E182" s="125">
        <v>14.752415611537849</v>
      </c>
      <c r="F182" s="125">
        <v>189.07553932488258</v>
      </c>
      <c r="G182" s="125">
        <v>155</v>
      </c>
      <c r="H182" s="125">
        <v>141.39095137368929</v>
      </c>
      <c r="I182" s="125">
        <v>128.00212543404297</v>
      </c>
      <c r="J182" s="125">
        <v>136</v>
      </c>
      <c r="K182" s="125">
        <v>67.056907926275784</v>
      </c>
      <c r="L182" s="125">
        <v>160.00000000000006</v>
      </c>
      <c r="M182" s="125">
        <v>160.00000000000006</v>
      </c>
      <c r="N182" s="125">
        <v>144.04878048780486</v>
      </c>
      <c r="O182" s="125">
        <v>178</v>
      </c>
      <c r="P182" s="125">
        <v>130</v>
      </c>
      <c r="Q182" s="125">
        <v>87.485334244681439</v>
      </c>
      <c r="R182" s="125">
        <v>187</v>
      </c>
      <c r="S182" s="125">
        <v>182</v>
      </c>
      <c r="T182" s="125">
        <v>136.26515828117005</v>
      </c>
      <c r="U182" s="125">
        <v>77.569322124349995</v>
      </c>
      <c r="V182" s="125">
        <v>193</v>
      </c>
      <c r="W182" s="125">
        <v>104.57234625706842</v>
      </c>
      <c r="X182" s="125">
        <v>198</v>
      </c>
      <c r="Y182" s="125">
        <v>101.71520339992556</v>
      </c>
      <c r="Z182" s="125">
        <v>220.10024784409936</v>
      </c>
      <c r="AA182" s="125">
        <v>136.32169993573075</v>
      </c>
      <c r="AB182" s="125">
        <v>128.00212543404297</v>
      </c>
      <c r="AC182" s="125">
        <v>63.932895325627335</v>
      </c>
      <c r="AD182" s="125">
        <v>138.67381427883052</v>
      </c>
      <c r="AE182" s="125">
        <v>74.668807933159542</v>
      </c>
      <c r="AF182" s="125">
        <v>170.97347806397443</v>
      </c>
      <c r="AG182" s="125">
        <v>160.00000000000006</v>
      </c>
      <c r="AH182" s="125">
        <v>160.00000000000006</v>
      </c>
      <c r="AI182" s="125">
        <v>117.34101626212041</v>
      </c>
      <c r="AJ182" s="125">
        <v>179.21846158446846</v>
      </c>
      <c r="AK182" s="125">
        <v>130.73560034978397</v>
      </c>
      <c r="AL182" s="125">
        <v>170.66110917192262</v>
      </c>
      <c r="AM182" s="125">
        <v>65.191044469697019</v>
      </c>
      <c r="AN182" s="125">
        <v>65.313545431643149</v>
      </c>
      <c r="AO182" s="125">
        <v>128.00212543404297</v>
      </c>
      <c r="AP182" s="125">
        <v>106.67461725376535</v>
      </c>
      <c r="AQ182" s="125">
        <v>170.66639900835511</v>
      </c>
      <c r="AR182" s="125">
        <v>202.65898373787968</v>
      </c>
      <c r="AS182" s="125">
        <v>160.00000000000006</v>
      </c>
      <c r="AT182" s="125">
        <v>160.00000000000006</v>
      </c>
      <c r="AU182" s="125">
        <v>148.58103181828565</v>
      </c>
      <c r="AV182" s="125">
        <v>113.19974192903072</v>
      </c>
      <c r="AW182" s="125">
        <v>170.66639900835511</v>
      </c>
      <c r="AX182" s="125">
        <v>202.65898373787968</v>
      </c>
      <c r="AY182" s="125">
        <v>117.34101626212041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190</v>
      </c>
      <c r="D185" s="124">
        <v>152.00000000000003</v>
      </c>
      <c r="E185" s="124">
        <v>152.00000000000003</v>
      </c>
      <c r="F185" s="124">
        <v>152.00000000000003</v>
      </c>
      <c r="G185" s="124">
        <v>152.00000000000003</v>
      </c>
      <c r="H185" s="124">
        <v>184</v>
      </c>
      <c r="I185" s="124">
        <v>146</v>
      </c>
      <c r="J185" s="124">
        <v>140</v>
      </c>
      <c r="K185" s="124">
        <v>115</v>
      </c>
      <c r="L185" s="124">
        <v>127</v>
      </c>
      <c r="M185" s="124">
        <v>140</v>
      </c>
      <c r="N185" s="124">
        <v>142</v>
      </c>
      <c r="O185" s="124">
        <v>146</v>
      </c>
      <c r="P185" s="124">
        <v>153</v>
      </c>
      <c r="Q185" s="124">
        <v>98</v>
      </c>
      <c r="R185" s="124">
        <v>130</v>
      </c>
      <c r="S185" s="124">
        <v>142</v>
      </c>
      <c r="T185" s="124">
        <v>162</v>
      </c>
      <c r="U185" s="124">
        <v>144</v>
      </c>
      <c r="V185" s="124">
        <v>175</v>
      </c>
      <c r="W185" s="124">
        <v>144</v>
      </c>
      <c r="X185" s="124">
        <v>126</v>
      </c>
      <c r="Y185" s="124">
        <v>152.00000000000003</v>
      </c>
      <c r="Z185" s="124">
        <v>152.00000000000003</v>
      </c>
      <c r="AA185" s="124">
        <v>75.912735544315566</v>
      </c>
      <c r="AB185" s="124">
        <v>172</v>
      </c>
      <c r="AC185" s="124">
        <v>190</v>
      </c>
      <c r="AD185" s="124">
        <v>76.367821649575234</v>
      </c>
      <c r="AE185" s="124">
        <v>184</v>
      </c>
      <c r="AF185" s="124">
        <v>157</v>
      </c>
      <c r="AG185" s="124">
        <v>190</v>
      </c>
      <c r="AH185" s="124">
        <v>174</v>
      </c>
      <c r="AI185" s="124">
        <v>156</v>
      </c>
      <c r="AJ185" s="124">
        <v>152.00000000000003</v>
      </c>
      <c r="AK185" s="124">
        <v>77.406886894152819</v>
      </c>
      <c r="AL185" s="124">
        <v>77.55236644918881</v>
      </c>
      <c r="AM185" s="124">
        <v>152.00000000000003</v>
      </c>
      <c r="AN185" s="124">
        <v>187</v>
      </c>
      <c r="AO185" s="124">
        <v>190</v>
      </c>
      <c r="AP185" s="124">
        <v>190</v>
      </c>
      <c r="AQ185" s="124">
        <v>190</v>
      </c>
      <c r="AR185" s="124">
        <v>190</v>
      </c>
      <c r="AS185" s="124">
        <v>190</v>
      </c>
      <c r="AT185" s="124">
        <v>190</v>
      </c>
      <c r="AU185" s="124">
        <v>190</v>
      </c>
      <c r="AV185" s="124">
        <v>190</v>
      </c>
      <c r="AW185" s="124">
        <v>189</v>
      </c>
      <c r="AX185" s="124">
        <v>190</v>
      </c>
      <c r="AY185" s="124">
        <v>190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0</v>
      </c>
      <c r="G186" s="106">
        <v>0</v>
      </c>
      <c r="H186" s="106">
        <v>0</v>
      </c>
      <c r="I186" s="106">
        <v>6</v>
      </c>
      <c r="J186" s="106">
        <v>44</v>
      </c>
      <c r="K186" s="106">
        <v>50</v>
      </c>
      <c r="L186" s="106">
        <v>75</v>
      </c>
      <c r="M186" s="106">
        <v>63</v>
      </c>
      <c r="N186" s="106">
        <v>50</v>
      </c>
      <c r="O186" s="106">
        <v>48</v>
      </c>
      <c r="P186" s="106">
        <v>44</v>
      </c>
      <c r="Q186" s="106">
        <v>37</v>
      </c>
      <c r="R186" s="106">
        <v>92</v>
      </c>
      <c r="S186" s="106">
        <v>60</v>
      </c>
      <c r="T186" s="106">
        <v>48</v>
      </c>
      <c r="U186" s="106">
        <v>28</v>
      </c>
      <c r="V186" s="106">
        <v>46</v>
      </c>
      <c r="W186" s="106">
        <v>15</v>
      </c>
      <c r="X186" s="106">
        <v>46</v>
      </c>
      <c r="Y186" s="106">
        <v>26.000000000000028</v>
      </c>
      <c r="Z186" s="106">
        <v>0</v>
      </c>
      <c r="AA186" s="106">
        <v>0</v>
      </c>
      <c r="AB186" s="106">
        <v>0</v>
      </c>
      <c r="AC186" s="106">
        <v>18</v>
      </c>
      <c r="AD186" s="106">
        <v>0</v>
      </c>
      <c r="AE186" s="106">
        <v>0</v>
      </c>
      <c r="AF186" s="106">
        <v>6</v>
      </c>
      <c r="AG186" s="106">
        <v>33</v>
      </c>
      <c r="AH186" s="106">
        <v>0</v>
      </c>
      <c r="AI186" s="106">
        <v>16</v>
      </c>
      <c r="AJ186" s="106">
        <v>34</v>
      </c>
      <c r="AK186" s="106">
        <v>0</v>
      </c>
      <c r="AL186" s="106">
        <v>0</v>
      </c>
      <c r="AM186" s="106">
        <v>0</v>
      </c>
      <c r="AN186" s="106">
        <v>0</v>
      </c>
      <c r="AO186" s="106">
        <v>3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0</v>
      </c>
      <c r="AX186" s="106">
        <v>1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169.99999999999986</v>
      </c>
      <c r="D189" s="124">
        <v>169.99999999999983</v>
      </c>
      <c r="E189" s="124">
        <v>11.333801735378641</v>
      </c>
      <c r="F189" s="124">
        <v>35.333801735377477</v>
      </c>
      <c r="G189" s="124">
        <v>59.333801735377449</v>
      </c>
      <c r="H189" s="124">
        <v>78.333801735377421</v>
      </c>
      <c r="I189" s="124">
        <v>106.33380173537739</v>
      </c>
      <c r="J189" s="124">
        <v>109.33380173537736</v>
      </c>
      <c r="K189" s="124">
        <v>56.669008676893185</v>
      </c>
      <c r="L189" s="124">
        <v>170.00000000000003</v>
      </c>
      <c r="M189" s="124">
        <v>56.669008676893185</v>
      </c>
      <c r="N189" s="124">
        <v>83.669008676893156</v>
      </c>
      <c r="O189" s="124">
        <v>102.66900867689313</v>
      </c>
      <c r="P189" s="124">
        <v>109.6690086768931</v>
      </c>
      <c r="Q189" s="124">
        <v>56.669008676893185</v>
      </c>
      <c r="R189" s="124">
        <v>111.66900867689316</v>
      </c>
      <c r="S189" s="124">
        <v>141.66900867689313</v>
      </c>
      <c r="T189" s="124">
        <v>170.00000000000003</v>
      </c>
      <c r="U189" s="124">
        <v>56.669008676893185</v>
      </c>
      <c r="V189" s="124">
        <v>51.669008676893156</v>
      </c>
      <c r="W189" s="124">
        <v>56.669008676893185</v>
      </c>
      <c r="X189" s="124">
        <v>63.669008676893156</v>
      </c>
      <c r="Y189" s="124">
        <v>56.669008676893185</v>
      </c>
      <c r="Z189" s="124">
        <v>99.669008676893156</v>
      </c>
      <c r="AA189" s="124">
        <v>136.00000000000003</v>
      </c>
      <c r="AB189" s="124">
        <v>136.00000000000003</v>
      </c>
      <c r="AC189" s="124">
        <v>67.921921276492881</v>
      </c>
      <c r="AD189" s="124">
        <v>147.33942255992233</v>
      </c>
      <c r="AE189" s="124">
        <v>56.669008676893185</v>
      </c>
      <c r="AF189" s="124">
        <v>62.669008676893156</v>
      </c>
      <c r="AG189" s="124">
        <v>170.00000000000003</v>
      </c>
      <c r="AH189" s="124">
        <v>170.00000000000003</v>
      </c>
      <c r="AI189" s="124">
        <v>124.67181908916504</v>
      </c>
      <c r="AJ189" s="124">
        <v>136.67181908916501</v>
      </c>
      <c r="AK189" s="124">
        <v>113.67181908916498</v>
      </c>
      <c r="AL189" s="124">
        <v>136.00000000000003</v>
      </c>
      <c r="AM189" s="124">
        <v>69.258793536873583</v>
      </c>
      <c r="AN189" s="124">
        <v>69.388959454537357</v>
      </c>
      <c r="AO189" s="124">
        <v>136.00000000000003</v>
      </c>
      <c r="AP189" s="124">
        <v>113.3380173537864</v>
      </c>
      <c r="AQ189" s="124">
        <v>124.67181908916504</v>
      </c>
      <c r="AR189" s="124">
        <v>162.67181908916501</v>
      </c>
      <c r="AS189" s="124">
        <v>167.67181908916498</v>
      </c>
      <c r="AT189" s="124">
        <v>170.00000000000003</v>
      </c>
      <c r="AU189" s="124">
        <v>170.00000000000003</v>
      </c>
      <c r="AV189" s="124">
        <v>113.3380173537864</v>
      </c>
      <c r="AW189" s="124">
        <v>124.67181908916504</v>
      </c>
      <c r="AX189" s="124">
        <v>127.67181908916501</v>
      </c>
      <c r="AY189" s="124">
        <v>124.67181908916504</v>
      </c>
    </row>
    <row r="190" spans="1:51">
      <c r="A190" s="109"/>
      <c r="B190" s="119">
        <v>2</v>
      </c>
      <c r="C190" s="106">
        <v>0</v>
      </c>
      <c r="D190" s="106">
        <v>0</v>
      </c>
      <c r="E190" s="106">
        <v>0</v>
      </c>
      <c r="F190" s="106">
        <v>158.66619826462252</v>
      </c>
      <c r="G190" s="106">
        <v>100.66619826462255</v>
      </c>
      <c r="H190" s="106">
        <v>76.666198264622579</v>
      </c>
      <c r="I190" s="106">
        <v>57.666198264622608</v>
      </c>
      <c r="J190" s="106">
        <v>29.666198264622636</v>
      </c>
      <c r="K190" s="106">
        <v>60.666198264622665</v>
      </c>
      <c r="L190" s="106">
        <v>0</v>
      </c>
      <c r="M190" s="106">
        <v>0</v>
      </c>
      <c r="N190" s="106">
        <v>113.33099132310684</v>
      </c>
      <c r="O190" s="106">
        <v>86.330991323106872</v>
      </c>
      <c r="P190" s="106">
        <v>67.3309913231069</v>
      </c>
      <c r="Q190" s="106">
        <v>60.330991323106929</v>
      </c>
      <c r="R190" s="106">
        <v>113.33099132310684</v>
      </c>
      <c r="S190" s="106">
        <v>58.330991323106872</v>
      </c>
      <c r="T190" s="106">
        <v>28.3309913231069</v>
      </c>
      <c r="U190" s="106">
        <v>0</v>
      </c>
      <c r="V190" s="106">
        <v>113.33099132310684</v>
      </c>
      <c r="W190" s="106">
        <v>118.33099132310687</v>
      </c>
      <c r="X190" s="106">
        <v>113.33099132310684</v>
      </c>
      <c r="Y190" s="106">
        <v>106.33099132310687</v>
      </c>
      <c r="Z190" s="106">
        <v>113.33099132310684</v>
      </c>
      <c r="AA190" s="106">
        <v>36.330991323106872</v>
      </c>
      <c r="AB190" s="106">
        <v>0</v>
      </c>
      <c r="AC190" s="106">
        <v>0</v>
      </c>
      <c r="AD190" s="106">
        <v>0</v>
      </c>
      <c r="AE190" s="106">
        <v>22.660577440077702</v>
      </c>
      <c r="AF190" s="106">
        <v>113.33099132310684</v>
      </c>
      <c r="AG190" s="106">
        <v>5.6600949043057369</v>
      </c>
      <c r="AH190" s="106">
        <v>0</v>
      </c>
      <c r="AI190" s="106">
        <v>0</v>
      </c>
      <c r="AJ190" s="106">
        <v>45.328180910834988</v>
      </c>
      <c r="AK190" s="106">
        <v>33.328180910835016</v>
      </c>
      <c r="AL190" s="106">
        <v>56.328180910835044</v>
      </c>
      <c r="AM190" s="106">
        <v>0</v>
      </c>
      <c r="AN190" s="106">
        <v>0</v>
      </c>
      <c r="AO190" s="106">
        <v>0</v>
      </c>
      <c r="AP190" s="106">
        <v>0</v>
      </c>
      <c r="AQ190" s="106">
        <v>56.66198264621363</v>
      </c>
      <c r="AR190" s="106">
        <v>45.328180910834988</v>
      </c>
      <c r="AS190" s="106">
        <v>7.328180910835016</v>
      </c>
      <c r="AT190" s="106">
        <v>2.3281809108350444</v>
      </c>
      <c r="AU190" s="106">
        <v>0</v>
      </c>
      <c r="AV190" s="106">
        <v>0</v>
      </c>
      <c r="AW190" s="106">
        <v>56.66198264621363</v>
      </c>
      <c r="AX190" s="106">
        <v>45.328180910834988</v>
      </c>
      <c r="AY190" s="106">
        <v>42.328180910835016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113.33099132310684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119.99999999999993</v>
      </c>
      <c r="D197" s="106">
        <v>119.99999999999991</v>
      </c>
      <c r="E197" s="106">
        <v>104.33632528800914</v>
      </c>
      <c r="F197" s="106">
        <v>11.064311708653387</v>
      </c>
      <c r="G197" s="106">
        <v>102</v>
      </c>
      <c r="H197" s="106">
        <v>67.00617555839429</v>
      </c>
      <c r="I197" s="106">
        <v>39.183341512608479</v>
      </c>
      <c r="J197" s="106">
        <v>89.140127982341511</v>
      </c>
      <c r="K197" s="106">
        <v>120.00000000000004</v>
      </c>
      <c r="L197" s="106">
        <v>50.292680944706838</v>
      </c>
      <c r="M197" s="106">
        <v>120.00000000000004</v>
      </c>
      <c r="N197" s="106">
        <v>120.00000000000004</v>
      </c>
      <c r="O197" s="106">
        <v>131</v>
      </c>
      <c r="P197" s="106">
        <v>36.00696665899244</v>
      </c>
      <c r="Q197" s="106">
        <v>0</v>
      </c>
      <c r="R197" s="106">
        <v>0</v>
      </c>
      <c r="S197" s="106">
        <v>73.570190681853006</v>
      </c>
      <c r="T197" s="106">
        <v>26.836954912892651</v>
      </c>
      <c r="U197" s="106">
        <v>0</v>
      </c>
      <c r="V197" s="106">
        <v>13.062781391920026</v>
      </c>
      <c r="W197" s="106">
        <v>103.41815738580104</v>
      </c>
      <c r="X197" s="106">
        <v>48.419763335670638</v>
      </c>
      <c r="Y197" s="106">
        <v>156.90494828509077</v>
      </c>
      <c r="Z197" s="106">
        <v>76.286402549944171</v>
      </c>
      <c r="AA197" s="106">
        <v>161.42141239894539</v>
      </c>
      <c r="AB197" s="106">
        <v>102.24127495179806</v>
      </c>
      <c r="AC197" s="106">
        <v>96.001594075532225</v>
      </c>
      <c r="AD197" s="106">
        <v>47.949671494220496</v>
      </c>
      <c r="AE197" s="106">
        <v>104.0053607091229</v>
      </c>
      <c r="AF197" s="106">
        <v>56.001605949869656</v>
      </c>
      <c r="AG197" s="106">
        <v>128.23010854798082</v>
      </c>
      <c r="AH197" s="106">
        <v>120.00000000000004</v>
      </c>
      <c r="AI197" s="106">
        <v>120.00000000000004</v>
      </c>
      <c r="AJ197" s="106">
        <v>88.005762196590311</v>
      </c>
      <c r="AK197" s="106">
        <v>107</v>
      </c>
      <c r="AL197" s="106">
        <v>91.00576219659024</v>
      </c>
      <c r="AM197" s="106">
        <v>114.65276394709601</v>
      </c>
      <c r="AN197" s="106">
        <v>48.893283352272761</v>
      </c>
      <c r="AO197" s="106">
        <v>48.985159073732362</v>
      </c>
      <c r="AP197" s="106">
        <v>96.001594075532225</v>
      </c>
      <c r="AQ197" s="106">
        <v>80.005962940324011</v>
      </c>
      <c r="AR197" s="106">
        <v>127.99979925626634</v>
      </c>
      <c r="AS197" s="106">
        <v>139</v>
      </c>
      <c r="AT197" s="106">
        <v>102.69631870249079</v>
      </c>
      <c r="AU197" s="106">
        <v>120.00000000000003</v>
      </c>
      <c r="AV197" s="106">
        <v>120.00000000000004</v>
      </c>
      <c r="AW197" s="106">
        <v>84.899806446773042</v>
      </c>
      <c r="AX197" s="106">
        <v>113</v>
      </c>
      <c r="AY197" s="106">
        <v>102.63369911349575</v>
      </c>
    </row>
    <row r="198" spans="1:51">
      <c r="A198" s="109"/>
      <c r="B198" s="119">
        <v>2</v>
      </c>
      <c r="C198" s="106">
        <v>15.055179183535017</v>
      </c>
      <c r="D198" s="106">
        <v>0</v>
      </c>
      <c r="E198" s="106">
        <v>0</v>
      </c>
      <c r="F198" s="106">
        <v>0</v>
      </c>
      <c r="G198" s="106">
        <v>0</v>
      </c>
      <c r="H198" s="106">
        <v>105.99382444160571</v>
      </c>
      <c r="I198" s="106">
        <v>66.816658487391521</v>
      </c>
      <c r="J198" s="106">
        <v>66.859872017658489</v>
      </c>
      <c r="K198" s="106">
        <v>6.8614660931907139</v>
      </c>
      <c r="L198" s="106">
        <v>0</v>
      </c>
      <c r="M198" s="106">
        <v>0</v>
      </c>
      <c r="N198" s="106">
        <v>0</v>
      </c>
      <c r="O198" s="106">
        <v>0</v>
      </c>
      <c r="P198" s="106">
        <v>68.99303334100756</v>
      </c>
      <c r="Q198" s="106">
        <v>133.03607594936707</v>
      </c>
      <c r="R198" s="106">
        <v>122.49650090827154</v>
      </c>
      <c r="S198" s="106">
        <v>65.61400068351108</v>
      </c>
      <c r="T198" s="106">
        <v>110.42820336827739</v>
      </c>
      <c r="U198" s="106">
        <v>124.21596043011476</v>
      </c>
      <c r="V198" s="106">
        <v>133.99641234584999</v>
      </c>
      <c r="W198" s="106">
        <v>45.114210201342473</v>
      </c>
      <c r="X198" s="106">
        <v>80.580236664329362</v>
      </c>
      <c r="Y198" s="106">
        <v>30.009496357130672</v>
      </c>
      <c r="Z198" s="106">
        <v>27.093445765039633</v>
      </c>
      <c r="AA198" s="106">
        <v>0</v>
      </c>
      <c r="AB198" s="106">
        <v>14.57321501759435</v>
      </c>
      <c r="AC198" s="106">
        <v>0</v>
      </c>
      <c r="AD198" s="106">
        <v>0</v>
      </c>
      <c r="AE198" s="106">
        <v>0</v>
      </c>
      <c r="AF198" s="106">
        <v>0</v>
      </c>
      <c r="AG198" s="106">
        <v>0</v>
      </c>
      <c r="AH198" s="106">
        <v>0</v>
      </c>
      <c r="AI198" s="106">
        <v>0</v>
      </c>
      <c r="AJ198" s="106">
        <v>0</v>
      </c>
      <c r="AK198" s="106">
        <v>0</v>
      </c>
      <c r="AL198" s="106">
        <v>44.99423780340976</v>
      </c>
      <c r="AM198" s="106">
        <v>7.045938065747734</v>
      </c>
      <c r="AN198" s="106">
        <v>13.343067931845951</v>
      </c>
      <c r="AO198" s="106">
        <v>0</v>
      </c>
      <c r="AP198" s="106">
        <v>0</v>
      </c>
      <c r="AQ198" s="106">
        <v>0</v>
      </c>
      <c r="AR198" s="106">
        <v>0</v>
      </c>
      <c r="AS198" s="106">
        <v>0</v>
      </c>
      <c r="AT198" s="106">
        <v>12.99423780340976</v>
      </c>
      <c r="AU198" s="106">
        <v>17.303681297509257</v>
      </c>
      <c r="AV198" s="106">
        <v>1.4210854715202004E-14</v>
      </c>
      <c r="AW198" s="106">
        <v>0</v>
      </c>
      <c r="AX198" s="106">
        <v>0</v>
      </c>
      <c r="AY198" s="106">
        <v>14.999799256266343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3.5034990917284574</v>
      </c>
      <c r="S199" s="106">
        <v>19.815808634635914</v>
      </c>
      <c r="T199" s="106">
        <v>0</v>
      </c>
      <c r="U199" s="106">
        <v>0</v>
      </c>
      <c r="V199" s="106">
        <v>9.9408062622299838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123.45154821266121</v>
      </c>
      <c r="D209" s="124">
        <v>131.98316887631808</v>
      </c>
      <c r="E209" s="124">
        <v>10.67702617856979</v>
      </c>
      <c r="F209" s="124">
        <v>39.752565503451251</v>
      </c>
      <c r="G209" s="124">
        <v>104.57168003966189</v>
      </c>
      <c r="H209" s="124">
        <v>128.00212543404297</v>
      </c>
      <c r="I209" s="124">
        <v>128.00212543404297</v>
      </c>
      <c r="J209" s="124">
        <v>136</v>
      </c>
      <c r="K209" s="124">
        <v>53.34262221199004</v>
      </c>
      <c r="L209" s="124">
        <v>160.00000000000006</v>
      </c>
      <c r="M209" s="124">
        <v>53.34262221199004</v>
      </c>
      <c r="N209" s="124">
        <v>37.391402699794853</v>
      </c>
      <c r="O209" s="124">
        <v>107.93794439988274</v>
      </c>
      <c r="P209" s="124">
        <v>100.25025394279011</v>
      </c>
      <c r="Q209" s="124">
        <v>53.34262221199004</v>
      </c>
      <c r="R209" s="124">
        <v>80.34262221198999</v>
      </c>
      <c r="S209" s="124">
        <v>127.34170452635018</v>
      </c>
      <c r="T209" s="124">
        <v>117.60327515337012</v>
      </c>
      <c r="U209" s="124">
        <v>53.342622211990033</v>
      </c>
      <c r="V209" s="124">
        <v>86.34262221198999</v>
      </c>
      <c r="W209" s="124">
        <v>53.34262221199004</v>
      </c>
      <c r="X209" s="124">
        <v>91.34262221198999</v>
      </c>
      <c r="Y209" s="124">
        <v>53.342622211990033</v>
      </c>
      <c r="Z209" s="124">
        <v>113.44287005608935</v>
      </c>
      <c r="AA209" s="124">
        <v>128.00212543404297</v>
      </c>
      <c r="AB209" s="124">
        <v>128.00212543404297</v>
      </c>
      <c r="AC209" s="124">
        <v>63.932895325627335</v>
      </c>
      <c r="AD209" s="124">
        <v>138.67381427883052</v>
      </c>
      <c r="AE209" s="124">
        <v>53.342622211990033</v>
      </c>
      <c r="AF209" s="124">
        <v>64.316100275964402</v>
      </c>
      <c r="AG209" s="124">
        <v>160.00000000000006</v>
      </c>
      <c r="AH209" s="124">
        <v>160.00000000000006</v>
      </c>
      <c r="AI209" s="124">
        <v>117.34101626212041</v>
      </c>
      <c r="AJ209" s="124">
        <v>136.55947784658883</v>
      </c>
      <c r="AK209" s="124">
        <v>117.34101626212041</v>
      </c>
      <c r="AL209" s="124">
        <v>128.00212543404297</v>
      </c>
      <c r="AM209" s="124">
        <v>65.191044469697019</v>
      </c>
      <c r="AN209" s="124">
        <v>65.313545431643149</v>
      </c>
      <c r="AO209" s="124">
        <v>128.00212543404297</v>
      </c>
      <c r="AP209" s="124">
        <v>106.67461725376535</v>
      </c>
      <c r="AQ209" s="124">
        <v>117.34101626212041</v>
      </c>
      <c r="AR209" s="124">
        <v>160.00000000000006</v>
      </c>
      <c r="AS209" s="124">
        <v>160.00000000000006</v>
      </c>
      <c r="AT209" s="124">
        <v>160.00000000000006</v>
      </c>
      <c r="AU209" s="124">
        <v>148.58103181828565</v>
      </c>
      <c r="AV209" s="124">
        <v>106.67461725376535</v>
      </c>
      <c r="AW209" s="124">
        <v>117.34101626212041</v>
      </c>
      <c r="AX209" s="124">
        <v>160.00000000000006</v>
      </c>
      <c r="AY209" s="124">
        <v>117.34101626212041</v>
      </c>
    </row>
    <row r="210" spans="1:51">
      <c r="A210" s="109"/>
      <c r="B210" s="119">
        <v>2</v>
      </c>
      <c r="C210" s="106">
        <v>0</v>
      </c>
      <c r="D210" s="110">
        <v>0</v>
      </c>
      <c r="E210" s="110">
        <v>4.07538943296806</v>
      </c>
      <c r="F210" s="110">
        <v>149.32297382143133</v>
      </c>
      <c r="G210" s="110">
        <v>50.428319960338122</v>
      </c>
      <c r="H210" s="110">
        <v>13.388825939646331</v>
      </c>
      <c r="I210" s="110">
        <v>0</v>
      </c>
      <c r="J210" s="110">
        <v>0</v>
      </c>
      <c r="K210" s="110">
        <v>13.714285714285745</v>
      </c>
      <c r="L210" s="110">
        <v>0</v>
      </c>
      <c r="M210" s="110">
        <v>0</v>
      </c>
      <c r="N210" s="110">
        <v>106.65737778801001</v>
      </c>
      <c r="O210" s="110">
        <v>70.062055600117262</v>
      </c>
      <c r="P210" s="110">
        <v>29.749746057209894</v>
      </c>
      <c r="Q210" s="110">
        <v>34.142712032691399</v>
      </c>
      <c r="R210" s="110">
        <v>106.65737778801001</v>
      </c>
      <c r="S210" s="110">
        <v>54.658295473649808</v>
      </c>
      <c r="T210" s="110">
        <v>18.661883127799925</v>
      </c>
      <c r="U210" s="110">
        <v>24.226699912359962</v>
      </c>
      <c r="V210" s="110">
        <v>106.65737778801001</v>
      </c>
      <c r="W210" s="110">
        <v>51.229724045078378</v>
      </c>
      <c r="X210" s="110">
        <v>106.65737778801001</v>
      </c>
      <c r="Y210" s="110">
        <v>48.372581187935523</v>
      </c>
      <c r="Z210" s="110">
        <v>106.65737778801001</v>
      </c>
      <c r="AA210" s="110">
        <v>8.3195745016877822</v>
      </c>
      <c r="AB210" s="110">
        <v>0</v>
      </c>
      <c r="AC210" s="110">
        <v>0</v>
      </c>
      <c r="AD210" s="110">
        <v>0</v>
      </c>
      <c r="AE210" s="110">
        <v>21.326185721169509</v>
      </c>
      <c r="AF210" s="110">
        <v>106.65737778801001</v>
      </c>
      <c r="AG210" s="110">
        <v>0</v>
      </c>
      <c r="AH210" s="110">
        <v>0</v>
      </c>
      <c r="AI210" s="110">
        <v>0</v>
      </c>
      <c r="AJ210" s="110">
        <v>42.65898373787963</v>
      </c>
      <c r="AK210" s="110">
        <v>13.394584087663555</v>
      </c>
      <c r="AL210" s="110">
        <v>42.65898373787963</v>
      </c>
      <c r="AM210" s="110">
        <v>0</v>
      </c>
      <c r="AN210" s="110">
        <v>0</v>
      </c>
      <c r="AO210" s="110">
        <v>0</v>
      </c>
      <c r="AP210" s="110">
        <v>0</v>
      </c>
      <c r="AQ210" s="110">
        <v>53.325382746234688</v>
      </c>
      <c r="AR210" s="110">
        <v>42.65898373787963</v>
      </c>
      <c r="AS210" s="110">
        <v>0</v>
      </c>
      <c r="AT210" s="110">
        <v>0</v>
      </c>
      <c r="AU210" s="110">
        <v>0</v>
      </c>
      <c r="AV210" s="110">
        <v>6.5251246752653742</v>
      </c>
      <c r="AW210" s="110">
        <v>53.325382746234688</v>
      </c>
      <c r="AX210" s="110">
        <v>42.65898373787963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106.65737778801001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67818.611437205938</v>
      </c>
      <c r="E259" s="124">
        <f t="shared" ref="E259:AX259" si="5">F$14*$B$259</f>
        <v>7191.8026106247016</v>
      </c>
      <c r="F259" s="124">
        <f t="shared" si="5"/>
        <v>135195.9858870437</v>
      </c>
      <c r="G259" s="124">
        <f t="shared" si="5"/>
        <v>86984.842129760771</v>
      </c>
      <c r="H259" s="124">
        <f t="shared" si="5"/>
        <v>68928.088794673531</v>
      </c>
      <c r="I259" s="124">
        <f t="shared" si="5"/>
        <v>62401.036149095948</v>
      </c>
      <c r="J259" s="124">
        <f t="shared" si="5"/>
        <v>78000.000000000029</v>
      </c>
      <c r="K259" s="124">
        <f t="shared" si="5"/>
        <v>32690.242614059443</v>
      </c>
      <c r="L259" s="124">
        <f t="shared" si="5"/>
        <v>78000.000000000029</v>
      </c>
      <c r="M259" s="124">
        <f t="shared" si="5"/>
        <v>78000.000000000029</v>
      </c>
      <c r="N259" s="124">
        <f t="shared" si="5"/>
        <v>129995.47167165492</v>
      </c>
      <c r="O259" s="124">
        <f t="shared" si="5"/>
        <v>112155.25210505718</v>
      </c>
      <c r="P259" s="124">
        <f t="shared" si="5"/>
        <v>92503.001202889849</v>
      </c>
      <c r="Q259" s="124">
        <f t="shared" si="5"/>
        <v>42649.100444282201</v>
      </c>
      <c r="R259" s="124">
        <f t="shared" si="5"/>
        <v>119598.95613258476</v>
      </c>
      <c r="S259" s="124">
        <f t="shared" si="5"/>
        <v>104645.91904340431</v>
      </c>
      <c r="T259" s="124">
        <f t="shared" si="5"/>
        <v>87097.668024802493</v>
      </c>
      <c r="U259" s="124">
        <f t="shared" si="5"/>
        <v>37815.044535620626</v>
      </c>
      <c r="V259" s="124">
        <f t="shared" si="5"/>
        <v>119598.95613258476</v>
      </c>
      <c r="W259" s="124">
        <f t="shared" si="5"/>
        <v>50979.018800320853</v>
      </c>
      <c r="X259" s="124">
        <f t="shared" si="5"/>
        <v>119598.95613258476</v>
      </c>
      <c r="Y259" s="124">
        <f t="shared" si="5"/>
        <v>49586.161657463708</v>
      </c>
      <c r="Z259" s="124">
        <f t="shared" si="5"/>
        <v>114396.50782075083</v>
      </c>
      <c r="AA259" s="124">
        <f t="shared" si="5"/>
        <v>66456.828718668738</v>
      </c>
      <c r="AB259" s="124">
        <f t="shared" si="5"/>
        <v>62401.036149095948</v>
      </c>
      <c r="AC259" s="124">
        <f t="shared" si="5"/>
        <v>31167.286471243322</v>
      </c>
      <c r="AD259" s="124">
        <f t="shared" si="5"/>
        <v>67603.484460929889</v>
      </c>
      <c r="AE259" s="124">
        <f t="shared" si="5"/>
        <v>36401.043867415276</v>
      </c>
      <c r="AF259" s="124">
        <f t="shared" si="5"/>
        <v>83349.570556187537</v>
      </c>
      <c r="AG259" s="124">
        <f t="shared" si="5"/>
        <v>78000.000000000029</v>
      </c>
      <c r="AH259" s="124">
        <f t="shared" si="5"/>
        <v>78000.000000000029</v>
      </c>
      <c r="AI259" s="124">
        <f t="shared" si="5"/>
        <v>57203.745427783702</v>
      </c>
      <c r="AJ259" s="124">
        <f t="shared" si="5"/>
        <v>98796.254572216349</v>
      </c>
      <c r="AK259" s="124">
        <f t="shared" si="5"/>
        <v>63733.605170519681</v>
      </c>
      <c r="AL259" s="124">
        <f t="shared" si="5"/>
        <v>83197.290721312267</v>
      </c>
      <c r="AM259" s="124">
        <f t="shared" si="5"/>
        <v>31780.634178977296</v>
      </c>
      <c r="AN259" s="124">
        <f t="shared" si="5"/>
        <v>31840.353397926036</v>
      </c>
      <c r="AO259" s="124">
        <f t="shared" si="5"/>
        <v>62401.036149095948</v>
      </c>
      <c r="AP259" s="124">
        <f t="shared" si="5"/>
        <v>52003.875911210605</v>
      </c>
      <c r="AQ259" s="124">
        <f t="shared" si="5"/>
        <v>83199.869516573119</v>
      </c>
      <c r="AR259" s="124">
        <f t="shared" si="5"/>
        <v>98796.254572216349</v>
      </c>
      <c r="AS259" s="124">
        <f t="shared" si="5"/>
        <v>78000.000000000029</v>
      </c>
      <c r="AT259" s="124">
        <f t="shared" si="5"/>
        <v>78000.000000000029</v>
      </c>
      <c r="AU259" s="124">
        <f t="shared" si="5"/>
        <v>78000.000000000029</v>
      </c>
      <c r="AV259" s="124">
        <f t="shared" si="5"/>
        <v>55184.874190402479</v>
      </c>
      <c r="AW259" s="124">
        <f t="shared" si="5"/>
        <v>83199.869516573119</v>
      </c>
      <c r="AX259" s="124">
        <f t="shared" si="5"/>
        <v>98796.254572216349</v>
      </c>
      <c r="AY259" s="124">
        <f>AZ$14*$B$259</f>
        <v>57203.745427783702</v>
      </c>
      <c r="AZ259" s="139">
        <f>SUM($D259:$AY259)</f>
        <v>3570547.5368748126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427.91589046164631</v>
      </c>
      <c r="E260" s="125">
        <f t="shared" ref="E260:AY260" si="6">(E$175-E$176+E$177-E$178+E$179-E$180+E$181-E$182)*$B$260</f>
        <v>0</v>
      </c>
      <c r="F260" s="125">
        <f t="shared" si="6"/>
        <v>11334.945491712857</v>
      </c>
      <c r="G260" s="125">
        <f t="shared" si="6"/>
        <v>12365.428086036562</v>
      </c>
      <c r="H260" s="125">
        <f t="shared" si="6"/>
        <v>7828.9714051208475</v>
      </c>
      <c r="I260" s="125">
        <f t="shared" si="6"/>
        <v>8431.5642169368675</v>
      </c>
      <c r="J260" s="125">
        <f t="shared" si="6"/>
        <v>8491.6598614688046</v>
      </c>
      <c r="K260" s="125">
        <f t="shared" si="6"/>
        <v>4500</v>
      </c>
      <c r="L260" s="125">
        <f t="shared" si="6"/>
        <v>3780</v>
      </c>
      <c r="M260" s="125">
        <f t="shared" si="6"/>
        <v>3000</v>
      </c>
      <c r="N260" s="125">
        <f t="shared" si="6"/>
        <v>15416.375317398728</v>
      </c>
      <c r="O260" s="125">
        <f t="shared" si="6"/>
        <v>13943.164815853905</v>
      </c>
      <c r="P260" s="125">
        <f t="shared" si="6"/>
        <v>17617.218745284743</v>
      </c>
      <c r="Q260" s="125">
        <f t="shared" si="6"/>
        <v>14268.948518078156</v>
      </c>
      <c r="R260" s="125">
        <f t="shared" si="6"/>
        <v>14365.884916081004</v>
      </c>
      <c r="S260" s="125">
        <f t="shared" si="6"/>
        <v>13165.049409902054</v>
      </c>
      <c r="T260" s="125">
        <f t="shared" si="6"/>
        <v>12273.209492338481</v>
      </c>
      <c r="U260" s="125">
        <f t="shared" si="6"/>
        <v>11396.233116484796</v>
      </c>
      <c r="V260" s="125">
        <f t="shared" si="6"/>
        <v>12486.948969072728</v>
      </c>
      <c r="W260" s="125">
        <f t="shared" si="6"/>
        <v>7594.8141998597612</v>
      </c>
      <c r="X260" s="125">
        <f t="shared" si="6"/>
        <v>11220.66613842002</v>
      </c>
      <c r="Y260" s="125">
        <f t="shared" si="6"/>
        <v>1625.606745902377</v>
      </c>
      <c r="Z260" s="125">
        <f t="shared" si="6"/>
        <v>3053.4148020636321</v>
      </c>
      <c r="AA260" s="125">
        <f t="shared" si="6"/>
        <v>874.39290105566101</v>
      </c>
      <c r="AB260" s="125">
        <f t="shared" si="6"/>
        <v>1080</v>
      </c>
      <c r="AC260" s="125">
        <f t="shared" si="6"/>
        <v>0</v>
      </c>
      <c r="AD260" s="125">
        <f t="shared" si="6"/>
        <v>0</v>
      </c>
      <c r="AE260" s="125">
        <f t="shared" si="6"/>
        <v>360</v>
      </c>
      <c r="AF260" s="125">
        <f t="shared" si="6"/>
        <v>2319.6056942583441</v>
      </c>
      <c r="AG260" s="125">
        <f t="shared" si="6"/>
        <v>0</v>
      </c>
      <c r="AH260" s="125">
        <f t="shared" si="6"/>
        <v>960</v>
      </c>
      <c r="AI260" s="125">
        <f t="shared" si="6"/>
        <v>2040.0000000000018</v>
      </c>
      <c r="AJ260" s="125">
        <f t="shared" si="6"/>
        <v>3406.1221838547744</v>
      </c>
      <c r="AK260" s="125">
        <f t="shared" si="6"/>
        <v>3359.6542682045892</v>
      </c>
      <c r="AL260" s="125">
        <f t="shared" si="6"/>
        <v>422.75628394486489</v>
      </c>
      <c r="AM260" s="125">
        <f t="shared" si="6"/>
        <v>800.58407591075706</v>
      </c>
      <c r="AN260" s="125">
        <f t="shared" si="6"/>
        <v>180</v>
      </c>
      <c r="AO260" s="125">
        <f t="shared" si="6"/>
        <v>0</v>
      </c>
      <c r="AP260" s="125">
        <f t="shared" si="6"/>
        <v>0</v>
      </c>
      <c r="AQ260" s="125">
        <f t="shared" si="6"/>
        <v>0</v>
      </c>
      <c r="AR260" s="125">
        <f t="shared" si="6"/>
        <v>439.69085465010266</v>
      </c>
      <c r="AS260" s="125">
        <f t="shared" si="6"/>
        <v>919.34512285468827</v>
      </c>
      <c r="AT260" s="125">
        <f t="shared" si="6"/>
        <v>1038.2208778505571</v>
      </c>
      <c r="AU260" s="125">
        <f t="shared" si="6"/>
        <v>685.13809090286429</v>
      </c>
      <c r="AV260" s="125">
        <f t="shared" si="6"/>
        <v>0</v>
      </c>
      <c r="AW260" s="125">
        <f t="shared" si="6"/>
        <v>60</v>
      </c>
      <c r="AX260" s="125">
        <f t="shared" si="6"/>
        <v>3439.6788100260824</v>
      </c>
      <c r="AY260" s="125">
        <f t="shared" si="6"/>
        <v>2961.6323213948399</v>
      </c>
      <c r="AZ260" s="141">
        <f>SUM($D260:$AY260)</f>
        <v>233934.84162338611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59</v>
      </c>
    </row>
    <row r="3" spans="1:53">
      <c r="A3" s="100" t="s">
        <v>286</v>
      </c>
      <c r="B3" s="108">
        <v>5000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1053.3294308751972</v>
      </c>
      <c r="E9" s="117">
        <v>1053.3294308751972</v>
      </c>
      <c r="F9" s="117">
        <v>1053.3294308751972</v>
      </c>
      <c r="G9" s="117">
        <v>1053.3294308751972</v>
      </c>
      <c r="H9" s="117">
        <v>1263.9891414947294</v>
      </c>
      <c r="I9" s="117">
        <v>1263.9891414947294</v>
      </c>
      <c r="J9" s="117">
        <v>1263.9891414947294</v>
      </c>
      <c r="K9" s="117">
        <v>1263.9891414947294</v>
      </c>
      <c r="L9" s="117">
        <v>1263.9891414947294</v>
      </c>
      <c r="M9" s="117">
        <v>1263.9891414947294</v>
      </c>
      <c r="N9" s="117">
        <v>1263.9891414947294</v>
      </c>
      <c r="O9" s="117">
        <v>1263.9891414947294</v>
      </c>
      <c r="P9" s="117">
        <v>3.0877777535121838E-2</v>
      </c>
      <c r="Q9" s="117">
        <v>3.0877777535121838E-2</v>
      </c>
      <c r="R9" s="117">
        <v>3.0877777535121838E-2</v>
      </c>
      <c r="S9" s="117">
        <v>3.0877777535121838E-2</v>
      </c>
      <c r="T9" s="117">
        <v>1053.3294308751972</v>
      </c>
      <c r="U9" s="117">
        <v>1053.3294308751972</v>
      </c>
      <c r="V9" s="117">
        <v>1053.3294308751972</v>
      </c>
      <c r="W9" s="117">
        <v>1053.3294308751972</v>
      </c>
      <c r="X9" s="117">
        <v>1053.3294308751972</v>
      </c>
      <c r="Y9" s="117">
        <v>1053.3294308751972</v>
      </c>
      <c r="Z9" s="117">
        <v>1053.3294308751972</v>
      </c>
      <c r="AA9" s="117">
        <v>1053.3294308751972</v>
      </c>
      <c r="AB9" s="117">
        <v>1053.3294308751972</v>
      </c>
      <c r="AC9" s="117">
        <v>1053.3294308751972</v>
      </c>
      <c r="AD9" s="117">
        <v>1053.3294308751972</v>
      </c>
      <c r="AE9" s="117">
        <v>1053.3294308751972</v>
      </c>
      <c r="AF9" s="117">
        <v>1053.3294308751972</v>
      </c>
      <c r="AG9" s="117">
        <v>1053.3294308751972</v>
      </c>
      <c r="AH9" s="117">
        <v>1053.3294308751972</v>
      </c>
      <c r="AI9" s="117">
        <v>1053.3294308751972</v>
      </c>
      <c r="AJ9" s="117">
        <v>1053.3294308751972</v>
      </c>
      <c r="AK9" s="117">
        <v>1053.3294308751972</v>
      </c>
      <c r="AL9" s="117">
        <v>1053.3294308751972</v>
      </c>
      <c r="AM9" s="117">
        <v>1053.3294308751972</v>
      </c>
      <c r="AN9" s="117">
        <v>1053.3294308751972</v>
      </c>
      <c r="AO9" s="117">
        <v>1053.3294308751972</v>
      </c>
      <c r="AP9" s="117">
        <v>1053.3294308751972</v>
      </c>
      <c r="AQ9" s="117">
        <v>1053.3294308751972</v>
      </c>
      <c r="AR9" s="117">
        <v>1053.3294308751972</v>
      </c>
      <c r="AS9" s="117">
        <v>1053.3294308751972</v>
      </c>
      <c r="AT9" s="117">
        <v>1053.3294308751972</v>
      </c>
      <c r="AU9" s="117">
        <v>1053.3294308751972</v>
      </c>
      <c r="AV9" s="117">
        <v>1053.3294308751972</v>
      </c>
      <c r="AW9" s="117">
        <v>1053.3294308751972</v>
      </c>
      <c r="AX9" s="117">
        <v>1053.3294308751972</v>
      </c>
      <c r="AY9" s="117">
        <v>1053.3294308751972</v>
      </c>
    </row>
    <row r="10" spans="1:53">
      <c r="A10" s="118" t="s">
        <v>133</v>
      </c>
      <c r="B10" s="119">
        <v>1</v>
      </c>
      <c r="C10" s="106" t="s">
        <v>293</v>
      </c>
      <c r="D10" s="100">
        <v>606.14658213676955</v>
      </c>
      <c r="E10" s="100">
        <v>592.45441496764442</v>
      </c>
      <c r="F10" s="100">
        <v>605.60996451915514</v>
      </c>
      <c r="G10" s="100">
        <v>0</v>
      </c>
      <c r="H10" s="100">
        <v>1211.2199290383103</v>
      </c>
      <c r="I10" s="100">
        <v>605.60996451915514</v>
      </c>
      <c r="J10" s="100">
        <v>726.72840679785236</v>
      </c>
      <c r="K10" s="100">
        <v>726.72840679785236</v>
      </c>
      <c r="L10" s="100">
        <v>190.61622473293636</v>
      </c>
      <c r="M10" s="100">
        <v>726.72840679785236</v>
      </c>
      <c r="N10" s="100">
        <v>726.72840679785236</v>
      </c>
      <c r="O10" s="100">
        <v>0</v>
      </c>
      <c r="P10" s="100">
        <v>190.61622473293636</v>
      </c>
      <c r="Q10" s="100">
        <v>726.72840679785236</v>
      </c>
      <c r="R10" s="100">
        <v>1.7753125669277104E-2</v>
      </c>
      <c r="S10" s="100">
        <v>1.7753125669277104E-2</v>
      </c>
      <c r="T10" s="100">
        <v>1.7753125669277104E-2</v>
      </c>
      <c r="U10" s="100">
        <v>1.7753125669277104E-2</v>
      </c>
      <c r="V10" s="100">
        <v>165.20072810187813</v>
      </c>
      <c r="W10" s="100">
        <v>605.60996451915514</v>
      </c>
      <c r="X10" s="100">
        <v>605.60996451915514</v>
      </c>
      <c r="Y10" s="100">
        <v>605.60996451915514</v>
      </c>
      <c r="Z10" s="100">
        <v>165.20072810187813</v>
      </c>
      <c r="AA10" s="100">
        <v>605.60996451915514</v>
      </c>
      <c r="AB10" s="100">
        <v>605.60996451915514</v>
      </c>
      <c r="AC10" s="100">
        <v>25.415496631058183</v>
      </c>
      <c r="AD10" s="100">
        <v>165.20072810187813</v>
      </c>
      <c r="AE10" s="100">
        <v>605.60996451915514</v>
      </c>
      <c r="AF10" s="100">
        <v>605.60996451915514</v>
      </c>
      <c r="AG10" s="100">
        <v>605.60996451915514</v>
      </c>
      <c r="AH10" s="100">
        <v>605.60996451915514</v>
      </c>
      <c r="AI10" s="100">
        <v>25.415496631058183</v>
      </c>
      <c r="AJ10" s="100">
        <v>605.60996451915514</v>
      </c>
      <c r="AK10" s="100">
        <v>605.60996451915514</v>
      </c>
      <c r="AL10" s="100">
        <v>165.20072810187813</v>
      </c>
      <c r="AM10" s="100">
        <v>25.415496631058183</v>
      </c>
      <c r="AN10" s="100">
        <v>165.20072810187813</v>
      </c>
      <c r="AO10" s="100">
        <v>605.60996451915514</v>
      </c>
      <c r="AP10" s="100">
        <v>605.60996451915514</v>
      </c>
      <c r="AQ10" s="100">
        <v>605.60996451915514</v>
      </c>
      <c r="AR10" s="100">
        <v>165.20072810187813</v>
      </c>
      <c r="AS10" s="100">
        <v>605.60996451915514</v>
      </c>
      <c r="AT10" s="100">
        <v>605.60996451915514</v>
      </c>
      <c r="AU10" s="100">
        <v>605.60996451915514</v>
      </c>
      <c r="AV10" s="100">
        <v>0</v>
      </c>
      <c r="AW10" s="100">
        <v>190.61622473293647</v>
      </c>
      <c r="AX10" s="100">
        <v>605.60996451915514</v>
      </c>
      <c r="AY10" s="100">
        <v>605.60996451915514</v>
      </c>
      <c r="AZ10" s="100">
        <v>605.60996451915514</v>
      </c>
    </row>
    <row r="11" spans="1:53">
      <c r="B11" s="119">
        <v>2</v>
      </c>
      <c r="C11" s="106" t="s">
        <v>293</v>
      </c>
      <c r="D11" s="100">
        <v>0</v>
      </c>
      <c r="F11" s="100">
        <v>0</v>
      </c>
      <c r="I11" s="100">
        <v>0</v>
      </c>
      <c r="K11" s="100">
        <v>0</v>
      </c>
      <c r="M11" s="100">
        <v>536.11218206491594</v>
      </c>
      <c r="N11" s="100">
        <v>0</v>
      </c>
      <c r="O11" s="100">
        <v>0</v>
      </c>
      <c r="P11" s="100">
        <v>0</v>
      </c>
      <c r="Q11" s="100">
        <v>0</v>
      </c>
      <c r="R11" s="100">
        <v>0</v>
      </c>
      <c r="S11" s="100">
        <v>0</v>
      </c>
      <c r="U11" s="100">
        <v>0</v>
      </c>
      <c r="V11" s="100">
        <v>0</v>
      </c>
      <c r="W11" s="100">
        <v>440.40923641727704</v>
      </c>
      <c r="X11" s="100">
        <v>0</v>
      </c>
      <c r="Y11" s="100">
        <v>0</v>
      </c>
      <c r="Z11" s="100">
        <v>0</v>
      </c>
      <c r="AA11" s="100">
        <v>440.40923641727704</v>
      </c>
      <c r="AB11" s="100">
        <v>0</v>
      </c>
      <c r="AC11" s="100">
        <v>0</v>
      </c>
      <c r="AD11" s="100">
        <v>580.19446788809694</v>
      </c>
      <c r="AE11" s="100">
        <v>440.40923641727704</v>
      </c>
      <c r="AF11" s="100">
        <v>0</v>
      </c>
      <c r="AI11" s="100">
        <v>0</v>
      </c>
      <c r="AJ11" s="100">
        <v>580.19446788809694</v>
      </c>
      <c r="AK11" s="100">
        <v>0</v>
      </c>
      <c r="AL11" s="100">
        <v>0</v>
      </c>
      <c r="AM11" s="100">
        <v>0</v>
      </c>
      <c r="AN11" s="100">
        <v>580.19446788809694</v>
      </c>
      <c r="AO11" s="100">
        <v>440.40923641727704</v>
      </c>
      <c r="AP11" s="100">
        <v>0</v>
      </c>
      <c r="AQ11" s="100">
        <v>0</v>
      </c>
      <c r="AR11" s="100">
        <v>0</v>
      </c>
      <c r="AS11" s="100">
        <v>440.40923641727704</v>
      </c>
      <c r="AT11" s="100">
        <v>0</v>
      </c>
      <c r="AV11" s="100">
        <v>0</v>
      </c>
      <c r="AW11" s="100">
        <v>0</v>
      </c>
      <c r="AX11" s="100">
        <v>1020.6037043053739</v>
      </c>
      <c r="AY11" s="100">
        <v>0</v>
      </c>
      <c r="AZ11" s="100">
        <v>0</v>
      </c>
      <c r="BA11" s="100">
        <v>0</v>
      </c>
    </row>
    <row r="12" spans="1:53">
      <c r="B12" s="120">
        <v>3</v>
      </c>
      <c r="C12" s="106" t="s">
        <v>293</v>
      </c>
      <c r="F12" s="100">
        <v>0</v>
      </c>
      <c r="H12" s="100">
        <v>0</v>
      </c>
      <c r="I12" s="100">
        <v>0</v>
      </c>
      <c r="K12" s="100">
        <v>0</v>
      </c>
      <c r="M12" s="100">
        <v>0</v>
      </c>
      <c r="Q12" s="100">
        <v>726.72840679785236</v>
      </c>
      <c r="R12" s="100">
        <v>536.11218206491594</v>
      </c>
      <c r="U12" s="100">
        <v>0</v>
      </c>
      <c r="V12" s="100">
        <v>0</v>
      </c>
      <c r="AB12" s="100">
        <v>0</v>
      </c>
      <c r="AI12" s="100">
        <v>0</v>
      </c>
      <c r="AN12" s="100">
        <v>440.40923641727704</v>
      </c>
      <c r="AO12" s="100">
        <v>0</v>
      </c>
      <c r="AV12" s="100">
        <v>0</v>
      </c>
    </row>
    <row r="13" spans="1:53">
      <c r="B13" s="120">
        <v>4</v>
      </c>
      <c r="C13" s="106" t="s">
        <v>293</v>
      </c>
      <c r="E13" s="100">
        <v>0</v>
      </c>
      <c r="AI13" s="100">
        <v>0</v>
      </c>
      <c r="AZ13" s="100">
        <v>0</v>
      </c>
    </row>
    <row r="14" spans="1:53">
      <c r="A14" s="115" t="s">
        <v>134</v>
      </c>
      <c r="B14" s="121">
        <v>1</v>
      </c>
      <c r="C14" s="117" t="s">
        <v>293</v>
      </c>
      <c r="D14" s="117">
        <v>738.31275418862754</v>
      </c>
      <c r="E14" s="117">
        <f t="shared" ref="E14:AZ14" si="0">D$172*SUM(D$122:D$169)</f>
        <v>473.67656444135025</v>
      </c>
      <c r="F14" s="117">
        <f t="shared" si="0"/>
        <v>381.50225659259468</v>
      </c>
      <c r="G14" s="117">
        <f t="shared" si="0"/>
        <v>369.82321435098555</v>
      </c>
      <c r="H14" s="117">
        <f t="shared" si="0"/>
        <v>3.2265576534643563E-2</v>
      </c>
      <c r="I14" s="117">
        <f t="shared" si="0"/>
        <v>739.61416312543633</v>
      </c>
      <c r="J14" s="117">
        <f t="shared" si="0"/>
        <v>467.38196769916664</v>
      </c>
      <c r="K14" s="117">
        <f t="shared" si="0"/>
        <v>456.88004757226236</v>
      </c>
      <c r="L14" s="117">
        <f t="shared" si="0"/>
        <v>483.39880625913088</v>
      </c>
      <c r="M14" s="117">
        <f t="shared" si="0"/>
        <v>117.26468051895262</v>
      </c>
      <c r="N14" s="117">
        <f t="shared" si="0"/>
        <v>771.13420719869691</v>
      </c>
      <c r="O14" s="117">
        <f t="shared" si="0"/>
        <v>590.81306116698386</v>
      </c>
      <c r="P14" s="117">
        <f t="shared" si="0"/>
        <v>71.754319901915153</v>
      </c>
      <c r="Q14" s="117">
        <f t="shared" si="0"/>
        <v>116.42426492509716</v>
      </c>
      <c r="R14" s="117">
        <f t="shared" si="0"/>
        <v>887.52620654725933</v>
      </c>
      <c r="S14" s="117">
        <f t="shared" si="0"/>
        <v>539.33667701135062</v>
      </c>
      <c r="T14" s="117">
        <f t="shared" si="0"/>
        <v>47.426044895191701</v>
      </c>
      <c r="U14" s="117">
        <f t="shared" si="0"/>
        <v>4.310579642793342E-2</v>
      </c>
      <c r="V14" s="117">
        <f t="shared" si="0"/>
        <v>4.310579642793165E-2</v>
      </c>
      <c r="W14" s="117">
        <f t="shared" si="0"/>
        <v>100.90533167862218</v>
      </c>
      <c r="X14" s="117">
        <f t="shared" si="0"/>
        <v>638.74109702334886</v>
      </c>
      <c r="Y14" s="117">
        <f t="shared" si="0"/>
        <v>435.07869318593134</v>
      </c>
      <c r="Z14" s="117">
        <f t="shared" si="0"/>
        <v>396.52679403810441</v>
      </c>
      <c r="AA14" s="117">
        <f t="shared" si="0"/>
        <v>100.90533167862218</v>
      </c>
      <c r="AB14" s="117">
        <f t="shared" si="0"/>
        <v>638.74109702334886</v>
      </c>
      <c r="AC14" s="117">
        <f t="shared" si="0"/>
        <v>446.52440043242649</v>
      </c>
      <c r="AD14" s="117">
        <f t="shared" si="0"/>
        <v>15.551198823009647</v>
      </c>
      <c r="AE14" s="117">
        <f t="shared" si="0"/>
        <v>455.17734720659809</v>
      </c>
      <c r="AF14" s="117">
        <f t="shared" si="0"/>
        <v>638.74109702334897</v>
      </c>
      <c r="AG14" s="117">
        <f t="shared" si="0"/>
        <v>394.35575180048397</v>
      </c>
      <c r="AH14" s="117">
        <f t="shared" si="0"/>
        <v>369.82321435098555</v>
      </c>
      <c r="AI14" s="117">
        <f t="shared" si="0"/>
        <v>369.82321435098555</v>
      </c>
      <c r="AJ14" s="117">
        <f t="shared" si="0"/>
        <v>15.551198823009647</v>
      </c>
      <c r="AK14" s="117">
        <f t="shared" si="0"/>
        <v>724.09522987896139</v>
      </c>
      <c r="AL14" s="117">
        <f t="shared" si="0"/>
        <v>531.38908030298967</v>
      </c>
      <c r="AM14" s="117">
        <f t="shared" si="0"/>
        <v>100.90533167862218</v>
      </c>
      <c r="AN14" s="117">
        <f t="shared" si="0"/>
        <v>15.551198823009647</v>
      </c>
      <c r="AO14" s="117">
        <f t="shared" si="0"/>
        <v>724.09522987896139</v>
      </c>
      <c r="AP14" s="117">
        <f t="shared" si="0"/>
        <v>765.77008933315881</v>
      </c>
      <c r="AQ14" s="117">
        <f t="shared" si="0"/>
        <v>537.09724428736558</v>
      </c>
      <c r="AR14" s="117">
        <f t="shared" si="0"/>
        <v>403.85603376281637</v>
      </c>
      <c r="AS14" s="117">
        <f t="shared" si="0"/>
        <v>100.90533167862218</v>
      </c>
      <c r="AT14" s="117">
        <f t="shared" si="0"/>
        <v>638.74109702334886</v>
      </c>
      <c r="AU14" s="117">
        <f t="shared" si="0"/>
        <v>444.89066608289556</v>
      </c>
      <c r="AV14" s="117">
        <f t="shared" si="0"/>
        <v>369.82321435098555</v>
      </c>
      <c r="AW14" s="117">
        <f t="shared" si="0"/>
        <v>3.2265576534643563E-2</v>
      </c>
      <c r="AX14" s="117">
        <f t="shared" si="0"/>
        <v>116.42426492509712</v>
      </c>
      <c r="AY14" s="117">
        <f t="shared" si="0"/>
        <v>993.01311255132475</v>
      </c>
      <c r="AZ14" s="110">
        <f t="shared" si="0"/>
        <v>593.85503740679246</v>
      </c>
      <c r="BA14" s="107">
        <f>SUM($E14:$AZ14)</f>
        <v>18590.965154356076</v>
      </c>
    </row>
    <row r="15" spans="1:53">
      <c r="A15" s="122" t="s">
        <v>123</v>
      </c>
      <c r="B15" s="123">
        <v>1</v>
      </c>
      <c r="C15" s="124" t="s">
        <v>293</v>
      </c>
      <c r="D15" s="124">
        <v>824.35879962095316</v>
      </c>
      <c r="E15" s="124">
        <v>806.2627895577416</v>
      </c>
      <c r="F15" s="124">
        <v>824.16439322849249</v>
      </c>
      <c r="G15" s="124">
        <v>7.190500291743282E-2</v>
      </c>
      <c r="H15" s="124">
        <v>1648.2568814540673</v>
      </c>
      <c r="I15" s="124">
        <v>824.16439322849249</v>
      </c>
      <c r="J15" s="124">
        <v>988.97805930927927</v>
      </c>
      <c r="K15" s="124">
        <v>988.97805930927927</v>
      </c>
      <c r="L15" s="124">
        <v>259.45568026998103</v>
      </c>
      <c r="M15" s="124">
        <v>988.97805930927927</v>
      </c>
      <c r="N15" s="124">
        <v>988.97805930927927</v>
      </c>
      <c r="O15" s="124">
        <v>7.190500291743282E-2</v>
      </c>
      <c r="P15" s="124">
        <v>259.45568026998103</v>
      </c>
      <c r="Q15" s="124">
        <v>988.97805930927927</v>
      </c>
      <c r="R15" s="124">
        <v>9.6062824557953647E-2</v>
      </c>
      <c r="S15" s="124">
        <v>9.6062824557953647E-2</v>
      </c>
      <c r="T15" s="124">
        <v>9.6062824557953647E-2</v>
      </c>
      <c r="U15" s="124">
        <v>9.6062824557953647E-2</v>
      </c>
      <c r="V15" s="124">
        <v>224.87117690103923</v>
      </c>
      <c r="W15" s="124">
        <v>824.16439322849249</v>
      </c>
      <c r="X15" s="124">
        <v>824.16439322849249</v>
      </c>
      <c r="Y15" s="124">
        <v>824.16439322849249</v>
      </c>
      <c r="Z15" s="124">
        <v>224.87117690103923</v>
      </c>
      <c r="AA15" s="124">
        <v>824.16439322849249</v>
      </c>
      <c r="AB15" s="124">
        <v>824.16439322849249</v>
      </c>
      <c r="AC15" s="124">
        <v>34.65640837185925</v>
      </c>
      <c r="AD15" s="124">
        <v>224.87117690103923</v>
      </c>
      <c r="AE15" s="124">
        <v>824.16439322849249</v>
      </c>
      <c r="AF15" s="124">
        <v>824.16439322849249</v>
      </c>
      <c r="AG15" s="124">
        <v>824.16439322849249</v>
      </c>
      <c r="AH15" s="124">
        <v>824.16439322849249</v>
      </c>
      <c r="AI15" s="124">
        <v>34.65640837185925</v>
      </c>
      <c r="AJ15" s="124">
        <v>824.16439322849249</v>
      </c>
      <c r="AK15" s="124">
        <v>824.16439322849249</v>
      </c>
      <c r="AL15" s="124">
        <v>224.87117690103923</v>
      </c>
      <c r="AM15" s="124">
        <v>34.65640837185925</v>
      </c>
      <c r="AN15" s="124">
        <v>224.87117690103923</v>
      </c>
      <c r="AO15" s="124">
        <v>824.16439322849249</v>
      </c>
      <c r="AP15" s="124">
        <v>824.16439322849249</v>
      </c>
      <c r="AQ15" s="124">
        <v>824.16439322849249</v>
      </c>
      <c r="AR15" s="124">
        <v>224.87117690103923</v>
      </c>
      <c r="AS15" s="124">
        <v>824.16439322849249</v>
      </c>
      <c r="AT15" s="124">
        <v>824.16439322849249</v>
      </c>
      <c r="AU15" s="124">
        <v>824.16439322849249</v>
      </c>
      <c r="AV15" s="124">
        <v>7.190500291743282E-2</v>
      </c>
      <c r="AW15" s="124">
        <v>259.45568026998092</v>
      </c>
      <c r="AX15" s="124">
        <v>824.16439322849249</v>
      </c>
      <c r="AY15" s="124">
        <v>824.16439322849249</v>
      </c>
      <c r="AZ15" s="100">
        <v>824.09248822557504</v>
      </c>
    </row>
    <row r="16" spans="1:53">
      <c r="A16" s="110"/>
      <c r="B16" s="119">
        <v>2</v>
      </c>
      <c r="C16" s="109" t="s">
        <v>293</v>
      </c>
      <c r="D16" s="106">
        <v>0</v>
      </c>
      <c r="E16" s="110"/>
      <c r="F16" s="110">
        <v>0</v>
      </c>
      <c r="G16" s="110"/>
      <c r="H16" s="110"/>
      <c r="I16" s="110">
        <v>0</v>
      </c>
      <c r="J16" s="110"/>
      <c r="K16" s="110">
        <v>0</v>
      </c>
      <c r="L16" s="110"/>
      <c r="M16" s="110">
        <v>729.52237903929824</v>
      </c>
      <c r="N16" s="110">
        <v>0</v>
      </c>
      <c r="O16" s="110">
        <v>0</v>
      </c>
      <c r="P16" s="110">
        <v>0</v>
      </c>
      <c r="Q16" s="110">
        <v>0</v>
      </c>
      <c r="R16" s="110">
        <v>0</v>
      </c>
      <c r="S16" s="110">
        <v>0</v>
      </c>
      <c r="T16" s="110"/>
      <c r="U16" s="110">
        <v>0</v>
      </c>
      <c r="V16" s="110">
        <v>0</v>
      </c>
      <c r="W16" s="110">
        <v>599.29321632745325</v>
      </c>
      <c r="X16" s="110">
        <v>0</v>
      </c>
      <c r="Y16" s="110">
        <v>0</v>
      </c>
      <c r="Z16" s="110">
        <v>0</v>
      </c>
      <c r="AA16" s="110">
        <v>599.29321632745325</v>
      </c>
      <c r="AB16" s="110">
        <v>0</v>
      </c>
      <c r="AC16" s="110">
        <v>0</v>
      </c>
      <c r="AD16" s="110">
        <v>789.50798485663324</v>
      </c>
      <c r="AE16" s="110">
        <v>599.29321632745325</v>
      </c>
      <c r="AF16" s="110">
        <v>0</v>
      </c>
      <c r="AG16" s="110"/>
      <c r="AH16" s="110"/>
      <c r="AI16" s="110">
        <v>0</v>
      </c>
      <c r="AJ16" s="110">
        <v>789.50798485663324</v>
      </c>
      <c r="AK16" s="110">
        <v>0</v>
      </c>
      <c r="AL16" s="110">
        <v>0</v>
      </c>
      <c r="AM16" s="110">
        <v>0</v>
      </c>
      <c r="AN16" s="110">
        <v>789.50798485663324</v>
      </c>
      <c r="AO16" s="110">
        <v>599.29321632745325</v>
      </c>
      <c r="AP16" s="110">
        <v>0</v>
      </c>
      <c r="AQ16" s="110">
        <v>0</v>
      </c>
      <c r="AR16" s="110">
        <v>0</v>
      </c>
      <c r="AS16" s="110">
        <v>599.29321632745325</v>
      </c>
      <c r="AT16" s="110">
        <v>0</v>
      </c>
      <c r="AU16" s="110"/>
      <c r="AV16" s="110">
        <v>0</v>
      </c>
      <c r="AW16" s="110">
        <v>0</v>
      </c>
      <c r="AX16" s="110">
        <v>1388.8012011840865</v>
      </c>
      <c r="AY16" s="110">
        <v>0</v>
      </c>
      <c r="AZ16" s="100">
        <v>0</v>
      </c>
      <c r="BA16" s="100">
        <v>0</v>
      </c>
    </row>
    <row r="17" spans="1:52">
      <c r="A17" s="110"/>
      <c r="B17" s="119">
        <v>3</v>
      </c>
      <c r="C17" s="109" t="s">
        <v>293</v>
      </c>
      <c r="D17" s="106"/>
      <c r="E17" s="110"/>
      <c r="F17" s="110">
        <v>0</v>
      </c>
      <c r="G17" s="110"/>
      <c r="H17" s="110">
        <v>0</v>
      </c>
      <c r="I17" s="110">
        <v>0</v>
      </c>
      <c r="J17" s="110"/>
      <c r="K17" s="110">
        <v>0</v>
      </c>
      <c r="L17" s="110"/>
      <c r="M17" s="110">
        <v>0</v>
      </c>
      <c r="N17" s="110"/>
      <c r="O17" s="110"/>
      <c r="P17" s="110"/>
      <c r="Q17" s="110">
        <v>988.90615430636183</v>
      </c>
      <c r="R17" s="110">
        <v>729.52237903929824</v>
      </c>
      <c r="S17" s="110"/>
      <c r="T17" s="110"/>
      <c r="U17" s="110">
        <v>0</v>
      </c>
      <c r="V17" s="110">
        <v>0</v>
      </c>
      <c r="W17" s="110"/>
      <c r="X17" s="110"/>
      <c r="Y17" s="110"/>
      <c r="Z17" s="110"/>
      <c r="AA17" s="110"/>
      <c r="AB17" s="110">
        <v>0</v>
      </c>
      <c r="AC17" s="110"/>
      <c r="AD17" s="110"/>
      <c r="AE17" s="110"/>
      <c r="AF17" s="110"/>
      <c r="AG17" s="110"/>
      <c r="AH17" s="110"/>
      <c r="AI17" s="110">
        <v>0</v>
      </c>
      <c r="AJ17" s="110"/>
      <c r="AK17" s="110"/>
      <c r="AL17" s="110"/>
      <c r="AM17" s="110"/>
      <c r="AN17" s="110">
        <v>599.29321632745325</v>
      </c>
      <c r="AO17" s="110">
        <v>0</v>
      </c>
      <c r="AP17" s="110"/>
      <c r="AQ17" s="110"/>
      <c r="AR17" s="110"/>
      <c r="AS17" s="110"/>
      <c r="AT17" s="110"/>
      <c r="AU17" s="110"/>
      <c r="AV17" s="110">
        <v>0</v>
      </c>
      <c r="AW17" s="110"/>
      <c r="AX17" s="110"/>
      <c r="AY17" s="110"/>
    </row>
    <row r="18" spans="1:52">
      <c r="A18" s="125"/>
      <c r="B18" s="116">
        <v>4</v>
      </c>
      <c r="C18" s="125" t="s">
        <v>293</v>
      </c>
      <c r="D18" s="125"/>
      <c r="E18" s="125">
        <v>0</v>
      </c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>
        <v>0</v>
      </c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  <c r="AZ18" s="100">
        <v>0</v>
      </c>
    </row>
    <row r="20" spans="1:52">
      <c r="A20" s="102" t="s">
        <v>294</v>
      </c>
    </row>
    <row r="21" spans="1:52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>
        <v>8.9329590374027248</v>
      </c>
      <c r="AY21" s="124"/>
    </row>
    <row r="22" spans="1:52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>
        <v>770.71847324077771</v>
      </c>
      <c r="N22" s="110">
        <v>274.4599021936865</v>
      </c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>
        <v>61.78289462723842</v>
      </c>
      <c r="AP22" s="110"/>
      <c r="AQ22" s="110"/>
      <c r="AR22" s="110"/>
      <c r="AS22" s="110"/>
      <c r="AT22" s="110"/>
      <c r="AU22" s="110"/>
      <c r="AV22" s="110"/>
      <c r="AW22" s="110"/>
      <c r="AX22" s="110">
        <v>28.317723500788816</v>
      </c>
      <c r="AY22" s="110">
        <v>66.990052777250639</v>
      </c>
    </row>
    <row r="23" spans="1:52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>
        <v>0</v>
      </c>
      <c r="N23" s="110">
        <v>0</v>
      </c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>
        <v>0</v>
      </c>
      <c r="AP23" s="110"/>
      <c r="AQ23" s="110"/>
      <c r="AR23" s="110"/>
      <c r="AS23" s="110"/>
      <c r="AT23" s="110"/>
      <c r="AU23" s="110"/>
      <c r="AV23" s="110"/>
      <c r="AW23" s="110"/>
      <c r="AX23" s="110">
        <v>0</v>
      </c>
      <c r="AY23" s="110">
        <v>0</v>
      </c>
    </row>
    <row r="24" spans="1:52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2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2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2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2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2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>
        <v>0</v>
      </c>
      <c r="AY29" s="110"/>
    </row>
    <row r="30" spans="1:52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>
        <v>0</v>
      </c>
      <c r="N30" s="110">
        <v>0</v>
      </c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>
        <v>0</v>
      </c>
      <c r="AP30" s="110"/>
      <c r="AQ30" s="110"/>
      <c r="AR30" s="110"/>
      <c r="AS30" s="110"/>
      <c r="AT30" s="110"/>
      <c r="AU30" s="110"/>
      <c r="AV30" s="110"/>
      <c r="AW30" s="110"/>
      <c r="AX30" s="110">
        <v>0</v>
      </c>
      <c r="AY30" s="110">
        <v>0</v>
      </c>
    </row>
    <row r="31" spans="1:52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>
        <v>0</v>
      </c>
      <c r="N31" s="110">
        <v>0</v>
      </c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>
        <v>0</v>
      </c>
      <c r="AP31" s="110"/>
      <c r="AQ31" s="110"/>
      <c r="AR31" s="110"/>
      <c r="AS31" s="110"/>
      <c r="AT31" s="110"/>
      <c r="AU31" s="110"/>
      <c r="AV31" s="110"/>
      <c r="AW31" s="110"/>
      <c r="AX31" s="110">
        <v>0</v>
      </c>
      <c r="AY31" s="110">
        <v>0</v>
      </c>
    </row>
    <row r="32" spans="1:52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>
        <v>0</v>
      </c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>
        <v>0</v>
      </c>
      <c r="N42" s="106">
        <v>0</v>
      </c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>
        <v>0</v>
      </c>
      <c r="AP42" s="106"/>
      <c r="AQ42" s="106"/>
      <c r="AR42" s="106"/>
      <c r="AS42" s="106"/>
      <c r="AT42" s="106"/>
      <c r="AU42" s="106"/>
      <c r="AV42" s="106"/>
      <c r="AW42" s="106"/>
      <c r="AX42" s="106">
        <v>0</v>
      </c>
      <c r="AY42" s="106">
        <v>0</v>
      </c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>
        <v>0</v>
      </c>
      <c r="N43" s="106">
        <v>0</v>
      </c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>
        <v>0</v>
      </c>
      <c r="AP43" s="106"/>
      <c r="AQ43" s="106"/>
      <c r="AR43" s="106"/>
      <c r="AS43" s="106"/>
      <c r="AT43" s="106"/>
      <c r="AU43" s="106"/>
      <c r="AV43" s="106"/>
      <c r="AW43" s="106"/>
      <c r="AX43" s="106">
        <v>0</v>
      </c>
      <c r="AY43" s="106">
        <v>0</v>
      </c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>
        <v>0</v>
      </c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>
        <v>0</v>
      </c>
      <c r="N90" s="110">
        <v>0</v>
      </c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>
        <v>0</v>
      </c>
      <c r="AP90" s="110"/>
      <c r="AQ90" s="110"/>
      <c r="AR90" s="110"/>
      <c r="AS90" s="110"/>
      <c r="AT90" s="110"/>
      <c r="AU90" s="110"/>
      <c r="AV90" s="110"/>
      <c r="AW90" s="110"/>
      <c r="AX90" s="110">
        <v>0</v>
      </c>
      <c r="AY90" s="110">
        <v>0</v>
      </c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>
        <v>0</v>
      </c>
      <c r="N91" s="110">
        <v>0</v>
      </c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>
        <v>0</v>
      </c>
      <c r="AP91" s="110"/>
      <c r="AQ91" s="110"/>
      <c r="AR91" s="110"/>
      <c r="AS91" s="110"/>
      <c r="AT91" s="110"/>
      <c r="AU91" s="110"/>
      <c r="AV91" s="110"/>
      <c r="AW91" s="110"/>
      <c r="AX91" s="110">
        <v>0</v>
      </c>
      <c r="AY91" s="110">
        <v>0</v>
      </c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1211.2020053771448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1054.0937641335613</v>
      </c>
      <c r="D95" s="110">
        <v>1053.3294308751972</v>
      </c>
      <c r="E95" s="110">
        <v>1053.3294308751972</v>
      </c>
      <c r="F95" s="110">
        <v>1053.3294308751972</v>
      </c>
      <c r="G95" s="110">
        <v>1053.3294308751972</v>
      </c>
      <c r="H95" s="110">
        <v>1263.9891414947294</v>
      </c>
      <c r="I95" s="110">
        <v>1263.9891414947294</v>
      </c>
      <c r="J95" s="110">
        <v>1263.9891414947294</v>
      </c>
      <c r="K95" s="110">
        <v>1263.9891414947294</v>
      </c>
      <c r="L95" s="110">
        <v>1263.9891414947294</v>
      </c>
      <c r="M95" s="110">
        <v>1263.9891414947294</v>
      </c>
      <c r="N95" s="110">
        <v>1263.9891414947294</v>
      </c>
      <c r="O95" s="110">
        <v>1263.9891414947294</v>
      </c>
      <c r="P95" s="110">
        <v>3.0877777535121838E-2</v>
      </c>
      <c r="Q95" s="110">
        <v>3.0877777535121838E-2</v>
      </c>
      <c r="R95" s="110">
        <v>3.0877777535121838E-2</v>
      </c>
      <c r="S95" s="110">
        <v>3.0877777535121838E-2</v>
      </c>
      <c r="T95" s="110">
        <v>1053.3294308751972</v>
      </c>
      <c r="U95" s="110">
        <v>1053.3294308751972</v>
      </c>
      <c r="V95" s="110">
        <v>1053.3294308751972</v>
      </c>
      <c r="W95" s="110">
        <v>1053.3294308751972</v>
      </c>
      <c r="X95" s="110">
        <v>1053.3294308751972</v>
      </c>
      <c r="Y95" s="110">
        <v>1053.3294308751972</v>
      </c>
      <c r="Z95" s="110">
        <v>1053.3294308751972</v>
      </c>
      <c r="AA95" s="110">
        <v>1053.3294308751972</v>
      </c>
      <c r="AB95" s="110">
        <v>1053.3294308751972</v>
      </c>
      <c r="AC95" s="110">
        <v>1053.3294308751972</v>
      </c>
      <c r="AD95" s="110">
        <v>1053.3294308751972</v>
      </c>
      <c r="AE95" s="110">
        <v>1053.3294308751972</v>
      </c>
      <c r="AF95" s="110">
        <v>1053.3294308751972</v>
      </c>
      <c r="AG95" s="110">
        <v>1053.3294308751972</v>
      </c>
      <c r="AH95" s="110">
        <v>1053.3294308751972</v>
      </c>
      <c r="AI95" s="110">
        <v>1053.3294308751972</v>
      </c>
      <c r="AJ95" s="110">
        <v>1053.3294308751972</v>
      </c>
      <c r="AK95" s="110">
        <v>1053.3294308751972</v>
      </c>
      <c r="AL95" s="110">
        <v>1053.3294308751972</v>
      </c>
      <c r="AM95" s="110">
        <v>1053.3294308751972</v>
      </c>
      <c r="AN95" s="110">
        <v>1053.3294308751972</v>
      </c>
      <c r="AO95" s="110">
        <v>1053.3294308751972</v>
      </c>
      <c r="AP95" s="110">
        <v>1053.3294308751972</v>
      </c>
      <c r="AQ95" s="110">
        <v>1053.3294308751972</v>
      </c>
      <c r="AR95" s="110">
        <v>1053.3294308751972</v>
      </c>
      <c r="AS95" s="110">
        <v>1053.3294308751972</v>
      </c>
      <c r="AT95" s="110">
        <v>1053.3294308751972</v>
      </c>
      <c r="AU95" s="110">
        <v>1053.3294308751972</v>
      </c>
      <c r="AV95" s="110">
        <v>1053.3294308751972</v>
      </c>
      <c r="AW95" s="110">
        <v>1053.3294308751972</v>
      </c>
      <c r="AX95" s="110">
        <v>1044.3964718377945</v>
      </c>
      <c r="AY95" s="110">
        <v>1053.3294308751972</v>
      </c>
    </row>
    <row r="96" spans="1:52">
      <c r="A96" s="109"/>
      <c r="B96" s="120">
        <v>2</v>
      </c>
      <c r="C96" s="110">
        <v>0</v>
      </c>
      <c r="D96" s="110">
        <v>0</v>
      </c>
      <c r="E96" s="110">
        <v>0</v>
      </c>
      <c r="F96" s="110">
        <v>6.3294308751972039</v>
      </c>
      <c r="G96" s="110">
        <v>88.658861750394408</v>
      </c>
      <c r="H96" s="110">
        <v>0</v>
      </c>
      <c r="I96" s="110">
        <v>360.98914149472944</v>
      </c>
      <c r="J96" s="110">
        <v>451.97828298945888</v>
      </c>
      <c r="K96" s="110">
        <v>476.96742448418831</v>
      </c>
      <c r="L96" s="110">
        <v>694.95656597891775</v>
      </c>
      <c r="M96" s="110">
        <v>159.22723423286948</v>
      </c>
      <c r="N96" s="110">
        <v>36.756473533912413</v>
      </c>
      <c r="O96" s="110">
        <v>209.74561502864185</v>
      </c>
      <c r="P96" s="110">
        <v>353.73475652337129</v>
      </c>
      <c r="Q96" s="110">
        <v>0</v>
      </c>
      <c r="R96" s="110">
        <v>0</v>
      </c>
      <c r="S96" s="110">
        <v>0</v>
      </c>
      <c r="T96" s="110">
        <v>0</v>
      </c>
      <c r="U96" s="110">
        <v>26.329430875197204</v>
      </c>
      <c r="V96" s="110">
        <v>0</v>
      </c>
      <c r="W96" s="110">
        <v>0</v>
      </c>
      <c r="X96" s="110">
        <v>0</v>
      </c>
      <c r="Y96" s="110">
        <v>0</v>
      </c>
      <c r="Z96" s="110">
        <v>0</v>
      </c>
      <c r="AA96" s="110">
        <v>70.329430875197204</v>
      </c>
      <c r="AB96" s="110">
        <v>0</v>
      </c>
      <c r="AC96" s="110">
        <v>104.3294308751972</v>
      </c>
      <c r="AD96" s="110">
        <v>23.658861750394408</v>
      </c>
      <c r="AE96" s="110">
        <v>115.98829262559161</v>
      </c>
      <c r="AF96" s="110">
        <v>149.31772350078882</v>
      </c>
      <c r="AG96" s="110">
        <v>29.64715437598602</v>
      </c>
      <c r="AH96" s="110">
        <v>0</v>
      </c>
      <c r="AI96" s="110">
        <v>0</v>
      </c>
      <c r="AJ96" s="110">
        <v>0</v>
      </c>
      <c r="AK96" s="110">
        <v>0</v>
      </c>
      <c r="AL96" s="110">
        <v>0</v>
      </c>
      <c r="AM96" s="110">
        <v>85.329430875197204</v>
      </c>
      <c r="AN96" s="110">
        <v>140.65886175039441</v>
      </c>
      <c r="AO96" s="110">
        <v>17.205397998353192</v>
      </c>
      <c r="AP96" s="110">
        <v>61.534828873550396</v>
      </c>
      <c r="AQ96" s="110">
        <v>144.8642597487476</v>
      </c>
      <c r="AR96" s="110">
        <v>0</v>
      </c>
      <c r="AS96" s="110">
        <v>25.329430875197204</v>
      </c>
      <c r="AT96" s="110">
        <v>0</v>
      </c>
      <c r="AU96" s="110">
        <v>69.329430875197204</v>
      </c>
      <c r="AV96" s="110">
        <v>8.6588617503944079</v>
      </c>
      <c r="AW96" s="110">
        <v>90.988292625591612</v>
      </c>
      <c r="AX96" s="110">
        <v>0</v>
      </c>
      <c r="AY96" s="110">
        <v>22.40641906054384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606.14658213676955</v>
      </c>
      <c r="D100" s="106">
        <v>606.14658213676955</v>
      </c>
      <c r="E100" s="106">
        <v>592.45441496764442</v>
      </c>
      <c r="F100" s="106">
        <v>605.60996451915514</v>
      </c>
      <c r="G100" s="106">
        <v>0</v>
      </c>
      <c r="H100" s="106">
        <v>1211.2199290383103</v>
      </c>
      <c r="I100" s="106">
        <v>605.60996451915514</v>
      </c>
      <c r="J100" s="106">
        <v>726.72840679785236</v>
      </c>
      <c r="K100" s="106">
        <v>726.72840679785236</v>
      </c>
      <c r="L100" s="106">
        <v>190.61622473293636</v>
      </c>
      <c r="M100" s="106">
        <v>726.72840679785236</v>
      </c>
      <c r="N100" s="106">
        <v>726.72840679785236</v>
      </c>
      <c r="O100" s="106">
        <v>0</v>
      </c>
      <c r="P100" s="106">
        <v>190.61622473293636</v>
      </c>
      <c r="Q100" s="106">
        <v>726.72840679785236</v>
      </c>
      <c r="R100" s="106">
        <v>1.7753125669277104E-2</v>
      </c>
      <c r="S100" s="106">
        <v>1.7753125669277104E-2</v>
      </c>
      <c r="T100" s="106">
        <v>1.7753125669277104E-2</v>
      </c>
      <c r="U100" s="106">
        <v>1.7753125669277104E-2</v>
      </c>
      <c r="V100" s="106">
        <v>165.20072810187813</v>
      </c>
      <c r="W100" s="106">
        <v>605.60996451915514</v>
      </c>
      <c r="X100" s="106">
        <v>605.60996451915514</v>
      </c>
      <c r="Y100" s="106">
        <v>605.60996451915514</v>
      </c>
      <c r="Z100" s="106">
        <v>165.20072810187813</v>
      </c>
      <c r="AA100" s="106">
        <v>605.60996451915514</v>
      </c>
      <c r="AB100" s="106">
        <v>605.60996451915514</v>
      </c>
      <c r="AC100" s="106">
        <v>25.415496631058183</v>
      </c>
      <c r="AD100" s="106">
        <v>165.20072810187813</v>
      </c>
      <c r="AE100" s="106">
        <v>605.60996451915514</v>
      </c>
      <c r="AF100" s="106">
        <v>605.60996451915514</v>
      </c>
      <c r="AG100" s="106">
        <v>605.60996451915514</v>
      </c>
      <c r="AH100" s="106">
        <v>605.60996451915514</v>
      </c>
      <c r="AI100" s="106">
        <v>25.415496631058183</v>
      </c>
      <c r="AJ100" s="106">
        <v>605.60996451915514</v>
      </c>
      <c r="AK100" s="106">
        <v>605.60996451915514</v>
      </c>
      <c r="AL100" s="106">
        <v>165.20072810187813</v>
      </c>
      <c r="AM100" s="106">
        <v>25.415496631058183</v>
      </c>
      <c r="AN100" s="106">
        <v>165.20072810187813</v>
      </c>
      <c r="AO100" s="106">
        <v>605.60996451915514</v>
      </c>
      <c r="AP100" s="106">
        <v>605.60996451915514</v>
      </c>
      <c r="AQ100" s="106">
        <v>605.60996451915514</v>
      </c>
      <c r="AR100" s="106">
        <v>165.20072810187813</v>
      </c>
      <c r="AS100" s="106">
        <v>605.60996451915514</v>
      </c>
      <c r="AT100" s="106">
        <v>605.60996451915514</v>
      </c>
      <c r="AU100" s="106">
        <v>605.60996451915514</v>
      </c>
      <c r="AV100" s="106">
        <v>0</v>
      </c>
      <c r="AW100" s="106">
        <v>190.61622473293647</v>
      </c>
      <c r="AX100" s="106">
        <v>605.60996451915514</v>
      </c>
      <c r="AY100" s="106">
        <v>605.60996451915514</v>
      </c>
    </row>
    <row r="101" spans="1:52">
      <c r="A101" s="109"/>
      <c r="B101" s="119">
        <v>2</v>
      </c>
      <c r="C101" s="106">
        <v>606.14658213676955</v>
      </c>
      <c r="D101" s="106">
        <v>531.29316427353911</v>
      </c>
      <c r="E101" s="106">
        <v>505.43974641030866</v>
      </c>
      <c r="F101" s="106">
        <v>437.89416137795308</v>
      </c>
      <c r="G101" s="106">
        <v>371.50412589710822</v>
      </c>
      <c r="H101" s="106">
        <v>0</v>
      </c>
      <c r="I101" s="106">
        <v>688.21992903831028</v>
      </c>
      <c r="J101" s="106">
        <v>605.60996451915514</v>
      </c>
      <c r="K101" s="106">
        <v>619.55830035531778</v>
      </c>
      <c r="L101" s="106">
        <v>705.28670715317014</v>
      </c>
      <c r="M101" s="106">
        <v>726.72840679785236</v>
      </c>
      <c r="N101" s="106">
        <v>726.72840679785236</v>
      </c>
      <c r="O101" s="106">
        <v>726.72840679785236</v>
      </c>
      <c r="P101" s="106">
        <v>0</v>
      </c>
      <c r="Q101" s="106">
        <v>0</v>
      </c>
      <c r="R101" s="106">
        <v>726.72840679785236</v>
      </c>
      <c r="S101" s="106">
        <v>1.7753125669277104E-2</v>
      </c>
      <c r="T101" s="106">
        <v>0</v>
      </c>
      <c r="U101" s="106">
        <v>0</v>
      </c>
      <c r="V101" s="106">
        <v>0</v>
      </c>
      <c r="W101" s="106">
        <v>440.40923641727704</v>
      </c>
      <c r="X101" s="106">
        <v>432.01920093643218</v>
      </c>
      <c r="Y101" s="106">
        <v>298.62916545558733</v>
      </c>
      <c r="Z101" s="106">
        <v>275.23912997474247</v>
      </c>
      <c r="AA101" s="106">
        <v>440.40923641727704</v>
      </c>
      <c r="AB101" s="106">
        <v>359.01920093643218</v>
      </c>
      <c r="AC101" s="106">
        <v>261.62916545558733</v>
      </c>
      <c r="AD101" s="106">
        <v>580.19446788809694</v>
      </c>
      <c r="AE101" s="106">
        <v>440.40923641727704</v>
      </c>
      <c r="AF101" s="106">
        <v>221.01920093643218</v>
      </c>
      <c r="AG101" s="106">
        <v>0</v>
      </c>
      <c r="AH101" s="106">
        <v>20.609964519155142</v>
      </c>
      <c r="AI101" s="106">
        <v>0</v>
      </c>
      <c r="AJ101" s="106">
        <v>580.19446788809694</v>
      </c>
      <c r="AK101" s="106">
        <v>433.80443240725208</v>
      </c>
      <c r="AL101" s="106">
        <v>304.41439692640722</v>
      </c>
      <c r="AM101" s="106">
        <v>2.8421709430404007E-14</v>
      </c>
      <c r="AN101" s="106">
        <v>580.19446788809694</v>
      </c>
      <c r="AO101" s="106">
        <v>605.60996451915514</v>
      </c>
      <c r="AP101" s="106">
        <v>605.60996451915514</v>
      </c>
      <c r="AQ101" s="106">
        <v>507.43359786283941</v>
      </c>
      <c r="AR101" s="106">
        <v>362.04356238199455</v>
      </c>
      <c r="AS101" s="106">
        <v>440.40923641727704</v>
      </c>
      <c r="AT101" s="106">
        <v>412.01920093643218</v>
      </c>
      <c r="AU101" s="106">
        <v>249.62916545558733</v>
      </c>
      <c r="AV101" s="106">
        <v>74.239129974742468</v>
      </c>
      <c r="AW101" s="106">
        <v>0</v>
      </c>
      <c r="AX101" s="106">
        <v>1020.6037043053739</v>
      </c>
      <c r="AY101" s="106">
        <v>605.60996451915514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29.219929038310283</v>
      </c>
      <c r="K102" s="106">
        <v>0</v>
      </c>
      <c r="L102" s="106">
        <v>0</v>
      </c>
      <c r="M102" s="106">
        <v>99.286707153170141</v>
      </c>
      <c r="N102" s="106">
        <v>158.0151139510225</v>
      </c>
      <c r="O102" s="106">
        <v>73.743520748874857</v>
      </c>
      <c r="P102" s="106">
        <v>31.471927546727215</v>
      </c>
      <c r="Q102" s="106">
        <v>726.72840679785236</v>
      </c>
      <c r="R102" s="106">
        <v>536.11218206491594</v>
      </c>
      <c r="S102" s="106">
        <v>630.56899566062066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440.40923641727704</v>
      </c>
      <c r="AO102" s="106">
        <v>287.60370430537398</v>
      </c>
      <c r="AP102" s="106">
        <v>95.213668824529123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396.60370430537387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102.72840679785236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3.258703290777501E-2</v>
      </c>
      <c r="D109" s="106">
        <v>738.31275418862754</v>
      </c>
      <c r="E109" s="106">
        <v>473.67656444135025</v>
      </c>
      <c r="F109" s="106">
        <v>381.50225659259468</v>
      </c>
      <c r="G109" s="106">
        <v>369.82321435098555</v>
      </c>
      <c r="H109" s="106">
        <v>3.2265576534643563E-2</v>
      </c>
      <c r="I109" s="106">
        <v>739.61416312543633</v>
      </c>
      <c r="J109" s="106">
        <v>467.38196769916664</v>
      </c>
      <c r="K109" s="106">
        <v>456.88004757226236</v>
      </c>
      <c r="L109" s="106">
        <v>483.39880625913088</v>
      </c>
      <c r="M109" s="106">
        <v>117.26468051895262</v>
      </c>
      <c r="N109" s="106">
        <v>771.13420719869691</v>
      </c>
      <c r="O109" s="106">
        <v>590.81306116698386</v>
      </c>
      <c r="P109" s="106">
        <v>71.754319901915153</v>
      </c>
      <c r="Q109" s="106">
        <v>116.42426492509716</v>
      </c>
      <c r="R109" s="106">
        <v>887.52620654725933</v>
      </c>
      <c r="S109" s="106">
        <v>539.33667701135062</v>
      </c>
      <c r="T109" s="106">
        <v>47.426044895191701</v>
      </c>
      <c r="U109" s="106">
        <v>4.310579642793342E-2</v>
      </c>
      <c r="V109" s="106">
        <v>4.310579642793165E-2</v>
      </c>
      <c r="W109" s="106">
        <v>100.90533167862218</v>
      </c>
      <c r="X109" s="106">
        <v>638.74109702334886</v>
      </c>
      <c r="Y109" s="106">
        <v>435.07869318593134</v>
      </c>
      <c r="Z109" s="106">
        <v>396.52679403810441</v>
      </c>
      <c r="AA109" s="106">
        <v>100.90533167862218</v>
      </c>
      <c r="AB109" s="106">
        <v>638.74109702334886</v>
      </c>
      <c r="AC109" s="106">
        <v>446.52440043242649</v>
      </c>
      <c r="AD109" s="106">
        <v>15.551198823009647</v>
      </c>
      <c r="AE109" s="106">
        <v>455.17734720659809</v>
      </c>
      <c r="AF109" s="106">
        <v>638.74109702334897</v>
      </c>
      <c r="AG109" s="106">
        <v>394.35575180048397</v>
      </c>
      <c r="AH109" s="106">
        <v>369.82321435098555</v>
      </c>
      <c r="AI109" s="106">
        <v>369.82321435098555</v>
      </c>
      <c r="AJ109" s="106">
        <v>15.551198823009647</v>
      </c>
      <c r="AK109" s="106">
        <v>724.09522987896139</v>
      </c>
      <c r="AL109" s="106">
        <v>531.38908030298967</v>
      </c>
      <c r="AM109" s="106">
        <v>100.90533167862218</v>
      </c>
      <c r="AN109" s="106">
        <v>15.551198823009647</v>
      </c>
      <c r="AO109" s="106">
        <v>724.09522987896139</v>
      </c>
      <c r="AP109" s="106">
        <v>765.77008933315881</v>
      </c>
      <c r="AQ109" s="106">
        <v>537.09724428736558</v>
      </c>
      <c r="AR109" s="106">
        <v>403.85603376281637</v>
      </c>
      <c r="AS109" s="106">
        <v>100.90533167862218</v>
      </c>
      <c r="AT109" s="106">
        <v>638.74109702334886</v>
      </c>
      <c r="AU109" s="106">
        <v>444.89066608289556</v>
      </c>
      <c r="AV109" s="106">
        <v>369.82321435098555</v>
      </c>
      <c r="AW109" s="106">
        <v>3.2265576534643563E-2</v>
      </c>
      <c r="AX109" s="106">
        <v>116.42426492509712</v>
      </c>
      <c r="AY109" s="106">
        <v>993.01311255132475</v>
      </c>
    </row>
    <row r="110" spans="1:52">
      <c r="A110" s="109"/>
      <c r="B110" s="119">
        <v>2</v>
      </c>
      <c r="C110" s="106">
        <v>558.84534234709815</v>
      </c>
      <c r="D110" s="106">
        <v>0</v>
      </c>
      <c r="E110" s="106">
        <v>274.31275418862754</v>
      </c>
      <c r="F110" s="106">
        <v>329.98931862997779</v>
      </c>
      <c r="G110" s="106">
        <v>265.49157522257246</v>
      </c>
      <c r="H110" s="106">
        <v>155.58484257442984</v>
      </c>
      <c r="I110" s="106">
        <v>0</v>
      </c>
      <c r="J110" s="106">
        <v>201.61416312543633</v>
      </c>
      <c r="K110" s="106">
        <v>164.99613082460297</v>
      </c>
      <c r="L110" s="106">
        <v>147.87617839686533</v>
      </c>
      <c r="M110" s="106">
        <v>188.27498465599621</v>
      </c>
      <c r="N110" s="106">
        <v>0</v>
      </c>
      <c r="O110" s="106">
        <v>290.13420719869691</v>
      </c>
      <c r="P110" s="106">
        <v>420.94726836568077</v>
      </c>
      <c r="Q110" s="106">
        <v>0.80105299318444168</v>
      </c>
      <c r="R110" s="106">
        <v>0</v>
      </c>
      <c r="S110" s="106">
        <v>337.52620654725933</v>
      </c>
      <c r="T110" s="106">
        <v>437.86288355860995</v>
      </c>
      <c r="U110" s="106">
        <v>47.426044895191701</v>
      </c>
      <c r="V110" s="106">
        <v>2.976785484776201E-15</v>
      </c>
      <c r="W110" s="106">
        <v>0</v>
      </c>
      <c r="X110" s="106">
        <v>0</v>
      </c>
      <c r="Y110" s="106">
        <v>169.74109702334886</v>
      </c>
      <c r="Z110" s="106">
        <v>140.8197902092802</v>
      </c>
      <c r="AA110" s="106">
        <v>0</v>
      </c>
      <c r="AB110" s="106">
        <v>0</v>
      </c>
      <c r="AC110" s="106">
        <v>176.74109702334886</v>
      </c>
      <c r="AD110" s="106">
        <v>123.74093104971752</v>
      </c>
      <c r="AE110" s="106">
        <v>0</v>
      </c>
      <c r="AF110" s="106">
        <v>0</v>
      </c>
      <c r="AG110" s="106">
        <v>201.16742406385174</v>
      </c>
      <c r="AH110" s="106">
        <v>125.52317586433571</v>
      </c>
      <c r="AI110" s="106">
        <v>0</v>
      </c>
      <c r="AJ110" s="106">
        <v>0</v>
      </c>
      <c r="AK110" s="106">
        <v>0</v>
      </c>
      <c r="AL110" s="106">
        <v>177.09522987896139</v>
      </c>
      <c r="AM110" s="106">
        <v>56.684768459486122</v>
      </c>
      <c r="AN110" s="106">
        <v>0</v>
      </c>
      <c r="AO110" s="106">
        <v>0</v>
      </c>
      <c r="AP110" s="106">
        <v>204.09522987896139</v>
      </c>
      <c r="AQ110" s="106">
        <v>555.8653192121202</v>
      </c>
      <c r="AR110" s="106">
        <v>537.09724428736558</v>
      </c>
      <c r="AS110" s="106">
        <v>403.85603376281637</v>
      </c>
      <c r="AT110" s="106">
        <v>0</v>
      </c>
      <c r="AU110" s="106">
        <v>127.74109702334886</v>
      </c>
      <c r="AV110" s="106">
        <v>30.631763106244421</v>
      </c>
      <c r="AW110" s="106">
        <v>0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47.058802301132459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30.859333022508167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33.865319212120198</v>
      </c>
      <c r="AS111" s="106">
        <v>13.053526557016198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824.3596612054514</v>
      </c>
      <c r="D122" s="106">
        <v>824.35879962095316</v>
      </c>
      <c r="E122" s="106">
        <v>806.2627895577416</v>
      </c>
      <c r="F122" s="106">
        <v>824.16439322849249</v>
      </c>
      <c r="G122" s="106">
        <v>7.190500291743282E-2</v>
      </c>
      <c r="H122" s="106">
        <v>1648.2568814540673</v>
      </c>
      <c r="I122" s="106">
        <v>824.16439322849249</v>
      </c>
      <c r="J122" s="106">
        <v>988.97805930927927</v>
      </c>
      <c r="K122" s="106">
        <v>988.97805930927927</v>
      </c>
      <c r="L122" s="106">
        <v>259.45568026998103</v>
      </c>
      <c r="M122" s="106">
        <v>988.97805930927927</v>
      </c>
      <c r="N122" s="106">
        <v>988.97805930927927</v>
      </c>
      <c r="O122" s="106">
        <v>7.190500291743282E-2</v>
      </c>
      <c r="P122" s="106">
        <v>259.45568026998103</v>
      </c>
      <c r="Q122" s="106">
        <v>988.97805930927927</v>
      </c>
      <c r="R122" s="106">
        <v>9.6062824557953647E-2</v>
      </c>
      <c r="S122" s="106">
        <v>9.6062824557953647E-2</v>
      </c>
      <c r="T122" s="106">
        <v>9.6062824557953647E-2</v>
      </c>
      <c r="U122" s="106">
        <v>9.6062824557953647E-2</v>
      </c>
      <c r="V122" s="106">
        <v>224.87117690103923</v>
      </c>
      <c r="W122" s="106">
        <v>824.16439322849249</v>
      </c>
      <c r="X122" s="106">
        <v>824.16439322849249</v>
      </c>
      <c r="Y122" s="106">
        <v>824.16439322849249</v>
      </c>
      <c r="Z122" s="106">
        <v>224.87117690103923</v>
      </c>
      <c r="AA122" s="106">
        <v>824.16439322849249</v>
      </c>
      <c r="AB122" s="106">
        <v>824.16439322849249</v>
      </c>
      <c r="AC122" s="106">
        <v>34.65640837185925</v>
      </c>
      <c r="AD122" s="106">
        <v>224.87117690103923</v>
      </c>
      <c r="AE122" s="106">
        <v>824.16439322849249</v>
      </c>
      <c r="AF122" s="106">
        <v>824.16439322849249</v>
      </c>
      <c r="AG122" s="106">
        <v>824.16439322849249</v>
      </c>
      <c r="AH122" s="106">
        <v>824.16439322849249</v>
      </c>
      <c r="AI122" s="106">
        <v>34.65640837185925</v>
      </c>
      <c r="AJ122" s="106">
        <v>824.16439322849249</v>
      </c>
      <c r="AK122" s="106">
        <v>824.16439322849249</v>
      </c>
      <c r="AL122" s="106">
        <v>224.87117690103923</v>
      </c>
      <c r="AM122" s="106">
        <v>34.65640837185925</v>
      </c>
      <c r="AN122" s="106">
        <v>224.87117690103923</v>
      </c>
      <c r="AO122" s="106">
        <v>824.16439322849249</v>
      </c>
      <c r="AP122" s="106">
        <v>824.16439322849249</v>
      </c>
      <c r="AQ122" s="106">
        <v>824.16439322849249</v>
      </c>
      <c r="AR122" s="106">
        <v>224.87117690103923</v>
      </c>
      <c r="AS122" s="106">
        <v>824.16439322849249</v>
      </c>
      <c r="AT122" s="106">
        <v>824.16439322849249</v>
      </c>
      <c r="AU122" s="106">
        <v>824.16439322849249</v>
      </c>
      <c r="AV122" s="106">
        <v>7.190500291743282E-2</v>
      </c>
      <c r="AW122" s="106">
        <v>259.45568026998092</v>
      </c>
      <c r="AX122" s="106">
        <v>824.16439322849249</v>
      </c>
      <c r="AY122" s="106">
        <v>824.16439322849249</v>
      </c>
    </row>
    <row r="123" spans="1:52">
      <c r="A123" s="109"/>
      <c r="B123" s="119">
        <v>2</v>
      </c>
      <c r="C123" s="106">
        <v>824.28689461803572</v>
      </c>
      <c r="D123" s="106">
        <v>231.24653603777625</v>
      </c>
      <c r="E123" s="106">
        <v>43.928771217379108</v>
      </c>
      <c r="F123" s="106">
        <v>0</v>
      </c>
      <c r="G123" s="106">
        <v>0</v>
      </c>
      <c r="H123" s="106">
        <v>0</v>
      </c>
      <c r="I123" s="106">
        <v>217.41320619484679</v>
      </c>
      <c r="J123" s="106">
        <v>29.195631724172529</v>
      </c>
      <c r="K123" s="106">
        <v>88.29364346118939</v>
      </c>
      <c r="L123" s="106">
        <v>1.8728965113376717</v>
      </c>
      <c r="M123" s="106">
        <v>729.52237903929824</v>
      </c>
      <c r="N123" s="106">
        <v>327.67019091665424</v>
      </c>
      <c r="O123" s="106">
        <v>159.83518905894954</v>
      </c>
      <c r="P123" s="106">
        <v>0</v>
      </c>
      <c r="Q123" s="106">
        <v>0</v>
      </c>
      <c r="R123" s="106">
        <v>472.31282666130107</v>
      </c>
      <c r="S123" s="106">
        <v>5.2957028130021989E-2</v>
      </c>
      <c r="T123" s="106">
        <v>3.9343528435153985E-15</v>
      </c>
      <c r="U123" s="106">
        <v>0</v>
      </c>
      <c r="V123" s="106">
        <v>0</v>
      </c>
      <c r="W123" s="106">
        <v>599.29321632745325</v>
      </c>
      <c r="X123" s="106">
        <v>145.42419197026408</v>
      </c>
      <c r="Y123" s="106">
        <v>59.509892012825162</v>
      </c>
      <c r="Z123" s="106">
        <v>0</v>
      </c>
      <c r="AA123" s="106">
        <v>599.29321632745325</v>
      </c>
      <c r="AB123" s="106">
        <v>170.93136405093816</v>
      </c>
      <c r="AC123" s="106">
        <v>0</v>
      </c>
      <c r="AD123" s="106">
        <v>789.50798485663324</v>
      </c>
      <c r="AE123" s="106">
        <v>599.29321632745337</v>
      </c>
      <c r="AF123" s="106">
        <v>54.67164595630868</v>
      </c>
      <c r="AG123" s="106">
        <v>0</v>
      </c>
      <c r="AH123" s="106">
        <v>0</v>
      </c>
      <c r="AI123" s="106">
        <v>0</v>
      </c>
      <c r="AJ123" s="106">
        <v>789.50798485663324</v>
      </c>
      <c r="AK123" s="106">
        <v>360.05536892120352</v>
      </c>
      <c r="AL123" s="106">
        <v>0</v>
      </c>
      <c r="AM123" s="106">
        <v>0</v>
      </c>
      <c r="AN123" s="106">
        <v>789.50798485663324</v>
      </c>
      <c r="AO123" s="106">
        <v>723.25906154987035</v>
      </c>
      <c r="AP123" s="106">
        <v>372.77621857064457</v>
      </c>
      <c r="AQ123" s="106">
        <v>75.843367511771419</v>
      </c>
      <c r="AR123" s="106">
        <v>0</v>
      </c>
      <c r="AS123" s="106">
        <v>599.29321632745325</v>
      </c>
      <c r="AT123" s="106">
        <v>167.29052803354358</v>
      </c>
      <c r="AU123" s="106">
        <v>0</v>
      </c>
      <c r="AV123" s="106">
        <v>0</v>
      </c>
      <c r="AW123" s="106">
        <v>0</v>
      </c>
      <c r="AX123" s="106">
        <v>1388.8012011840865</v>
      </c>
      <c r="AY123" s="106">
        <v>454.34117887750688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988.90615430636183</v>
      </c>
      <c r="R124" s="106">
        <v>729.52237903929824</v>
      </c>
      <c r="S124" s="106">
        <v>105.54163448567658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599.29321632745325</v>
      </c>
      <c r="AO124" s="106">
        <v>159.12285312544066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44.921832063250235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0.44782961610582783</v>
      </c>
      <c r="D172" s="134">
        <v>0.44872505702688764</v>
      </c>
      <c r="E172" s="134">
        <v>0.44872505702688764</v>
      </c>
      <c r="F172" s="134">
        <v>0.44872505702688764</v>
      </c>
      <c r="G172" s="134">
        <v>0.44872505702688764</v>
      </c>
      <c r="H172" s="134">
        <v>0.44872505702688764</v>
      </c>
      <c r="I172" s="134">
        <v>0.44872505702688764</v>
      </c>
      <c r="J172" s="134">
        <v>0.44872505702688764</v>
      </c>
      <c r="K172" s="134">
        <v>0.44872505702688764</v>
      </c>
      <c r="L172" s="134">
        <v>0.44872505702688764</v>
      </c>
      <c r="M172" s="134">
        <v>0.44872505702688764</v>
      </c>
      <c r="N172" s="134">
        <v>0.44872505702688764</v>
      </c>
      <c r="O172" s="134">
        <v>0.44872505702688764</v>
      </c>
      <c r="P172" s="134">
        <v>0.44872505702688764</v>
      </c>
      <c r="Q172" s="134">
        <v>0.44872505702688764</v>
      </c>
      <c r="R172" s="134">
        <v>0.44872505702688764</v>
      </c>
      <c r="S172" s="134">
        <v>0.44872505702688764</v>
      </c>
      <c r="T172" s="134">
        <v>0.44872505702688764</v>
      </c>
      <c r="U172" s="134">
        <v>0.44872505702688764</v>
      </c>
      <c r="V172" s="134">
        <v>0.44872505702688764</v>
      </c>
      <c r="W172" s="134">
        <v>0.44872505702688764</v>
      </c>
      <c r="X172" s="134">
        <v>0.44872505702688764</v>
      </c>
      <c r="Y172" s="134">
        <v>0.44872505702688764</v>
      </c>
      <c r="Z172" s="134">
        <v>0.44872505702688764</v>
      </c>
      <c r="AA172" s="134">
        <v>0.44872505702688764</v>
      </c>
      <c r="AB172" s="134">
        <v>0.44872505702688764</v>
      </c>
      <c r="AC172" s="134">
        <v>0.44872505702688764</v>
      </c>
      <c r="AD172" s="134">
        <v>0.44872505702688764</v>
      </c>
      <c r="AE172" s="134">
        <v>0.44872505702688764</v>
      </c>
      <c r="AF172" s="134">
        <v>0.44872505702688764</v>
      </c>
      <c r="AG172" s="134">
        <v>0.44872505702688764</v>
      </c>
      <c r="AH172" s="134">
        <v>0.44872505702688764</v>
      </c>
      <c r="AI172" s="134">
        <v>0.44872505702688764</v>
      </c>
      <c r="AJ172" s="134">
        <v>0.44872505702688764</v>
      </c>
      <c r="AK172" s="134">
        <v>0.44872505702688764</v>
      </c>
      <c r="AL172" s="134">
        <v>0.44872505702688764</v>
      </c>
      <c r="AM172" s="134">
        <v>0.44872505702688764</v>
      </c>
      <c r="AN172" s="134">
        <v>0.44872505702688764</v>
      </c>
      <c r="AO172" s="134">
        <v>0.44872505702688764</v>
      </c>
      <c r="AP172" s="134">
        <v>0.44872505702688764</v>
      </c>
      <c r="AQ172" s="134">
        <v>0.44872505702688764</v>
      </c>
      <c r="AR172" s="134">
        <v>0.44872505702688764</v>
      </c>
      <c r="AS172" s="134">
        <v>0.44872505702688764</v>
      </c>
      <c r="AT172" s="134">
        <v>0.44872505702688764</v>
      </c>
      <c r="AU172" s="134">
        <v>0.44872505702688764</v>
      </c>
      <c r="AV172" s="134">
        <v>0.44872505702688764</v>
      </c>
      <c r="AW172" s="134">
        <v>0.44872505702688764</v>
      </c>
      <c r="AX172" s="134">
        <v>0.44872505702688764</v>
      </c>
      <c r="AY172" s="134">
        <v>0.44872505702688764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1053.3294308751972</v>
      </c>
      <c r="E175" s="124">
        <f t="shared" si="1"/>
        <v>1053.3294308751972</v>
      </c>
      <c r="F175" s="124">
        <f t="shared" si="1"/>
        <v>1059.6588617503944</v>
      </c>
      <c r="G175" s="124">
        <f t="shared" si="1"/>
        <v>1141.9882926255916</v>
      </c>
      <c r="H175" s="124">
        <f t="shared" si="1"/>
        <v>1263.9891414947294</v>
      </c>
      <c r="I175" s="124">
        <f t="shared" si="1"/>
        <v>1624.9782829894589</v>
      </c>
      <c r="J175" s="124">
        <f t="shared" si="1"/>
        <v>1715.9674244841883</v>
      </c>
      <c r="K175" s="124">
        <f t="shared" si="1"/>
        <v>1740.9565659789178</v>
      </c>
      <c r="L175" s="124">
        <f t="shared" si="1"/>
        <v>1958.9457074736472</v>
      </c>
      <c r="M175" s="124">
        <f t="shared" si="1"/>
        <v>1423.2163757275989</v>
      </c>
      <c r="N175" s="124">
        <f t="shared" si="1"/>
        <v>1300.7456150286419</v>
      </c>
      <c r="O175" s="124">
        <f t="shared" si="1"/>
        <v>1473.7347565233713</v>
      </c>
      <c r="P175" s="124">
        <f t="shared" si="1"/>
        <v>353.76563430090641</v>
      </c>
      <c r="Q175" s="124">
        <f t="shared" si="1"/>
        <v>3.0877777535121838E-2</v>
      </c>
      <c r="R175" s="124">
        <f t="shared" si="1"/>
        <v>3.0877777535121838E-2</v>
      </c>
      <c r="S175" s="124">
        <f t="shared" si="1"/>
        <v>3.0877777535121838E-2</v>
      </c>
      <c r="T175" s="124">
        <f t="shared" si="1"/>
        <v>1053.3294308751972</v>
      </c>
      <c r="U175" s="124">
        <f t="shared" si="1"/>
        <v>1079.6588617503944</v>
      </c>
      <c r="V175" s="124">
        <f t="shared" si="1"/>
        <v>1053.3294308751972</v>
      </c>
      <c r="W175" s="124">
        <f t="shared" si="1"/>
        <v>1053.3294308751972</v>
      </c>
      <c r="X175" s="124">
        <f t="shared" si="1"/>
        <v>1053.3294308751972</v>
      </c>
      <c r="Y175" s="124">
        <f t="shared" si="1"/>
        <v>1053.3294308751972</v>
      </c>
      <c r="Z175" s="124">
        <f t="shared" si="1"/>
        <v>1053.3294308751972</v>
      </c>
      <c r="AA175" s="124">
        <f t="shared" si="1"/>
        <v>1123.6588617503944</v>
      </c>
      <c r="AB175" s="124">
        <f t="shared" si="1"/>
        <v>1053.3294308751972</v>
      </c>
      <c r="AC175" s="124">
        <f t="shared" si="1"/>
        <v>1157.6588617503944</v>
      </c>
      <c r="AD175" s="124">
        <f t="shared" si="1"/>
        <v>1076.9882926255916</v>
      </c>
      <c r="AE175" s="124">
        <f t="shared" si="1"/>
        <v>1169.3177235007888</v>
      </c>
      <c r="AF175" s="124">
        <f t="shared" si="1"/>
        <v>1202.647154375986</v>
      </c>
      <c r="AG175" s="124">
        <f t="shared" si="1"/>
        <v>1082.9765852511832</v>
      </c>
      <c r="AH175" s="124">
        <f t="shared" si="1"/>
        <v>1053.3294308751972</v>
      </c>
      <c r="AI175" s="124">
        <f t="shared" si="1"/>
        <v>1053.3294308751972</v>
      </c>
      <c r="AJ175" s="124">
        <f t="shared" si="1"/>
        <v>1053.3294308751972</v>
      </c>
      <c r="AK175" s="124">
        <f t="shared" si="1"/>
        <v>1053.3294308751972</v>
      </c>
      <c r="AL175" s="124">
        <f t="shared" si="1"/>
        <v>1053.3294308751972</v>
      </c>
      <c r="AM175" s="124">
        <f t="shared" si="1"/>
        <v>1138.6588617503944</v>
      </c>
      <c r="AN175" s="124">
        <f t="shared" si="1"/>
        <v>1193.9882926255916</v>
      </c>
      <c r="AO175" s="124">
        <f t="shared" si="1"/>
        <v>1070.5348288735504</v>
      </c>
      <c r="AP175" s="124">
        <f t="shared" si="1"/>
        <v>1114.8642597487476</v>
      </c>
      <c r="AQ175" s="124">
        <f t="shared" si="1"/>
        <v>1198.1936906239448</v>
      </c>
      <c r="AR175" s="124">
        <f t="shared" si="1"/>
        <v>1053.3294308751972</v>
      </c>
      <c r="AS175" s="124">
        <f t="shared" si="1"/>
        <v>1078.6588617503944</v>
      </c>
      <c r="AT175" s="124">
        <f t="shared" si="1"/>
        <v>1053.3294308751972</v>
      </c>
      <c r="AU175" s="124">
        <f t="shared" si="1"/>
        <v>1122.6588617503944</v>
      </c>
      <c r="AV175" s="124">
        <f t="shared" si="1"/>
        <v>1061.9882926255916</v>
      </c>
      <c r="AW175" s="124">
        <f t="shared" si="1"/>
        <v>1144.3177235007888</v>
      </c>
      <c r="AX175" s="124">
        <f t="shared" si="1"/>
        <v>1044.3964718377945</v>
      </c>
      <c r="AY175" s="124">
        <f t="shared" si="1"/>
        <v>1075.735849935741</v>
      </c>
    </row>
    <row r="176" spans="1:52">
      <c r="A176" s="125"/>
      <c r="B176" s="136" t="s">
        <v>299</v>
      </c>
      <c r="C176" s="125" t="s">
        <v>293</v>
      </c>
      <c r="D176" s="125">
        <v>1053.3294308751972</v>
      </c>
      <c r="E176" s="125">
        <v>1047</v>
      </c>
      <c r="F176" s="125">
        <v>971</v>
      </c>
      <c r="G176" s="125">
        <v>1141.9882926255916</v>
      </c>
      <c r="H176" s="125">
        <v>903</v>
      </c>
      <c r="I176" s="125">
        <v>1173</v>
      </c>
      <c r="J176" s="125">
        <v>1239</v>
      </c>
      <c r="K176" s="125">
        <v>1046</v>
      </c>
      <c r="L176" s="125">
        <v>1029</v>
      </c>
      <c r="M176" s="125">
        <v>1112</v>
      </c>
      <c r="N176" s="125">
        <v>1091</v>
      </c>
      <c r="O176" s="125">
        <v>1120</v>
      </c>
      <c r="P176" s="125">
        <v>353.76563430090641</v>
      </c>
      <c r="Q176" s="125">
        <v>3.0877777535121838E-2</v>
      </c>
      <c r="R176" s="125">
        <v>3.0877777535121838E-2</v>
      </c>
      <c r="S176" s="125">
        <v>3.0877777535121838E-2</v>
      </c>
      <c r="T176" s="125">
        <v>1027</v>
      </c>
      <c r="U176" s="125">
        <v>1079.6588617503944</v>
      </c>
      <c r="V176" s="125">
        <v>1053.3294308751972</v>
      </c>
      <c r="W176" s="125">
        <v>1053.3294308751972</v>
      </c>
      <c r="X176" s="125">
        <v>1053.3294308751972</v>
      </c>
      <c r="Y176" s="125">
        <v>1053.3294308751972</v>
      </c>
      <c r="Z176" s="125">
        <v>983</v>
      </c>
      <c r="AA176" s="125">
        <v>1123.6588617503944</v>
      </c>
      <c r="AB176" s="125">
        <v>949</v>
      </c>
      <c r="AC176" s="125">
        <v>1134</v>
      </c>
      <c r="AD176" s="125">
        <v>961</v>
      </c>
      <c r="AE176" s="125">
        <v>1020</v>
      </c>
      <c r="AF176" s="125">
        <v>1173</v>
      </c>
      <c r="AG176" s="125">
        <v>1082.9765852511832</v>
      </c>
      <c r="AH176" s="125">
        <v>1053.3294308751972</v>
      </c>
      <c r="AI176" s="125">
        <v>1053.3294308751972</v>
      </c>
      <c r="AJ176" s="125">
        <v>1053.3294308751972</v>
      </c>
      <c r="AK176" s="125">
        <v>1053.3294308751972</v>
      </c>
      <c r="AL176" s="125">
        <v>968</v>
      </c>
      <c r="AM176" s="125">
        <v>998</v>
      </c>
      <c r="AN176" s="125">
        <v>1115</v>
      </c>
      <c r="AO176" s="125">
        <v>1009</v>
      </c>
      <c r="AP176" s="125">
        <v>970</v>
      </c>
      <c r="AQ176" s="125">
        <v>1198.1936906239448</v>
      </c>
      <c r="AR176" s="125">
        <v>1028</v>
      </c>
      <c r="AS176" s="125">
        <v>1078.6588617503944</v>
      </c>
      <c r="AT176" s="125">
        <v>984</v>
      </c>
      <c r="AU176" s="125">
        <v>1114</v>
      </c>
      <c r="AV176" s="125">
        <v>971</v>
      </c>
      <c r="AW176" s="125">
        <v>1116</v>
      </c>
      <c r="AX176" s="125">
        <v>955</v>
      </c>
      <c r="AY176" s="125">
        <v>977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1137.4397464103085</v>
      </c>
      <c r="E177" s="124">
        <f t="shared" si="2"/>
        <v>1097.894161377953</v>
      </c>
      <c r="F177" s="124">
        <f t="shared" si="2"/>
        <v>1043.5041258971082</v>
      </c>
      <c r="G177" s="124">
        <f t="shared" si="2"/>
        <v>371.50412589710822</v>
      </c>
      <c r="H177" s="124">
        <f t="shared" si="2"/>
        <v>1211.2199290383103</v>
      </c>
      <c r="I177" s="124">
        <f t="shared" si="2"/>
        <v>1293.8298935574653</v>
      </c>
      <c r="J177" s="124">
        <f t="shared" si="2"/>
        <v>1361.5583003553177</v>
      </c>
      <c r="K177" s="124">
        <f t="shared" si="2"/>
        <v>1346.28670715317</v>
      </c>
      <c r="L177" s="124">
        <f t="shared" si="2"/>
        <v>895.90293188610644</v>
      </c>
      <c r="M177" s="124">
        <f t="shared" si="2"/>
        <v>1552.7435207488747</v>
      </c>
      <c r="N177" s="124">
        <f t="shared" si="2"/>
        <v>1611.4719275467273</v>
      </c>
      <c r="O177" s="124">
        <f t="shared" si="2"/>
        <v>800.47192754672722</v>
      </c>
      <c r="P177" s="124">
        <f t="shared" si="2"/>
        <v>222.08815227966357</v>
      </c>
      <c r="Q177" s="124">
        <f t="shared" si="2"/>
        <v>1453.4568135957047</v>
      </c>
      <c r="R177" s="124">
        <f t="shared" si="2"/>
        <v>1365.5867487862899</v>
      </c>
      <c r="S177" s="124">
        <f t="shared" si="2"/>
        <v>630.60450191195923</v>
      </c>
      <c r="T177" s="124">
        <f t="shared" si="2"/>
        <v>1.7753125669277104E-2</v>
      </c>
      <c r="U177" s="124">
        <f t="shared" si="2"/>
        <v>1.7753125669277104E-2</v>
      </c>
      <c r="V177" s="124">
        <f t="shared" si="2"/>
        <v>165.20072810187813</v>
      </c>
      <c r="W177" s="124">
        <f t="shared" si="2"/>
        <v>1046.0192009364323</v>
      </c>
      <c r="X177" s="124">
        <f t="shared" si="2"/>
        <v>1037.6291654555873</v>
      </c>
      <c r="Y177" s="124">
        <f t="shared" si="2"/>
        <v>904.23912997474247</v>
      </c>
      <c r="Z177" s="124">
        <f t="shared" si="2"/>
        <v>440.43985807662057</v>
      </c>
      <c r="AA177" s="124">
        <f t="shared" si="2"/>
        <v>1046.0192009364323</v>
      </c>
      <c r="AB177" s="124">
        <f t="shared" si="2"/>
        <v>964.62916545558733</v>
      </c>
      <c r="AC177" s="124">
        <f t="shared" si="2"/>
        <v>287.04466208664553</v>
      </c>
      <c r="AD177" s="124">
        <f t="shared" si="2"/>
        <v>745.39519598997504</v>
      </c>
      <c r="AE177" s="124">
        <f t="shared" si="2"/>
        <v>1046.0192009364323</v>
      </c>
      <c r="AF177" s="124">
        <f t="shared" si="2"/>
        <v>826.62916545558733</v>
      </c>
      <c r="AG177" s="124">
        <f t="shared" si="2"/>
        <v>605.60996451915514</v>
      </c>
      <c r="AH177" s="124">
        <f t="shared" si="2"/>
        <v>626.21992903831028</v>
      </c>
      <c r="AI177" s="124">
        <f t="shared" si="2"/>
        <v>25.415496631058183</v>
      </c>
      <c r="AJ177" s="124">
        <f t="shared" si="2"/>
        <v>1185.8044324072521</v>
      </c>
      <c r="AK177" s="124">
        <f t="shared" si="2"/>
        <v>1039.4143969264073</v>
      </c>
      <c r="AL177" s="124">
        <f t="shared" si="2"/>
        <v>469.61512502828532</v>
      </c>
      <c r="AM177" s="124">
        <f t="shared" si="2"/>
        <v>25.415496631058211</v>
      </c>
      <c r="AN177" s="124">
        <f t="shared" si="2"/>
        <v>1185.8044324072521</v>
      </c>
      <c r="AO177" s="124">
        <f t="shared" si="2"/>
        <v>1498.8236333436844</v>
      </c>
      <c r="AP177" s="124">
        <f t="shared" si="2"/>
        <v>1306.4335978628394</v>
      </c>
      <c r="AQ177" s="124">
        <f t="shared" si="2"/>
        <v>1113.0435623819944</v>
      </c>
      <c r="AR177" s="124">
        <f t="shared" si="2"/>
        <v>527.24429048387265</v>
      </c>
      <c r="AS177" s="124">
        <f t="shared" si="2"/>
        <v>1046.0192009364323</v>
      </c>
      <c r="AT177" s="124">
        <f t="shared" si="2"/>
        <v>1017.6291654555873</v>
      </c>
      <c r="AU177" s="124">
        <f t="shared" si="2"/>
        <v>855.23912997474247</v>
      </c>
      <c r="AV177" s="124">
        <f t="shared" si="2"/>
        <v>74.239129974742468</v>
      </c>
      <c r="AW177" s="124">
        <f t="shared" si="2"/>
        <v>190.61622473293647</v>
      </c>
      <c r="AX177" s="124">
        <f t="shared" si="2"/>
        <v>1626.2136688245291</v>
      </c>
      <c r="AY177" s="124">
        <f t="shared" si="2"/>
        <v>1607.8236333436842</v>
      </c>
    </row>
    <row r="178" spans="1:51">
      <c r="A178" s="125"/>
      <c r="B178" s="136" t="s">
        <v>299</v>
      </c>
      <c r="C178" s="125" t="s">
        <v>293</v>
      </c>
      <c r="D178" s="125">
        <v>632</v>
      </c>
      <c r="E178" s="125">
        <v>660</v>
      </c>
      <c r="F178" s="125">
        <v>672</v>
      </c>
      <c r="G178" s="125">
        <v>371.50412589710822</v>
      </c>
      <c r="H178" s="125">
        <v>523</v>
      </c>
      <c r="I178" s="125">
        <v>659</v>
      </c>
      <c r="J178" s="125">
        <v>742</v>
      </c>
      <c r="K178" s="125">
        <v>641</v>
      </c>
      <c r="L178" s="125">
        <v>606</v>
      </c>
      <c r="M178" s="125">
        <v>668</v>
      </c>
      <c r="N178" s="125">
        <v>811</v>
      </c>
      <c r="O178" s="125">
        <v>769</v>
      </c>
      <c r="P178" s="125">
        <v>222.08815227966357</v>
      </c>
      <c r="Q178" s="125">
        <v>624</v>
      </c>
      <c r="R178" s="125">
        <v>735</v>
      </c>
      <c r="S178" s="125">
        <v>630.60450191195923</v>
      </c>
      <c r="T178" s="125">
        <v>1.7753125669277104E-2</v>
      </c>
      <c r="U178" s="125">
        <v>1.7753125669277104E-2</v>
      </c>
      <c r="V178" s="125">
        <v>165.20072810187813</v>
      </c>
      <c r="W178" s="125">
        <v>614</v>
      </c>
      <c r="X178" s="125">
        <v>739</v>
      </c>
      <c r="Y178" s="125">
        <v>629</v>
      </c>
      <c r="Z178" s="125">
        <v>440.43985807662057</v>
      </c>
      <c r="AA178" s="125">
        <v>687</v>
      </c>
      <c r="AB178" s="125">
        <v>703</v>
      </c>
      <c r="AC178" s="125">
        <v>287.04466208664553</v>
      </c>
      <c r="AD178" s="125">
        <v>745.39519598997504</v>
      </c>
      <c r="AE178" s="125">
        <v>825</v>
      </c>
      <c r="AF178" s="125">
        <v>826.62916545558733</v>
      </c>
      <c r="AG178" s="125">
        <v>585</v>
      </c>
      <c r="AH178" s="125">
        <v>626.21992903831028</v>
      </c>
      <c r="AI178" s="125">
        <v>25.415496631058183</v>
      </c>
      <c r="AJ178" s="125">
        <v>752</v>
      </c>
      <c r="AK178" s="125">
        <v>735</v>
      </c>
      <c r="AL178" s="125">
        <v>469.61512502828532</v>
      </c>
      <c r="AM178" s="125">
        <v>25.415496631058211</v>
      </c>
      <c r="AN178" s="125">
        <v>733</v>
      </c>
      <c r="AO178" s="125">
        <v>798</v>
      </c>
      <c r="AP178" s="125">
        <v>799</v>
      </c>
      <c r="AQ178" s="125">
        <v>751</v>
      </c>
      <c r="AR178" s="125">
        <v>527.24429048387265</v>
      </c>
      <c r="AS178" s="125">
        <v>634</v>
      </c>
      <c r="AT178" s="125">
        <v>768</v>
      </c>
      <c r="AU178" s="125">
        <v>781</v>
      </c>
      <c r="AV178" s="125">
        <v>74.239129974742468</v>
      </c>
      <c r="AW178" s="125">
        <v>190.61622473293647</v>
      </c>
      <c r="AX178" s="125">
        <v>624</v>
      </c>
      <c r="AY178" s="125">
        <v>640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738.31275418862754</v>
      </c>
      <c r="E179" s="124">
        <f t="shared" si="3"/>
        <v>747.98931862997779</v>
      </c>
      <c r="F179" s="124">
        <f t="shared" si="3"/>
        <v>711.49157522257246</v>
      </c>
      <c r="G179" s="124">
        <f t="shared" si="3"/>
        <v>635.31478957355807</v>
      </c>
      <c r="H179" s="124">
        <f t="shared" si="3"/>
        <v>155.6171081509645</v>
      </c>
      <c r="I179" s="124">
        <f t="shared" si="3"/>
        <v>739.61416312543633</v>
      </c>
      <c r="J179" s="124">
        <f t="shared" si="3"/>
        <v>668.99613082460291</v>
      </c>
      <c r="K179" s="124">
        <f t="shared" si="3"/>
        <v>621.87617839686527</v>
      </c>
      <c r="L179" s="124">
        <f t="shared" si="3"/>
        <v>631.27498465599615</v>
      </c>
      <c r="M179" s="124">
        <f t="shared" si="3"/>
        <v>305.53966517494882</v>
      </c>
      <c r="N179" s="124">
        <f t="shared" si="3"/>
        <v>771.13420719869691</v>
      </c>
      <c r="O179" s="124">
        <f t="shared" si="3"/>
        <v>880.94726836568077</v>
      </c>
      <c r="P179" s="124">
        <f t="shared" si="3"/>
        <v>492.70158826759592</v>
      </c>
      <c r="Q179" s="124">
        <f t="shared" si="3"/>
        <v>117.2253179182816</v>
      </c>
      <c r="R179" s="124">
        <f t="shared" si="3"/>
        <v>887.52620654725933</v>
      </c>
      <c r="S179" s="124">
        <f t="shared" si="3"/>
        <v>876.86288355860995</v>
      </c>
      <c r="T179" s="124">
        <f t="shared" si="3"/>
        <v>485.28892845380165</v>
      </c>
      <c r="U179" s="124">
        <f t="shared" si="3"/>
        <v>78.328483714127799</v>
      </c>
      <c r="V179" s="124">
        <f t="shared" si="3"/>
        <v>4.3105796427934627E-2</v>
      </c>
      <c r="W179" s="124">
        <f t="shared" si="3"/>
        <v>100.90533167862218</v>
      </c>
      <c r="X179" s="124">
        <f t="shared" si="3"/>
        <v>638.74109702334886</v>
      </c>
      <c r="Y179" s="124">
        <f t="shared" si="3"/>
        <v>604.8197902092802</v>
      </c>
      <c r="Z179" s="124">
        <f t="shared" si="3"/>
        <v>537.34658424738461</v>
      </c>
      <c r="AA179" s="124">
        <f t="shared" si="3"/>
        <v>100.90533167862218</v>
      </c>
      <c r="AB179" s="124">
        <f t="shared" si="3"/>
        <v>638.74109702334886</v>
      </c>
      <c r="AC179" s="124">
        <f t="shared" si="3"/>
        <v>623.2654974557754</v>
      </c>
      <c r="AD179" s="124">
        <f t="shared" si="3"/>
        <v>139.29212987272717</v>
      </c>
      <c r="AE179" s="124">
        <f t="shared" si="3"/>
        <v>455.17734720659809</v>
      </c>
      <c r="AF179" s="124">
        <f t="shared" si="3"/>
        <v>638.74109702334897</v>
      </c>
      <c r="AG179" s="124">
        <f t="shared" si="3"/>
        <v>595.52317586433571</v>
      </c>
      <c r="AH179" s="124">
        <f t="shared" si="3"/>
        <v>495.34639021532126</v>
      </c>
      <c r="AI179" s="124">
        <f t="shared" si="3"/>
        <v>369.82321435098555</v>
      </c>
      <c r="AJ179" s="124">
        <f t="shared" si="3"/>
        <v>15.551198823009647</v>
      </c>
      <c r="AK179" s="124">
        <f t="shared" si="3"/>
        <v>724.09522987896139</v>
      </c>
      <c r="AL179" s="124">
        <f t="shared" si="3"/>
        <v>708.48431018195106</v>
      </c>
      <c r="AM179" s="124">
        <f t="shared" si="3"/>
        <v>157.59010013810831</v>
      </c>
      <c r="AN179" s="124">
        <f t="shared" si="3"/>
        <v>15.551198823009647</v>
      </c>
      <c r="AO179" s="124">
        <f t="shared" si="3"/>
        <v>724.09522987896139</v>
      </c>
      <c r="AP179" s="124">
        <f t="shared" si="3"/>
        <v>969.8653192121202</v>
      </c>
      <c r="AQ179" s="124">
        <f t="shared" si="3"/>
        <v>1092.9625634994859</v>
      </c>
      <c r="AR179" s="124">
        <f t="shared" si="3"/>
        <v>974.81859726230221</v>
      </c>
      <c r="AS179" s="124">
        <f t="shared" si="3"/>
        <v>517.81489199845475</v>
      </c>
      <c r="AT179" s="124">
        <f t="shared" si="3"/>
        <v>638.74109702334886</v>
      </c>
      <c r="AU179" s="124">
        <f t="shared" si="3"/>
        <v>572.63176310624442</v>
      </c>
      <c r="AV179" s="124">
        <f t="shared" si="3"/>
        <v>400.45497745722997</v>
      </c>
      <c r="AW179" s="124">
        <f t="shared" si="3"/>
        <v>3.2265576534643563E-2</v>
      </c>
      <c r="AX179" s="124">
        <f t="shared" si="3"/>
        <v>116.42426492509712</v>
      </c>
      <c r="AY179" s="124">
        <f t="shared" si="3"/>
        <v>993.01311255132475</v>
      </c>
    </row>
    <row r="180" spans="1:51">
      <c r="A180" s="125"/>
      <c r="B180" s="136" t="s">
        <v>299</v>
      </c>
      <c r="C180" s="125" t="s">
        <v>293</v>
      </c>
      <c r="D180" s="125">
        <v>464</v>
      </c>
      <c r="E180" s="125">
        <v>418</v>
      </c>
      <c r="F180" s="125">
        <v>446</v>
      </c>
      <c r="G180" s="125">
        <v>479.72994699912817</v>
      </c>
      <c r="H180" s="125">
        <v>155.6171081509645</v>
      </c>
      <c r="I180" s="125">
        <v>538</v>
      </c>
      <c r="J180" s="125">
        <v>504</v>
      </c>
      <c r="K180" s="125">
        <v>474</v>
      </c>
      <c r="L180" s="125">
        <v>443</v>
      </c>
      <c r="M180" s="125">
        <v>305.53966517494882</v>
      </c>
      <c r="N180" s="125">
        <v>481</v>
      </c>
      <c r="O180" s="125">
        <v>460</v>
      </c>
      <c r="P180" s="125">
        <v>491.90053527441148</v>
      </c>
      <c r="Q180" s="125">
        <v>117.2253179182816</v>
      </c>
      <c r="R180" s="125">
        <v>550</v>
      </c>
      <c r="S180" s="125">
        <v>439</v>
      </c>
      <c r="T180" s="125">
        <v>407.00355053610178</v>
      </c>
      <c r="U180" s="125">
        <v>78.328483714127799</v>
      </c>
      <c r="V180" s="125">
        <v>4.3105796427934627E-2</v>
      </c>
      <c r="W180" s="125">
        <v>100.90533167862218</v>
      </c>
      <c r="X180" s="125">
        <v>469</v>
      </c>
      <c r="Y180" s="125">
        <v>464</v>
      </c>
      <c r="Z180" s="125">
        <v>537.34658424738461</v>
      </c>
      <c r="AA180" s="125">
        <v>100.90533167862218</v>
      </c>
      <c r="AB180" s="125">
        <v>462</v>
      </c>
      <c r="AC180" s="125">
        <v>499.52456640605783</v>
      </c>
      <c r="AD180" s="125">
        <v>139.29212987272717</v>
      </c>
      <c r="AE180" s="125">
        <v>455.17734720659809</v>
      </c>
      <c r="AF180" s="125">
        <v>437.57367295949723</v>
      </c>
      <c r="AG180" s="125">
        <v>470</v>
      </c>
      <c r="AH180" s="125">
        <v>495.34639021532126</v>
      </c>
      <c r="AI180" s="125">
        <v>369.82321435098555</v>
      </c>
      <c r="AJ180" s="125">
        <v>15.551198823009647</v>
      </c>
      <c r="AK180" s="125">
        <v>547</v>
      </c>
      <c r="AL180" s="125">
        <v>651.79954172246494</v>
      </c>
      <c r="AM180" s="125">
        <v>157.59010013810831</v>
      </c>
      <c r="AN180" s="125">
        <v>15.551198823009647</v>
      </c>
      <c r="AO180" s="125">
        <v>520</v>
      </c>
      <c r="AP180" s="125">
        <v>414</v>
      </c>
      <c r="AQ180" s="125">
        <v>522</v>
      </c>
      <c r="AR180" s="125">
        <v>557.90903694246958</v>
      </c>
      <c r="AS180" s="125">
        <v>517.81489199845475</v>
      </c>
      <c r="AT180" s="125">
        <v>511</v>
      </c>
      <c r="AU180" s="125">
        <v>542</v>
      </c>
      <c r="AV180" s="125">
        <v>400.45497745722997</v>
      </c>
      <c r="AW180" s="125">
        <v>3.2265576534643563E-2</v>
      </c>
      <c r="AX180" s="125">
        <v>116.42426492509712</v>
      </c>
      <c r="AY180" s="125">
        <v>461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581.92877121737911</v>
      </c>
      <c r="E181" s="124">
        <f t="shared" si="4"/>
        <v>468.68930418252603</v>
      </c>
      <c r="F181" s="124">
        <f t="shared" si="4"/>
        <v>454.34117887750688</v>
      </c>
      <c r="G181" s="124">
        <f t="shared" si="4"/>
        <v>3.963942638278925E-2</v>
      </c>
      <c r="H181" s="124">
        <f t="shared" si="4"/>
        <v>908.64271832863085</v>
      </c>
      <c r="I181" s="124">
        <f t="shared" si="4"/>
        <v>574.19563172417259</v>
      </c>
      <c r="J181" s="124">
        <f t="shared" si="4"/>
        <v>561.29364346118939</v>
      </c>
      <c r="K181" s="124">
        <f t="shared" si="4"/>
        <v>593.87289651133767</v>
      </c>
      <c r="L181" s="124">
        <f t="shared" si="4"/>
        <v>144.06389626236606</v>
      </c>
      <c r="M181" s="124">
        <f t="shared" si="4"/>
        <v>947.3662311498806</v>
      </c>
      <c r="N181" s="124">
        <f t="shared" si="4"/>
        <v>725.8351890589496</v>
      </c>
      <c r="O181" s="124">
        <f t="shared" si="4"/>
        <v>88.152774159951832</v>
      </c>
      <c r="P181" s="124">
        <f t="shared" si="4"/>
        <v>143.03141534488384</v>
      </c>
      <c r="Q181" s="124">
        <f t="shared" si="4"/>
        <v>1090.3580070683815</v>
      </c>
      <c r="R181" s="124">
        <f t="shared" si="4"/>
        <v>662.59459151380656</v>
      </c>
      <c r="S181" s="124">
        <f t="shared" si="4"/>
        <v>58.264609443172844</v>
      </c>
      <c r="T181" s="124">
        <f t="shared" si="4"/>
        <v>5.2957028130024161E-2</v>
      </c>
      <c r="U181" s="124">
        <f t="shared" si="4"/>
        <v>5.2957028130021989E-2</v>
      </c>
      <c r="V181" s="124">
        <f t="shared" si="4"/>
        <v>123.96584522241706</v>
      </c>
      <c r="W181" s="124">
        <f t="shared" si="4"/>
        <v>784.71651253259677</v>
      </c>
      <c r="X181" s="124">
        <f t="shared" si="4"/>
        <v>534.50989201282516</v>
      </c>
      <c r="Y181" s="124">
        <f t="shared" si="4"/>
        <v>487.14749120321318</v>
      </c>
      <c r="Z181" s="124">
        <f t="shared" si="4"/>
        <v>123.96584522241706</v>
      </c>
      <c r="AA181" s="124">
        <f t="shared" si="4"/>
        <v>784.71651253259677</v>
      </c>
      <c r="AB181" s="124">
        <f t="shared" si="4"/>
        <v>548.57135684700415</v>
      </c>
      <c r="AC181" s="124">
        <f t="shared" si="4"/>
        <v>19.105209548849601</v>
      </c>
      <c r="AD181" s="124">
        <f t="shared" si="4"/>
        <v>559.20181455107434</v>
      </c>
      <c r="AE181" s="124">
        <f t="shared" si="4"/>
        <v>784.71651253259688</v>
      </c>
      <c r="AF181" s="124">
        <f t="shared" si="4"/>
        <v>484.48028738431714</v>
      </c>
      <c r="AG181" s="124">
        <f t="shared" si="4"/>
        <v>454.34117887750688</v>
      </c>
      <c r="AH181" s="124">
        <f t="shared" si="4"/>
        <v>454.34117887750688</v>
      </c>
      <c r="AI181" s="124">
        <f t="shared" si="4"/>
        <v>19.105209548849601</v>
      </c>
      <c r="AJ181" s="124">
        <f t="shared" si="4"/>
        <v>889.57714820616422</v>
      </c>
      <c r="AK181" s="124">
        <f t="shared" si="4"/>
        <v>652.83068184670628</v>
      </c>
      <c r="AL181" s="124">
        <f t="shared" si="4"/>
        <v>123.96584522241706</v>
      </c>
      <c r="AM181" s="124">
        <f t="shared" si="4"/>
        <v>19.105209548849601</v>
      </c>
      <c r="AN181" s="124">
        <f t="shared" si="4"/>
        <v>889.57714820616422</v>
      </c>
      <c r="AO181" s="124">
        <f t="shared" si="4"/>
        <v>940.77621857064469</v>
      </c>
      <c r="AP181" s="124">
        <f t="shared" si="4"/>
        <v>659.84336751177148</v>
      </c>
      <c r="AQ181" s="124">
        <f t="shared" si="4"/>
        <v>496.15172697744748</v>
      </c>
      <c r="AR181" s="124">
        <f t="shared" si="4"/>
        <v>123.96584522241706</v>
      </c>
      <c r="AS181" s="124">
        <f t="shared" si="4"/>
        <v>784.71651253259677</v>
      </c>
      <c r="AT181" s="124">
        <f t="shared" si="4"/>
        <v>546.56425517914056</v>
      </c>
      <c r="AU181" s="124">
        <f t="shared" si="4"/>
        <v>454.34117887750688</v>
      </c>
      <c r="AV181" s="124">
        <f t="shared" si="4"/>
        <v>3.963942638278925E-2</v>
      </c>
      <c r="AW181" s="124">
        <f t="shared" si="4"/>
        <v>143.03141534488378</v>
      </c>
      <c r="AX181" s="124">
        <f t="shared" si="4"/>
        <v>1219.952481861254</v>
      </c>
      <c r="AY181" s="124">
        <f t="shared" si="4"/>
        <v>729.57236676245714</v>
      </c>
    </row>
    <row r="182" spans="1:51">
      <c r="A182" s="125"/>
      <c r="B182" s="136" t="s">
        <v>299</v>
      </c>
      <c r="C182" s="125" t="s">
        <v>293</v>
      </c>
      <c r="D182" s="125">
        <v>538</v>
      </c>
      <c r="E182" s="125">
        <v>468.68930418252603</v>
      </c>
      <c r="F182" s="125">
        <v>454.34117887750688</v>
      </c>
      <c r="G182" s="125">
        <v>3.963942638278925E-2</v>
      </c>
      <c r="H182" s="125">
        <v>691.22951213378406</v>
      </c>
      <c r="I182" s="125">
        <v>545</v>
      </c>
      <c r="J182" s="125">
        <v>473</v>
      </c>
      <c r="K182" s="125">
        <v>592</v>
      </c>
      <c r="L182" s="125">
        <v>144.06389626236606</v>
      </c>
      <c r="M182" s="125">
        <v>619.69604023322631</v>
      </c>
      <c r="N182" s="125">
        <v>566</v>
      </c>
      <c r="O182" s="125">
        <v>88.152774159951832</v>
      </c>
      <c r="P182" s="125">
        <v>143.03141534488384</v>
      </c>
      <c r="Q182" s="125">
        <v>618.04518040708047</v>
      </c>
      <c r="R182" s="125">
        <v>557</v>
      </c>
      <c r="S182" s="125">
        <v>58.264609443172844</v>
      </c>
      <c r="T182" s="125">
        <v>5.2957028130024161E-2</v>
      </c>
      <c r="U182" s="125">
        <v>5.2957028130021989E-2</v>
      </c>
      <c r="V182" s="125">
        <v>123.96584522241706</v>
      </c>
      <c r="W182" s="125">
        <v>639.29232056233263</v>
      </c>
      <c r="X182" s="125">
        <v>475</v>
      </c>
      <c r="Y182" s="125">
        <v>487.14749120321318</v>
      </c>
      <c r="Z182" s="125">
        <v>123.96584522241706</v>
      </c>
      <c r="AA182" s="125">
        <v>613.78514848165855</v>
      </c>
      <c r="AB182" s="125">
        <v>548.57135684700415</v>
      </c>
      <c r="AC182" s="125">
        <v>19.105209548849601</v>
      </c>
      <c r="AD182" s="125">
        <v>559.20181455107434</v>
      </c>
      <c r="AE182" s="125">
        <v>730.04486657628809</v>
      </c>
      <c r="AF182" s="125">
        <v>484.48028738431714</v>
      </c>
      <c r="AG182" s="125">
        <v>454.34117887750688</v>
      </c>
      <c r="AH182" s="125">
        <v>454.34117887750688</v>
      </c>
      <c r="AI182" s="125">
        <v>19.105209548849601</v>
      </c>
      <c r="AJ182" s="125">
        <v>529.52177928496064</v>
      </c>
      <c r="AK182" s="125">
        <v>652.83068184670628</v>
      </c>
      <c r="AL182" s="125">
        <v>123.96584522241706</v>
      </c>
      <c r="AM182" s="125">
        <v>19.105209548849601</v>
      </c>
      <c r="AN182" s="125">
        <v>606.48844985830647</v>
      </c>
      <c r="AO182" s="125">
        <v>568</v>
      </c>
      <c r="AP182" s="125">
        <v>584</v>
      </c>
      <c r="AQ182" s="125">
        <v>496.15172697744748</v>
      </c>
      <c r="AR182" s="125">
        <v>123.96584522241706</v>
      </c>
      <c r="AS182" s="125">
        <v>617.42598449905313</v>
      </c>
      <c r="AT182" s="125">
        <v>546.56425517914056</v>
      </c>
      <c r="AU182" s="125">
        <v>454.34117887750688</v>
      </c>
      <c r="AV182" s="125">
        <v>3.963942638278925E-2</v>
      </c>
      <c r="AW182" s="125">
        <v>143.03141534488378</v>
      </c>
      <c r="AX182" s="125">
        <v>720.68947092049689</v>
      </c>
      <c r="AY182" s="125">
        <v>707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1054.0937641335613</v>
      </c>
      <c r="D185" s="124">
        <v>1053.3294308751972</v>
      </c>
      <c r="E185" s="124">
        <v>1047</v>
      </c>
      <c r="F185" s="124">
        <v>964.6705691248028</v>
      </c>
      <c r="G185" s="124">
        <v>1053.3294308751972</v>
      </c>
      <c r="H185" s="124">
        <v>903</v>
      </c>
      <c r="I185" s="124">
        <v>812.01085850527056</v>
      </c>
      <c r="J185" s="124">
        <v>787.02171701054112</v>
      </c>
      <c r="K185" s="124">
        <v>569.03257551581169</v>
      </c>
      <c r="L185" s="124">
        <v>334.04343402108225</v>
      </c>
      <c r="M185" s="124">
        <v>952.77276576713052</v>
      </c>
      <c r="N185" s="124">
        <v>1054.2435264660876</v>
      </c>
      <c r="O185" s="124">
        <v>910.25438497135815</v>
      </c>
      <c r="P185" s="124">
        <v>3.0877777535121838E-2</v>
      </c>
      <c r="Q185" s="124">
        <v>3.0877777535121838E-2</v>
      </c>
      <c r="R185" s="124">
        <v>3.0877777535121838E-2</v>
      </c>
      <c r="S185" s="124">
        <v>3.0877777535121838E-2</v>
      </c>
      <c r="T185" s="124">
        <v>1027</v>
      </c>
      <c r="U185" s="124">
        <v>1053.3294308751972</v>
      </c>
      <c r="V185" s="124">
        <v>1053.3294308751972</v>
      </c>
      <c r="W185" s="124">
        <v>1053.3294308751972</v>
      </c>
      <c r="X185" s="124">
        <v>1053.3294308751972</v>
      </c>
      <c r="Y185" s="124">
        <v>1053.3294308751972</v>
      </c>
      <c r="Z185" s="124">
        <v>983</v>
      </c>
      <c r="AA185" s="124">
        <v>1053.3294308751972</v>
      </c>
      <c r="AB185" s="124">
        <v>949</v>
      </c>
      <c r="AC185" s="124">
        <v>1029.6705691248028</v>
      </c>
      <c r="AD185" s="124">
        <v>937.34113824960559</v>
      </c>
      <c r="AE185" s="124">
        <v>904.01170737440839</v>
      </c>
      <c r="AF185" s="124">
        <v>1023.6822764992112</v>
      </c>
      <c r="AG185" s="124">
        <v>1053.3294308751972</v>
      </c>
      <c r="AH185" s="124">
        <v>1053.3294308751972</v>
      </c>
      <c r="AI185" s="124">
        <v>1053.3294308751972</v>
      </c>
      <c r="AJ185" s="124">
        <v>1053.3294308751972</v>
      </c>
      <c r="AK185" s="124">
        <v>1053.3294308751972</v>
      </c>
      <c r="AL185" s="124">
        <v>968</v>
      </c>
      <c r="AM185" s="124">
        <v>912.6705691248028</v>
      </c>
      <c r="AN185" s="124">
        <v>974.34113824960559</v>
      </c>
      <c r="AO185" s="124">
        <v>991.79460200164681</v>
      </c>
      <c r="AP185" s="124">
        <v>908.4651711264496</v>
      </c>
      <c r="AQ185" s="124">
        <v>1053.3294308751972</v>
      </c>
      <c r="AR185" s="124">
        <v>1028</v>
      </c>
      <c r="AS185" s="124">
        <v>1053.3294308751972</v>
      </c>
      <c r="AT185" s="124">
        <v>984</v>
      </c>
      <c r="AU185" s="124">
        <v>1044.6705691248028</v>
      </c>
      <c r="AV185" s="124">
        <v>962.34113824960559</v>
      </c>
      <c r="AW185" s="124">
        <v>1025.0117073744084</v>
      </c>
      <c r="AX185" s="124">
        <v>955</v>
      </c>
      <c r="AY185" s="124">
        <v>954.59358093945616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6.3294308751972039</v>
      </c>
      <c r="G186" s="106">
        <v>88.658861750394408</v>
      </c>
      <c r="H186" s="106">
        <v>0</v>
      </c>
      <c r="I186" s="106">
        <v>360.98914149472944</v>
      </c>
      <c r="J186" s="106">
        <v>451.97828298945888</v>
      </c>
      <c r="K186" s="106">
        <v>476.96742448418831</v>
      </c>
      <c r="L186" s="106">
        <v>694.95656597891775</v>
      </c>
      <c r="M186" s="106">
        <v>159.22723423286948</v>
      </c>
      <c r="N186" s="106">
        <v>36.756473533912413</v>
      </c>
      <c r="O186" s="106">
        <v>209.74561502864185</v>
      </c>
      <c r="P186" s="106">
        <v>353.73475652337129</v>
      </c>
      <c r="Q186" s="106">
        <v>0</v>
      </c>
      <c r="R186" s="106">
        <v>0</v>
      </c>
      <c r="S186" s="106">
        <v>0</v>
      </c>
      <c r="T186" s="106">
        <v>0</v>
      </c>
      <c r="U186" s="106">
        <v>26.329430875197204</v>
      </c>
      <c r="V186" s="106">
        <v>0</v>
      </c>
      <c r="W186" s="106">
        <v>0</v>
      </c>
      <c r="X186" s="106">
        <v>0</v>
      </c>
      <c r="Y186" s="106">
        <v>0</v>
      </c>
      <c r="Z186" s="106">
        <v>0</v>
      </c>
      <c r="AA186" s="106">
        <v>70.329430875197204</v>
      </c>
      <c r="AB186" s="106">
        <v>0</v>
      </c>
      <c r="AC186" s="106">
        <v>104.3294308751972</v>
      </c>
      <c r="AD186" s="106">
        <v>23.658861750394408</v>
      </c>
      <c r="AE186" s="106">
        <v>115.98829262559161</v>
      </c>
      <c r="AF186" s="106">
        <v>149.31772350078882</v>
      </c>
      <c r="AG186" s="106">
        <v>29.64715437598602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85.329430875197204</v>
      </c>
      <c r="AN186" s="106">
        <v>140.65886175039441</v>
      </c>
      <c r="AO186" s="106">
        <v>17.205397998353192</v>
      </c>
      <c r="AP186" s="106">
        <v>61.534828873550396</v>
      </c>
      <c r="AQ186" s="106">
        <v>144.8642597487476</v>
      </c>
      <c r="AR186" s="106">
        <v>0</v>
      </c>
      <c r="AS186" s="106">
        <v>25.329430875197204</v>
      </c>
      <c r="AT186" s="106">
        <v>0</v>
      </c>
      <c r="AU186" s="106">
        <v>69.329430875197204</v>
      </c>
      <c r="AV186" s="106">
        <v>8.6588617503944079</v>
      </c>
      <c r="AW186" s="106">
        <v>90.988292625591612</v>
      </c>
      <c r="AX186" s="106">
        <v>0</v>
      </c>
      <c r="AY186" s="106">
        <v>22.40641906054384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74.853417863230447</v>
      </c>
      <c r="D189" s="124">
        <v>100.70683572646089</v>
      </c>
      <c r="E189" s="124">
        <v>154.56025358969134</v>
      </c>
      <c r="F189" s="124">
        <v>234.10583862204692</v>
      </c>
      <c r="G189" s="124">
        <v>0</v>
      </c>
      <c r="H189" s="124">
        <v>523</v>
      </c>
      <c r="I189" s="124">
        <v>0</v>
      </c>
      <c r="J189" s="124">
        <v>107.17010644253457</v>
      </c>
      <c r="K189" s="124">
        <v>21.441699644682217</v>
      </c>
      <c r="L189" s="124">
        <v>0</v>
      </c>
      <c r="M189" s="124">
        <v>0</v>
      </c>
      <c r="N189" s="124">
        <v>0</v>
      </c>
      <c r="O189" s="124">
        <v>0</v>
      </c>
      <c r="P189" s="124">
        <v>190.61622473293636</v>
      </c>
      <c r="Q189" s="124">
        <v>0</v>
      </c>
      <c r="R189" s="124">
        <v>0</v>
      </c>
      <c r="S189" s="124">
        <v>1.7753125669277104E-2</v>
      </c>
      <c r="T189" s="124">
        <v>1.7753125669277104E-2</v>
      </c>
      <c r="U189" s="124">
        <v>1.7753125669277104E-2</v>
      </c>
      <c r="V189" s="124">
        <v>165.20072810187813</v>
      </c>
      <c r="W189" s="124">
        <v>173.59076358272296</v>
      </c>
      <c r="X189" s="124">
        <v>306.98079906356782</v>
      </c>
      <c r="Y189" s="124">
        <v>330.37083454441267</v>
      </c>
      <c r="Z189" s="124">
        <v>165.2007281018781</v>
      </c>
      <c r="AA189" s="124">
        <v>246.59076358272296</v>
      </c>
      <c r="AB189" s="124">
        <v>343.98079906356782</v>
      </c>
      <c r="AC189" s="124">
        <v>25.415496631058183</v>
      </c>
      <c r="AD189" s="124">
        <v>165.2007281018781</v>
      </c>
      <c r="AE189" s="124">
        <v>384.59076358272296</v>
      </c>
      <c r="AF189" s="124">
        <v>605.60996451915514</v>
      </c>
      <c r="AG189" s="124">
        <v>585</v>
      </c>
      <c r="AH189" s="124">
        <v>605.60996451915514</v>
      </c>
      <c r="AI189" s="124">
        <v>25.415496631058183</v>
      </c>
      <c r="AJ189" s="124">
        <v>171.80553211190306</v>
      </c>
      <c r="AK189" s="124">
        <v>301.19556759274792</v>
      </c>
      <c r="AL189" s="124">
        <v>165.2007281018781</v>
      </c>
      <c r="AM189" s="124">
        <v>25.415496631058183</v>
      </c>
      <c r="AN189" s="124">
        <v>0</v>
      </c>
      <c r="AO189" s="124">
        <v>0</v>
      </c>
      <c r="AP189" s="124">
        <v>98.176366656315736</v>
      </c>
      <c r="AQ189" s="124">
        <v>243.56640213716059</v>
      </c>
      <c r="AR189" s="124">
        <v>165.2007281018781</v>
      </c>
      <c r="AS189" s="124">
        <v>193.59076358272296</v>
      </c>
      <c r="AT189" s="124">
        <v>355.98079906356782</v>
      </c>
      <c r="AU189" s="124">
        <v>531.37083454441267</v>
      </c>
      <c r="AV189" s="124">
        <v>0</v>
      </c>
      <c r="AW189" s="124">
        <v>190.61622473293647</v>
      </c>
      <c r="AX189" s="124">
        <v>0</v>
      </c>
      <c r="AY189" s="124">
        <v>0</v>
      </c>
    </row>
    <row r="190" spans="1:51">
      <c r="A190" s="109"/>
      <c r="B190" s="119">
        <v>2</v>
      </c>
      <c r="C190" s="106">
        <v>606.14658213676955</v>
      </c>
      <c r="D190" s="106">
        <v>531.29316427353911</v>
      </c>
      <c r="E190" s="106">
        <v>505.43974641030866</v>
      </c>
      <c r="F190" s="106">
        <v>437.89416137795308</v>
      </c>
      <c r="G190" s="106">
        <v>371.50412589710822</v>
      </c>
      <c r="H190" s="106">
        <v>0</v>
      </c>
      <c r="I190" s="106">
        <v>659</v>
      </c>
      <c r="J190" s="106">
        <v>605.60996451915514</v>
      </c>
      <c r="K190" s="106">
        <v>619.55830035531778</v>
      </c>
      <c r="L190" s="106">
        <v>606</v>
      </c>
      <c r="M190" s="106">
        <v>568.71329284682986</v>
      </c>
      <c r="N190" s="106">
        <v>652.9848860489775</v>
      </c>
      <c r="O190" s="106">
        <v>695.25647925112514</v>
      </c>
      <c r="P190" s="106">
        <v>0</v>
      </c>
      <c r="Q190" s="106">
        <v>0</v>
      </c>
      <c r="R190" s="106">
        <v>96.1594111372317</v>
      </c>
      <c r="S190" s="106">
        <v>1.7753125669277104E-2</v>
      </c>
      <c r="T190" s="106">
        <v>0</v>
      </c>
      <c r="U190" s="106">
        <v>0</v>
      </c>
      <c r="V190" s="106">
        <v>0</v>
      </c>
      <c r="W190" s="106">
        <v>440.40923641727704</v>
      </c>
      <c r="X190" s="106">
        <v>432.01920093643218</v>
      </c>
      <c r="Y190" s="106">
        <v>298.62916545558733</v>
      </c>
      <c r="Z190" s="106">
        <v>275.23912997474247</v>
      </c>
      <c r="AA190" s="106">
        <v>440.40923641727704</v>
      </c>
      <c r="AB190" s="106">
        <v>359.01920093643218</v>
      </c>
      <c r="AC190" s="106">
        <v>261.62916545558733</v>
      </c>
      <c r="AD190" s="106">
        <v>580.19446788809694</v>
      </c>
      <c r="AE190" s="106">
        <v>440.40923641727704</v>
      </c>
      <c r="AF190" s="106">
        <v>221.01920093643218</v>
      </c>
      <c r="AG190" s="106">
        <v>0</v>
      </c>
      <c r="AH190" s="106">
        <v>20.609964519155142</v>
      </c>
      <c r="AI190" s="106">
        <v>0</v>
      </c>
      <c r="AJ190" s="106">
        <v>580.19446788809694</v>
      </c>
      <c r="AK190" s="106">
        <v>433.80443240725208</v>
      </c>
      <c r="AL190" s="106">
        <v>304.41439692640722</v>
      </c>
      <c r="AM190" s="106">
        <v>2.8421709430404007E-14</v>
      </c>
      <c r="AN190" s="106">
        <v>292.59076358272296</v>
      </c>
      <c r="AO190" s="106">
        <v>510.39629569462602</v>
      </c>
      <c r="AP190" s="106">
        <v>605.60996451915514</v>
      </c>
      <c r="AQ190" s="106">
        <v>507.43359786283941</v>
      </c>
      <c r="AR190" s="106">
        <v>362.04356238199455</v>
      </c>
      <c r="AS190" s="106">
        <v>440.40923641727704</v>
      </c>
      <c r="AT190" s="106">
        <v>412.01920093643218</v>
      </c>
      <c r="AU190" s="106">
        <v>249.62916545558733</v>
      </c>
      <c r="AV190" s="106">
        <v>74.239129974742468</v>
      </c>
      <c r="AW190" s="106">
        <v>0</v>
      </c>
      <c r="AX190" s="106">
        <v>624</v>
      </c>
      <c r="AY190" s="106">
        <v>243.39629569462613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29.219929038310283</v>
      </c>
      <c r="K191" s="106">
        <v>0</v>
      </c>
      <c r="L191" s="106">
        <v>0</v>
      </c>
      <c r="M191" s="106">
        <v>99.286707153170141</v>
      </c>
      <c r="N191" s="106">
        <v>158.0151139510225</v>
      </c>
      <c r="O191" s="106">
        <v>73.743520748874857</v>
      </c>
      <c r="P191" s="106">
        <v>31.471927546727215</v>
      </c>
      <c r="Q191" s="106">
        <v>624</v>
      </c>
      <c r="R191" s="106">
        <v>536.11218206491594</v>
      </c>
      <c r="S191" s="106">
        <v>630.56899566062066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440.40923641727704</v>
      </c>
      <c r="AO191" s="106">
        <v>287.60370430537398</v>
      </c>
      <c r="AP191" s="106">
        <v>95.213668824529123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396.60370430537387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102.72840679785236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3.258703290777501E-2</v>
      </c>
      <c r="D197" s="106">
        <v>464</v>
      </c>
      <c r="E197" s="106">
        <v>143.68724581137246</v>
      </c>
      <c r="F197" s="106">
        <v>116.01068137002221</v>
      </c>
      <c r="G197" s="106">
        <v>214.23837177655571</v>
      </c>
      <c r="H197" s="106">
        <v>3.2265576534643563E-2</v>
      </c>
      <c r="I197" s="106">
        <v>538</v>
      </c>
      <c r="J197" s="106">
        <v>302.38583687456367</v>
      </c>
      <c r="K197" s="106">
        <v>309.00386917539703</v>
      </c>
      <c r="L197" s="106">
        <v>295.12382160313467</v>
      </c>
      <c r="M197" s="106">
        <v>117.26468051895262</v>
      </c>
      <c r="N197" s="106">
        <v>481</v>
      </c>
      <c r="O197" s="106">
        <v>169.86579280130309</v>
      </c>
      <c r="P197" s="106">
        <v>70.953266908730711</v>
      </c>
      <c r="Q197" s="106">
        <v>116.42426492509716</v>
      </c>
      <c r="R197" s="106">
        <v>550</v>
      </c>
      <c r="S197" s="106">
        <v>101.47379345274067</v>
      </c>
      <c r="T197" s="106">
        <v>0</v>
      </c>
      <c r="U197" s="106">
        <v>4.3105796427930443E-2</v>
      </c>
      <c r="V197" s="106">
        <v>4.310579642793165E-2</v>
      </c>
      <c r="W197" s="106">
        <v>100.90533167862218</v>
      </c>
      <c r="X197" s="106">
        <v>469</v>
      </c>
      <c r="Y197" s="106">
        <v>294.25890297665114</v>
      </c>
      <c r="Z197" s="106">
        <v>396.52679403810441</v>
      </c>
      <c r="AA197" s="106">
        <v>100.90533167862218</v>
      </c>
      <c r="AB197" s="106">
        <v>462</v>
      </c>
      <c r="AC197" s="106">
        <v>322.78346938270897</v>
      </c>
      <c r="AD197" s="106">
        <v>15.551198823009647</v>
      </c>
      <c r="AE197" s="106">
        <v>455.17734720659809</v>
      </c>
      <c r="AF197" s="106">
        <v>437.57367295949723</v>
      </c>
      <c r="AG197" s="106">
        <v>268.83257593614826</v>
      </c>
      <c r="AH197" s="106">
        <v>369.82321435098555</v>
      </c>
      <c r="AI197" s="106">
        <v>369.82321435098555</v>
      </c>
      <c r="AJ197" s="106">
        <v>15.551198823009647</v>
      </c>
      <c r="AK197" s="106">
        <v>547</v>
      </c>
      <c r="AL197" s="106">
        <v>474.70431184350355</v>
      </c>
      <c r="AM197" s="106">
        <v>100.90533167862218</v>
      </c>
      <c r="AN197" s="106">
        <v>15.551198823009647</v>
      </c>
      <c r="AO197" s="106">
        <v>520</v>
      </c>
      <c r="AP197" s="106">
        <v>209.90477012103861</v>
      </c>
      <c r="AQ197" s="106">
        <v>0</v>
      </c>
      <c r="AR197" s="106">
        <v>0</v>
      </c>
      <c r="AS197" s="106">
        <v>100.90533167862218</v>
      </c>
      <c r="AT197" s="106">
        <v>511</v>
      </c>
      <c r="AU197" s="106">
        <v>414.25890297665114</v>
      </c>
      <c r="AV197" s="106">
        <v>369.82321435098555</v>
      </c>
      <c r="AW197" s="106">
        <v>3.2265576534643563E-2</v>
      </c>
      <c r="AX197" s="106">
        <v>116.42426492509712</v>
      </c>
      <c r="AY197" s="106">
        <v>461</v>
      </c>
    </row>
    <row r="198" spans="1:51">
      <c r="A198" s="109"/>
      <c r="B198" s="119">
        <v>2</v>
      </c>
      <c r="C198" s="106">
        <v>558.84534234709815</v>
      </c>
      <c r="D198" s="106">
        <v>0</v>
      </c>
      <c r="E198" s="106">
        <v>274.31275418862754</v>
      </c>
      <c r="F198" s="106">
        <v>329.98931862997779</v>
      </c>
      <c r="G198" s="106">
        <v>265.49157522257246</v>
      </c>
      <c r="H198" s="106">
        <v>155.58484257442984</v>
      </c>
      <c r="I198" s="106">
        <v>0</v>
      </c>
      <c r="J198" s="106">
        <v>201.61416312543633</v>
      </c>
      <c r="K198" s="106">
        <v>164.99613082460297</v>
      </c>
      <c r="L198" s="106">
        <v>147.87617839686533</v>
      </c>
      <c r="M198" s="106">
        <v>188.27498465599621</v>
      </c>
      <c r="N198" s="106">
        <v>0</v>
      </c>
      <c r="O198" s="106">
        <v>290.13420719869691</v>
      </c>
      <c r="P198" s="106">
        <v>420.94726836568077</v>
      </c>
      <c r="Q198" s="106">
        <v>0.80105299318444168</v>
      </c>
      <c r="R198" s="106">
        <v>0</v>
      </c>
      <c r="S198" s="106">
        <v>337.52620654725933</v>
      </c>
      <c r="T198" s="106">
        <v>407.00355053610178</v>
      </c>
      <c r="U198" s="106">
        <v>47.426044895191701</v>
      </c>
      <c r="V198" s="106">
        <v>2.976785484776201E-15</v>
      </c>
      <c r="W198" s="106">
        <v>0</v>
      </c>
      <c r="X198" s="106">
        <v>0</v>
      </c>
      <c r="Y198" s="106">
        <v>169.74109702334886</v>
      </c>
      <c r="Z198" s="106">
        <v>140.8197902092802</v>
      </c>
      <c r="AA198" s="106">
        <v>0</v>
      </c>
      <c r="AB198" s="106">
        <v>0</v>
      </c>
      <c r="AC198" s="106">
        <v>176.74109702334886</v>
      </c>
      <c r="AD198" s="106">
        <v>123.74093104971752</v>
      </c>
      <c r="AE198" s="106">
        <v>0</v>
      </c>
      <c r="AF198" s="106">
        <v>0</v>
      </c>
      <c r="AG198" s="106">
        <v>201.16742406385174</v>
      </c>
      <c r="AH198" s="106">
        <v>125.52317586433571</v>
      </c>
      <c r="AI198" s="106">
        <v>0</v>
      </c>
      <c r="AJ198" s="106">
        <v>0</v>
      </c>
      <c r="AK198" s="106">
        <v>0</v>
      </c>
      <c r="AL198" s="106">
        <v>177.09522987896139</v>
      </c>
      <c r="AM198" s="106">
        <v>56.684768459486122</v>
      </c>
      <c r="AN198" s="106">
        <v>0</v>
      </c>
      <c r="AO198" s="106">
        <v>0</v>
      </c>
      <c r="AP198" s="106">
        <v>204.09522987896139</v>
      </c>
      <c r="AQ198" s="106">
        <v>522</v>
      </c>
      <c r="AR198" s="106">
        <v>524.04371773034939</v>
      </c>
      <c r="AS198" s="106">
        <v>403.85603376281637</v>
      </c>
      <c r="AT198" s="106">
        <v>0</v>
      </c>
      <c r="AU198" s="106">
        <v>127.74109702334886</v>
      </c>
      <c r="AV198" s="106">
        <v>30.631763106244421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47.058802301132459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30.859333022508167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33.865319212120198</v>
      </c>
      <c r="AS199" s="106">
        <v>13.053526557016198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223.94045455690758</v>
      </c>
      <c r="D209" s="124">
        <v>410.51957903304515</v>
      </c>
      <c r="E209" s="124">
        <v>444.47247333478646</v>
      </c>
      <c r="F209" s="124">
        <v>454.34117887750688</v>
      </c>
      <c r="G209" s="124">
        <v>3.963942638278925E-2</v>
      </c>
      <c r="H209" s="124">
        <v>691.22951213378406</v>
      </c>
      <c r="I209" s="124">
        <v>425.14554715333435</v>
      </c>
      <c r="J209" s="124">
        <v>456.90517978619278</v>
      </c>
      <c r="K209" s="124">
        <v>543.32592673604449</v>
      </c>
      <c r="L209" s="124">
        <v>143.03141534488384</v>
      </c>
      <c r="M209" s="124">
        <v>217.52863233072793</v>
      </c>
      <c r="N209" s="124">
        <v>385.36363418843263</v>
      </c>
      <c r="O209" s="124">
        <v>3.963942638278925E-2</v>
      </c>
      <c r="P209" s="124">
        <v>143.03141534488384</v>
      </c>
      <c r="Q209" s="124">
        <v>72.885996586081092</v>
      </c>
      <c r="R209" s="124">
        <v>0</v>
      </c>
      <c r="S209" s="124">
        <v>5.2957028130018055E-2</v>
      </c>
      <c r="T209" s="124">
        <v>5.2957028130021989E-2</v>
      </c>
      <c r="U209" s="124">
        <v>5.2957028130021989E-2</v>
      </c>
      <c r="V209" s="124">
        <v>123.96584522241706</v>
      </c>
      <c r="W209" s="124">
        <v>308.9169869072428</v>
      </c>
      <c r="X209" s="124">
        <v>394.83128686468172</v>
      </c>
      <c r="Y209" s="124">
        <v>454.34117887750688</v>
      </c>
      <c r="Z209" s="124">
        <v>123.96584522241706</v>
      </c>
      <c r="AA209" s="124">
        <v>283.40981482656872</v>
      </c>
      <c r="AB209" s="124">
        <v>454.34117887750688</v>
      </c>
      <c r="AC209" s="124">
        <v>19.105209548849601</v>
      </c>
      <c r="AD209" s="124">
        <v>123.96584522241704</v>
      </c>
      <c r="AE209" s="124">
        <v>399.6695329211982</v>
      </c>
      <c r="AF209" s="124">
        <v>454.34117887750688</v>
      </c>
      <c r="AG209" s="124">
        <v>454.34117887750688</v>
      </c>
      <c r="AH209" s="124">
        <v>454.34117887750688</v>
      </c>
      <c r="AI209" s="124">
        <v>19.105209548849601</v>
      </c>
      <c r="AJ209" s="124">
        <v>94.285809956303353</v>
      </c>
      <c r="AK209" s="124">
        <v>454.34117887750688</v>
      </c>
      <c r="AL209" s="124">
        <v>123.96584522241706</v>
      </c>
      <c r="AM209" s="124">
        <v>19.105209548849601</v>
      </c>
      <c r="AN209" s="124">
        <v>0</v>
      </c>
      <c r="AO209" s="124">
        <v>81.564960306862304</v>
      </c>
      <c r="AP209" s="124">
        <v>378.49781136573546</v>
      </c>
      <c r="AQ209" s="124">
        <v>454.34117887750688</v>
      </c>
      <c r="AR209" s="124">
        <v>123.96584522241706</v>
      </c>
      <c r="AS209" s="124">
        <v>287.0506508439633</v>
      </c>
      <c r="AT209" s="124">
        <v>454.34117887750688</v>
      </c>
      <c r="AU209" s="124">
        <v>454.34117887750688</v>
      </c>
      <c r="AV209" s="124">
        <v>3.963942638278925E-2</v>
      </c>
      <c r="AW209" s="124">
        <v>143.03141534488378</v>
      </c>
      <c r="AX209" s="124">
        <v>0</v>
      </c>
      <c r="AY209" s="124">
        <v>431.76881211504985</v>
      </c>
    </row>
    <row r="210" spans="1:51">
      <c r="A210" s="109"/>
      <c r="B210" s="119">
        <v>2</v>
      </c>
      <c r="C210" s="106">
        <v>455.14681104017581</v>
      </c>
      <c r="D210" s="110">
        <v>127.48042096695487</v>
      </c>
      <c r="E210" s="110">
        <v>24.216830847739566</v>
      </c>
      <c r="F210" s="110">
        <v>0</v>
      </c>
      <c r="G210" s="110">
        <v>0</v>
      </c>
      <c r="H210" s="110">
        <v>0</v>
      </c>
      <c r="I210" s="110">
        <v>119.85445284666567</v>
      </c>
      <c r="J210" s="110">
        <v>16.0948202138072</v>
      </c>
      <c r="K210" s="110">
        <v>48.674073263955492</v>
      </c>
      <c r="L210" s="110">
        <v>1.0324809174822158</v>
      </c>
      <c r="M210" s="110">
        <v>402.16740790249838</v>
      </c>
      <c r="N210" s="110">
        <v>180.63636581156737</v>
      </c>
      <c r="O210" s="110">
        <v>88.113134733569026</v>
      </c>
      <c r="P210" s="110">
        <v>0</v>
      </c>
      <c r="Q210" s="110">
        <v>0</v>
      </c>
      <c r="R210" s="110">
        <v>154.83259209750162</v>
      </c>
      <c r="S210" s="110">
        <v>2.9193882662403376E-2</v>
      </c>
      <c r="T210" s="110">
        <v>2.1689101394450537E-15</v>
      </c>
      <c r="U210" s="110">
        <v>0</v>
      </c>
      <c r="V210" s="110">
        <v>0</v>
      </c>
      <c r="W210" s="110">
        <v>330.37533365508983</v>
      </c>
      <c r="X210" s="110">
        <v>80.168713135318271</v>
      </c>
      <c r="Y210" s="110">
        <v>32.806312325706266</v>
      </c>
      <c r="Z210" s="110">
        <v>0</v>
      </c>
      <c r="AA210" s="110">
        <v>330.37533365508983</v>
      </c>
      <c r="AB210" s="110">
        <v>94.230177969497234</v>
      </c>
      <c r="AC210" s="110">
        <v>0</v>
      </c>
      <c r="AD210" s="110">
        <v>435.23596932865729</v>
      </c>
      <c r="AE210" s="110">
        <v>330.37533365508989</v>
      </c>
      <c r="AF210" s="110">
        <v>30.139108506810253</v>
      </c>
      <c r="AG210" s="110">
        <v>0</v>
      </c>
      <c r="AH210" s="110">
        <v>0</v>
      </c>
      <c r="AI210" s="110">
        <v>0</v>
      </c>
      <c r="AJ210" s="110">
        <v>435.23596932865729</v>
      </c>
      <c r="AK210" s="110">
        <v>198.48950296919938</v>
      </c>
      <c r="AL210" s="110">
        <v>0</v>
      </c>
      <c r="AM210" s="110">
        <v>0</v>
      </c>
      <c r="AN210" s="110">
        <v>276.11311620321663</v>
      </c>
      <c r="AO210" s="110">
        <v>398.71459791069151</v>
      </c>
      <c r="AP210" s="110">
        <v>205.50218863426454</v>
      </c>
      <c r="AQ210" s="110">
        <v>41.81054809994059</v>
      </c>
      <c r="AR210" s="110">
        <v>0</v>
      </c>
      <c r="AS210" s="110">
        <v>330.37533365508983</v>
      </c>
      <c r="AT210" s="110">
        <v>92.223076301633583</v>
      </c>
      <c r="AU210" s="110">
        <v>0</v>
      </c>
      <c r="AV210" s="110">
        <v>0</v>
      </c>
      <c r="AW210" s="110">
        <v>0</v>
      </c>
      <c r="AX210" s="110">
        <v>720.68947092049689</v>
      </c>
      <c r="AY210" s="110">
        <v>250.46690747603421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545.15918382099937</v>
      </c>
      <c r="R211" s="110">
        <v>402.16740790249838</v>
      </c>
      <c r="S211" s="110">
        <v>58.182458532380423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330.37533365508983</v>
      </c>
      <c r="AO211" s="110">
        <v>87.720441782446215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24.764280408916001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307889.76688687765</v>
      </c>
      <c r="E259" s="124">
        <f t="shared" ref="E259:AX259" si="5">F$14*$B$259</f>
        <v>247976.46678518655</v>
      </c>
      <c r="F259" s="124">
        <f t="shared" si="5"/>
        <v>240385.0893281406</v>
      </c>
      <c r="G259" s="124">
        <f t="shared" si="5"/>
        <v>20.972624747518317</v>
      </c>
      <c r="H259" s="124">
        <f t="shared" si="5"/>
        <v>480749.2060315336</v>
      </c>
      <c r="I259" s="124">
        <f t="shared" si="5"/>
        <v>303798.27900445834</v>
      </c>
      <c r="J259" s="124">
        <f t="shared" si="5"/>
        <v>296972.03092197055</v>
      </c>
      <c r="K259" s="124">
        <f t="shared" si="5"/>
        <v>314209.22406843508</v>
      </c>
      <c r="L259" s="124">
        <f t="shared" si="5"/>
        <v>76222.042337319202</v>
      </c>
      <c r="M259" s="124">
        <f t="shared" si="5"/>
        <v>501237.23467915301</v>
      </c>
      <c r="N259" s="124">
        <f t="shared" si="5"/>
        <v>384028.48975853948</v>
      </c>
      <c r="O259" s="124">
        <f t="shared" si="5"/>
        <v>46640.307936244848</v>
      </c>
      <c r="P259" s="124">
        <f t="shared" si="5"/>
        <v>75675.772201313157</v>
      </c>
      <c r="Q259" s="124">
        <f t="shared" si="5"/>
        <v>576892.03425571858</v>
      </c>
      <c r="R259" s="124">
        <f t="shared" si="5"/>
        <v>350568.84005737788</v>
      </c>
      <c r="S259" s="124">
        <f t="shared" si="5"/>
        <v>30826.929181874606</v>
      </c>
      <c r="T259" s="124">
        <f t="shared" si="5"/>
        <v>28.018767678156724</v>
      </c>
      <c r="U259" s="124">
        <f t="shared" si="5"/>
        <v>28.018767678155573</v>
      </c>
      <c r="V259" s="124">
        <f t="shared" si="5"/>
        <v>65588.46559110441</v>
      </c>
      <c r="W259" s="124">
        <f t="shared" si="5"/>
        <v>415181.71306517674</v>
      </c>
      <c r="X259" s="124">
        <f t="shared" si="5"/>
        <v>282801.15057085536</v>
      </c>
      <c r="Y259" s="124">
        <f t="shared" si="5"/>
        <v>257742.41612476786</v>
      </c>
      <c r="Z259" s="124">
        <f t="shared" si="5"/>
        <v>65588.46559110441</v>
      </c>
      <c r="AA259" s="124">
        <f t="shared" si="5"/>
        <v>415181.71306517674</v>
      </c>
      <c r="AB259" s="124">
        <f t="shared" si="5"/>
        <v>290240.86028107721</v>
      </c>
      <c r="AC259" s="124">
        <f t="shared" si="5"/>
        <v>10108.279234956271</v>
      </c>
      <c r="AD259" s="124">
        <f t="shared" si="5"/>
        <v>295865.27568428876</v>
      </c>
      <c r="AE259" s="124">
        <f t="shared" si="5"/>
        <v>415181.71306517685</v>
      </c>
      <c r="AF259" s="124">
        <f t="shared" si="5"/>
        <v>256331.23867031457</v>
      </c>
      <c r="AG259" s="124">
        <f t="shared" si="5"/>
        <v>240385.0893281406</v>
      </c>
      <c r="AH259" s="124">
        <f t="shared" si="5"/>
        <v>240385.0893281406</v>
      </c>
      <c r="AI259" s="124">
        <f t="shared" si="5"/>
        <v>10108.279234956271</v>
      </c>
      <c r="AJ259" s="124">
        <f t="shared" si="5"/>
        <v>470661.8994213249</v>
      </c>
      <c r="AK259" s="124">
        <f t="shared" si="5"/>
        <v>345402.90219694329</v>
      </c>
      <c r="AL259" s="124">
        <f t="shared" si="5"/>
        <v>65588.46559110441</v>
      </c>
      <c r="AM259" s="124">
        <f t="shared" si="5"/>
        <v>10108.279234956271</v>
      </c>
      <c r="AN259" s="124">
        <f t="shared" si="5"/>
        <v>470661.8994213249</v>
      </c>
      <c r="AO259" s="124">
        <f t="shared" si="5"/>
        <v>497750.5580665532</v>
      </c>
      <c r="AP259" s="124">
        <f t="shared" si="5"/>
        <v>349113.20878678764</v>
      </c>
      <c r="AQ259" s="124">
        <f t="shared" si="5"/>
        <v>262506.42194583063</v>
      </c>
      <c r="AR259" s="124">
        <f t="shared" si="5"/>
        <v>65588.46559110441</v>
      </c>
      <c r="AS259" s="124">
        <f t="shared" si="5"/>
        <v>415181.71306517674</v>
      </c>
      <c r="AT259" s="124">
        <f t="shared" si="5"/>
        <v>289178.93295388209</v>
      </c>
      <c r="AU259" s="124">
        <f t="shared" si="5"/>
        <v>240385.0893281406</v>
      </c>
      <c r="AV259" s="124">
        <f t="shared" si="5"/>
        <v>20.972624747518317</v>
      </c>
      <c r="AW259" s="124">
        <f t="shared" si="5"/>
        <v>75675.772201313128</v>
      </c>
      <c r="AX259" s="124">
        <f t="shared" si="5"/>
        <v>645458.52315836109</v>
      </c>
      <c r="AY259" s="124">
        <f>AZ$14*$B$259</f>
        <v>386005.77431441512</v>
      </c>
      <c r="AZ259" s="139">
        <f>SUM($D259:$AY259)</f>
        <v>12084127.350331448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49420.876308978906</v>
      </c>
      <c r="E260" s="125">
        <f t="shared" ref="E260:AY260" si="6">(E$175-E$176+E$177-E$178+E$179-E$180+E$181-E$182)*$B$260</f>
        <v>46452.774652987675</v>
      </c>
      <c r="F260" s="125">
        <f t="shared" si="6"/>
        <v>43539.273772204513</v>
      </c>
      <c r="G260" s="125">
        <f t="shared" si="6"/>
        <v>9335.0905544657944</v>
      </c>
      <c r="H260" s="125">
        <f t="shared" si="6"/>
        <v>75997.336603673204</v>
      </c>
      <c r="I260" s="125">
        <f t="shared" si="6"/>
        <v>79057.078283791983</v>
      </c>
      <c r="J260" s="125">
        <f t="shared" si="6"/>
        <v>80988.929947517885</v>
      </c>
      <c r="K260" s="125">
        <f t="shared" si="6"/>
        <v>92999.540882417452</v>
      </c>
      <c r="L260" s="125">
        <f t="shared" si="6"/>
        <v>84487.417440944992</v>
      </c>
      <c r="M260" s="125">
        <f t="shared" si="6"/>
        <v>91417.805243587674</v>
      </c>
      <c r="N260" s="125">
        <f t="shared" si="6"/>
        <v>87611.216329980933</v>
      </c>
      <c r="O260" s="125">
        <f t="shared" si="6"/>
        <v>48369.23714614677</v>
      </c>
      <c r="P260" s="125">
        <f t="shared" si="6"/>
        <v>48.063179591066501</v>
      </c>
      <c r="Q260" s="125">
        <f t="shared" si="6"/>
        <v>78106.178415420349</v>
      </c>
      <c r="R260" s="125">
        <f t="shared" si="6"/>
        <v>64422.452810841351</v>
      </c>
      <c r="S260" s="125">
        <f t="shared" si="6"/>
        <v>26271.773013516598</v>
      </c>
      <c r="T260" s="125">
        <f t="shared" si="6"/>
        <v>6276.8885275738239</v>
      </c>
      <c r="U260" s="125">
        <f t="shared" si="6"/>
        <v>0</v>
      </c>
      <c r="V260" s="125">
        <f t="shared" si="6"/>
        <v>0</v>
      </c>
      <c r="W260" s="125">
        <f t="shared" si="6"/>
        <v>34646.603574401779</v>
      </c>
      <c r="X260" s="125">
        <f t="shared" si="6"/>
        <v>31672.80926950568</v>
      </c>
      <c r="Y260" s="125">
        <f t="shared" si="6"/>
        <v>24963.535211041362</v>
      </c>
      <c r="Z260" s="125">
        <f t="shared" si="6"/>
        <v>4219.7658525118313</v>
      </c>
      <c r="AA260" s="125">
        <f t="shared" si="6"/>
        <v>31797.033899242237</v>
      </c>
      <c r="AB260" s="125">
        <f t="shared" si="6"/>
        <v>32561.981601248004</v>
      </c>
      <c r="AC260" s="125">
        <f t="shared" si="6"/>
        <v>8843.9875680067198</v>
      </c>
      <c r="AD260" s="125">
        <f t="shared" si="6"/>
        <v>6959.2975575354967</v>
      </c>
      <c r="AE260" s="125">
        <f t="shared" si="6"/>
        <v>25500.514223611794</v>
      </c>
      <c r="AF260" s="125">
        <f t="shared" si="6"/>
        <v>13848.874706390263</v>
      </c>
      <c r="AG260" s="125">
        <f t="shared" si="6"/>
        <v>8767.9884230094503</v>
      </c>
      <c r="AH260" s="125">
        <f t="shared" si="6"/>
        <v>0</v>
      </c>
      <c r="AI260" s="125">
        <f t="shared" si="6"/>
        <v>0</v>
      </c>
      <c r="AJ260" s="125">
        <f t="shared" si="6"/>
        <v>47631.588079707333</v>
      </c>
      <c r="AK260" s="125">
        <f t="shared" si="6"/>
        <v>28890.577608322124</v>
      </c>
      <c r="AL260" s="125">
        <f t="shared" si="6"/>
        <v>8520.8519600809996</v>
      </c>
      <c r="AM260" s="125">
        <f t="shared" si="6"/>
        <v>8439.5317050236645</v>
      </c>
      <c r="AN260" s="125">
        <f t="shared" si="6"/>
        <v>48892.88540284209</v>
      </c>
      <c r="AO260" s="125">
        <f t="shared" si="6"/>
        <v>80353.794640010456</v>
      </c>
      <c r="AP260" s="125">
        <f t="shared" si="6"/>
        <v>77040.392660128709</v>
      </c>
      <c r="AQ260" s="125">
        <f t="shared" si="6"/>
        <v>55980.36755288882</v>
      </c>
      <c r="AR260" s="125">
        <f t="shared" si="6"/>
        <v>26534.339471701795</v>
      </c>
      <c r="AS260" s="125">
        <f t="shared" si="6"/>
        <v>34758.583738198562</v>
      </c>
      <c r="AT260" s="125">
        <f t="shared" si="6"/>
        <v>26801.981601248004</v>
      </c>
      <c r="AU260" s="125">
        <f t="shared" si="6"/>
        <v>6811.7852898828778</v>
      </c>
      <c r="AV260" s="125">
        <f t="shared" si="6"/>
        <v>5459.2975575354967</v>
      </c>
      <c r="AW260" s="125">
        <f t="shared" si="6"/>
        <v>1699.0634100473289</v>
      </c>
      <c r="AX260" s="125">
        <f t="shared" si="6"/>
        <v>95452.389096184823</v>
      </c>
      <c r="AY260" s="125">
        <f t="shared" si="6"/>
        <v>97268.69775559241</v>
      </c>
      <c r="AZ260" s="141">
        <f>SUM($D260:$AY260)</f>
        <v>1839120.4525295412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18.901506916194403</v>
      </c>
      <c r="E6" s="100">
        <v>10932.631600326842</v>
      </c>
      <c r="F6" s="100">
        <v>19</v>
      </c>
      <c r="G6" s="100">
        <v>10989.6</v>
      </c>
      <c r="H6" s="100">
        <v>17</v>
      </c>
      <c r="I6" s="100">
        <v>9832.7999999999993</v>
      </c>
      <c r="J6" s="100">
        <v>24.568672430988826</v>
      </c>
      <c r="K6" s="100">
        <v>14210.520134083936</v>
      </c>
      <c r="L6" s="100">
        <v>14</v>
      </c>
      <c r="M6" s="100">
        <v>8097.5999999999995</v>
      </c>
      <c r="N6" s="100">
        <v>23</v>
      </c>
      <c r="O6" s="100">
        <v>13303.199999999999</v>
      </c>
      <c r="P6" s="100">
        <v>27</v>
      </c>
      <c r="Q6" s="100">
        <v>15616.8</v>
      </c>
      <c r="R6" s="100">
        <v>17</v>
      </c>
      <c r="S6" s="100">
        <v>9832.7999999999993</v>
      </c>
      <c r="T6" s="100">
        <v>13</v>
      </c>
      <c r="U6" s="100">
        <v>7519.2</v>
      </c>
      <c r="V6" s="100">
        <v>18</v>
      </c>
      <c r="W6" s="100">
        <v>10411.199999999999</v>
      </c>
      <c r="X6" s="100">
        <v>19</v>
      </c>
      <c r="Y6" s="100">
        <v>10989.6</v>
      </c>
      <c r="Z6" s="100">
        <v>26</v>
      </c>
      <c r="AA6" s="100">
        <v>15038.4</v>
      </c>
      <c r="AB6" s="100">
        <v>7.4673484812856232</v>
      </c>
      <c r="AC6" s="100">
        <v>4319.1143615756046</v>
      </c>
      <c r="AD6" s="100">
        <v>7.4629069571291451E-4</v>
      </c>
      <c r="AE6" s="100">
        <v>0.43165453840034973</v>
      </c>
      <c r="AF6" s="100">
        <v>5.3029750645798633E-4</v>
      </c>
      <c r="AG6" s="100">
        <v>0.30672407773529931</v>
      </c>
      <c r="AH6" s="100">
        <v>4.884006991495546E-4</v>
      </c>
      <c r="AI6" s="100">
        <v>0.28249096438810239</v>
      </c>
      <c r="AJ6" s="100">
        <v>19</v>
      </c>
      <c r="AK6" s="100">
        <v>10989.6</v>
      </c>
      <c r="AL6" s="100">
        <v>20.853814713352659</v>
      </c>
      <c r="AM6" s="100">
        <v>12061.846430203177</v>
      </c>
      <c r="AN6" s="100">
        <v>13.746550484505022</v>
      </c>
      <c r="AO6" s="100">
        <v>7951.0048002377043</v>
      </c>
      <c r="AP6" s="100">
        <v>19.214964742333613</v>
      </c>
      <c r="AQ6" s="100">
        <v>11113.935606965762</v>
      </c>
      <c r="AR6" s="100">
        <v>17.11184996006638</v>
      </c>
      <c r="AS6" s="100">
        <v>9897.4940169023939</v>
      </c>
      <c r="AT6" s="100">
        <v>18.666597509180711</v>
      </c>
      <c r="AU6" s="100">
        <v>10796.759999310123</v>
      </c>
      <c r="AV6" s="100">
        <v>21</v>
      </c>
      <c r="AW6" s="100">
        <v>12146.4</v>
      </c>
      <c r="AX6" s="100">
        <v>18.256033497163187</v>
      </c>
      <c r="AY6" s="100">
        <v>10559.289774759187</v>
      </c>
      <c r="AZ6" s="100">
        <v>23</v>
      </c>
      <c r="BA6" s="100">
        <v>13303.199999999999</v>
      </c>
      <c r="BB6" s="100">
        <v>18</v>
      </c>
      <c r="BC6" s="100">
        <v>10411.199999999999</v>
      </c>
      <c r="BD6" s="100">
        <v>21</v>
      </c>
      <c r="BE6" s="100">
        <v>12146.4</v>
      </c>
      <c r="BF6" s="100">
        <v>27</v>
      </c>
      <c r="BG6" s="100">
        <v>15616.8</v>
      </c>
      <c r="BH6" s="100">
        <v>22</v>
      </c>
      <c r="BI6" s="100">
        <v>12724.8</v>
      </c>
      <c r="BJ6" s="100">
        <v>19.513091626147446</v>
      </c>
      <c r="BK6" s="100">
        <v>11286.372196563683</v>
      </c>
      <c r="BL6" s="100">
        <v>24.23436652794209</v>
      </c>
      <c r="BM6" s="100">
        <v>14017.157599761704</v>
      </c>
      <c r="BN6" s="100">
        <v>22.79522663751554</v>
      </c>
      <c r="BO6" s="100">
        <v>13184.759087138988</v>
      </c>
      <c r="BP6" s="100">
        <v>26.80480172820954</v>
      </c>
      <c r="BQ6" s="100">
        <v>15503.897319596397</v>
      </c>
      <c r="BR6" s="100">
        <v>20.010057577416358</v>
      </c>
      <c r="BS6" s="100">
        <v>11573.817302777621</v>
      </c>
      <c r="BT6" s="100">
        <v>18</v>
      </c>
      <c r="BU6" s="100">
        <v>10411.199999999999</v>
      </c>
      <c r="BV6" s="100">
        <v>28</v>
      </c>
      <c r="BW6" s="100">
        <v>16195.199999999999</v>
      </c>
      <c r="BX6" s="100">
        <v>20</v>
      </c>
      <c r="BY6" s="100">
        <v>11568</v>
      </c>
      <c r="BZ6" s="100">
        <v>17</v>
      </c>
      <c r="CA6" s="100">
        <v>9832.7999999999993</v>
      </c>
      <c r="CB6" s="100">
        <v>15</v>
      </c>
      <c r="CC6" s="100">
        <v>8676</v>
      </c>
      <c r="CD6" s="100">
        <v>23.930865721828098</v>
      </c>
      <c r="CE6" s="100">
        <v>13841.612733505372</v>
      </c>
      <c r="CF6" s="100">
        <v>17</v>
      </c>
      <c r="CG6" s="100">
        <v>9832.7999999999993</v>
      </c>
      <c r="CH6" s="100">
        <v>21.517045811152709</v>
      </c>
      <c r="CI6" s="100">
        <v>12445.459297170726</v>
      </c>
      <c r="CJ6" s="100">
        <v>18</v>
      </c>
      <c r="CK6" s="100">
        <v>10411.199999999999</v>
      </c>
      <c r="CL6" s="100">
        <v>28</v>
      </c>
      <c r="CM6" s="100">
        <v>16195.199999999999</v>
      </c>
      <c r="CN6" s="100">
        <v>18</v>
      </c>
      <c r="CO6" s="100">
        <v>10411.199999999999</v>
      </c>
      <c r="CP6" s="100">
        <v>17</v>
      </c>
      <c r="CQ6" s="100">
        <v>9832.7999999999993</v>
      </c>
      <c r="CR6" s="100">
        <v>24</v>
      </c>
      <c r="CS6" s="100">
        <v>13881.599999999999</v>
      </c>
      <c r="CT6" s="100">
        <v>16</v>
      </c>
      <c r="CU6" s="100">
        <v>9254.4</v>
      </c>
    </row>
    <row r="7" spans="1:99">
      <c r="C7" s="99" t="s">
        <v>173</v>
      </c>
      <c r="D7" s="100">
        <v>18.901506916194403</v>
      </c>
      <c r="E7" s="100">
        <v>14901.948052727666</v>
      </c>
      <c r="F7" s="100">
        <v>19</v>
      </c>
      <c r="G7" s="100">
        <v>14979.6</v>
      </c>
      <c r="H7" s="100">
        <v>16</v>
      </c>
      <c r="I7" s="100">
        <v>12614.4</v>
      </c>
      <c r="J7" s="100">
        <v>24.568672430988826</v>
      </c>
      <c r="K7" s="100">
        <v>19369.941344591589</v>
      </c>
      <c r="L7" s="100">
        <v>13</v>
      </c>
      <c r="M7" s="100">
        <v>10249.199999999999</v>
      </c>
      <c r="N7" s="100">
        <v>24</v>
      </c>
      <c r="O7" s="100">
        <v>18921.599999999999</v>
      </c>
      <c r="P7" s="100">
        <v>23</v>
      </c>
      <c r="Q7" s="100">
        <v>18133.2</v>
      </c>
      <c r="R7" s="100">
        <v>16</v>
      </c>
      <c r="S7" s="100">
        <v>12614.4</v>
      </c>
      <c r="T7" s="100">
        <v>13</v>
      </c>
      <c r="U7" s="100">
        <v>10249.199999999999</v>
      </c>
      <c r="V7" s="100">
        <v>16</v>
      </c>
      <c r="W7" s="100">
        <v>12614.4</v>
      </c>
      <c r="X7" s="100">
        <v>17</v>
      </c>
      <c r="Y7" s="100">
        <v>13402.8</v>
      </c>
      <c r="Z7" s="100">
        <v>23</v>
      </c>
      <c r="AA7" s="100">
        <v>18133.2</v>
      </c>
      <c r="AB7" s="100">
        <v>6.5339299211249209</v>
      </c>
      <c r="AC7" s="100">
        <v>5151.3503498148875</v>
      </c>
      <c r="AD7" s="100">
        <v>6.8409980440350504E-4</v>
      </c>
      <c r="AE7" s="100">
        <v>0.53934428579172333</v>
      </c>
      <c r="AF7" s="100">
        <v>5.0619307434625967E-4</v>
      </c>
      <c r="AG7" s="100">
        <v>0.39908261981459109</v>
      </c>
      <c r="AH7" s="100">
        <v>4.070005826246288E-4</v>
      </c>
      <c r="AI7" s="100">
        <v>0.32087925934125733</v>
      </c>
      <c r="AJ7" s="100">
        <v>21</v>
      </c>
      <c r="AK7" s="100">
        <v>16556.399999999998</v>
      </c>
      <c r="AL7" s="100">
        <v>18.010112706986387</v>
      </c>
      <c r="AM7" s="100">
        <v>14199.172858188067</v>
      </c>
      <c r="AN7" s="100">
        <v>14.605709889786585</v>
      </c>
      <c r="AO7" s="100">
        <v>11515.141677107744</v>
      </c>
      <c r="AP7" s="100">
        <v>17.468149765757833</v>
      </c>
      <c r="AQ7" s="100">
        <v>13771.889275323474</v>
      </c>
      <c r="AR7" s="100">
        <v>17.11184996006638</v>
      </c>
      <c r="AS7" s="100">
        <v>13490.982508516334</v>
      </c>
      <c r="AT7" s="100">
        <v>18.666597509180711</v>
      </c>
      <c r="AU7" s="100">
        <v>14716.745476238073</v>
      </c>
      <c r="AV7" s="100">
        <v>18</v>
      </c>
      <c r="AW7" s="100">
        <v>14191.199999999999</v>
      </c>
      <c r="AX7" s="100">
        <v>19.16883517202135</v>
      </c>
      <c r="AY7" s="100">
        <v>15112.709649621631</v>
      </c>
      <c r="AZ7" s="100">
        <v>22</v>
      </c>
      <c r="BA7" s="100">
        <v>17344.8</v>
      </c>
      <c r="BB7" s="100">
        <v>17</v>
      </c>
      <c r="BC7" s="100">
        <v>13402.8</v>
      </c>
      <c r="BD7" s="100">
        <v>22</v>
      </c>
      <c r="BE7" s="100">
        <v>17344.8</v>
      </c>
      <c r="BF7" s="100">
        <v>28</v>
      </c>
      <c r="BG7" s="100">
        <v>22075.200000000001</v>
      </c>
      <c r="BH7" s="100">
        <v>19</v>
      </c>
      <c r="BI7" s="100">
        <v>14979.6</v>
      </c>
      <c r="BJ7" s="100">
        <v>20.400050336426876</v>
      </c>
      <c r="BK7" s="100">
        <v>16083.399685238948</v>
      </c>
      <c r="BL7" s="100">
        <v>24.23436652794209</v>
      </c>
      <c r="BM7" s="100">
        <v>19106.374570629541</v>
      </c>
      <c r="BN7" s="100">
        <v>25.644629967204981</v>
      </c>
      <c r="BO7" s="100">
        <v>20218.226266144407</v>
      </c>
      <c r="BP7" s="100">
        <v>24.81926085945328</v>
      </c>
      <c r="BQ7" s="100">
        <v>19567.505261592967</v>
      </c>
      <c r="BR7" s="100">
        <v>21.610862183609669</v>
      </c>
      <c r="BS7" s="100">
        <v>17038.003745557864</v>
      </c>
      <c r="BT7" s="100">
        <v>19</v>
      </c>
      <c r="BU7" s="100">
        <v>14979.6</v>
      </c>
      <c r="BV7" s="100">
        <v>29</v>
      </c>
      <c r="BW7" s="100">
        <v>22863.599999999999</v>
      </c>
      <c r="BX7" s="100">
        <v>17</v>
      </c>
      <c r="BY7" s="100">
        <v>13402.8</v>
      </c>
      <c r="BZ7" s="100">
        <v>15</v>
      </c>
      <c r="CA7" s="100">
        <v>11826</v>
      </c>
      <c r="CB7" s="100">
        <v>14</v>
      </c>
      <c r="CC7" s="100">
        <v>11037.6</v>
      </c>
      <c r="CD7" s="100">
        <v>24.756067988098035</v>
      </c>
      <c r="CE7" s="100">
        <v>19517.684001816491</v>
      </c>
      <c r="CF7" s="100">
        <v>17</v>
      </c>
      <c r="CG7" s="100">
        <v>13402.8</v>
      </c>
      <c r="CH7" s="100">
        <v>19.645998349313338</v>
      </c>
      <c r="CI7" s="100">
        <v>15488.905098598636</v>
      </c>
      <c r="CJ7" s="100">
        <v>16</v>
      </c>
      <c r="CK7" s="100">
        <v>12614.4</v>
      </c>
      <c r="CL7" s="100">
        <v>27</v>
      </c>
      <c r="CM7" s="100">
        <v>21286.799999999999</v>
      </c>
      <c r="CN7" s="100">
        <v>17</v>
      </c>
      <c r="CO7" s="100">
        <v>13402.8</v>
      </c>
      <c r="CP7" s="100">
        <v>17</v>
      </c>
      <c r="CQ7" s="100">
        <v>13402.8</v>
      </c>
      <c r="CR7" s="100">
        <v>21</v>
      </c>
      <c r="CS7" s="100">
        <v>16556.399999999998</v>
      </c>
      <c r="CT7" s="100">
        <v>15</v>
      </c>
      <c r="CU7" s="100">
        <v>11826</v>
      </c>
    </row>
    <row r="8" spans="1:99">
      <c r="C8" s="99" t="s">
        <v>174</v>
      </c>
      <c r="D8" s="100">
        <v>19.760666321475966</v>
      </c>
      <c r="E8" s="100">
        <v>6117.9022931289583</v>
      </c>
      <c r="F8" s="100">
        <v>17</v>
      </c>
      <c r="G8" s="100">
        <v>5263.2</v>
      </c>
      <c r="H8" s="100">
        <v>17</v>
      </c>
      <c r="I8" s="100">
        <v>5263.2</v>
      </c>
      <c r="J8" s="100">
        <v>26.38857409254355</v>
      </c>
      <c r="K8" s="100">
        <v>8169.9025390514826</v>
      </c>
      <c r="L8" s="100">
        <v>13</v>
      </c>
      <c r="M8" s="100">
        <v>4024.7999999999997</v>
      </c>
      <c r="N8" s="100">
        <v>22</v>
      </c>
      <c r="O8" s="100">
        <v>6811.1999999999989</v>
      </c>
      <c r="P8" s="100">
        <v>24</v>
      </c>
      <c r="Q8" s="100">
        <v>7430.4</v>
      </c>
      <c r="R8" s="100">
        <v>17</v>
      </c>
      <c r="S8" s="100">
        <v>5263.2</v>
      </c>
      <c r="T8" s="100">
        <v>15</v>
      </c>
      <c r="U8" s="100">
        <v>4643.9999999999991</v>
      </c>
      <c r="V8" s="100">
        <v>20</v>
      </c>
      <c r="W8" s="100">
        <v>6191.9999999999991</v>
      </c>
      <c r="X8" s="100">
        <v>19</v>
      </c>
      <c r="Y8" s="100">
        <v>5882.4</v>
      </c>
      <c r="Z8" s="100">
        <v>26</v>
      </c>
      <c r="AA8" s="100">
        <v>8049.5999999999995</v>
      </c>
      <c r="AB8" s="100">
        <v>7.1562089612320561</v>
      </c>
      <c r="AC8" s="100">
        <v>2215.5622943974445</v>
      </c>
      <c r="AD8" s="100">
        <v>7.1519525005820967E-4</v>
      </c>
      <c r="AE8" s="100">
        <v>0.2214244494180217</v>
      </c>
      <c r="AF8" s="100">
        <v>5.7850637068143954E-4</v>
      </c>
      <c r="AG8" s="100">
        <v>0.17910557236297367</v>
      </c>
      <c r="AH8" s="100">
        <v>5.1553407132452983E-4</v>
      </c>
      <c r="AI8" s="100">
        <v>0.15960934848207442</v>
      </c>
      <c r="AJ8" s="100">
        <v>20</v>
      </c>
      <c r="AK8" s="100">
        <v>6191.9999999999991</v>
      </c>
      <c r="AL8" s="100">
        <v>20.853814713352659</v>
      </c>
      <c r="AM8" s="100">
        <v>6456.3410352539822</v>
      </c>
      <c r="AN8" s="100">
        <v>16.324028700349711</v>
      </c>
      <c r="AO8" s="100">
        <v>5053.9192856282698</v>
      </c>
      <c r="AP8" s="100">
        <v>19.214964742333613</v>
      </c>
      <c r="AQ8" s="100">
        <v>5948.9530842264858</v>
      </c>
      <c r="AR8" s="100">
        <v>18.062508291181182</v>
      </c>
      <c r="AS8" s="100">
        <v>5592.1525669496932</v>
      </c>
      <c r="AT8" s="100">
        <v>19.555483104855981</v>
      </c>
      <c r="AU8" s="100">
        <v>6054.3775692634108</v>
      </c>
      <c r="AV8" s="100">
        <v>21</v>
      </c>
      <c r="AW8" s="100">
        <v>6501.5999999999995</v>
      </c>
      <c r="AX8" s="100">
        <v>19.16883517202135</v>
      </c>
      <c r="AY8" s="100">
        <v>5934.6713692578096</v>
      </c>
      <c r="AZ8" s="100">
        <v>20</v>
      </c>
      <c r="BA8" s="100">
        <v>6191.9999999999991</v>
      </c>
      <c r="BB8" s="100">
        <v>18</v>
      </c>
      <c r="BC8" s="100">
        <v>5572.7999999999993</v>
      </c>
      <c r="BD8" s="100">
        <v>22</v>
      </c>
      <c r="BE8" s="100">
        <v>6811.1999999999989</v>
      </c>
      <c r="BF8" s="100">
        <v>25</v>
      </c>
      <c r="BG8" s="100">
        <v>7739.9999999999991</v>
      </c>
      <c r="BH8" s="100">
        <v>21</v>
      </c>
      <c r="BI8" s="100">
        <v>6501.5999999999995</v>
      </c>
      <c r="BJ8" s="100">
        <v>21.287009046706302</v>
      </c>
      <c r="BK8" s="100">
        <v>6590.4580008602707</v>
      </c>
      <c r="BL8" s="100">
        <v>25.099879618225732</v>
      </c>
      <c r="BM8" s="100">
        <v>7770.9227298026854</v>
      </c>
      <c r="BN8" s="100">
        <v>25.644629967204981</v>
      </c>
      <c r="BO8" s="100">
        <v>7939.5774378466613</v>
      </c>
      <c r="BP8" s="100">
        <v>24.81926085945328</v>
      </c>
      <c r="BQ8" s="100">
        <v>7684.0431620867348</v>
      </c>
      <c r="BR8" s="100">
        <v>22.411264486706322</v>
      </c>
      <c r="BS8" s="100">
        <v>6938.527485084277</v>
      </c>
      <c r="BT8" s="100">
        <v>20</v>
      </c>
      <c r="BU8" s="100">
        <v>6191.9999999999991</v>
      </c>
      <c r="BV8" s="100">
        <v>28</v>
      </c>
      <c r="BW8" s="100">
        <v>8668.7999999999993</v>
      </c>
      <c r="BX8" s="100">
        <v>21</v>
      </c>
      <c r="BY8" s="100">
        <v>6501.5999999999995</v>
      </c>
      <c r="BZ8" s="100">
        <v>15</v>
      </c>
      <c r="CA8" s="100">
        <v>4643.9999999999991</v>
      </c>
      <c r="CB8" s="100">
        <v>17</v>
      </c>
      <c r="CC8" s="100">
        <v>5263.2</v>
      </c>
      <c r="CD8" s="100">
        <v>24.756067988098035</v>
      </c>
      <c r="CE8" s="100">
        <v>7664.4786491151508</v>
      </c>
      <c r="CF8" s="100">
        <v>16</v>
      </c>
      <c r="CG8" s="100">
        <v>4953.5999999999995</v>
      </c>
      <c r="CH8" s="100">
        <v>20.581522080233025</v>
      </c>
      <c r="CI8" s="100">
        <v>6372.0392360401438</v>
      </c>
      <c r="CJ8" s="100">
        <v>18</v>
      </c>
      <c r="CK8" s="100">
        <v>5572.7999999999993</v>
      </c>
      <c r="CL8" s="100">
        <v>28</v>
      </c>
      <c r="CM8" s="100">
        <v>8668.7999999999993</v>
      </c>
      <c r="CN8" s="100">
        <v>18</v>
      </c>
      <c r="CO8" s="100">
        <v>5572.7999999999993</v>
      </c>
      <c r="CP8" s="100">
        <v>16</v>
      </c>
      <c r="CQ8" s="100">
        <v>4953.5999999999995</v>
      </c>
      <c r="CR8" s="100">
        <v>21</v>
      </c>
      <c r="CS8" s="100">
        <v>6501.5999999999995</v>
      </c>
      <c r="CT8" s="100">
        <v>16</v>
      </c>
      <c r="CU8" s="100">
        <v>4953.5999999999995</v>
      </c>
    </row>
    <row r="9" spans="1:99">
      <c r="C9" s="99" t="s">
        <v>175</v>
      </c>
      <c r="D9" s="100">
        <v>18.901506916194403</v>
      </c>
      <c r="E9" s="100">
        <v>13268.857855168471</v>
      </c>
      <c r="F9" s="100">
        <v>19</v>
      </c>
      <c r="G9" s="100">
        <v>13338</v>
      </c>
      <c r="H9" s="100">
        <v>15</v>
      </c>
      <c r="I9" s="100">
        <v>10530</v>
      </c>
      <c r="J9" s="100">
        <v>20.928869107879365</v>
      </c>
      <c r="K9" s="100">
        <v>14692.066113731315</v>
      </c>
      <c r="L9" s="100">
        <v>13</v>
      </c>
      <c r="M9" s="100">
        <v>9126</v>
      </c>
      <c r="N9" s="100">
        <v>23</v>
      </c>
      <c r="O9" s="100">
        <v>16146</v>
      </c>
      <c r="P9" s="100">
        <v>25</v>
      </c>
      <c r="Q9" s="100">
        <v>17550</v>
      </c>
      <c r="R9" s="100">
        <v>16</v>
      </c>
      <c r="S9" s="100">
        <v>11232</v>
      </c>
      <c r="T9" s="100">
        <v>14</v>
      </c>
      <c r="U9" s="100">
        <v>9828</v>
      </c>
      <c r="V9" s="100">
        <v>18</v>
      </c>
      <c r="W9" s="100">
        <v>12636</v>
      </c>
      <c r="X9" s="100">
        <v>17</v>
      </c>
      <c r="Y9" s="100">
        <v>11934</v>
      </c>
      <c r="Z9" s="100">
        <v>24</v>
      </c>
      <c r="AA9" s="100">
        <v>16848</v>
      </c>
      <c r="AB9" s="100">
        <v>7.1562089612320561</v>
      </c>
      <c r="AC9" s="100">
        <v>5023.6586907849032</v>
      </c>
      <c r="AD9" s="100">
        <v>7.4629069571291451E-4</v>
      </c>
      <c r="AE9" s="100">
        <v>0.52389606839046599</v>
      </c>
      <c r="AF9" s="100">
        <v>5.5440193856971288E-4</v>
      </c>
      <c r="AG9" s="100">
        <v>0.38919016087593844</v>
      </c>
      <c r="AH9" s="100">
        <v>4.6126732697457932E-4</v>
      </c>
      <c r="AI9" s="100">
        <v>0.3238096635361547</v>
      </c>
      <c r="AJ9" s="100">
        <v>21</v>
      </c>
      <c r="AK9" s="100">
        <v>14742</v>
      </c>
      <c r="AL9" s="100">
        <v>18.958013375775145</v>
      </c>
      <c r="AM9" s="100">
        <v>13308.525389794153</v>
      </c>
      <c r="AN9" s="100">
        <v>15.464869295068148</v>
      </c>
      <c r="AO9" s="100">
        <v>10856.33824513784</v>
      </c>
      <c r="AP9" s="100">
        <v>20.088372230621506</v>
      </c>
      <c r="AQ9" s="100">
        <v>14102.037305896298</v>
      </c>
      <c r="AR9" s="100">
        <v>17.11184996006638</v>
      </c>
      <c r="AS9" s="100">
        <v>12012.518671966598</v>
      </c>
      <c r="AT9" s="100">
        <v>18.666597509180711</v>
      </c>
      <c r="AU9" s="100">
        <v>13103.95145144486</v>
      </c>
      <c r="AV9" s="100">
        <v>18</v>
      </c>
      <c r="AW9" s="100">
        <v>12636</v>
      </c>
      <c r="AX9" s="100">
        <v>20.081636846879512</v>
      </c>
      <c r="AY9" s="100">
        <v>14097.309066509417</v>
      </c>
      <c r="AZ9" s="100">
        <v>21</v>
      </c>
      <c r="BA9" s="100">
        <v>14742</v>
      </c>
      <c r="BB9" s="100">
        <v>20</v>
      </c>
      <c r="BC9" s="100">
        <v>14040</v>
      </c>
      <c r="BD9" s="100">
        <v>21</v>
      </c>
      <c r="BE9" s="100">
        <v>14742</v>
      </c>
      <c r="BF9" s="100">
        <v>27</v>
      </c>
      <c r="BG9" s="100">
        <v>18954</v>
      </c>
      <c r="BH9" s="100">
        <v>21</v>
      </c>
      <c r="BI9" s="100">
        <v>14742</v>
      </c>
      <c r="BJ9" s="100">
        <v>19.513091626147446</v>
      </c>
      <c r="BK9" s="100">
        <v>13698.190321555507</v>
      </c>
      <c r="BL9" s="100">
        <v>21.63782725709115</v>
      </c>
      <c r="BM9" s="100">
        <v>15189.754734477987</v>
      </c>
      <c r="BN9" s="100">
        <v>22.79522663751554</v>
      </c>
      <c r="BO9" s="100">
        <v>16002.249099535909</v>
      </c>
      <c r="BP9" s="100">
        <v>23.82649042507515</v>
      </c>
      <c r="BQ9" s="100">
        <v>16726.196278402756</v>
      </c>
      <c r="BR9" s="100">
        <v>22.411264486706322</v>
      </c>
      <c r="BS9" s="100">
        <v>15732.707669667838</v>
      </c>
      <c r="BT9" s="100">
        <v>20</v>
      </c>
      <c r="BU9" s="100">
        <v>14040</v>
      </c>
      <c r="BV9" s="100">
        <v>25</v>
      </c>
      <c r="BW9" s="100">
        <v>17550</v>
      </c>
      <c r="BX9" s="100">
        <v>20</v>
      </c>
      <c r="BY9" s="100">
        <v>14040</v>
      </c>
      <c r="BZ9" s="100">
        <v>16</v>
      </c>
      <c r="CA9" s="100">
        <v>11232</v>
      </c>
      <c r="CB9" s="100">
        <v>17</v>
      </c>
      <c r="CC9" s="100">
        <v>11934</v>
      </c>
      <c r="CD9" s="100">
        <v>26.406472520637902</v>
      </c>
      <c r="CE9" s="100">
        <v>18537.343709487806</v>
      </c>
      <c r="CF9" s="100">
        <v>17</v>
      </c>
      <c r="CG9" s="100">
        <v>11934</v>
      </c>
      <c r="CH9" s="100">
        <v>22.452569542072389</v>
      </c>
      <c r="CI9" s="100">
        <v>15761.703818534817</v>
      </c>
      <c r="CJ9" s="100">
        <v>16</v>
      </c>
      <c r="CK9" s="100">
        <v>11232</v>
      </c>
      <c r="CL9" s="100">
        <v>30</v>
      </c>
      <c r="CM9" s="100">
        <v>21060</v>
      </c>
      <c r="CN9" s="100">
        <v>15</v>
      </c>
      <c r="CO9" s="100">
        <v>10530</v>
      </c>
      <c r="CP9" s="100">
        <v>16</v>
      </c>
      <c r="CQ9" s="100">
        <v>11232</v>
      </c>
      <c r="CR9" s="100">
        <v>20</v>
      </c>
      <c r="CS9" s="100">
        <v>14040</v>
      </c>
      <c r="CT9" s="100">
        <v>17</v>
      </c>
      <c r="CU9" s="100">
        <v>11934</v>
      </c>
    </row>
    <row r="10" spans="1:99">
      <c r="C10" s="99" t="s">
        <v>176</v>
      </c>
      <c r="D10" s="100">
        <v>20.619825726757529</v>
      </c>
      <c r="E10" s="100">
        <v>11233.681055937501</v>
      </c>
      <c r="F10" s="100">
        <v>20</v>
      </c>
      <c r="G10" s="100">
        <v>10896</v>
      </c>
      <c r="H10" s="100">
        <v>18</v>
      </c>
      <c r="I10" s="100">
        <v>9806.4</v>
      </c>
      <c r="J10" s="100">
        <v>22.748770769434095</v>
      </c>
      <c r="K10" s="100">
        <v>12393.530315187694</v>
      </c>
      <c r="L10" s="100">
        <v>14</v>
      </c>
      <c r="M10" s="100">
        <v>7627.1999999999989</v>
      </c>
      <c r="N10" s="100">
        <v>24</v>
      </c>
      <c r="O10" s="100">
        <v>13075.199999999999</v>
      </c>
      <c r="P10" s="100">
        <v>26</v>
      </c>
      <c r="Q10" s="100">
        <v>14164.8</v>
      </c>
      <c r="R10" s="100">
        <v>15</v>
      </c>
      <c r="S10" s="100">
        <v>8171.9999999999991</v>
      </c>
      <c r="T10" s="100">
        <v>15</v>
      </c>
      <c r="U10" s="100">
        <v>8171.9999999999991</v>
      </c>
      <c r="V10" s="100">
        <v>19</v>
      </c>
      <c r="W10" s="100">
        <v>10351.199999999999</v>
      </c>
      <c r="X10" s="100">
        <v>18</v>
      </c>
      <c r="Y10" s="100">
        <v>9806.4</v>
      </c>
      <c r="Z10" s="100">
        <v>25</v>
      </c>
      <c r="AA10" s="100">
        <v>13619.999999999998</v>
      </c>
      <c r="AB10" s="100">
        <v>7.7784880013391913</v>
      </c>
      <c r="AC10" s="100">
        <v>4237.7202631295913</v>
      </c>
      <c r="AD10" s="100">
        <v>6.8409980440350504E-4</v>
      </c>
      <c r="AE10" s="100">
        <v>0.37269757343902954</v>
      </c>
      <c r="AF10" s="100">
        <v>4.8208864223453301E-4</v>
      </c>
      <c r="AG10" s="100">
        <v>0.26264189228937357</v>
      </c>
      <c r="AH10" s="100">
        <v>4.3413395479960403E-4</v>
      </c>
      <c r="AI10" s="100">
        <v>0.23651617857482427</v>
      </c>
      <c r="AJ10" s="100">
        <v>20</v>
      </c>
      <c r="AK10" s="100">
        <v>10896</v>
      </c>
      <c r="AL10" s="100">
        <v>19.9059140445639</v>
      </c>
      <c r="AM10" s="100">
        <v>10844.741971478412</v>
      </c>
      <c r="AN10" s="100">
        <v>15.464869295068148</v>
      </c>
      <c r="AO10" s="100">
        <v>8425.2607919531256</v>
      </c>
      <c r="AP10" s="100">
        <v>20.088372230621506</v>
      </c>
      <c r="AQ10" s="100">
        <v>10944.145191242595</v>
      </c>
      <c r="AR10" s="100">
        <v>15.210533297836783</v>
      </c>
      <c r="AS10" s="100">
        <v>8286.6985406614785</v>
      </c>
      <c r="AT10" s="100">
        <v>18.666597509180711</v>
      </c>
      <c r="AU10" s="100">
        <v>10169.56232300165</v>
      </c>
      <c r="AV10" s="100">
        <v>18</v>
      </c>
      <c r="AW10" s="100">
        <v>9806.4</v>
      </c>
      <c r="AX10" s="100">
        <v>20.994438521737671</v>
      </c>
      <c r="AY10" s="100">
        <v>11437.770106642682</v>
      </c>
      <c r="AZ10" s="100">
        <v>20</v>
      </c>
      <c r="BA10" s="100">
        <v>10896</v>
      </c>
      <c r="BB10" s="100">
        <v>18</v>
      </c>
      <c r="BC10" s="100">
        <v>9806.4</v>
      </c>
      <c r="BD10" s="100">
        <v>23</v>
      </c>
      <c r="BE10" s="100">
        <v>12530.4</v>
      </c>
      <c r="BF10" s="100">
        <v>24</v>
      </c>
      <c r="BG10" s="100">
        <v>13075.199999999999</v>
      </c>
      <c r="BH10" s="100">
        <v>22</v>
      </c>
      <c r="BI10" s="100">
        <v>11985.599999999999</v>
      </c>
      <c r="BJ10" s="100">
        <v>22.173967756985732</v>
      </c>
      <c r="BK10" s="100">
        <v>12080.377634005827</v>
      </c>
      <c r="BL10" s="100">
        <v>26.830905798793026</v>
      </c>
      <c r="BM10" s="100">
        <v>14617.47747918244</v>
      </c>
      <c r="BN10" s="100">
        <v>23.745027747412021</v>
      </c>
      <c r="BO10" s="100">
        <v>12936.291116790067</v>
      </c>
      <c r="BP10" s="100">
        <v>25.812031293831414</v>
      </c>
      <c r="BQ10" s="100">
        <v>14062.394648879354</v>
      </c>
      <c r="BR10" s="100">
        <v>20.810459880513015</v>
      </c>
      <c r="BS10" s="100">
        <v>11337.53854290349</v>
      </c>
      <c r="BT10" s="100">
        <v>18</v>
      </c>
      <c r="BU10" s="100">
        <v>9806.4</v>
      </c>
      <c r="BV10" s="100">
        <v>27</v>
      </c>
      <c r="BW10" s="100">
        <v>14709.599999999999</v>
      </c>
      <c r="BX10" s="100">
        <v>19</v>
      </c>
      <c r="BY10" s="100">
        <v>10351.199999999999</v>
      </c>
      <c r="BZ10" s="100">
        <v>16</v>
      </c>
      <c r="CA10" s="100">
        <v>8716.7999999999993</v>
      </c>
      <c r="CB10" s="100">
        <v>15</v>
      </c>
      <c r="CC10" s="100">
        <v>8171.9999999999991</v>
      </c>
      <c r="CD10" s="100">
        <v>23.930865721828098</v>
      </c>
      <c r="CE10" s="100">
        <v>13037.535645251946</v>
      </c>
      <c r="CF10" s="100">
        <v>18</v>
      </c>
      <c r="CG10" s="100">
        <v>9806.4</v>
      </c>
      <c r="CH10" s="100">
        <v>22.452569542072389</v>
      </c>
      <c r="CI10" s="100">
        <v>12232.159886521036</v>
      </c>
      <c r="CJ10" s="100">
        <v>18</v>
      </c>
      <c r="CK10" s="100">
        <v>9806.4</v>
      </c>
      <c r="CL10" s="100">
        <v>28</v>
      </c>
      <c r="CM10" s="100">
        <v>15254.399999999998</v>
      </c>
      <c r="CN10" s="100">
        <v>16</v>
      </c>
      <c r="CO10" s="100">
        <v>8716.7999999999993</v>
      </c>
      <c r="CP10" s="100">
        <v>17</v>
      </c>
      <c r="CQ10" s="100">
        <v>9261.5999999999985</v>
      </c>
      <c r="CR10" s="100">
        <v>24</v>
      </c>
      <c r="CS10" s="100">
        <v>13075.199999999999</v>
      </c>
      <c r="CT10" s="100">
        <v>18</v>
      </c>
      <c r="CU10" s="100">
        <v>9806.4</v>
      </c>
    </row>
    <row r="11" spans="1:99">
      <c r="C11" s="99" t="s">
        <v>177</v>
      </c>
      <c r="D11" s="100">
        <v>20.619825726757529</v>
      </c>
      <c r="E11" s="100">
        <v>10986.24314721641</v>
      </c>
      <c r="F11" s="100">
        <v>19</v>
      </c>
      <c r="G11" s="100">
        <v>10123.199999999999</v>
      </c>
      <c r="H11" s="100">
        <v>16</v>
      </c>
      <c r="I11" s="100">
        <v>8524.7999999999993</v>
      </c>
      <c r="J11" s="100">
        <v>24.568672430988826</v>
      </c>
      <c r="K11" s="100">
        <v>13090.188671230846</v>
      </c>
      <c r="L11" s="100">
        <v>14</v>
      </c>
      <c r="M11" s="100">
        <v>7459.1999999999989</v>
      </c>
      <c r="N11" s="100">
        <v>23</v>
      </c>
      <c r="O11" s="100">
        <v>12254.4</v>
      </c>
      <c r="P11" s="100">
        <v>27</v>
      </c>
      <c r="Q11" s="100">
        <v>14385.599999999999</v>
      </c>
      <c r="R11" s="100">
        <v>16</v>
      </c>
      <c r="S11" s="100">
        <v>8524.7999999999993</v>
      </c>
      <c r="T11" s="100">
        <v>14</v>
      </c>
      <c r="U11" s="100">
        <v>7459.1999999999989</v>
      </c>
      <c r="V11" s="100">
        <v>20</v>
      </c>
      <c r="W11" s="100">
        <v>10656</v>
      </c>
      <c r="X11" s="100">
        <v>17</v>
      </c>
      <c r="Y11" s="100">
        <v>9057.5999999999985</v>
      </c>
      <c r="Z11" s="100">
        <v>24</v>
      </c>
      <c r="AA11" s="100">
        <v>12787.199999999999</v>
      </c>
      <c r="AB11" s="100">
        <v>8.4007670414463256</v>
      </c>
      <c r="AC11" s="100">
        <v>4475.9286796826018</v>
      </c>
      <c r="AD11" s="100">
        <v>6.8409980440350504E-4</v>
      </c>
      <c r="AE11" s="100">
        <v>0.36448837578618748</v>
      </c>
      <c r="AF11" s="100">
        <v>5.0619307434625967E-4</v>
      </c>
      <c r="AG11" s="100">
        <v>0.26969967001168715</v>
      </c>
      <c r="AH11" s="100">
        <v>4.6126732697457932E-4</v>
      </c>
      <c r="AI11" s="100">
        <v>0.24576323181205584</v>
      </c>
      <c r="AJ11" s="100">
        <v>20</v>
      </c>
      <c r="AK11" s="100">
        <v>10656</v>
      </c>
      <c r="AL11" s="100">
        <v>19.9059140445639</v>
      </c>
      <c r="AM11" s="100">
        <v>10605.871002943644</v>
      </c>
      <c r="AN11" s="100">
        <v>16.324028700349711</v>
      </c>
      <c r="AO11" s="100">
        <v>8697.442491546326</v>
      </c>
      <c r="AP11" s="100">
        <v>20.088372230621506</v>
      </c>
      <c r="AQ11" s="100">
        <v>10703.084724475137</v>
      </c>
      <c r="AR11" s="100">
        <v>16.161191628951581</v>
      </c>
      <c r="AS11" s="100">
        <v>8610.6828999054014</v>
      </c>
      <c r="AT11" s="100">
        <v>18.666597509180711</v>
      </c>
      <c r="AU11" s="100">
        <v>9945.5631528914819</v>
      </c>
      <c r="AV11" s="100">
        <v>19</v>
      </c>
      <c r="AW11" s="100">
        <v>10123.199999999999</v>
      </c>
      <c r="AX11" s="100">
        <v>19.16883517202135</v>
      </c>
      <c r="AY11" s="100">
        <v>10213.155379652973</v>
      </c>
      <c r="AZ11" s="100">
        <v>20</v>
      </c>
      <c r="BA11" s="100">
        <v>10656</v>
      </c>
      <c r="BB11" s="100">
        <v>18</v>
      </c>
      <c r="BC11" s="100">
        <v>9590.4</v>
      </c>
      <c r="BD11" s="100">
        <v>21</v>
      </c>
      <c r="BE11" s="100">
        <v>11188.8</v>
      </c>
      <c r="BF11" s="100">
        <v>24</v>
      </c>
      <c r="BG11" s="100">
        <v>12787.199999999999</v>
      </c>
      <c r="BH11" s="100">
        <v>20</v>
      </c>
      <c r="BI11" s="100">
        <v>10656</v>
      </c>
      <c r="BJ11" s="100">
        <v>20.400050336426876</v>
      </c>
      <c r="BK11" s="100">
        <v>10869.146819248239</v>
      </c>
      <c r="BL11" s="100">
        <v>27.696418889076671</v>
      </c>
      <c r="BM11" s="100">
        <v>14756.65198410005</v>
      </c>
      <c r="BN11" s="100">
        <v>27.544232186997942</v>
      </c>
      <c r="BO11" s="100">
        <v>14675.566909232502</v>
      </c>
      <c r="BP11" s="100">
        <v>23.82649042507515</v>
      </c>
      <c r="BQ11" s="100">
        <v>12694.754098480038</v>
      </c>
      <c r="BR11" s="100">
        <v>21.610862183609669</v>
      </c>
      <c r="BS11" s="100">
        <v>11514.267371427231</v>
      </c>
      <c r="BT11" s="100">
        <v>20</v>
      </c>
      <c r="BU11" s="100">
        <v>10656</v>
      </c>
      <c r="BV11" s="100">
        <v>29</v>
      </c>
      <c r="BW11" s="100">
        <v>15451.199999999999</v>
      </c>
      <c r="BX11" s="100">
        <v>20</v>
      </c>
      <c r="BY11" s="100">
        <v>10656</v>
      </c>
      <c r="BZ11" s="100">
        <v>16</v>
      </c>
      <c r="CA11" s="100">
        <v>8524.7999999999993</v>
      </c>
      <c r="CB11" s="100">
        <v>18</v>
      </c>
      <c r="CC11" s="100">
        <v>9590.4</v>
      </c>
      <c r="CD11" s="100">
        <v>24.756067988098035</v>
      </c>
      <c r="CE11" s="100">
        <v>13190.033024058632</v>
      </c>
      <c r="CF11" s="100">
        <v>15</v>
      </c>
      <c r="CG11" s="100">
        <v>7991.9999999999991</v>
      </c>
      <c r="CH11" s="100">
        <v>20.581522080233025</v>
      </c>
      <c r="CI11" s="100">
        <v>10965.834964348154</v>
      </c>
      <c r="CJ11" s="100">
        <v>18</v>
      </c>
      <c r="CK11" s="100">
        <v>9590.4</v>
      </c>
      <c r="CL11" s="100">
        <v>30</v>
      </c>
      <c r="CM11" s="100">
        <v>15983.999999999998</v>
      </c>
      <c r="CN11" s="100">
        <v>16</v>
      </c>
      <c r="CO11" s="100">
        <v>8524.7999999999993</v>
      </c>
      <c r="CP11" s="100">
        <v>16</v>
      </c>
      <c r="CQ11" s="100">
        <v>8524.7999999999993</v>
      </c>
      <c r="CR11" s="100">
        <v>20</v>
      </c>
      <c r="CS11" s="100">
        <v>10656</v>
      </c>
      <c r="CT11" s="100">
        <v>16</v>
      </c>
      <c r="CU11" s="100">
        <v>8524.7999999999993</v>
      </c>
    </row>
    <row r="12" spans="1:99">
      <c r="C12" s="99" t="s">
        <v>178</v>
      </c>
      <c r="D12" s="100">
        <v>20.619825726757529</v>
      </c>
      <c r="E12" s="100">
        <v>11604.837919019137</v>
      </c>
      <c r="F12" s="100">
        <v>17</v>
      </c>
      <c r="G12" s="100">
        <v>9567.5999999999985</v>
      </c>
      <c r="H12" s="100">
        <v>17</v>
      </c>
      <c r="I12" s="100">
        <v>9567.5999999999985</v>
      </c>
      <c r="J12" s="100">
        <v>22.748770769434095</v>
      </c>
      <c r="K12" s="100">
        <v>12803.008189037508</v>
      </c>
      <c r="L12" s="100">
        <v>13</v>
      </c>
      <c r="M12" s="100">
        <v>7316.4</v>
      </c>
      <c r="N12" s="100">
        <v>23</v>
      </c>
      <c r="O12" s="100">
        <v>12944.4</v>
      </c>
      <c r="P12" s="100">
        <v>24</v>
      </c>
      <c r="Q12" s="100">
        <v>13507.199999999999</v>
      </c>
      <c r="R12" s="100">
        <v>16</v>
      </c>
      <c r="S12" s="100">
        <v>9004.7999999999993</v>
      </c>
      <c r="T12" s="100">
        <v>14</v>
      </c>
      <c r="U12" s="100">
        <v>7879.1999999999989</v>
      </c>
      <c r="V12" s="100">
        <v>18</v>
      </c>
      <c r="W12" s="100">
        <v>10130.4</v>
      </c>
      <c r="X12" s="100">
        <v>21</v>
      </c>
      <c r="Y12" s="100">
        <v>11818.8</v>
      </c>
      <c r="Z12" s="100">
        <v>26</v>
      </c>
      <c r="AA12" s="100">
        <v>14632.8</v>
      </c>
      <c r="AB12" s="100">
        <v>8.4007670414463256</v>
      </c>
      <c r="AC12" s="100">
        <v>4727.9516909259919</v>
      </c>
      <c r="AD12" s="100">
        <v>6.8409980440350504E-4</v>
      </c>
      <c r="AE12" s="100">
        <v>0.3850113699182926</v>
      </c>
      <c r="AF12" s="100">
        <v>5.5440193856971288E-4</v>
      </c>
      <c r="AG12" s="100">
        <v>0.3120174110270344</v>
      </c>
      <c r="AH12" s="100">
        <v>4.6126732697457932E-4</v>
      </c>
      <c r="AI12" s="100">
        <v>0.25960125162129322</v>
      </c>
      <c r="AJ12" s="100">
        <v>20</v>
      </c>
      <c r="AK12" s="100">
        <v>11256</v>
      </c>
      <c r="AL12" s="100">
        <v>20.853814713352659</v>
      </c>
      <c r="AM12" s="100">
        <v>11736.526920674874</v>
      </c>
      <c r="AN12" s="100">
        <v>13.746550484505022</v>
      </c>
      <c r="AO12" s="100">
        <v>7736.558612679426</v>
      </c>
      <c r="AP12" s="100">
        <v>17.468149765757833</v>
      </c>
      <c r="AQ12" s="100">
        <v>9831.0746881685081</v>
      </c>
      <c r="AR12" s="100">
        <v>16.161191628951581</v>
      </c>
      <c r="AS12" s="100">
        <v>9095.5186487739484</v>
      </c>
      <c r="AT12" s="100">
        <v>19.555483104855981</v>
      </c>
      <c r="AU12" s="100">
        <v>11005.825891412946</v>
      </c>
      <c r="AV12" s="100">
        <v>20</v>
      </c>
      <c r="AW12" s="100">
        <v>11256</v>
      </c>
      <c r="AX12" s="100">
        <v>21.907240196595829</v>
      </c>
      <c r="AY12" s="100">
        <v>12329.394782644131</v>
      </c>
      <c r="AZ12" s="100">
        <v>23</v>
      </c>
      <c r="BA12" s="100">
        <v>12944.4</v>
      </c>
      <c r="BB12" s="100">
        <v>18</v>
      </c>
      <c r="BC12" s="100">
        <v>10130.4</v>
      </c>
      <c r="BD12" s="100">
        <v>22</v>
      </c>
      <c r="BE12" s="100">
        <v>12381.599999999999</v>
      </c>
      <c r="BF12" s="100">
        <v>28</v>
      </c>
      <c r="BG12" s="100">
        <v>15758.399999999998</v>
      </c>
      <c r="BH12" s="100">
        <v>21</v>
      </c>
      <c r="BI12" s="100">
        <v>11818.8</v>
      </c>
      <c r="BJ12" s="100">
        <v>21.287009046706302</v>
      </c>
      <c r="BK12" s="100">
        <v>11980.328691486306</v>
      </c>
      <c r="BL12" s="100">
        <v>24.23436652794209</v>
      </c>
      <c r="BM12" s="100">
        <v>13639.101481925807</v>
      </c>
      <c r="BN12" s="100">
        <v>24.694828857308501</v>
      </c>
      <c r="BO12" s="100">
        <v>13898.249680893223</v>
      </c>
      <c r="BP12" s="100">
        <v>24.81926085945328</v>
      </c>
      <c r="BQ12" s="100">
        <v>13968.280011700304</v>
      </c>
      <c r="BR12" s="100">
        <v>20.010057577416358</v>
      </c>
      <c r="BS12" s="100">
        <v>11261.660404569926</v>
      </c>
      <c r="BT12" s="100">
        <v>19</v>
      </c>
      <c r="BU12" s="100">
        <v>10693.199999999999</v>
      </c>
      <c r="BV12" s="100">
        <v>28</v>
      </c>
      <c r="BW12" s="100">
        <v>15758.399999999998</v>
      </c>
      <c r="BX12" s="100">
        <v>20</v>
      </c>
      <c r="BY12" s="100">
        <v>11256</v>
      </c>
      <c r="BZ12" s="100">
        <v>16</v>
      </c>
      <c r="CA12" s="100">
        <v>9004.7999999999993</v>
      </c>
      <c r="CB12" s="100">
        <v>17</v>
      </c>
      <c r="CC12" s="100">
        <v>9567.5999999999985</v>
      </c>
      <c r="CD12" s="100">
        <v>27.231674786907838</v>
      </c>
      <c r="CE12" s="100">
        <v>15325.986570071731</v>
      </c>
      <c r="CF12" s="100">
        <v>18</v>
      </c>
      <c r="CG12" s="100">
        <v>10130.4</v>
      </c>
      <c r="CH12" s="100">
        <v>21.517045811152709</v>
      </c>
      <c r="CI12" s="100">
        <v>12109.793382516744</v>
      </c>
      <c r="CJ12" s="100">
        <v>17</v>
      </c>
      <c r="CK12" s="100">
        <v>9567.5999999999985</v>
      </c>
      <c r="CL12" s="100">
        <v>27</v>
      </c>
      <c r="CM12" s="100">
        <v>15195.599999999999</v>
      </c>
      <c r="CN12" s="100">
        <v>17</v>
      </c>
      <c r="CO12" s="100">
        <v>9567.5999999999985</v>
      </c>
      <c r="CP12" s="100">
        <v>17</v>
      </c>
      <c r="CQ12" s="100">
        <v>9567.5999999999985</v>
      </c>
      <c r="CR12" s="100">
        <v>20</v>
      </c>
      <c r="CS12" s="100">
        <v>11256</v>
      </c>
      <c r="CT12" s="100">
        <v>16</v>
      </c>
      <c r="CU12" s="100">
        <v>9004.7999999999993</v>
      </c>
    </row>
    <row r="13" spans="1:99">
      <c r="C13" s="99" t="s">
        <v>179</v>
      </c>
      <c r="D13" s="100">
        <v>19.760666321475966</v>
      </c>
      <c r="E13" s="100">
        <v>1683.6087705897523</v>
      </c>
      <c r="F13" s="100">
        <v>20</v>
      </c>
      <c r="G13" s="100">
        <v>1704</v>
      </c>
      <c r="H13" s="100">
        <v>19</v>
      </c>
      <c r="I13" s="100">
        <v>1618.8</v>
      </c>
      <c r="J13" s="100">
        <v>27.298524923320915</v>
      </c>
      <c r="K13" s="100">
        <v>2325.8343234669419</v>
      </c>
      <c r="L13" s="100">
        <v>13</v>
      </c>
      <c r="M13" s="100">
        <v>1107.6000000000001</v>
      </c>
      <c r="N13" s="100">
        <v>27</v>
      </c>
      <c r="O13" s="100">
        <v>2300.4</v>
      </c>
      <c r="P13" s="100">
        <v>25</v>
      </c>
      <c r="Q13" s="100">
        <v>2130</v>
      </c>
      <c r="R13" s="100">
        <v>16</v>
      </c>
      <c r="S13" s="100">
        <v>1363.2</v>
      </c>
      <c r="T13" s="100">
        <v>15</v>
      </c>
      <c r="U13" s="100">
        <v>1278</v>
      </c>
      <c r="V13" s="100">
        <v>21</v>
      </c>
      <c r="W13" s="100">
        <v>1789.2</v>
      </c>
      <c r="X13" s="100">
        <v>22</v>
      </c>
      <c r="Y13" s="100">
        <v>1874.4</v>
      </c>
      <c r="Z13" s="100">
        <v>25</v>
      </c>
      <c r="AA13" s="100">
        <v>2130</v>
      </c>
      <c r="AB13" s="100">
        <v>7.4673484812856232</v>
      </c>
      <c r="AC13" s="100">
        <v>636.21809060553517</v>
      </c>
      <c r="AD13" s="100">
        <v>8.3957703267702882E-4</v>
      </c>
      <c r="AE13" s="100">
        <v>7.1531963184082864E-2</v>
      </c>
      <c r="AF13" s="100">
        <v>5.0619307434625967E-4</v>
      </c>
      <c r="AG13" s="100">
        <v>4.3127649934301328E-2</v>
      </c>
      <c r="AH13" s="100">
        <v>4.6126732697457932E-4</v>
      </c>
      <c r="AI13" s="100">
        <v>3.9299976258234157E-2</v>
      </c>
      <c r="AJ13" s="100">
        <v>22</v>
      </c>
      <c r="AK13" s="100">
        <v>1874.4</v>
      </c>
      <c r="AL13" s="100">
        <v>20.853814713352659</v>
      </c>
      <c r="AM13" s="100">
        <v>1776.7450135776467</v>
      </c>
      <c r="AN13" s="100">
        <v>15.464869295068148</v>
      </c>
      <c r="AO13" s="100">
        <v>1317.6068639398063</v>
      </c>
      <c r="AP13" s="100">
        <v>19.214964742333613</v>
      </c>
      <c r="AQ13" s="100">
        <v>1637.114996046824</v>
      </c>
      <c r="AR13" s="100">
        <v>19.013166622295977</v>
      </c>
      <c r="AS13" s="100">
        <v>1619.9217962196174</v>
      </c>
      <c r="AT13" s="100">
        <v>17.777711913505435</v>
      </c>
      <c r="AU13" s="100">
        <v>1514.6610550306632</v>
      </c>
      <c r="AV13" s="100">
        <v>20</v>
      </c>
      <c r="AW13" s="100">
        <v>1704</v>
      </c>
      <c r="AX13" s="100">
        <v>20.994438521737671</v>
      </c>
      <c r="AY13" s="100">
        <v>1788.7261620520496</v>
      </c>
      <c r="AZ13" s="100">
        <v>22</v>
      </c>
      <c r="BA13" s="100">
        <v>1874.4</v>
      </c>
      <c r="BB13" s="100">
        <v>18</v>
      </c>
      <c r="BC13" s="100">
        <v>1533.6000000000001</v>
      </c>
      <c r="BD13" s="100">
        <v>21</v>
      </c>
      <c r="BE13" s="100">
        <v>1789.2</v>
      </c>
      <c r="BF13" s="100">
        <v>26</v>
      </c>
      <c r="BG13" s="100">
        <v>2215.2000000000003</v>
      </c>
      <c r="BH13" s="100">
        <v>22</v>
      </c>
      <c r="BI13" s="100">
        <v>1874.4</v>
      </c>
      <c r="BJ13" s="100">
        <v>22.173967756985732</v>
      </c>
      <c r="BK13" s="100">
        <v>1889.2220528951843</v>
      </c>
      <c r="BL13" s="100">
        <v>25.965392708509381</v>
      </c>
      <c r="BM13" s="100">
        <v>2212.2514587649994</v>
      </c>
      <c r="BN13" s="100">
        <v>27.544232186997942</v>
      </c>
      <c r="BO13" s="100">
        <v>2346.7685823322249</v>
      </c>
      <c r="BP13" s="100">
        <v>23.82649042507515</v>
      </c>
      <c r="BQ13" s="100">
        <v>2030.0169842164028</v>
      </c>
      <c r="BR13" s="100">
        <v>21.610862183609669</v>
      </c>
      <c r="BS13" s="100">
        <v>1841.2454580435437</v>
      </c>
      <c r="BT13" s="100">
        <v>19</v>
      </c>
      <c r="BU13" s="100">
        <v>1618.8</v>
      </c>
      <c r="BV13" s="100">
        <v>27</v>
      </c>
      <c r="BW13" s="100">
        <v>2300.4</v>
      </c>
      <c r="BX13" s="100">
        <v>18</v>
      </c>
      <c r="BY13" s="100">
        <v>1533.6000000000001</v>
      </c>
      <c r="BZ13" s="100">
        <v>17</v>
      </c>
      <c r="CA13" s="100">
        <v>1448.4</v>
      </c>
      <c r="CB13" s="100">
        <v>16</v>
      </c>
      <c r="CC13" s="100">
        <v>1363.2</v>
      </c>
      <c r="CD13" s="100">
        <v>28.882079319447705</v>
      </c>
      <c r="CE13" s="100">
        <v>2460.7531580169443</v>
      </c>
      <c r="CF13" s="100">
        <v>19</v>
      </c>
      <c r="CG13" s="100">
        <v>1618.8</v>
      </c>
      <c r="CH13" s="100">
        <v>24.323617003911753</v>
      </c>
      <c r="CI13" s="100">
        <v>2072.3721687332813</v>
      </c>
      <c r="CJ13" s="100">
        <v>17</v>
      </c>
      <c r="CK13" s="100">
        <v>1448.4</v>
      </c>
      <c r="CL13" s="100">
        <v>30</v>
      </c>
      <c r="CM13" s="100">
        <v>2556</v>
      </c>
      <c r="CN13" s="100">
        <v>19</v>
      </c>
      <c r="CO13" s="100">
        <v>1618.8</v>
      </c>
      <c r="CP13" s="100">
        <v>19</v>
      </c>
      <c r="CQ13" s="100">
        <v>1618.8</v>
      </c>
      <c r="CR13" s="100">
        <v>24</v>
      </c>
      <c r="CS13" s="100">
        <v>2044.8000000000002</v>
      </c>
      <c r="CT13" s="100">
        <v>17</v>
      </c>
      <c r="CU13" s="100">
        <v>1448.4</v>
      </c>
    </row>
    <row r="14" spans="1:99">
      <c r="C14" s="99" t="s">
        <v>180</v>
      </c>
      <c r="D14" s="100">
        <v>18.04234751091284</v>
      </c>
      <c r="E14" s="100">
        <v>8811.8825243298306</v>
      </c>
      <c r="F14" s="100">
        <v>18</v>
      </c>
      <c r="G14" s="100">
        <v>8791.1999999999989</v>
      </c>
      <c r="H14" s="100">
        <v>15</v>
      </c>
      <c r="I14" s="100">
        <v>7326</v>
      </c>
      <c r="J14" s="100">
        <v>25.478623261766188</v>
      </c>
      <c r="K14" s="100">
        <v>12443.759601046606</v>
      </c>
      <c r="L14" s="100">
        <v>13</v>
      </c>
      <c r="M14" s="100">
        <v>6349.2</v>
      </c>
      <c r="N14" s="100">
        <v>25</v>
      </c>
      <c r="O14" s="100">
        <v>12210</v>
      </c>
      <c r="P14" s="100">
        <v>24</v>
      </c>
      <c r="Q14" s="100">
        <v>11721.599999999999</v>
      </c>
      <c r="R14" s="100">
        <v>17</v>
      </c>
      <c r="S14" s="100">
        <v>8302.7999999999993</v>
      </c>
      <c r="T14" s="100">
        <v>14</v>
      </c>
      <c r="U14" s="100">
        <v>6837.5999999999995</v>
      </c>
      <c r="V14" s="100">
        <v>17</v>
      </c>
      <c r="W14" s="100">
        <v>8302.7999999999993</v>
      </c>
      <c r="X14" s="100">
        <v>18</v>
      </c>
      <c r="Y14" s="100">
        <v>8791.1999999999989</v>
      </c>
      <c r="Z14" s="100">
        <v>25</v>
      </c>
      <c r="AA14" s="100">
        <v>12210</v>
      </c>
      <c r="AB14" s="100">
        <v>7.1562089612320561</v>
      </c>
      <c r="AC14" s="100">
        <v>3495.0924566657359</v>
      </c>
      <c r="AD14" s="100">
        <v>7.1519525005820967E-4</v>
      </c>
      <c r="AE14" s="100">
        <v>0.34930136012842961</v>
      </c>
      <c r="AF14" s="100">
        <v>5.0619307434625967E-4</v>
      </c>
      <c r="AG14" s="100">
        <v>0.24722469751071321</v>
      </c>
      <c r="AH14" s="100">
        <v>4.6126732697457932E-4</v>
      </c>
      <c r="AI14" s="100">
        <v>0.22528296249438454</v>
      </c>
      <c r="AJ14" s="100">
        <v>22</v>
      </c>
      <c r="AK14" s="100">
        <v>10744.8</v>
      </c>
      <c r="AL14" s="100">
        <v>18.958013375775145</v>
      </c>
      <c r="AM14" s="100">
        <v>9259.093732728581</v>
      </c>
      <c r="AN14" s="100">
        <v>15.464869295068148</v>
      </c>
      <c r="AO14" s="100">
        <v>7553.0421637112831</v>
      </c>
      <c r="AP14" s="100">
        <v>17.468149765757833</v>
      </c>
      <c r="AQ14" s="100">
        <v>8531.4443455961245</v>
      </c>
      <c r="AR14" s="100">
        <v>15.210533297836783</v>
      </c>
      <c r="AS14" s="100">
        <v>7428.8244626634842</v>
      </c>
      <c r="AT14" s="100">
        <v>18.666597509180711</v>
      </c>
      <c r="AU14" s="100">
        <v>9116.766223483859</v>
      </c>
      <c r="AV14" s="100">
        <v>21</v>
      </c>
      <c r="AW14" s="100">
        <v>10256.4</v>
      </c>
      <c r="AX14" s="100">
        <v>20.081636846879512</v>
      </c>
      <c r="AY14" s="100">
        <v>9807.8714360159538</v>
      </c>
      <c r="AZ14" s="100">
        <v>20</v>
      </c>
      <c r="BA14" s="100">
        <v>9768</v>
      </c>
      <c r="BB14" s="100">
        <v>17</v>
      </c>
      <c r="BC14" s="100">
        <v>8302.7999999999993</v>
      </c>
      <c r="BD14" s="100">
        <v>22</v>
      </c>
      <c r="BE14" s="100">
        <v>10744.8</v>
      </c>
      <c r="BF14" s="100">
        <v>28</v>
      </c>
      <c r="BG14" s="100">
        <v>13675.199999999999</v>
      </c>
      <c r="BH14" s="100">
        <v>18</v>
      </c>
      <c r="BI14" s="100">
        <v>8791.1999999999989</v>
      </c>
      <c r="BJ14" s="100">
        <v>20.400050336426876</v>
      </c>
      <c r="BK14" s="100">
        <v>9963.3845843108866</v>
      </c>
      <c r="BL14" s="100">
        <v>26.830905798793026</v>
      </c>
      <c r="BM14" s="100">
        <v>13104.214392130514</v>
      </c>
      <c r="BN14" s="100">
        <v>22.79522663751554</v>
      </c>
      <c r="BO14" s="100">
        <v>11133.18868976259</v>
      </c>
      <c r="BP14" s="100">
        <v>22.833719990697016</v>
      </c>
      <c r="BQ14" s="100">
        <v>11151.988843456422</v>
      </c>
      <c r="BR14" s="100">
        <v>20.810459880513015</v>
      </c>
      <c r="BS14" s="100">
        <v>10163.828605642557</v>
      </c>
      <c r="BT14" s="100">
        <v>19</v>
      </c>
      <c r="BU14" s="100">
        <v>9279.6</v>
      </c>
      <c r="BV14" s="100">
        <v>30</v>
      </c>
      <c r="BW14" s="100">
        <v>14652</v>
      </c>
      <c r="BX14" s="100">
        <v>17</v>
      </c>
      <c r="BY14" s="100">
        <v>8302.7999999999993</v>
      </c>
      <c r="BZ14" s="100">
        <v>16</v>
      </c>
      <c r="CA14" s="100">
        <v>7814.4</v>
      </c>
      <c r="CB14" s="100">
        <v>17</v>
      </c>
      <c r="CC14" s="100">
        <v>8302.7999999999993</v>
      </c>
      <c r="CD14" s="100">
        <v>26.406472520637902</v>
      </c>
      <c r="CE14" s="100">
        <v>12896.921179079551</v>
      </c>
      <c r="CF14" s="100">
        <v>16</v>
      </c>
      <c r="CG14" s="100">
        <v>7814.4</v>
      </c>
      <c r="CH14" s="100">
        <v>21.517045811152709</v>
      </c>
      <c r="CI14" s="100">
        <v>10508.925174166983</v>
      </c>
      <c r="CJ14" s="100">
        <v>16</v>
      </c>
      <c r="CK14" s="100">
        <v>7814.4</v>
      </c>
      <c r="CL14" s="100">
        <v>29</v>
      </c>
      <c r="CM14" s="100">
        <v>14163.599999999999</v>
      </c>
      <c r="CN14" s="100">
        <v>17</v>
      </c>
      <c r="CO14" s="100">
        <v>8302.7999999999993</v>
      </c>
      <c r="CP14" s="100">
        <v>16</v>
      </c>
      <c r="CQ14" s="100">
        <v>7814.4</v>
      </c>
      <c r="CR14" s="100">
        <v>23</v>
      </c>
      <c r="CS14" s="100">
        <v>11233.199999999999</v>
      </c>
      <c r="CT14" s="100">
        <v>17</v>
      </c>
      <c r="CU14" s="100">
        <v>8302.7999999999993</v>
      </c>
    </row>
    <row r="15" spans="1:99">
      <c r="C15" s="99" t="s">
        <v>181</v>
      </c>
      <c r="D15" s="100">
        <v>18.04234751091284</v>
      </c>
      <c r="E15" s="100">
        <v>13769.919620328679</v>
      </c>
      <c r="F15" s="100">
        <v>17</v>
      </c>
      <c r="G15" s="100">
        <v>12974.4</v>
      </c>
      <c r="H15" s="100">
        <v>16</v>
      </c>
      <c r="I15" s="100">
        <v>12211.199999999999</v>
      </c>
      <c r="J15" s="100">
        <v>20.928869107879365</v>
      </c>
      <c r="K15" s="100">
        <v>15972.912903133531</v>
      </c>
      <c r="L15" s="100">
        <v>12</v>
      </c>
      <c r="M15" s="100">
        <v>9158.4</v>
      </c>
      <c r="N15" s="100">
        <v>23</v>
      </c>
      <c r="O15" s="100">
        <v>17553.599999999999</v>
      </c>
      <c r="P15" s="100">
        <v>27</v>
      </c>
      <c r="Q15" s="100">
        <v>20606.399999999998</v>
      </c>
      <c r="R15" s="100">
        <v>16</v>
      </c>
      <c r="S15" s="100">
        <v>12211.199999999999</v>
      </c>
      <c r="T15" s="100">
        <v>14</v>
      </c>
      <c r="U15" s="100">
        <v>10684.8</v>
      </c>
      <c r="V15" s="100">
        <v>18</v>
      </c>
      <c r="W15" s="100">
        <v>13737.599999999999</v>
      </c>
      <c r="X15" s="100">
        <v>18</v>
      </c>
      <c r="Y15" s="100">
        <v>13737.599999999999</v>
      </c>
      <c r="Z15" s="100">
        <v>24</v>
      </c>
      <c r="AA15" s="100">
        <v>18316.8</v>
      </c>
      <c r="AB15" s="100">
        <v>7.1562089612320561</v>
      </c>
      <c r="AC15" s="100">
        <v>5461.6186792123044</v>
      </c>
      <c r="AD15" s="100">
        <v>6.8409980440350504E-4</v>
      </c>
      <c r="AE15" s="100">
        <v>0.52210497072075501</v>
      </c>
      <c r="AF15" s="100">
        <v>5.3029750645798633E-4</v>
      </c>
      <c r="AG15" s="100">
        <v>0.40472305692873511</v>
      </c>
      <c r="AH15" s="100">
        <v>4.884006991495546E-4</v>
      </c>
      <c r="AI15" s="100">
        <v>0.37274741359094005</v>
      </c>
      <c r="AJ15" s="100">
        <v>21</v>
      </c>
      <c r="AK15" s="100">
        <v>16027.199999999999</v>
      </c>
      <c r="AL15" s="100">
        <v>17.062212038197629</v>
      </c>
      <c r="AM15" s="100">
        <v>13021.880227552429</v>
      </c>
      <c r="AN15" s="100">
        <v>13.746550484505022</v>
      </c>
      <c r="AO15" s="100">
        <v>10491.367329774232</v>
      </c>
      <c r="AP15" s="100">
        <v>18.341557254045725</v>
      </c>
      <c r="AQ15" s="100">
        <v>13998.276496287695</v>
      </c>
      <c r="AR15" s="100">
        <v>15.210533297836783</v>
      </c>
      <c r="AS15" s="100">
        <v>11608.679012909031</v>
      </c>
      <c r="AT15" s="100">
        <v>17.777711913505435</v>
      </c>
      <c r="AU15" s="100">
        <v>13567.949732387347</v>
      </c>
      <c r="AV15" s="100">
        <v>18</v>
      </c>
      <c r="AW15" s="100">
        <v>13737.599999999999</v>
      </c>
      <c r="AX15" s="100">
        <v>18.256033497163187</v>
      </c>
      <c r="AY15" s="100">
        <v>13933.004765034944</v>
      </c>
      <c r="AZ15" s="100">
        <v>21</v>
      </c>
      <c r="BA15" s="100">
        <v>16027.199999999999</v>
      </c>
      <c r="BB15" s="100">
        <v>16</v>
      </c>
      <c r="BC15" s="100">
        <v>12211.199999999999</v>
      </c>
      <c r="BD15" s="100">
        <v>21</v>
      </c>
      <c r="BE15" s="100">
        <v>16027.199999999999</v>
      </c>
      <c r="BF15" s="100">
        <v>28</v>
      </c>
      <c r="BG15" s="100">
        <v>21369.599999999999</v>
      </c>
      <c r="BH15" s="100">
        <v>18</v>
      </c>
      <c r="BI15" s="100">
        <v>13737.599999999999</v>
      </c>
      <c r="BJ15" s="100">
        <v>21.287009046706302</v>
      </c>
      <c r="BK15" s="100">
        <v>16246.245304446249</v>
      </c>
      <c r="BL15" s="100">
        <v>25.965392708509381</v>
      </c>
      <c r="BM15" s="100">
        <v>19816.787715134356</v>
      </c>
      <c r="BN15" s="100">
        <v>24.694828857308501</v>
      </c>
      <c r="BO15" s="100">
        <v>18847.093383897845</v>
      </c>
      <c r="BP15" s="100">
        <v>20.848179121940756</v>
      </c>
      <c r="BQ15" s="100">
        <v>15911.330305865184</v>
      </c>
      <c r="BR15" s="100">
        <v>23.211666789802976</v>
      </c>
      <c r="BS15" s="100">
        <v>17715.144093977629</v>
      </c>
      <c r="BT15" s="100">
        <v>20</v>
      </c>
      <c r="BU15" s="100">
        <v>15263.999999999998</v>
      </c>
      <c r="BV15" s="100">
        <v>28</v>
      </c>
      <c r="BW15" s="100">
        <v>21369.599999999999</v>
      </c>
      <c r="BX15" s="100">
        <v>18</v>
      </c>
      <c r="BY15" s="100">
        <v>13737.599999999999</v>
      </c>
      <c r="BZ15" s="100">
        <v>16</v>
      </c>
      <c r="CA15" s="100">
        <v>12211.199999999999</v>
      </c>
      <c r="CB15" s="100">
        <v>16</v>
      </c>
      <c r="CC15" s="100">
        <v>12211.199999999999</v>
      </c>
      <c r="CD15" s="100">
        <v>23.930865721828098</v>
      </c>
      <c r="CE15" s="100">
        <v>18264.036718899202</v>
      </c>
      <c r="CF15" s="100">
        <v>16</v>
      </c>
      <c r="CG15" s="100">
        <v>12211.199999999999</v>
      </c>
      <c r="CH15" s="100">
        <v>19.645998349313338</v>
      </c>
      <c r="CI15" s="100">
        <v>14993.825940195939</v>
      </c>
      <c r="CJ15" s="100">
        <v>18</v>
      </c>
      <c r="CK15" s="100">
        <v>13737.599999999999</v>
      </c>
      <c r="CL15" s="100">
        <v>27</v>
      </c>
      <c r="CM15" s="100">
        <v>20606.399999999998</v>
      </c>
      <c r="CN15" s="100">
        <v>18</v>
      </c>
      <c r="CO15" s="100">
        <v>13737.599999999999</v>
      </c>
      <c r="CP15" s="100">
        <v>15</v>
      </c>
      <c r="CQ15" s="100">
        <v>11447.999999999998</v>
      </c>
      <c r="CR15" s="100">
        <v>22</v>
      </c>
      <c r="CS15" s="100">
        <v>16790.399999999998</v>
      </c>
      <c r="CT15" s="100">
        <v>17</v>
      </c>
      <c r="CU15" s="100">
        <v>12974.4</v>
      </c>
    </row>
    <row r="16" spans="1:99">
      <c r="C16" s="99" t="s">
        <v>182</v>
      </c>
      <c r="D16" s="100">
        <v>18.04234751091284</v>
      </c>
      <c r="E16" s="100">
        <v>6148.8320317190964</v>
      </c>
      <c r="F16" s="100">
        <v>20</v>
      </c>
      <c r="G16" s="100">
        <v>6816</v>
      </c>
      <c r="H16" s="100">
        <v>16</v>
      </c>
      <c r="I16" s="100">
        <v>5452.8</v>
      </c>
      <c r="J16" s="100">
        <v>23.658721600211461</v>
      </c>
      <c r="K16" s="100">
        <v>8062.8923213520666</v>
      </c>
      <c r="L16" s="100">
        <v>13</v>
      </c>
      <c r="M16" s="100">
        <v>4430.4000000000005</v>
      </c>
      <c r="N16" s="100">
        <v>24</v>
      </c>
      <c r="O16" s="100">
        <v>8179.2000000000007</v>
      </c>
      <c r="P16" s="100">
        <v>27</v>
      </c>
      <c r="Q16" s="100">
        <v>9201.6</v>
      </c>
      <c r="R16" s="100">
        <v>15</v>
      </c>
      <c r="S16" s="100">
        <v>5112</v>
      </c>
      <c r="T16" s="100">
        <v>14</v>
      </c>
      <c r="U16" s="100">
        <v>4771.2</v>
      </c>
      <c r="V16" s="100">
        <v>17</v>
      </c>
      <c r="W16" s="100">
        <v>5793.6</v>
      </c>
      <c r="X16" s="100">
        <v>19</v>
      </c>
      <c r="Y16" s="100">
        <v>6475.2</v>
      </c>
      <c r="Z16" s="100">
        <v>23</v>
      </c>
      <c r="AA16" s="100">
        <v>7838.4000000000005</v>
      </c>
      <c r="AB16" s="100">
        <v>7.1562089612320561</v>
      </c>
      <c r="AC16" s="100">
        <v>2438.8360139878846</v>
      </c>
      <c r="AD16" s="100">
        <v>8.0848158702232409E-4</v>
      </c>
      <c r="AE16" s="100">
        <v>0.27553052485720808</v>
      </c>
      <c r="AF16" s="100">
        <v>5.3029750645798633E-4</v>
      </c>
      <c r="AG16" s="100">
        <v>0.18072539020088174</v>
      </c>
      <c r="AH16" s="100">
        <v>5.1553407132452983E-4</v>
      </c>
      <c r="AI16" s="100">
        <v>0.17569401150739977</v>
      </c>
      <c r="AJ16" s="100">
        <v>21</v>
      </c>
      <c r="AK16" s="100">
        <v>7156.8</v>
      </c>
      <c r="AL16" s="100">
        <v>19.9059140445639</v>
      </c>
      <c r="AM16" s="100">
        <v>6783.9355063873772</v>
      </c>
      <c r="AN16" s="100">
        <v>15.464869295068148</v>
      </c>
      <c r="AO16" s="100">
        <v>5270.4274557592253</v>
      </c>
      <c r="AP16" s="100">
        <v>17.468149765757833</v>
      </c>
      <c r="AQ16" s="100">
        <v>5953.1454401702695</v>
      </c>
      <c r="AR16" s="100">
        <v>18.062508291181182</v>
      </c>
      <c r="AS16" s="100">
        <v>6155.7028256345466</v>
      </c>
      <c r="AT16" s="100">
        <v>20.444368700531257</v>
      </c>
      <c r="AU16" s="100">
        <v>6967.4408531410527</v>
      </c>
      <c r="AV16" s="100">
        <v>20</v>
      </c>
      <c r="AW16" s="100">
        <v>6816</v>
      </c>
      <c r="AX16" s="100">
        <v>22.820041871453988</v>
      </c>
      <c r="AY16" s="100">
        <v>7777.0702697915194</v>
      </c>
      <c r="AZ16" s="100">
        <v>24</v>
      </c>
      <c r="BA16" s="100">
        <v>8179.2000000000007</v>
      </c>
      <c r="BB16" s="100">
        <v>21</v>
      </c>
      <c r="BC16" s="100">
        <v>7156.8</v>
      </c>
      <c r="BD16" s="100">
        <v>23</v>
      </c>
      <c r="BE16" s="100">
        <v>7838.4000000000005</v>
      </c>
      <c r="BF16" s="100">
        <v>30</v>
      </c>
      <c r="BG16" s="100">
        <v>10224</v>
      </c>
      <c r="BH16" s="100">
        <v>21</v>
      </c>
      <c r="BI16" s="100">
        <v>7156.8</v>
      </c>
      <c r="BJ16" s="100">
        <v>21.287009046706302</v>
      </c>
      <c r="BK16" s="100">
        <v>7254.6126831175079</v>
      </c>
      <c r="BL16" s="100">
        <v>23.368853437658441</v>
      </c>
      <c r="BM16" s="100">
        <v>7964.1052515539968</v>
      </c>
      <c r="BN16" s="100">
        <v>27.544232186997942</v>
      </c>
      <c r="BO16" s="100">
        <v>9387.0743293288997</v>
      </c>
      <c r="BP16" s="100">
        <v>26.80480172820954</v>
      </c>
      <c r="BQ16" s="100">
        <v>9135.0764289738108</v>
      </c>
      <c r="BR16" s="100">
        <v>23.211666789802976</v>
      </c>
      <c r="BS16" s="100">
        <v>7910.5360419648541</v>
      </c>
      <c r="BT16" s="100">
        <v>21</v>
      </c>
      <c r="BU16" s="100">
        <v>7156.8</v>
      </c>
      <c r="BV16" s="100">
        <v>30</v>
      </c>
      <c r="BW16" s="100">
        <v>10224</v>
      </c>
      <c r="BX16" s="100">
        <v>21</v>
      </c>
      <c r="BY16" s="100">
        <v>7156.8</v>
      </c>
      <c r="BZ16" s="100">
        <v>16</v>
      </c>
      <c r="CA16" s="100">
        <v>5452.8</v>
      </c>
      <c r="CB16" s="100">
        <v>15</v>
      </c>
      <c r="CC16" s="100">
        <v>5112</v>
      </c>
      <c r="CD16" s="100">
        <v>25.581270254367968</v>
      </c>
      <c r="CE16" s="100">
        <v>8718.0969026886032</v>
      </c>
      <c r="CF16" s="100">
        <v>18</v>
      </c>
      <c r="CG16" s="100">
        <v>6134.4000000000005</v>
      </c>
      <c r="CH16" s="100">
        <v>20.581522080233025</v>
      </c>
      <c r="CI16" s="100">
        <v>7014.1827249434155</v>
      </c>
      <c r="CJ16" s="100">
        <v>17</v>
      </c>
      <c r="CK16" s="100">
        <v>5793.6</v>
      </c>
      <c r="CL16" s="100">
        <v>26</v>
      </c>
      <c r="CM16" s="100">
        <v>8860.8000000000011</v>
      </c>
      <c r="CN16" s="100">
        <v>19</v>
      </c>
      <c r="CO16" s="100">
        <v>6475.2</v>
      </c>
      <c r="CP16" s="100">
        <v>19</v>
      </c>
      <c r="CQ16" s="100">
        <v>6475.2</v>
      </c>
      <c r="CR16" s="100">
        <v>23</v>
      </c>
      <c r="CS16" s="100">
        <v>7838.4000000000005</v>
      </c>
      <c r="CT16" s="100">
        <v>16</v>
      </c>
      <c r="CU16" s="100">
        <v>5452.8</v>
      </c>
    </row>
    <row r="17" spans="2:99">
      <c r="C17" s="99" t="s">
        <v>183</v>
      </c>
      <c r="D17" s="100">
        <v>18.04234751091284</v>
      </c>
      <c r="E17" s="100">
        <v>7621.0875886095837</v>
      </c>
      <c r="F17" s="100">
        <v>19</v>
      </c>
      <c r="G17" s="100">
        <v>8025.5999999999995</v>
      </c>
      <c r="H17" s="100">
        <v>16</v>
      </c>
      <c r="I17" s="100">
        <v>6758.4</v>
      </c>
      <c r="J17" s="100">
        <v>22.748770769434095</v>
      </c>
      <c r="K17" s="100">
        <v>9609.0807730089618</v>
      </c>
      <c r="L17" s="100">
        <v>14</v>
      </c>
      <c r="M17" s="100">
        <v>5913.5999999999995</v>
      </c>
      <c r="N17" s="100">
        <v>26</v>
      </c>
      <c r="O17" s="100">
        <v>10982.4</v>
      </c>
      <c r="P17" s="100">
        <v>26</v>
      </c>
      <c r="Q17" s="100">
        <v>10982.4</v>
      </c>
      <c r="R17" s="100">
        <v>17</v>
      </c>
      <c r="S17" s="100">
        <v>7180.7999999999993</v>
      </c>
      <c r="T17" s="100">
        <v>13</v>
      </c>
      <c r="U17" s="100">
        <v>5491.2</v>
      </c>
      <c r="V17" s="100">
        <v>19</v>
      </c>
      <c r="W17" s="100">
        <v>8025.5999999999995</v>
      </c>
      <c r="X17" s="100">
        <v>18</v>
      </c>
      <c r="Y17" s="100">
        <v>7603.2</v>
      </c>
      <c r="Z17" s="100">
        <v>23</v>
      </c>
      <c r="AA17" s="100">
        <v>9715.1999999999989</v>
      </c>
      <c r="AB17" s="100">
        <v>7.7784880013391913</v>
      </c>
      <c r="AC17" s="100">
        <v>3285.633331765674</v>
      </c>
      <c r="AD17" s="100">
        <v>7.7738614136761935E-4</v>
      </c>
      <c r="AE17" s="100">
        <v>0.32836790611368238</v>
      </c>
      <c r="AF17" s="100">
        <v>5.3029750645798633E-4</v>
      </c>
      <c r="AG17" s="100">
        <v>0.2239976667278534</v>
      </c>
      <c r="AH17" s="100">
        <v>4.884006991495546E-4</v>
      </c>
      <c r="AI17" s="100">
        <v>0.20630045532077185</v>
      </c>
      <c r="AJ17" s="100">
        <v>19</v>
      </c>
      <c r="AK17" s="100">
        <v>8025.5999999999995</v>
      </c>
      <c r="AL17" s="100">
        <v>20.853814713352659</v>
      </c>
      <c r="AM17" s="100">
        <v>8808.6513349201632</v>
      </c>
      <c r="AN17" s="100">
        <v>14.605709889786585</v>
      </c>
      <c r="AO17" s="100">
        <v>6169.4518574458534</v>
      </c>
      <c r="AP17" s="100">
        <v>18.341557254045725</v>
      </c>
      <c r="AQ17" s="100">
        <v>7747.4737841089136</v>
      </c>
      <c r="AR17" s="100">
        <v>16.161191628951581</v>
      </c>
      <c r="AS17" s="100">
        <v>6826.4873440691472</v>
      </c>
      <c r="AT17" s="100">
        <v>18.666597509180711</v>
      </c>
      <c r="AU17" s="100">
        <v>7884.770787877932</v>
      </c>
      <c r="AV17" s="100">
        <v>19</v>
      </c>
      <c r="AW17" s="100">
        <v>8025.5999999999995</v>
      </c>
      <c r="AX17" s="100">
        <v>22.820041871453988</v>
      </c>
      <c r="AY17" s="100">
        <v>9639.1856865021637</v>
      </c>
      <c r="AZ17" s="100">
        <v>24</v>
      </c>
      <c r="BA17" s="100">
        <v>10137.599999999999</v>
      </c>
      <c r="BB17" s="100">
        <v>17</v>
      </c>
      <c r="BC17" s="100">
        <v>7180.7999999999993</v>
      </c>
      <c r="BD17" s="100">
        <v>21</v>
      </c>
      <c r="BE17" s="100">
        <v>8870.4</v>
      </c>
      <c r="BF17" s="100">
        <v>26</v>
      </c>
      <c r="BG17" s="100">
        <v>10982.4</v>
      </c>
      <c r="BH17" s="100">
        <v>22</v>
      </c>
      <c r="BI17" s="100">
        <v>9292.7999999999993</v>
      </c>
      <c r="BJ17" s="100">
        <v>18.626132915868016</v>
      </c>
      <c r="BK17" s="100">
        <v>7867.6785436626496</v>
      </c>
      <c r="BL17" s="100">
        <v>26.830905798793026</v>
      </c>
      <c r="BM17" s="100">
        <v>11333.374609410173</v>
      </c>
      <c r="BN17" s="100">
        <v>23.745027747412021</v>
      </c>
      <c r="BO17" s="100">
        <v>10029.899720506837</v>
      </c>
      <c r="BP17" s="100">
        <v>25.812031293831414</v>
      </c>
      <c r="BQ17" s="100">
        <v>10903.002018514389</v>
      </c>
      <c r="BR17" s="100">
        <v>23.211666789802976</v>
      </c>
      <c r="BS17" s="100">
        <v>9804.6080520127762</v>
      </c>
      <c r="BT17" s="100">
        <v>19</v>
      </c>
      <c r="BU17" s="100">
        <v>8025.5999999999995</v>
      </c>
      <c r="BV17" s="100">
        <v>30</v>
      </c>
      <c r="BW17" s="100">
        <v>12672</v>
      </c>
      <c r="BX17" s="100">
        <v>19</v>
      </c>
      <c r="BY17" s="100">
        <v>8025.5999999999995</v>
      </c>
      <c r="BZ17" s="100">
        <v>17</v>
      </c>
      <c r="CA17" s="100">
        <v>7180.7999999999993</v>
      </c>
      <c r="CB17" s="100">
        <v>17</v>
      </c>
      <c r="CC17" s="100">
        <v>7180.7999999999993</v>
      </c>
      <c r="CD17" s="100">
        <v>23.930865721828098</v>
      </c>
      <c r="CE17" s="100">
        <v>10108.397680900189</v>
      </c>
      <c r="CF17" s="100">
        <v>19</v>
      </c>
      <c r="CG17" s="100">
        <v>8025.5999999999995</v>
      </c>
      <c r="CH17" s="100">
        <v>23.388093272992073</v>
      </c>
      <c r="CI17" s="100">
        <v>9879.1305985118506</v>
      </c>
      <c r="CJ17" s="100">
        <v>18</v>
      </c>
      <c r="CK17" s="100">
        <v>7603.2</v>
      </c>
      <c r="CL17" s="100">
        <v>29</v>
      </c>
      <c r="CM17" s="100">
        <v>12249.599999999999</v>
      </c>
      <c r="CN17" s="100">
        <v>16</v>
      </c>
      <c r="CO17" s="100">
        <v>6758.4</v>
      </c>
      <c r="CP17" s="100">
        <v>18</v>
      </c>
      <c r="CQ17" s="100">
        <v>7603.2</v>
      </c>
      <c r="CR17" s="100">
        <v>23</v>
      </c>
      <c r="CS17" s="100">
        <v>9715.1999999999989</v>
      </c>
      <c r="CT17" s="100">
        <v>17</v>
      </c>
      <c r="CU17" s="100">
        <v>7180.7999999999993</v>
      </c>
    </row>
    <row r="18" spans="2:99">
      <c r="C18" s="99" t="s">
        <v>184</v>
      </c>
      <c r="D18" s="100">
        <v>18.04234751091284</v>
      </c>
      <c r="E18" s="100">
        <v>11778.044455123902</v>
      </c>
      <c r="F18" s="100">
        <v>17</v>
      </c>
      <c r="G18" s="100">
        <v>11097.599999999999</v>
      </c>
      <c r="H18" s="100">
        <v>16</v>
      </c>
      <c r="I18" s="100">
        <v>10444.799999999999</v>
      </c>
      <c r="J18" s="100">
        <v>21.83881993865673</v>
      </c>
      <c r="K18" s="100">
        <v>14256.381655955112</v>
      </c>
      <c r="L18" s="100">
        <v>13</v>
      </c>
      <c r="M18" s="100">
        <v>8486.4</v>
      </c>
      <c r="N18" s="100">
        <v>24</v>
      </c>
      <c r="O18" s="100">
        <v>15667.199999999999</v>
      </c>
      <c r="P18" s="100">
        <v>26</v>
      </c>
      <c r="Q18" s="100">
        <v>16972.8</v>
      </c>
      <c r="R18" s="100">
        <v>15</v>
      </c>
      <c r="S18" s="100">
        <v>9792</v>
      </c>
      <c r="T18" s="100">
        <v>13</v>
      </c>
      <c r="U18" s="100">
        <v>8486.4</v>
      </c>
      <c r="V18" s="100">
        <v>18</v>
      </c>
      <c r="W18" s="100">
        <v>11750.4</v>
      </c>
      <c r="X18" s="100">
        <v>19</v>
      </c>
      <c r="Y18" s="100">
        <v>12403.199999999999</v>
      </c>
      <c r="Z18" s="100">
        <v>24</v>
      </c>
      <c r="AA18" s="100">
        <v>15667.199999999999</v>
      </c>
      <c r="AB18" s="100">
        <v>8.0896275213927584</v>
      </c>
      <c r="AC18" s="100">
        <v>5280.9088459651921</v>
      </c>
      <c r="AD18" s="100">
        <v>6.8409980440350504E-4</v>
      </c>
      <c r="AE18" s="100">
        <v>0.44658035231460808</v>
      </c>
      <c r="AF18" s="100">
        <v>4.8208864223453301E-4</v>
      </c>
      <c r="AG18" s="100">
        <v>0.31470746565070312</v>
      </c>
      <c r="AH18" s="100">
        <v>4.884006991495546E-4</v>
      </c>
      <c r="AI18" s="100">
        <v>0.31882797640482924</v>
      </c>
      <c r="AJ18" s="100">
        <v>18</v>
      </c>
      <c r="AK18" s="100">
        <v>11750.4</v>
      </c>
      <c r="AL18" s="100">
        <v>19.9059140445639</v>
      </c>
      <c r="AM18" s="100">
        <v>12994.580688291313</v>
      </c>
      <c r="AN18" s="100">
        <v>15.464869295068148</v>
      </c>
      <c r="AO18" s="100">
        <v>10095.466675820486</v>
      </c>
      <c r="AP18" s="100">
        <v>16.59474227746994</v>
      </c>
      <c r="AQ18" s="100">
        <v>10833.047758732377</v>
      </c>
      <c r="AR18" s="100">
        <v>17.11184996006638</v>
      </c>
      <c r="AS18" s="100">
        <v>11170.615653931332</v>
      </c>
      <c r="AT18" s="100">
        <v>18.666597509180711</v>
      </c>
      <c r="AU18" s="100">
        <v>12185.554853993168</v>
      </c>
      <c r="AV18" s="100">
        <v>18</v>
      </c>
      <c r="AW18" s="100">
        <v>11750.4</v>
      </c>
      <c r="AX18" s="100">
        <v>21.907240196595829</v>
      </c>
      <c r="AY18" s="100">
        <v>14301.046400337756</v>
      </c>
      <c r="AZ18" s="100">
        <v>20</v>
      </c>
      <c r="BA18" s="100">
        <v>13056</v>
      </c>
      <c r="BB18" s="100">
        <v>17</v>
      </c>
      <c r="BC18" s="100">
        <v>11097.599999999999</v>
      </c>
      <c r="BD18" s="100">
        <v>21</v>
      </c>
      <c r="BE18" s="100">
        <v>13708.8</v>
      </c>
      <c r="BF18" s="100">
        <v>28</v>
      </c>
      <c r="BG18" s="100">
        <v>18278.399999999998</v>
      </c>
      <c r="BH18" s="100">
        <v>21</v>
      </c>
      <c r="BI18" s="100">
        <v>13708.8</v>
      </c>
      <c r="BJ18" s="100">
        <v>18.626132915868016</v>
      </c>
      <c r="BK18" s="100">
        <v>12159.13956747864</v>
      </c>
      <c r="BL18" s="100">
        <v>25.099879618225732</v>
      </c>
      <c r="BM18" s="100">
        <v>16385.201414777755</v>
      </c>
      <c r="BN18" s="100">
        <v>23.745027747412021</v>
      </c>
      <c r="BO18" s="100">
        <v>15500.754113510566</v>
      </c>
      <c r="BP18" s="100">
        <v>22.833719990697016</v>
      </c>
      <c r="BQ18" s="100">
        <v>14905.852409927011</v>
      </c>
      <c r="BR18" s="100">
        <v>22.411264486706322</v>
      </c>
      <c r="BS18" s="100">
        <v>14630.073456921886</v>
      </c>
      <c r="BT18" s="100">
        <v>18</v>
      </c>
      <c r="BU18" s="100">
        <v>11750.4</v>
      </c>
      <c r="BV18" s="100">
        <v>28</v>
      </c>
      <c r="BW18" s="100">
        <v>18278.399999999998</v>
      </c>
      <c r="BX18" s="100">
        <v>18</v>
      </c>
      <c r="BY18" s="100">
        <v>11750.4</v>
      </c>
      <c r="BZ18" s="100">
        <v>15</v>
      </c>
      <c r="CA18" s="100">
        <v>9792</v>
      </c>
      <c r="CB18" s="100">
        <v>16</v>
      </c>
      <c r="CC18" s="100">
        <v>10444.799999999999</v>
      </c>
      <c r="CD18" s="100">
        <v>23.105663455558165</v>
      </c>
      <c r="CE18" s="100">
        <v>15083.377103788369</v>
      </c>
      <c r="CF18" s="100">
        <v>16</v>
      </c>
      <c r="CG18" s="100">
        <v>10444.799999999999</v>
      </c>
      <c r="CH18" s="100">
        <v>21.517045811152709</v>
      </c>
      <c r="CI18" s="100">
        <v>14046.327505520487</v>
      </c>
      <c r="CJ18" s="100">
        <v>18</v>
      </c>
      <c r="CK18" s="100">
        <v>11750.4</v>
      </c>
      <c r="CL18" s="100">
        <v>25</v>
      </c>
      <c r="CM18" s="100">
        <v>16319.999999999998</v>
      </c>
      <c r="CN18" s="100">
        <v>15</v>
      </c>
      <c r="CO18" s="100">
        <v>9792</v>
      </c>
      <c r="CP18" s="100">
        <v>18</v>
      </c>
      <c r="CQ18" s="100">
        <v>11750.4</v>
      </c>
      <c r="CR18" s="100">
        <v>20</v>
      </c>
      <c r="CS18" s="100">
        <v>13056</v>
      </c>
      <c r="CT18" s="100">
        <v>15</v>
      </c>
      <c r="CU18" s="100">
        <v>9792</v>
      </c>
    </row>
    <row r="19" spans="2:99">
      <c r="C19" s="99" t="s">
        <v>185</v>
      </c>
      <c r="D19" s="100">
        <v>18.04234751091284</v>
      </c>
      <c r="E19" s="100">
        <v>5953.9746786012374</v>
      </c>
      <c r="F19" s="100">
        <v>19</v>
      </c>
      <c r="G19" s="100">
        <v>6270</v>
      </c>
      <c r="H19" s="100">
        <v>15</v>
      </c>
      <c r="I19" s="100">
        <v>4950</v>
      </c>
      <c r="J19" s="100">
        <v>23.658721600211461</v>
      </c>
      <c r="K19" s="100">
        <v>7807.3781280697822</v>
      </c>
      <c r="L19" s="100">
        <v>13</v>
      </c>
      <c r="M19" s="100">
        <v>4290</v>
      </c>
      <c r="N19" s="100">
        <v>26</v>
      </c>
      <c r="O19" s="100">
        <v>8580</v>
      </c>
      <c r="P19" s="100">
        <v>24</v>
      </c>
      <c r="Q19" s="100">
        <v>7920</v>
      </c>
      <c r="R19" s="100">
        <v>16</v>
      </c>
      <c r="S19" s="100">
        <v>5280</v>
      </c>
      <c r="T19" s="100">
        <v>13</v>
      </c>
      <c r="U19" s="100">
        <v>4290</v>
      </c>
      <c r="V19" s="100">
        <v>18</v>
      </c>
      <c r="W19" s="100">
        <v>5940</v>
      </c>
      <c r="X19" s="100">
        <v>19</v>
      </c>
      <c r="Y19" s="100">
        <v>6270</v>
      </c>
      <c r="Z19" s="100">
        <v>24</v>
      </c>
      <c r="AA19" s="100">
        <v>7920</v>
      </c>
      <c r="AB19" s="100">
        <v>8.4007670414463256</v>
      </c>
      <c r="AC19" s="100">
        <v>2772.2531236772875</v>
      </c>
      <c r="AD19" s="100">
        <v>7.4629069571291451E-4</v>
      </c>
      <c r="AE19" s="100">
        <v>0.24627592958526179</v>
      </c>
      <c r="AF19" s="100">
        <v>5.3029750645798633E-4</v>
      </c>
      <c r="AG19" s="100">
        <v>0.1749981771311355</v>
      </c>
      <c r="AH19" s="100">
        <v>4.6126732697457932E-4</v>
      </c>
      <c r="AI19" s="100">
        <v>0.15221821790161116</v>
      </c>
      <c r="AJ19" s="100">
        <v>22</v>
      </c>
      <c r="AK19" s="100">
        <v>7260</v>
      </c>
      <c r="AL19" s="100">
        <v>18.958013375775145</v>
      </c>
      <c r="AM19" s="100">
        <v>6256.1444140057984</v>
      </c>
      <c r="AN19" s="100">
        <v>14.605709889786585</v>
      </c>
      <c r="AO19" s="100">
        <v>4819.8842636295731</v>
      </c>
      <c r="AP19" s="100">
        <v>19.214964742333613</v>
      </c>
      <c r="AQ19" s="100">
        <v>6340.9383649700922</v>
      </c>
      <c r="AR19" s="100">
        <v>16.161191628951581</v>
      </c>
      <c r="AS19" s="100">
        <v>5333.1932375540218</v>
      </c>
      <c r="AT19" s="100">
        <v>20.444368700531257</v>
      </c>
      <c r="AU19" s="100">
        <v>6746.6416711753145</v>
      </c>
      <c r="AV19" s="100">
        <v>19</v>
      </c>
      <c r="AW19" s="100">
        <v>6270</v>
      </c>
      <c r="AX19" s="100">
        <v>20.994438521737671</v>
      </c>
      <c r="AY19" s="100">
        <v>6928.1647121734313</v>
      </c>
      <c r="AZ19" s="100">
        <v>21</v>
      </c>
      <c r="BA19" s="100">
        <v>6930</v>
      </c>
      <c r="BB19" s="100">
        <v>18</v>
      </c>
      <c r="BC19" s="100">
        <v>5940</v>
      </c>
      <c r="BD19" s="100">
        <v>24</v>
      </c>
      <c r="BE19" s="100">
        <v>7920</v>
      </c>
      <c r="BF19" s="100">
        <v>26</v>
      </c>
      <c r="BG19" s="100">
        <v>8580</v>
      </c>
      <c r="BH19" s="100">
        <v>22</v>
      </c>
      <c r="BI19" s="100">
        <v>7260</v>
      </c>
      <c r="BJ19" s="100">
        <v>19.513091626147446</v>
      </c>
      <c r="BK19" s="100">
        <v>6439.3202366286569</v>
      </c>
      <c r="BL19" s="100">
        <v>23.368853437658441</v>
      </c>
      <c r="BM19" s="100">
        <v>7711.7216344272856</v>
      </c>
      <c r="BN19" s="100">
        <v>24.694828857308501</v>
      </c>
      <c r="BO19" s="100">
        <v>8149.2935229118057</v>
      </c>
      <c r="BP19" s="100">
        <v>24.81926085945328</v>
      </c>
      <c r="BQ19" s="100">
        <v>8190.356083619582</v>
      </c>
      <c r="BR19" s="100">
        <v>24.012069092899633</v>
      </c>
      <c r="BS19" s="100">
        <v>7923.9828006568787</v>
      </c>
      <c r="BT19" s="100">
        <v>19</v>
      </c>
      <c r="BU19" s="100">
        <v>6270</v>
      </c>
      <c r="BV19" s="100">
        <v>28</v>
      </c>
      <c r="BW19" s="100">
        <v>9240</v>
      </c>
      <c r="BX19" s="100">
        <v>18</v>
      </c>
      <c r="BY19" s="100">
        <v>5940</v>
      </c>
      <c r="BZ19" s="100">
        <v>16</v>
      </c>
      <c r="CA19" s="100">
        <v>5280</v>
      </c>
      <c r="CB19" s="100">
        <v>16</v>
      </c>
      <c r="CC19" s="100">
        <v>5280</v>
      </c>
      <c r="CD19" s="100">
        <v>24.756067988098035</v>
      </c>
      <c r="CE19" s="100">
        <v>8169.5024360723519</v>
      </c>
      <c r="CF19" s="100">
        <v>16</v>
      </c>
      <c r="CG19" s="100">
        <v>5280</v>
      </c>
      <c r="CH19" s="100">
        <v>19.645998349313338</v>
      </c>
      <c r="CI19" s="100">
        <v>6483.1794552734018</v>
      </c>
      <c r="CJ19" s="100">
        <v>19</v>
      </c>
      <c r="CK19" s="100">
        <v>6270</v>
      </c>
      <c r="CL19" s="100">
        <v>31</v>
      </c>
      <c r="CM19" s="100">
        <v>10230</v>
      </c>
      <c r="CN19" s="100">
        <v>16</v>
      </c>
      <c r="CO19" s="100">
        <v>5280</v>
      </c>
      <c r="CP19" s="100">
        <v>16</v>
      </c>
      <c r="CQ19" s="100">
        <v>5280</v>
      </c>
      <c r="CR19" s="100">
        <v>23</v>
      </c>
      <c r="CS19" s="100">
        <v>7590</v>
      </c>
      <c r="CT19" s="100">
        <v>18</v>
      </c>
      <c r="CU19" s="100">
        <v>5940</v>
      </c>
    </row>
    <row r="20" spans="2:99">
      <c r="B20" s="99" t="s">
        <v>127</v>
      </c>
      <c r="C20" s="99" t="s">
        <v>186</v>
      </c>
      <c r="D20" s="100">
        <v>22.338144537320659</v>
      </c>
      <c r="E20" s="100">
        <v>6406.579853303565</v>
      </c>
      <c r="F20" s="100">
        <v>23</v>
      </c>
      <c r="G20" s="100">
        <v>6596.4000000000005</v>
      </c>
      <c r="H20" s="100">
        <v>21</v>
      </c>
      <c r="I20" s="100">
        <v>6022.8</v>
      </c>
      <c r="J20" s="100">
        <v>20.018918277102006</v>
      </c>
      <c r="K20" s="100">
        <v>5741.4257618728561</v>
      </c>
      <c r="L20" s="100">
        <v>18</v>
      </c>
      <c r="M20" s="100">
        <v>5162.4000000000005</v>
      </c>
      <c r="N20" s="100">
        <v>28</v>
      </c>
      <c r="O20" s="100">
        <v>8030.4000000000005</v>
      </c>
      <c r="P20" s="100">
        <v>25</v>
      </c>
      <c r="Q20" s="100">
        <v>7170</v>
      </c>
      <c r="R20" s="100">
        <v>29</v>
      </c>
      <c r="S20" s="100">
        <v>8317.2000000000007</v>
      </c>
      <c r="T20" s="100">
        <v>29</v>
      </c>
      <c r="U20" s="100">
        <v>8317.2000000000007</v>
      </c>
      <c r="V20" s="100">
        <v>22</v>
      </c>
      <c r="W20" s="100">
        <v>6309.6</v>
      </c>
      <c r="X20" s="100">
        <v>21</v>
      </c>
      <c r="Y20" s="100">
        <v>6022.8</v>
      </c>
      <c r="Z20" s="100">
        <v>24</v>
      </c>
      <c r="AA20" s="100">
        <v>6883.2000000000007</v>
      </c>
      <c r="AB20" s="100">
        <v>7.7784880013391913</v>
      </c>
      <c r="AC20" s="100">
        <v>2230.8703587840801</v>
      </c>
      <c r="AD20" s="100">
        <v>5.5971802178468588E-4</v>
      </c>
      <c r="AE20" s="100">
        <v>0.16052712864784791</v>
      </c>
      <c r="AF20" s="100">
        <v>6.7492409912834619E-4</v>
      </c>
      <c r="AG20" s="100">
        <v>0.19356823163000969</v>
      </c>
      <c r="AH20" s="100">
        <v>8.4113453742423283E-4</v>
      </c>
      <c r="AI20" s="100">
        <v>0.24123738533326999</v>
      </c>
      <c r="AJ20" s="100">
        <v>25</v>
      </c>
      <c r="AK20" s="100">
        <v>7170</v>
      </c>
      <c r="AL20" s="100">
        <v>26.541218726085201</v>
      </c>
      <c r="AM20" s="100">
        <v>7612.0215306412365</v>
      </c>
      <c r="AN20" s="100">
        <v>24.056463347883788</v>
      </c>
      <c r="AO20" s="100">
        <v>6899.3936881730706</v>
      </c>
      <c r="AP20" s="100">
        <v>26.202224648636747</v>
      </c>
      <c r="AQ20" s="100">
        <v>7514.7980292290194</v>
      </c>
      <c r="AR20" s="100">
        <v>21.865141615640376</v>
      </c>
      <c r="AS20" s="100">
        <v>6270.92261536566</v>
      </c>
      <c r="AT20" s="100">
        <v>26.666567870258156</v>
      </c>
      <c r="AU20" s="100">
        <v>7647.9716651900399</v>
      </c>
      <c r="AV20" s="100">
        <v>22</v>
      </c>
      <c r="AW20" s="100">
        <v>6309.6</v>
      </c>
      <c r="AX20" s="100">
        <v>22.820041871453988</v>
      </c>
      <c r="AY20" s="100">
        <v>6544.7880087330041</v>
      </c>
      <c r="AZ20" s="100">
        <v>22</v>
      </c>
      <c r="BA20" s="100">
        <v>6309.6</v>
      </c>
      <c r="BB20" s="100">
        <v>30</v>
      </c>
      <c r="BC20" s="100">
        <v>8604</v>
      </c>
      <c r="BD20" s="100">
        <v>20</v>
      </c>
      <c r="BE20" s="100">
        <v>5736</v>
      </c>
      <c r="BF20" s="100">
        <v>17</v>
      </c>
      <c r="BG20" s="100">
        <v>4875.6000000000004</v>
      </c>
      <c r="BH20" s="100">
        <v>26</v>
      </c>
      <c r="BI20" s="100">
        <v>7456.8</v>
      </c>
      <c r="BJ20" s="100">
        <v>26.608761308382878</v>
      </c>
      <c r="BK20" s="100">
        <v>7631.3927432442097</v>
      </c>
      <c r="BL20" s="100">
        <v>18.175774895956565</v>
      </c>
      <c r="BM20" s="100">
        <v>5212.8122401603432</v>
      </c>
      <c r="BN20" s="100">
        <v>18.996022197929616</v>
      </c>
      <c r="BO20" s="100">
        <v>5448.0591663662144</v>
      </c>
      <c r="BP20" s="100">
        <v>22.833719990697016</v>
      </c>
      <c r="BQ20" s="100">
        <v>6548.7108933319041</v>
      </c>
      <c r="BR20" s="100">
        <v>22.411264486706322</v>
      </c>
      <c r="BS20" s="100">
        <v>6427.5506547873738</v>
      </c>
      <c r="BT20" s="100">
        <v>16</v>
      </c>
      <c r="BU20" s="100">
        <v>4588.8</v>
      </c>
      <c r="BV20" s="100">
        <v>15</v>
      </c>
      <c r="BW20" s="100">
        <v>4302</v>
      </c>
      <c r="BX20" s="100">
        <v>32</v>
      </c>
      <c r="BY20" s="100">
        <v>9177.6</v>
      </c>
      <c r="BZ20" s="100">
        <v>21</v>
      </c>
      <c r="CA20" s="100">
        <v>6022.8</v>
      </c>
      <c r="CB20" s="100">
        <v>26</v>
      </c>
      <c r="CC20" s="100">
        <v>7456.8</v>
      </c>
      <c r="CD20" s="100">
        <v>28.882079319447705</v>
      </c>
      <c r="CE20" s="100">
        <v>8283.3803488176018</v>
      </c>
      <c r="CF20" s="100">
        <v>24</v>
      </c>
      <c r="CG20" s="100">
        <v>6883.2000000000007</v>
      </c>
      <c r="CH20" s="100">
        <v>20.581522080233025</v>
      </c>
      <c r="CI20" s="100">
        <v>5902.7805326108319</v>
      </c>
      <c r="CJ20" s="100">
        <v>22</v>
      </c>
      <c r="CK20" s="100">
        <v>6309.6</v>
      </c>
      <c r="CL20" s="100">
        <v>18</v>
      </c>
      <c r="CM20" s="100">
        <v>5162.4000000000005</v>
      </c>
      <c r="CN20" s="100">
        <v>16</v>
      </c>
      <c r="CO20" s="100">
        <v>4588.8</v>
      </c>
      <c r="CP20" s="100">
        <v>27</v>
      </c>
      <c r="CQ20" s="100">
        <v>7743.6</v>
      </c>
      <c r="CR20" s="100">
        <v>20</v>
      </c>
      <c r="CS20" s="100">
        <v>5736</v>
      </c>
      <c r="CT20" s="100">
        <v>18</v>
      </c>
      <c r="CU20" s="100">
        <v>5162.4000000000005</v>
      </c>
    </row>
    <row r="21" spans="2:99">
      <c r="C21" s="99" t="s">
        <v>187</v>
      </c>
      <c r="D21" s="100">
        <v>24.915622753165348</v>
      </c>
      <c r="E21" s="100">
        <v>1554.7348597975176</v>
      </c>
      <c r="F21" s="100">
        <v>25</v>
      </c>
      <c r="G21" s="100">
        <v>1560</v>
      </c>
      <c r="H21" s="100">
        <v>21</v>
      </c>
      <c r="I21" s="100">
        <v>1310.3999999999999</v>
      </c>
      <c r="J21" s="100">
        <v>23.658721600211461</v>
      </c>
      <c r="K21" s="100">
        <v>1476.304227853195</v>
      </c>
      <c r="L21" s="100">
        <v>19</v>
      </c>
      <c r="M21" s="100">
        <v>1185.5999999999999</v>
      </c>
      <c r="N21" s="100">
        <v>31</v>
      </c>
      <c r="O21" s="100">
        <v>1934.3999999999999</v>
      </c>
      <c r="P21" s="100">
        <v>27</v>
      </c>
      <c r="Q21" s="100">
        <v>1684.8</v>
      </c>
      <c r="R21" s="100">
        <v>29</v>
      </c>
      <c r="S21" s="100">
        <v>1809.6</v>
      </c>
      <c r="T21" s="100">
        <v>30</v>
      </c>
      <c r="U21" s="100">
        <v>1872</v>
      </c>
      <c r="V21" s="100">
        <v>20</v>
      </c>
      <c r="W21" s="100">
        <v>1248</v>
      </c>
      <c r="X21" s="100">
        <v>23</v>
      </c>
      <c r="Y21" s="100">
        <v>1435.2</v>
      </c>
      <c r="Z21" s="100">
        <v>24</v>
      </c>
      <c r="AA21" s="100">
        <v>1497.6</v>
      </c>
      <c r="AB21" s="100">
        <v>8.0896275213927584</v>
      </c>
      <c r="AC21" s="100">
        <v>504.79275733490812</v>
      </c>
      <c r="AD21" s="100">
        <v>5.9081346743939062E-4</v>
      </c>
      <c r="AE21" s="100">
        <v>3.6866760368217975E-2</v>
      </c>
      <c r="AF21" s="100">
        <v>7.2313296335179951E-4</v>
      </c>
      <c r="AG21" s="100">
        <v>4.5123496913152289E-2</v>
      </c>
      <c r="AH21" s="100">
        <v>8.6826790959920806E-4</v>
      </c>
      <c r="AI21" s="100">
        <v>5.4179917558990584E-2</v>
      </c>
      <c r="AJ21" s="100">
        <v>24</v>
      </c>
      <c r="AK21" s="100">
        <v>1497.6</v>
      </c>
      <c r="AL21" s="100">
        <v>26.541218726085201</v>
      </c>
      <c r="AM21" s="100">
        <v>1656.1720485077165</v>
      </c>
      <c r="AN21" s="100">
        <v>23.197303942602222</v>
      </c>
      <c r="AO21" s="100">
        <v>1447.5117660183787</v>
      </c>
      <c r="AP21" s="100">
        <v>26.202224648636747</v>
      </c>
      <c r="AQ21" s="100">
        <v>1635.0188180749331</v>
      </c>
      <c r="AR21" s="100">
        <v>24.717116608984771</v>
      </c>
      <c r="AS21" s="100">
        <v>1542.3480764006497</v>
      </c>
      <c r="AT21" s="100">
        <v>25.777682274582887</v>
      </c>
      <c r="AU21" s="100">
        <v>1608.5273739339721</v>
      </c>
      <c r="AV21" s="100">
        <v>22</v>
      </c>
      <c r="AW21" s="100">
        <v>1372.8</v>
      </c>
      <c r="AX21" s="100">
        <v>23.73284354631215</v>
      </c>
      <c r="AY21" s="100">
        <v>1480.929437289878</v>
      </c>
      <c r="AZ21" s="100">
        <v>21</v>
      </c>
      <c r="BA21" s="100">
        <v>1310.3999999999999</v>
      </c>
      <c r="BB21" s="100">
        <v>27</v>
      </c>
      <c r="BC21" s="100">
        <v>1684.8</v>
      </c>
      <c r="BD21" s="100">
        <v>20</v>
      </c>
      <c r="BE21" s="100">
        <v>1248</v>
      </c>
      <c r="BF21" s="100">
        <v>17</v>
      </c>
      <c r="BG21" s="100">
        <v>1060.8</v>
      </c>
      <c r="BH21" s="100">
        <v>28</v>
      </c>
      <c r="BI21" s="100">
        <v>1747.2</v>
      </c>
      <c r="BJ21" s="100">
        <v>26.608761308382878</v>
      </c>
      <c r="BK21" s="100">
        <v>1660.3867056430915</v>
      </c>
      <c r="BL21" s="100">
        <v>19.041287986240214</v>
      </c>
      <c r="BM21" s="100">
        <v>1188.1763703413892</v>
      </c>
      <c r="BN21" s="100">
        <v>18.046221088033136</v>
      </c>
      <c r="BO21" s="100">
        <v>1126.0841958932676</v>
      </c>
      <c r="BP21" s="100">
        <v>22.833719990697016</v>
      </c>
      <c r="BQ21" s="100">
        <v>1424.8241274194938</v>
      </c>
      <c r="BR21" s="100">
        <v>24.012069092899633</v>
      </c>
      <c r="BS21" s="100">
        <v>1498.353111396937</v>
      </c>
      <c r="BT21" s="100">
        <v>17</v>
      </c>
      <c r="BU21" s="100">
        <v>1060.8</v>
      </c>
      <c r="BV21" s="100">
        <v>18</v>
      </c>
      <c r="BW21" s="100">
        <v>1123.2</v>
      </c>
      <c r="BX21" s="100">
        <v>36</v>
      </c>
      <c r="BY21" s="100">
        <v>2246.4</v>
      </c>
      <c r="BZ21" s="100">
        <v>24</v>
      </c>
      <c r="CA21" s="100">
        <v>1497.6</v>
      </c>
      <c r="CB21" s="100">
        <v>25</v>
      </c>
      <c r="CC21" s="100">
        <v>1560</v>
      </c>
      <c r="CD21" s="100">
        <v>26.406472520637902</v>
      </c>
      <c r="CE21" s="100">
        <v>1647.7638852878051</v>
      </c>
      <c r="CF21" s="100">
        <v>23</v>
      </c>
      <c r="CG21" s="100">
        <v>1435.2</v>
      </c>
      <c r="CH21" s="100">
        <v>22.452569542072389</v>
      </c>
      <c r="CI21" s="100">
        <v>1401.0403394253171</v>
      </c>
      <c r="CJ21" s="100">
        <v>20</v>
      </c>
      <c r="CK21" s="100">
        <v>1248</v>
      </c>
      <c r="CL21" s="100">
        <v>20</v>
      </c>
      <c r="CM21" s="100">
        <v>1248</v>
      </c>
      <c r="CN21" s="100">
        <v>17</v>
      </c>
      <c r="CO21" s="100">
        <v>1060.8</v>
      </c>
      <c r="CP21" s="100">
        <v>27</v>
      </c>
      <c r="CQ21" s="100">
        <v>1684.8</v>
      </c>
      <c r="CR21" s="100">
        <v>23</v>
      </c>
      <c r="CS21" s="100">
        <v>1435.2</v>
      </c>
      <c r="CT21" s="100">
        <v>21</v>
      </c>
      <c r="CU21" s="100">
        <v>1310.3999999999999</v>
      </c>
    </row>
    <row r="22" spans="2:99">
      <c r="C22" s="99" t="s">
        <v>188</v>
      </c>
      <c r="D22" s="100">
        <v>26.633941563728477</v>
      </c>
      <c r="E22" s="100">
        <v>4985.8738607299711</v>
      </c>
      <c r="F22" s="100">
        <v>24</v>
      </c>
      <c r="G22" s="100">
        <v>4492.7999999999993</v>
      </c>
      <c r="H22" s="100">
        <v>19</v>
      </c>
      <c r="I22" s="100">
        <v>3556.7999999999997</v>
      </c>
      <c r="J22" s="100">
        <v>20.928869107879365</v>
      </c>
      <c r="K22" s="100">
        <v>3917.8842969950169</v>
      </c>
      <c r="L22" s="100">
        <v>19</v>
      </c>
      <c r="M22" s="100">
        <v>3556.7999999999997</v>
      </c>
      <c r="N22" s="100">
        <v>31</v>
      </c>
      <c r="O22" s="100">
        <v>5803.2</v>
      </c>
      <c r="P22" s="100">
        <v>27</v>
      </c>
      <c r="Q22" s="100">
        <v>5054.3999999999996</v>
      </c>
      <c r="R22" s="100">
        <v>31</v>
      </c>
      <c r="S22" s="100">
        <v>5803.2</v>
      </c>
      <c r="T22" s="100">
        <v>29</v>
      </c>
      <c r="U22" s="100">
        <v>5428.7999999999993</v>
      </c>
      <c r="V22" s="100">
        <v>20</v>
      </c>
      <c r="W22" s="100">
        <v>3744</v>
      </c>
      <c r="X22" s="100">
        <v>21</v>
      </c>
      <c r="Y22" s="100">
        <v>3931.2</v>
      </c>
      <c r="Z22" s="100">
        <v>24</v>
      </c>
      <c r="AA22" s="100">
        <v>4492.7999999999993</v>
      </c>
      <c r="AB22" s="100">
        <v>8.0896275213927584</v>
      </c>
      <c r="AC22" s="100">
        <v>1514.3782720047243</v>
      </c>
      <c r="AD22" s="100">
        <v>6.2190891309409546E-4</v>
      </c>
      <c r="AE22" s="100">
        <v>0.11642134853121466</v>
      </c>
      <c r="AF22" s="100">
        <v>6.7492409912834619E-4</v>
      </c>
      <c r="AG22" s="100">
        <v>0.12634579135682639</v>
      </c>
      <c r="AH22" s="100">
        <v>7.3260104872433179E-4</v>
      </c>
      <c r="AI22" s="100">
        <v>0.13714291632119491</v>
      </c>
      <c r="AJ22" s="100">
        <v>23</v>
      </c>
      <c r="AK22" s="100">
        <v>4305.5999999999995</v>
      </c>
      <c r="AL22" s="100">
        <v>29.384920732451473</v>
      </c>
      <c r="AM22" s="100">
        <v>5500.8571611149155</v>
      </c>
      <c r="AN22" s="100">
        <v>23.197303942602222</v>
      </c>
      <c r="AO22" s="100">
        <v>4342.5352980551361</v>
      </c>
      <c r="AP22" s="100">
        <v>27.075632136924639</v>
      </c>
      <c r="AQ22" s="100">
        <v>5068.5583360322926</v>
      </c>
      <c r="AR22" s="100">
        <v>22.815799946755174</v>
      </c>
      <c r="AS22" s="100">
        <v>4271.1177500325684</v>
      </c>
      <c r="AT22" s="100">
        <v>23.999911083232341</v>
      </c>
      <c r="AU22" s="100">
        <v>4492.7833547810942</v>
      </c>
      <c r="AV22" s="100">
        <v>23</v>
      </c>
      <c r="AW22" s="100">
        <v>4305.5999999999995</v>
      </c>
      <c r="AX22" s="100">
        <v>25.558446896028467</v>
      </c>
      <c r="AY22" s="100">
        <v>4784.5412589365287</v>
      </c>
      <c r="AZ22" s="100">
        <v>22</v>
      </c>
      <c r="BA22" s="100">
        <v>4118.3999999999996</v>
      </c>
      <c r="BB22" s="100">
        <v>27</v>
      </c>
      <c r="BC22" s="100">
        <v>5054.3999999999996</v>
      </c>
      <c r="BD22" s="100">
        <v>18</v>
      </c>
      <c r="BE22" s="100">
        <v>3369.6</v>
      </c>
      <c r="BF22" s="100">
        <v>16</v>
      </c>
      <c r="BG22" s="100">
        <v>2995.2</v>
      </c>
      <c r="BH22" s="100">
        <v>26</v>
      </c>
      <c r="BI22" s="100">
        <v>4867.2</v>
      </c>
      <c r="BJ22" s="100">
        <v>25.721802598103448</v>
      </c>
      <c r="BK22" s="100">
        <v>4815.1214463649649</v>
      </c>
      <c r="BL22" s="100">
        <v>18.175774895956565</v>
      </c>
      <c r="BM22" s="100">
        <v>3402.5050605230686</v>
      </c>
      <c r="BN22" s="100">
        <v>18.996022197929616</v>
      </c>
      <c r="BO22" s="100">
        <v>3556.055355452424</v>
      </c>
      <c r="BP22" s="100">
        <v>23.82649042507515</v>
      </c>
      <c r="BQ22" s="100">
        <v>4460.3190075740677</v>
      </c>
      <c r="BR22" s="100">
        <v>20.010057577416358</v>
      </c>
      <c r="BS22" s="100">
        <v>3745.8827784923419</v>
      </c>
      <c r="BT22" s="100">
        <v>17</v>
      </c>
      <c r="BU22" s="100">
        <v>3182.3999999999996</v>
      </c>
      <c r="BV22" s="100">
        <v>16</v>
      </c>
      <c r="BW22" s="100">
        <v>2995.2</v>
      </c>
      <c r="BX22" s="100">
        <v>33</v>
      </c>
      <c r="BY22" s="100">
        <v>6177.5999999999995</v>
      </c>
      <c r="BZ22" s="100">
        <v>21</v>
      </c>
      <c r="CA22" s="100">
        <v>3931.2</v>
      </c>
      <c r="CB22" s="100">
        <v>26</v>
      </c>
      <c r="CC22" s="100">
        <v>4867.2</v>
      </c>
      <c r="CD22" s="100">
        <v>28.882079319447705</v>
      </c>
      <c r="CE22" s="100">
        <v>5406.72524860061</v>
      </c>
      <c r="CF22" s="100">
        <v>24</v>
      </c>
      <c r="CG22" s="100">
        <v>4492.7999999999993</v>
      </c>
      <c r="CH22" s="100">
        <v>23.388093272992073</v>
      </c>
      <c r="CI22" s="100">
        <v>4378.2510607041158</v>
      </c>
      <c r="CJ22" s="100">
        <v>21</v>
      </c>
      <c r="CK22" s="100">
        <v>3931.2</v>
      </c>
      <c r="CL22" s="100">
        <v>20</v>
      </c>
      <c r="CM22" s="100">
        <v>3744</v>
      </c>
      <c r="CN22" s="100">
        <v>17</v>
      </c>
      <c r="CO22" s="100">
        <v>3182.3999999999996</v>
      </c>
      <c r="CP22" s="100">
        <v>30</v>
      </c>
      <c r="CQ22" s="100">
        <v>5616</v>
      </c>
      <c r="CR22" s="100">
        <v>24</v>
      </c>
      <c r="CS22" s="100">
        <v>4492.7999999999993</v>
      </c>
      <c r="CT22" s="100">
        <v>17</v>
      </c>
      <c r="CU22" s="100">
        <v>3182.3999999999996</v>
      </c>
    </row>
    <row r="23" spans="2:99">
      <c r="C23" s="99" t="s">
        <v>189</v>
      </c>
      <c r="D23" s="100">
        <v>21.478985132039096</v>
      </c>
      <c r="E23" s="100">
        <v>6314.8216288194944</v>
      </c>
      <c r="F23" s="100">
        <v>20</v>
      </c>
      <c r="G23" s="100">
        <v>5880</v>
      </c>
      <c r="H23" s="100">
        <v>18</v>
      </c>
      <c r="I23" s="100">
        <v>5292</v>
      </c>
      <c r="J23" s="100">
        <v>23.658721600211461</v>
      </c>
      <c r="K23" s="100">
        <v>6955.6641504621693</v>
      </c>
      <c r="L23" s="100">
        <v>16</v>
      </c>
      <c r="M23" s="100">
        <v>4704</v>
      </c>
      <c r="N23" s="100">
        <v>28</v>
      </c>
      <c r="O23" s="100">
        <v>8232</v>
      </c>
      <c r="P23" s="100">
        <v>24</v>
      </c>
      <c r="Q23" s="100">
        <v>7056</v>
      </c>
      <c r="R23" s="100">
        <v>28</v>
      </c>
      <c r="S23" s="100">
        <v>8232</v>
      </c>
      <c r="T23" s="100">
        <v>27</v>
      </c>
      <c r="U23" s="100">
        <v>7938</v>
      </c>
      <c r="V23" s="100">
        <v>19</v>
      </c>
      <c r="W23" s="100">
        <v>5586</v>
      </c>
      <c r="X23" s="100">
        <v>20</v>
      </c>
      <c r="Y23" s="100">
        <v>5880</v>
      </c>
      <c r="Z23" s="100">
        <v>22</v>
      </c>
      <c r="AA23" s="100">
        <v>6468</v>
      </c>
      <c r="AB23" s="100">
        <v>8.0896275213927584</v>
      </c>
      <c r="AC23" s="100">
        <v>2378.3504912894709</v>
      </c>
      <c r="AD23" s="100">
        <v>5.2862257612998115E-4</v>
      </c>
      <c r="AE23" s="100">
        <v>0.15541503738221446</v>
      </c>
      <c r="AF23" s="100">
        <v>6.0261080279316631E-4</v>
      </c>
      <c r="AG23" s="100">
        <v>0.1771675760211909</v>
      </c>
      <c r="AH23" s="100">
        <v>8.140011652492576E-4</v>
      </c>
      <c r="AI23" s="100">
        <v>0.23931634258328174</v>
      </c>
      <c r="AJ23" s="100">
        <v>23</v>
      </c>
      <c r="AK23" s="100">
        <v>6762</v>
      </c>
      <c r="AL23" s="100">
        <v>25.593318057296447</v>
      </c>
      <c r="AM23" s="100">
        <v>7524.4355088451557</v>
      </c>
      <c r="AN23" s="100">
        <v>22.338144537320659</v>
      </c>
      <c r="AO23" s="100">
        <v>6567.4144939722737</v>
      </c>
      <c r="AP23" s="100">
        <v>23.582002183773071</v>
      </c>
      <c r="AQ23" s="100">
        <v>6933.1086420292831</v>
      </c>
      <c r="AR23" s="100">
        <v>22.815799946755174</v>
      </c>
      <c r="AS23" s="100">
        <v>6707.8451843460216</v>
      </c>
      <c r="AT23" s="100">
        <v>25.777682274582887</v>
      </c>
      <c r="AU23" s="100">
        <v>7578.6385887273691</v>
      </c>
      <c r="AV23" s="100">
        <v>22</v>
      </c>
      <c r="AW23" s="100">
        <v>6468</v>
      </c>
      <c r="AX23" s="100">
        <v>24.645645221170305</v>
      </c>
      <c r="AY23" s="100">
        <v>7245.8196950240699</v>
      </c>
      <c r="AZ23" s="100">
        <v>23</v>
      </c>
      <c r="BA23" s="100">
        <v>6762</v>
      </c>
      <c r="BB23" s="100">
        <v>26</v>
      </c>
      <c r="BC23" s="100">
        <v>7644</v>
      </c>
      <c r="BD23" s="100">
        <v>18</v>
      </c>
      <c r="BE23" s="100">
        <v>5292</v>
      </c>
      <c r="BF23" s="100">
        <v>17</v>
      </c>
      <c r="BG23" s="100">
        <v>4998</v>
      </c>
      <c r="BH23" s="100">
        <v>25</v>
      </c>
      <c r="BI23" s="100">
        <v>7350</v>
      </c>
      <c r="BJ23" s="100">
        <v>27.495720018662308</v>
      </c>
      <c r="BK23" s="100">
        <v>8083.7416854867188</v>
      </c>
      <c r="BL23" s="100">
        <v>18.175774895956565</v>
      </c>
      <c r="BM23" s="100">
        <v>5343.6778194112303</v>
      </c>
      <c r="BN23" s="100">
        <v>18.046221088033136</v>
      </c>
      <c r="BO23" s="100">
        <v>5305.588999881742</v>
      </c>
      <c r="BP23" s="100">
        <v>22.833719990697016</v>
      </c>
      <c r="BQ23" s="100">
        <v>6713.1136772649224</v>
      </c>
      <c r="BR23" s="100">
        <v>22.411264486706322</v>
      </c>
      <c r="BS23" s="100">
        <v>6588.9117590916585</v>
      </c>
      <c r="BT23" s="100">
        <v>18</v>
      </c>
      <c r="BU23" s="100">
        <v>5292</v>
      </c>
      <c r="BV23" s="100">
        <v>18</v>
      </c>
      <c r="BW23" s="100">
        <v>5292</v>
      </c>
      <c r="BX23" s="100">
        <v>33</v>
      </c>
      <c r="BY23" s="100">
        <v>9702</v>
      </c>
      <c r="BZ23" s="100">
        <v>23</v>
      </c>
      <c r="CA23" s="100">
        <v>6762</v>
      </c>
      <c r="CB23" s="100">
        <v>25</v>
      </c>
      <c r="CC23" s="100">
        <v>7350</v>
      </c>
      <c r="CD23" s="100">
        <v>28.056877053177772</v>
      </c>
      <c r="CE23" s="100">
        <v>8248.7218536342643</v>
      </c>
      <c r="CF23" s="100">
        <v>26</v>
      </c>
      <c r="CG23" s="100">
        <v>7644</v>
      </c>
      <c r="CH23" s="100">
        <v>21.517045811152709</v>
      </c>
      <c r="CI23" s="100">
        <v>6326.0114684788969</v>
      </c>
      <c r="CJ23" s="100">
        <v>21</v>
      </c>
      <c r="CK23" s="100">
        <v>6174</v>
      </c>
      <c r="CL23" s="100">
        <v>18</v>
      </c>
      <c r="CM23" s="100">
        <v>5292</v>
      </c>
      <c r="CN23" s="100">
        <v>19</v>
      </c>
      <c r="CO23" s="100">
        <v>5586</v>
      </c>
      <c r="CP23" s="100">
        <v>30</v>
      </c>
      <c r="CQ23" s="100">
        <v>8820</v>
      </c>
      <c r="CR23" s="100">
        <v>21</v>
      </c>
      <c r="CS23" s="100">
        <v>6174</v>
      </c>
      <c r="CT23" s="100">
        <v>17</v>
      </c>
      <c r="CU23" s="100">
        <v>4998</v>
      </c>
    </row>
    <row r="24" spans="2:99">
      <c r="C24" s="99" t="s">
        <v>190</v>
      </c>
      <c r="D24" s="100">
        <v>22.338144537320659</v>
      </c>
      <c r="E24" s="100">
        <v>8202.5666741041459</v>
      </c>
      <c r="F24" s="100">
        <v>20</v>
      </c>
      <c r="G24" s="100">
        <v>7344</v>
      </c>
      <c r="H24" s="100">
        <v>18</v>
      </c>
      <c r="I24" s="100">
        <v>6609.5999999999995</v>
      </c>
      <c r="J24" s="100">
        <v>23.658721600211461</v>
      </c>
      <c r="K24" s="100">
        <v>8687.4825715976476</v>
      </c>
      <c r="L24" s="100">
        <v>16</v>
      </c>
      <c r="M24" s="100">
        <v>5875.2</v>
      </c>
      <c r="N24" s="100">
        <v>25</v>
      </c>
      <c r="O24" s="100">
        <v>9180</v>
      </c>
      <c r="P24" s="100">
        <v>25</v>
      </c>
      <c r="Q24" s="100">
        <v>9180</v>
      </c>
      <c r="R24" s="100">
        <v>28</v>
      </c>
      <c r="S24" s="100">
        <v>10281.6</v>
      </c>
      <c r="T24" s="100">
        <v>25</v>
      </c>
      <c r="U24" s="100">
        <v>9180</v>
      </c>
      <c r="V24" s="100">
        <v>21</v>
      </c>
      <c r="W24" s="100">
        <v>7711.2</v>
      </c>
      <c r="X24" s="100">
        <v>20</v>
      </c>
      <c r="Y24" s="100">
        <v>7344</v>
      </c>
      <c r="Z24" s="100">
        <v>23</v>
      </c>
      <c r="AA24" s="100">
        <v>8445.6</v>
      </c>
      <c r="AB24" s="100">
        <v>8.0896275213927584</v>
      </c>
      <c r="AC24" s="100">
        <v>2970.5112258554209</v>
      </c>
      <c r="AD24" s="100">
        <v>5.9081346743939062E-4</v>
      </c>
      <c r="AE24" s="100">
        <v>0.21694670524374424</v>
      </c>
      <c r="AF24" s="100">
        <v>6.7492409912834619E-4</v>
      </c>
      <c r="AG24" s="100">
        <v>0.24783212919992872</v>
      </c>
      <c r="AH24" s="100">
        <v>8.140011652492576E-4</v>
      </c>
      <c r="AI24" s="100">
        <v>0.29890122787952739</v>
      </c>
      <c r="AJ24" s="100">
        <v>22</v>
      </c>
      <c r="AK24" s="100">
        <v>8078.4</v>
      </c>
      <c r="AL24" s="100">
        <v>25.593318057296447</v>
      </c>
      <c r="AM24" s="100">
        <v>9397.8663906392558</v>
      </c>
      <c r="AN24" s="100">
        <v>26.633941563728477</v>
      </c>
      <c r="AO24" s="100">
        <v>9779.9833422010961</v>
      </c>
      <c r="AP24" s="100">
        <v>27.075632136924639</v>
      </c>
      <c r="AQ24" s="100">
        <v>9942.1721206787279</v>
      </c>
      <c r="AR24" s="100">
        <v>21.865141615640376</v>
      </c>
      <c r="AS24" s="100">
        <v>8028.8800012631455</v>
      </c>
      <c r="AT24" s="100">
        <v>23.111025487557072</v>
      </c>
      <c r="AU24" s="100">
        <v>8486.368559030956</v>
      </c>
      <c r="AV24" s="100">
        <v>20</v>
      </c>
      <c r="AW24" s="100">
        <v>7344</v>
      </c>
      <c r="AX24" s="100">
        <v>24.645645221170305</v>
      </c>
      <c r="AY24" s="100">
        <v>9049.8809252137362</v>
      </c>
      <c r="AZ24" s="100">
        <v>22</v>
      </c>
      <c r="BA24" s="100">
        <v>8078.4</v>
      </c>
      <c r="BB24" s="100">
        <v>29</v>
      </c>
      <c r="BC24" s="100">
        <v>10648.8</v>
      </c>
      <c r="BD24" s="100">
        <v>19</v>
      </c>
      <c r="BE24" s="100">
        <v>6976.8</v>
      </c>
      <c r="BF24" s="100">
        <v>17</v>
      </c>
      <c r="BG24" s="100">
        <v>6242.4</v>
      </c>
      <c r="BH24" s="100">
        <v>24</v>
      </c>
      <c r="BI24" s="100">
        <v>8812.7999999999993</v>
      </c>
      <c r="BJ24" s="100">
        <v>27.495720018662308</v>
      </c>
      <c r="BK24" s="100">
        <v>10096.4283908528</v>
      </c>
      <c r="BL24" s="100">
        <v>20.772314166807504</v>
      </c>
      <c r="BM24" s="100">
        <v>7627.5937620517152</v>
      </c>
      <c r="BN24" s="100">
        <v>16.146618868240175</v>
      </c>
      <c r="BO24" s="100">
        <v>5929.0384484177921</v>
      </c>
      <c r="BP24" s="100">
        <v>20.848179121940756</v>
      </c>
      <c r="BQ24" s="100">
        <v>7655.451373576645</v>
      </c>
      <c r="BR24" s="100">
        <v>21.610862183609669</v>
      </c>
      <c r="BS24" s="100">
        <v>7935.5085938214697</v>
      </c>
      <c r="BT24" s="100">
        <v>15</v>
      </c>
      <c r="BU24" s="100">
        <v>5508</v>
      </c>
      <c r="BV24" s="100">
        <v>16</v>
      </c>
      <c r="BW24" s="100">
        <v>5875.2</v>
      </c>
      <c r="BX24" s="100">
        <v>34</v>
      </c>
      <c r="BY24" s="100">
        <v>12484.8</v>
      </c>
      <c r="BZ24" s="100">
        <v>22</v>
      </c>
      <c r="CA24" s="100">
        <v>8078.4</v>
      </c>
      <c r="CB24" s="100">
        <v>22</v>
      </c>
      <c r="CC24" s="100">
        <v>8078.4</v>
      </c>
      <c r="CD24" s="100">
        <v>24.756067988098035</v>
      </c>
      <c r="CE24" s="100">
        <v>9090.4281652295977</v>
      </c>
      <c r="CF24" s="100">
        <v>22</v>
      </c>
      <c r="CG24" s="100">
        <v>8078.4</v>
      </c>
      <c r="CH24" s="100">
        <v>19.645998349313338</v>
      </c>
      <c r="CI24" s="100">
        <v>7214.0105938678571</v>
      </c>
      <c r="CJ24" s="100">
        <v>22</v>
      </c>
      <c r="CK24" s="100">
        <v>8078.4</v>
      </c>
      <c r="CL24" s="100">
        <v>19</v>
      </c>
      <c r="CM24" s="100">
        <v>6976.8</v>
      </c>
      <c r="CN24" s="100">
        <v>16</v>
      </c>
      <c r="CO24" s="100">
        <v>5875.2</v>
      </c>
      <c r="CP24" s="100">
        <v>28</v>
      </c>
      <c r="CQ24" s="100">
        <v>10281.6</v>
      </c>
      <c r="CR24" s="100">
        <v>22</v>
      </c>
      <c r="CS24" s="100">
        <v>8078.4</v>
      </c>
      <c r="CT24" s="100">
        <v>19</v>
      </c>
      <c r="CU24" s="100">
        <v>6976.8</v>
      </c>
    </row>
    <row r="25" spans="2:99">
      <c r="C25" s="99" t="s">
        <v>191</v>
      </c>
      <c r="D25" s="100">
        <v>23.197303942602222</v>
      </c>
      <c r="E25" s="100">
        <v>12303.850011156217</v>
      </c>
      <c r="F25" s="100">
        <v>23</v>
      </c>
      <c r="G25" s="100">
        <v>12199.199999999999</v>
      </c>
      <c r="H25" s="100">
        <v>18</v>
      </c>
      <c r="I25" s="100">
        <v>9547.1999999999989</v>
      </c>
      <c r="J25" s="100">
        <v>20.018918277102006</v>
      </c>
      <c r="K25" s="100">
        <v>10618.034254174903</v>
      </c>
      <c r="L25" s="100">
        <v>16</v>
      </c>
      <c r="M25" s="100">
        <v>8486.4</v>
      </c>
      <c r="N25" s="100">
        <v>29</v>
      </c>
      <c r="O25" s="100">
        <v>15381.599999999999</v>
      </c>
      <c r="P25" s="100">
        <v>26</v>
      </c>
      <c r="Q25" s="100">
        <v>13790.4</v>
      </c>
      <c r="R25" s="100">
        <v>29</v>
      </c>
      <c r="S25" s="100">
        <v>15381.599999999999</v>
      </c>
      <c r="T25" s="100">
        <v>25</v>
      </c>
      <c r="U25" s="100">
        <v>13260</v>
      </c>
      <c r="V25" s="100">
        <v>19</v>
      </c>
      <c r="W25" s="100">
        <v>10077.6</v>
      </c>
      <c r="X25" s="100">
        <v>22</v>
      </c>
      <c r="Y25" s="100">
        <v>11668.8</v>
      </c>
      <c r="Z25" s="100">
        <v>22</v>
      </c>
      <c r="AA25" s="100">
        <v>11668.8</v>
      </c>
      <c r="AB25" s="100">
        <v>7.7784880013391913</v>
      </c>
      <c r="AC25" s="100">
        <v>4125.7100359103069</v>
      </c>
      <c r="AD25" s="100">
        <v>5.2862257612998115E-4</v>
      </c>
      <c r="AE25" s="100">
        <v>0.280381414379342</v>
      </c>
      <c r="AF25" s="100">
        <v>6.5081966701661953E-4</v>
      </c>
      <c r="AG25" s="100">
        <v>0.34519475138561501</v>
      </c>
      <c r="AH25" s="100">
        <v>7.0546767654935667E-4</v>
      </c>
      <c r="AI25" s="100">
        <v>0.37418005564177875</v>
      </c>
      <c r="AJ25" s="100">
        <v>25</v>
      </c>
      <c r="AK25" s="100">
        <v>13260</v>
      </c>
      <c r="AL25" s="100">
        <v>26.541218726085201</v>
      </c>
      <c r="AM25" s="100">
        <v>14077.46241231559</v>
      </c>
      <c r="AN25" s="100">
        <v>21.478985132039096</v>
      </c>
      <c r="AO25" s="100">
        <v>11392.453714033536</v>
      </c>
      <c r="AP25" s="100">
        <v>24.455409672060963</v>
      </c>
      <c r="AQ25" s="100">
        <v>12971.149290061134</v>
      </c>
      <c r="AR25" s="100">
        <v>22.815799946755174</v>
      </c>
      <c r="AS25" s="100">
        <v>12101.500291758945</v>
      </c>
      <c r="AT25" s="100">
        <v>23.999911083232341</v>
      </c>
      <c r="AU25" s="100">
        <v>12729.552838546433</v>
      </c>
      <c r="AV25" s="100">
        <v>18</v>
      </c>
      <c r="AW25" s="100">
        <v>9547.1999999999989</v>
      </c>
      <c r="AX25" s="100">
        <v>23.73284354631215</v>
      </c>
      <c r="AY25" s="100">
        <v>12587.900216963964</v>
      </c>
      <c r="AZ25" s="100">
        <v>22</v>
      </c>
      <c r="BA25" s="100">
        <v>11668.8</v>
      </c>
      <c r="BB25" s="100">
        <v>28</v>
      </c>
      <c r="BC25" s="100">
        <v>14851.199999999999</v>
      </c>
      <c r="BD25" s="100">
        <v>19</v>
      </c>
      <c r="BE25" s="100">
        <v>10077.6</v>
      </c>
      <c r="BF25" s="100">
        <v>16</v>
      </c>
      <c r="BG25" s="100">
        <v>8486.4</v>
      </c>
      <c r="BH25" s="100">
        <v>24</v>
      </c>
      <c r="BI25" s="100">
        <v>12729.599999999999</v>
      </c>
      <c r="BJ25" s="100">
        <v>28.382678728941741</v>
      </c>
      <c r="BK25" s="100">
        <v>15054.172797830699</v>
      </c>
      <c r="BL25" s="100">
        <v>18.175774895956565</v>
      </c>
      <c r="BM25" s="100">
        <v>9640.431004815362</v>
      </c>
      <c r="BN25" s="100">
        <v>16.146618868240175</v>
      </c>
      <c r="BO25" s="100">
        <v>8564.1666477145882</v>
      </c>
      <c r="BP25" s="100">
        <v>23.82649042507515</v>
      </c>
      <c r="BQ25" s="100">
        <v>12637.570521459858</v>
      </c>
      <c r="BR25" s="100">
        <v>23.211666789802976</v>
      </c>
      <c r="BS25" s="100">
        <v>12311.468065311497</v>
      </c>
      <c r="BT25" s="100">
        <v>15</v>
      </c>
      <c r="BU25" s="100">
        <v>7956</v>
      </c>
      <c r="BV25" s="100">
        <v>14</v>
      </c>
      <c r="BW25" s="100">
        <v>7425.5999999999995</v>
      </c>
      <c r="BX25" s="100">
        <v>30</v>
      </c>
      <c r="BY25" s="100">
        <v>15912</v>
      </c>
      <c r="BZ25" s="100">
        <v>21</v>
      </c>
      <c r="CA25" s="100">
        <v>11138.4</v>
      </c>
      <c r="CB25" s="100">
        <v>26</v>
      </c>
      <c r="CC25" s="100">
        <v>13790.4</v>
      </c>
      <c r="CD25" s="100">
        <v>27.231674786907838</v>
      </c>
      <c r="CE25" s="100">
        <v>14443.680306975917</v>
      </c>
      <c r="CF25" s="100">
        <v>23</v>
      </c>
      <c r="CG25" s="100">
        <v>12199.199999999999</v>
      </c>
      <c r="CH25" s="100">
        <v>19.645998349313338</v>
      </c>
      <c r="CI25" s="100">
        <v>10420.237524475793</v>
      </c>
      <c r="CJ25" s="100">
        <v>20</v>
      </c>
      <c r="CK25" s="100">
        <v>10608</v>
      </c>
      <c r="CL25" s="100">
        <v>18</v>
      </c>
      <c r="CM25" s="100">
        <v>9547.1999999999989</v>
      </c>
      <c r="CN25" s="100">
        <v>16</v>
      </c>
      <c r="CO25" s="100">
        <v>8486.4</v>
      </c>
      <c r="CP25" s="100">
        <v>26</v>
      </c>
      <c r="CQ25" s="100">
        <v>13790.4</v>
      </c>
      <c r="CR25" s="100">
        <v>23</v>
      </c>
      <c r="CS25" s="100">
        <v>12199.199999999999</v>
      </c>
      <c r="CT25" s="100">
        <v>19</v>
      </c>
      <c r="CU25" s="100">
        <v>10077.6</v>
      </c>
    </row>
    <row r="26" spans="2:99">
      <c r="C26" s="99" t="s">
        <v>192</v>
      </c>
      <c r="D26" s="100">
        <v>23.197303942602222</v>
      </c>
      <c r="E26" s="100">
        <v>11273.889716104681</v>
      </c>
      <c r="F26" s="100">
        <v>23</v>
      </c>
      <c r="G26" s="100">
        <v>11178</v>
      </c>
      <c r="H26" s="100">
        <v>20</v>
      </c>
      <c r="I26" s="100">
        <v>9720</v>
      </c>
      <c r="J26" s="100">
        <v>20.018918277102006</v>
      </c>
      <c r="K26" s="100">
        <v>9729.1942826715749</v>
      </c>
      <c r="L26" s="100">
        <v>16</v>
      </c>
      <c r="M26" s="100">
        <v>7776</v>
      </c>
      <c r="N26" s="100">
        <v>28</v>
      </c>
      <c r="O26" s="100">
        <v>13608</v>
      </c>
      <c r="P26" s="100">
        <v>27</v>
      </c>
      <c r="Q26" s="100">
        <v>13122</v>
      </c>
      <c r="R26" s="100">
        <v>26</v>
      </c>
      <c r="S26" s="100">
        <v>12636</v>
      </c>
      <c r="T26" s="100">
        <v>29</v>
      </c>
      <c r="U26" s="100">
        <v>14094</v>
      </c>
      <c r="V26" s="100">
        <v>19</v>
      </c>
      <c r="W26" s="100">
        <v>9234</v>
      </c>
      <c r="X26" s="100">
        <v>21</v>
      </c>
      <c r="Y26" s="100">
        <v>10206</v>
      </c>
      <c r="Z26" s="100">
        <v>22</v>
      </c>
      <c r="AA26" s="100">
        <v>10692</v>
      </c>
      <c r="AB26" s="100">
        <v>7.7784880013391913</v>
      </c>
      <c r="AC26" s="100">
        <v>3780.345168650847</v>
      </c>
      <c r="AD26" s="100">
        <v>5.9081346743939062E-4</v>
      </c>
      <c r="AE26" s="100">
        <v>0.28713534517554384</v>
      </c>
      <c r="AF26" s="100">
        <v>5.7850637068143954E-4</v>
      </c>
      <c r="AG26" s="100">
        <v>0.28115409615117964</v>
      </c>
      <c r="AH26" s="100">
        <v>8.140011652492576E-4</v>
      </c>
      <c r="AI26" s="100">
        <v>0.39560456631113922</v>
      </c>
      <c r="AJ26" s="100">
        <v>22</v>
      </c>
      <c r="AK26" s="100">
        <v>10692</v>
      </c>
      <c r="AL26" s="100">
        <v>25.593318057296447</v>
      </c>
      <c r="AM26" s="100">
        <v>12438.352575846073</v>
      </c>
      <c r="AN26" s="100">
        <v>25.774782158446914</v>
      </c>
      <c r="AO26" s="100">
        <v>12526.5441290052</v>
      </c>
      <c r="AP26" s="100">
        <v>23.582002183773071</v>
      </c>
      <c r="AQ26" s="100">
        <v>11460.853061313712</v>
      </c>
      <c r="AR26" s="100">
        <v>23.766458277869976</v>
      </c>
      <c r="AS26" s="100">
        <v>11550.498723044808</v>
      </c>
      <c r="AT26" s="100">
        <v>26.666567870258156</v>
      </c>
      <c r="AU26" s="100">
        <v>12959.951984945465</v>
      </c>
      <c r="AV26" s="100">
        <v>20</v>
      </c>
      <c r="AW26" s="100">
        <v>9720</v>
      </c>
      <c r="AX26" s="100">
        <v>22.820041871453988</v>
      </c>
      <c r="AY26" s="100">
        <v>11090.540349526638</v>
      </c>
      <c r="AZ26" s="100">
        <v>23</v>
      </c>
      <c r="BA26" s="100">
        <v>11178</v>
      </c>
      <c r="BB26" s="100">
        <v>27</v>
      </c>
      <c r="BC26" s="100">
        <v>13122</v>
      </c>
      <c r="BD26" s="100">
        <v>17</v>
      </c>
      <c r="BE26" s="100">
        <v>8262</v>
      </c>
      <c r="BF26" s="100">
        <v>16</v>
      </c>
      <c r="BG26" s="100">
        <v>7776</v>
      </c>
      <c r="BH26" s="100">
        <v>25</v>
      </c>
      <c r="BI26" s="100">
        <v>12150</v>
      </c>
      <c r="BJ26" s="100">
        <v>29.269637439221171</v>
      </c>
      <c r="BK26" s="100">
        <v>14225.04379546149</v>
      </c>
      <c r="BL26" s="100">
        <v>19.906801076523859</v>
      </c>
      <c r="BM26" s="100">
        <v>9674.7053231905957</v>
      </c>
      <c r="BN26" s="100">
        <v>17.096419978136655</v>
      </c>
      <c r="BO26" s="100">
        <v>8308.8601093744146</v>
      </c>
      <c r="BP26" s="100">
        <v>21.84094955631889</v>
      </c>
      <c r="BQ26" s="100">
        <v>10614.70148437098</v>
      </c>
      <c r="BR26" s="100">
        <v>22.411264486706322</v>
      </c>
      <c r="BS26" s="100">
        <v>10891.874540539273</v>
      </c>
      <c r="BT26" s="100">
        <v>17</v>
      </c>
      <c r="BU26" s="100">
        <v>8262</v>
      </c>
      <c r="BV26" s="100">
        <v>17</v>
      </c>
      <c r="BW26" s="100">
        <v>8262</v>
      </c>
      <c r="BX26" s="100">
        <v>34</v>
      </c>
      <c r="BY26" s="100">
        <v>16524</v>
      </c>
      <c r="BZ26" s="100">
        <v>21</v>
      </c>
      <c r="CA26" s="100">
        <v>10206</v>
      </c>
      <c r="CB26" s="100">
        <v>24</v>
      </c>
      <c r="CC26" s="100">
        <v>11664</v>
      </c>
      <c r="CD26" s="100">
        <v>26.406472520637902</v>
      </c>
      <c r="CE26" s="100">
        <v>12833.545645030021</v>
      </c>
      <c r="CF26" s="100">
        <v>24</v>
      </c>
      <c r="CG26" s="100">
        <v>11664</v>
      </c>
      <c r="CH26" s="100">
        <v>19.645998349313338</v>
      </c>
      <c r="CI26" s="100">
        <v>9547.9551977662813</v>
      </c>
      <c r="CJ26" s="100">
        <v>20</v>
      </c>
      <c r="CK26" s="100">
        <v>9720</v>
      </c>
      <c r="CL26" s="100">
        <v>21</v>
      </c>
      <c r="CM26" s="100">
        <v>10206</v>
      </c>
      <c r="CN26" s="100">
        <v>17</v>
      </c>
      <c r="CO26" s="100">
        <v>8262</v>
      </c>
      <c r="CP26" s="100">
        <v>27</v>
      </c>
      <c r="CQ26" s="100">
        <v>13122</v>
      </c>
      <c r="CR26" s="100">
        <v>20</v>
      </c>
      <c r="CS26" s="100">
        <v>9720</v>
      </c>
      <c r="CT26" s="100">
        <v>18</v>
      </c>
      <c r="CU26" s="100">
        <v>8748</v>
      </c>
    </row>
    <row r="27" spans="2:99">
      <c r="C27" s="99" t="s">
        <v>193</v>
      </c>
      <c r="D27" s="100">
        <v>22.338144537320659</v>
      </c>
      <c r="E27" s="100">
        <v>9542.8553463433855</v>
      </c>
      <c r="F27" s="100">
        <v>21</v>
      </c>
      <c r="G27" s="100">
        <v>8971.1999999999989</v>
      </c>
      <c r="H27" s="100">
        <v>21</v>
      </c>
      <c r="I27" s="100">
        <v>8971.1999999999989</v>
      </c>
      <c r="J27" s="100">
        <v>22.748770769434095</v>
      </c>
      <c r="K27" s="100">
        <v>9718.2748727022445</v>
      </c>
      <c r="L27" s="100">
        <v>18</v>
      </c>
      <c r="M27" s="100">
        <v>7689.5999999999995</v>
      </c>
      <c r="N27" s="100">
        <v>26</v>
      </c>
      <c r="O27" s="100">
        <v>11107.199999999999</v>
      </c>
      <c r="P27" s="100">
        <v>26</v>
      </c>
      <c r="Q27" s="100">
        <v>11107.199999999999</v>
      </c>
      <c r="R27" s="100">
        <v>27</v>
      </c>
      <c r="S27" s="100">
        <v>11534.4</v>
      </c>
      <c r="T27" s="100">
        <v>25</v>
      </c>
      <c r="U27" s="100">
        <v>10680</v>
      </c>
      <c r="V27" s="100">
        <v>22</v>
      </c>
      <c r="W27" s="100">
        <v>9398.4</v>
      </c>
      <c r="X27" s="100">
        <v>23</v>
      </c>
      <c r="Y27" s="100">
        <v>9825.6</v>
      </c>
      <c r="Z27" s="100">
        <v>23</v>
      </c>
      <c r="AA27" s="100">
        <v>9825.6</v>
      </c>
      <c r="AB27" s="100">
        <v>7.4673484812856232</v>
      </c>
      <c r="AC27" s="100">
        <v>3190.0512712052182</v>
      </c>
      <c r="AD27" s="100">
        <v>6.2190891309409546E-4</v>
      </c>
      <c r="AE27" s="100">
        <v>0.26567948767379757</v>
      </c>
      <c r="AF27" s="100">
        <v>6.2671523490489297E-4</v>
      </c>
      <c r="AG27" s="100">
        <v>0.26773274835137029</v>
      </c>
      <c r="AH27" s="100">
        <v>8.140011652492576E-4</v>
      </c>
      <c r="AI27" s="100">
        <v>0.34774129779448282</v>
      </c>
      <c r="AJ27" s="100">
        <v>23</v>
      </c>
      <c r="AK27" s="100">
        <v>9825.6</v>
      </c>
      <c r="AL27" s="100">
        <v>26.541218726085201</v>
      </c>
      <c r="AM27" s="100">
        <v>11338.408639783598</v>
      </c>
      <c r="AN27" s="100">
        <v>25.774782158446914</v>
      </c>
      <c r="AO27" s="100">
        <v>11010.986938088521</v>
      </c>
      <c r="AP27" s="100">
        <v>25.328817160348855</v>
      </c>
      <c r="AQ27" s="100">
        <v>10820.470690901031</v>
      </c>
      <c r="AR27" s="100">
        <v>21.865141615640376</v>
      </c>
      <c r="AS27" s="100">
        <v>9340.7884982015676</v>
      </c>
      <c r="AT27" s="100">
        <v>27.555453465933429</v>
      </c>
      <c r="AU27" s="100">
        <v>11771.68972064676</v>
      </c>
      <c r="AV27" s="100">
        <v>19</v>
      </c>
      <c r="AW27" s="100">
        <v>8116.8</v>
      </c>
      <c r="AX27" s="100">
        <v>24.645645221170305</v>
      </c>
      <c r="AY27" s="100">
        <v>10528.619638483955</v>
      </c>
      <c r="AZ27" s="100">
        <v>23</v>
      </c>
      <c r="BA27" s="100">
        <v>9825.6</v>
      </c>
      <c r="BB27" s="100">
        <v>27</v>
      </c>
      <c r="BC27" s="100">
        <v>11534.4</v>
      </c>
      <c r="BD27" s="100">
        <v>19</v>
      </c>
      <c r="BE27" s="100">
        <v>8116.8</v>
      </c>
      <c r="BF27" s="100">
        <v>17</v>
      </c>
      <c r="BG27" s="100">
        <v>7262.4</v>
      </c>
      <c r="BH27" s="100">
        <v>28</v>
      </c>
      <c r="BI27" s="100">
        <v>11961.6</v>
      </c>
      <c r="BJ27" s="100">
        <v>29.269637439221171</v>
      </c>
      <c r="BK27" s="100">
        <v>12503.989114035285</v>
      </c>
      <c r="BL27" s="100">
        <v>18.175774895956565</v>
      </c>
      <c r="BM27" s="100">
        <v>7764.6910355526443</v>
      </c>
      <c r="BN27" s="100">
        <v>17.096419978136655</v>
      </c>
      <c r="BO27" s="100">
        <v>7303.5906146599791</v>
      </c>
      <c r="BP27" s="100">
        <v>22.833719990697016</v>
      </c>
      <c r="BQ27" s="100">
        <v>9754.5651800257656</v>
      </c>
      <c r="BR27" s="100">
        <v>21.610862183609669</v>
      </c>
      <c r="BS27" s="100">
        <v>9232.1603248380507</v>
      </c>
      <c r="BT27" s="100">
        <v>17</v>
      </c>
      <c r="BU27" s="100">
        <v>7262.4</v>
      </c>
      <c r="BV27" s="100">
        <v>15</v>
      </c>
      <c r="BW27" s="100">
        <v>6408</v>
      </c>
      <c r="BX27" s="100">
        <v>34</v>
      </c>
      <c r="BY27" s="100">
        <v>14524.8</v>
      </c>
      <c r="BZ27" s="100">
        <v>23</v>
      </c>
      <c r="CA27" s="100">
        <v>9825.6</v>
      </c>
      <c r="CB27" s="100">
        <v>26</v>
      </c>
      <c r="CC27" s="100">
        <v>11107.199999999999</v>
      </c>
      <c r="CD27" s="100">
        <v>25.581270254367968</v>
      </c>
      <c r="CE27" s="100">
        <v>10928.318652665996</v>
      </c>
      <c r="CF27" s="100">
        <v>23</v>
      </c>
      <c r="CG27" s="100">
        <v>9825.6</v>
      </c>
      <c r="CH27" s="100">
        <v>20.581522080233025</v>
      </c>
      <c r="CI27" s="100">
        <v>8792.4262326755488</v>
      </c>
      <c r="CJ27" s="100">
        <v>20</v>
      </c>
      <c r="CK27" s="100">
        <v>8544</v>
      </c>
      <c r="CL27" s="100">
        <v>18</v>
      </c>
      <c r="CM27" s="100">
        <v>7689.5999999999995</v>
      </c>
      <c r="CN27" s="100">
        <v>17</v>
      </c>
      <c r="CO27" s="100">
        <v>7262.4</v>
      </c>
      <c r="CP27" s="100">
        <v>29</v>
      </c>
      <c r="CQ27" s="100">
        <v>12388.8</v>
      </c>
      <c r="CR27" s="100">
        <v>22</v>
      </c>
      <c r="CS27" s="100">
        <v>9398.4</v>
      </c>
      <c r="CT27" s="100">
        <v>20</v>
      </c>
      <c r="CU27" s="100">
        <v>8544</v>
      </c>
    </row>
    <row r="28" spans="2:99">
      <c r="C28" s="99" t="s">
        <v>194</v>
      </c>
      <c r="D28" s="100">
        <v>21.478985132039096</v>
      </c>
      <c r="E28" s="100">
        <v>15851.491027444852</v>
      </c>
      <c r="F28" s="100">
        <v>21</v>
      </c>
      <c r="G28" s="100">
        <v>15498</v>
      </c>
      <c r="H28" s="100">
        <v>20</v>
      </c>
      <c r="I28" s="100">
        <v>14760</v>
      </c>
      <c r="J28" s="100">
        <v>20.928869107879365</v>
      </c>
      <c r="K28" s="100">
        <v>15445.505401614972</v>
      </c>
      <c r="L28" s="100">
        <v>17</v>
      </c>
      <c r="M28" s="100">
        <v>12546</v>
      </c>
      <c r="N28" s="100">
        <v>28</v>
      </c>
      <c r="O28" s="100">
        <v>20664</v>
      </c>
      <c r="P28" s="100">
        <v>24</v>
      </c>
      <c r="Q28" s="100">
        <v>17712</v>
      </c>
      <c r="R28" s="100">
        <v>28</v>
      </c>
      <c r="S28" s="100">
        <v>20664</v>
      </c>
      <c r="T28" s="100">
        <v>27</v>
      </c>
      <c r="U28" s="100">
        <v>19926</v>
      </c>
      <c r="V28" s="100">
        <v>20</v>
      </c>
      <c r="W28" s="100">
        <v>14760</v>
      </c>
      <c r="X28" s="100">
        <v>21</v>
      </c>
      <c r="Y28" s="100">
        <v>15498</v>
      </c>
      <c r="Z28" s="100">
        <v>22</v>
      </c>
      <c r="AA28" s="100">
        <v>16236</v>
      </c>
      <c r="AB28" s="100">
        <v>6.5339299211249209</v>
      </c>
      <c r="AC28" s="100">
        <v>4822.0402817901913</v>
      </c>
      <c r="AD28" s="100">
        <v>5.9081346743939062E-4</v>
      </c>
      <c r="AE28" s="100">
        <v>0.43602033897027026</v>
      </c>
      <c r="AF28" s="100">
        <v>5.7850637068143954E-4</v>
      </c>
      <c r="AG28" s="100">
        <v>0.42693770156290239</v>
      </c>
      <c r="AH28" s="100">
        <v>7.3260104872433179E-4</v>
      </c>
      <c r="AI28" s="100">
        <v>0.5406595739585569</v>
      </c>
      <c r="AJ28" s="100">
        <v>24</v>
      </c>
      <c r="AK28" s="100">
        <v>17712</v>
      </c>
      <c r="AL28" s="100">
        <v>25.593318057296447</v>
      </c>
      <c r="AM28" s="100">
        <v>18887.868726284778</v>
      </c>
      <c r="AN28" s="100">
        <v>23.197303942602222</v>
      </c>
      <c r="AO28" s="100">
        <v>17119.61030964044</v>
      </c>
      <c r="AP28" s="100">
        <v>22.708594695485179</v>
      </c>
      <c r="AQ28" s="100">
        <v>16758.942885268061</v>
      </c>
      <c r="AR28" s="100">
        <v>23.766458277869976</v>
      </c>
      <c r="AS28" s="100">
        <v>17539.646209068043</v>
      </c>
      <c r="AT28" s="100">
        <v>23.999911083232341</v>
      </c>
      <c r="AU28" s="100">
        <v>17711.934379425467</v>
      </c>
      <c r="AV28" s="100">
        <v>19</v>
      </c>
      <c r="AW28" s="100">
        <v>14022</v>
      </c>
      <c r="AX28" s="100">
        <v>21.907240196595829</v>
      </c>
      <c r="AY28" s="100">
        <v>16167.543265087723</v>
      </c>
      <c r="AZ28" s="100">
        <v>19</v>
      </c>
      <c r="BA28" s="100">
        <v>14022</v>
      </c>
      <c r="BB28" s="100">
        <v>29</v>
      </c>
      <c r="BC28" s="100">
        <v>21402</v>
      </c>
      <c r="BD28" s="100">
        <v>17</v>
      </c>
      <c r="BE28" s="100">
        <v>12546</v>
      </c>
      <c r="BF28" s="100">
        <v>16</v>
      </c>
      <c r="BG28" s="100">
        <v>11808</v>
      </c>
      <c r="BH28" s="100">
        <v>23</v>
      </c>
      <c r="BI28" s="100">
        <v>16974</v>
      </c>
      <c r="BJ28" s="100">
        <v>28.382678728941741</v>
      </c>
      <c r="BK28" s="100">
        <v>20946.416901959004</v>
      </c>
      <c r="BL28" s="100">
        <v>16.444748715389274</v>
      </c>
      <c r="BM28" s="100">
        <v>12136.224551957284</v>
      </c>
      <c r="BN28" s="100">
        <v>17.096419978136655</v>
      </c>
      <c r="BO28" s="100">
        <v>12617.157943864851</v>
      </c>
      <c r="BP28" s="100">
        <v>21.84094955631889</v>
      </c>
      <c r="BQ28" s="100">
        <v>16118.620772563341</v>
      </c>
      <c r="BR28" s="100">
        <v>21.610862183609669</v>
      </c>
      <c r="BS28" s="100">
        <v>15948.816291503936</v>
      </c>
      <c r="BT28" s="100">
        <v>15</v>
      </c>
      <c r="BU28" s="100">
        <v>11070</v>
      </c>
      <c r="BV28" s="100">
        <v>15</v>
      </c>
      <c r="BW28" s="100">
        <v>11070</v>
      </c>
      <c r="BX28" s="100">
        <v>31</v>
      </c>
      <c r="BY28" s="100">
        <v>22878</v>
      </c>
      <c r="BZ28" s="100">
        <v>19</v>
      </c>
      <c r="CA28" s="100">
        <v>14022</v>
      </c>
      <c r="CB28" s="100">
        <v>23</v>
      </c>
      <c r="CC28" s="100">
        <v>16974</v>
      </c>
      <c r="CD28" s="100">
        <v>27.231674786907838</v>
      </c>
      <c r="CE28" s="100">
        <v>20096.975992737986</v>
      </c>
      <c r="CF28" s="100">
        <v>23</v>
      </c>
      <c r="CG28" s="100">
        <v>16974</v>
      </c>
      <c r="CH28" s="100">
        <v>21.517045811152709</v>
      </c>
      <c r="CI28" s="100">
        <v>15879.579808630699</v>
      </c>
      <c r="CJ28" s="100">
        <v>19</v>
      </c>
      <c r="CK28" s="100">
        <v>14022</v>
      </c>
      <c r="CL28" s="100">
        <v>19</v>
      </c>
      <c r="CM28" s="100">
        <v>14022</v>
      </c>
      <c r="CN28" s="100">
        <v>16</v>
      </c>
      <c r="CO28" s="100">
        <v>11808</v>
      </c>
      <c r="CP28" s="100">
        <v>30</v>
      </c>
      <c r="CQ28" s="100">
        <v>22140</v>
      </c>
      <c r="CR28" s="100">
        <v>20</v>
      </c>
      <c r="CS28" s="100">
        <v>14760</v>
      </c>
      <c r="CT28" s="100">
        <v>20</v>
      </c>
      <c r="CU28" s="100">
        <v>14760</v>
      </c>
    </row>
    <row r="29" spans="2:99">
      <c r="C29" s="99" t="s">
        <v>195</v>
      </c>
      <c r="D29" s="100">
        <v>25.774782158446914</v>
      </c>
      <c r="E29" s="100">
        <v>8722.1862824184354</v>
      </c>
      <c r="F29" s="100">
        <v>22</v>
      </c>
      <c r="G29" s="100">
        <v>7444.7999999999993</v>
      </c>
      <c r="H29" s="100">
        <v>21</v>
      </c>
      <c r="I29" s="100">
        <v>7106.4</v>
      </c>
      <c r="J29" s="100">
        <v>20.018918277102006</v>
      </c>
      <c r="K29" s="100">
        <v>6774.4019449713187</v>
      </c>
      <c r="L29" s="100">
        <v>19</v>
      </c>
      <c r="M29" s="100">
        <v>6429.5999999999995</v>
      </c>
      <c r="N29" s="100">
        <v>27</v>
      </c>
      <c r="O29" s="100">
        <v>9136.7999999999993</v>
      </c>
      <c r="P29" s="100">
        <v>25</v>
      </c>
      <c r="Q29" s="100">
        <v>8460</v>
      </c>
      <c r="R29" s="100">
        <v>30</v>
      </c>
      <c r="S29" s="100">
        <v>10152</v>
      </c>
      <c r="T29" s="100">
        <v>25</v>
      </c>
      <c r="U29" s="100">
        <v>8460</v>
      </c>
      <c r="V29" s="100">
        <v>20</v>
      </c>
      <c r="W29" s="100">
        <v>6768</v>
      </c>
      <c r="X29" s="100">
        <v>22</v>
      </c>
      <c r="Y29" s="100">
        <v>7444.7999999999993</v>
      </c>
      <c r="Z29" s="100">
        <v>25</v>
      </c>
      <c r="AA29" s="100">
        <v>8460</v>
      </c>
      <c r="AB29" s="100">
        <v>7.1562089612320561</v>
      </c>
      <c r="AC29" s="100">
        <v>2421.6611124809278</v>
      </c>
      <c r="AD29" s="100">
        <v>5.9081346743939062E-4</v>
      </c>
      <c r="AE29" s="100">
        <v>0.19993127738148977</v>
      </c>
      <c r="AF29" s="100">
        <v>6.5081966701661953E-4</v>
      </c>
      <c r="AG29" s="100">
        <v>0.22023737531842402</v>
      </c>
      <c r="AH29" s="100">
        <v>7.0546767654935667E-4</v>
      </c>
      <c r="AI29" s="100">
        <v>0.23873026174430229</v>
      </c>
      <c r="AJ29" s="100">
        <v>25</v>
      </c>
      <c r="AK29" s="100">
        <v>8460</v>
      </c>
      <c r="AL29" s="100">
        <v>29.384920732451473</v>
      </c>
      <c r="AM29" s="100">
        <v>9943.8571758615781</v>
      </c>
      <c r="AN29" s="100">
        <v>24.915622753165348</v>
      </c>
      <c r="AO29" s="100">
        <v>8431.4467396711534</v>
      </c>
      <c r="AP29" s="100">
        <v>26.202224648636747</v>
      </c>
      <c r="AQ29" s="100">
        <v>8866.8328210986747</v>
      </c>
      <c r="AR29" s="100">
        <v>23.766458277869976</v>
      </c>
      <c r="AS29" s="100">
        <v>8042.5694812311995</v>
      </c>
      <c r="AT29" s="100">
        <v>24.88879667890761</v>
      </c>
      <c r="AU29" s="100">
        <v>8422.3687961423348</v>
      </c>
      <c r="AV29" s="100">
        <v>21</v>
      </c>
      <c r="AW29" s="100">
        <v>7106.4</v>
      </c>
      <c r="AX29" s="100">
        <v>23.73284354631215</v>
      </c>
      <c r="AY29" s="100">
        <v>8031.1942560720308</v>
      </c>
      <c r="AZ29" s="100">
        <v>20</v>
      </c>
      <c r="BA29" s="100">
        <v>6768</v>
      </c>
      <c r="BB29" s="100">
        <v>29</v>
      </c>
      <c r="BC29" s="100">
        <v>9813.5999999999985</v>
      </c>
      <c r="BD29" s="100">
        <v>19</v>
      </c>
      <c r="BE29" s="100">
        <v>6429.5999999999995</v>
      </c>
      <c r="BF29" s="100">
        <v>16</v>
      </c>
      <c r="BG29" s="100">
        <v>5414.4</v>
      </c>
      <c r="BH29" s="100">
        <v>24</v>
      </c>
      <c r="BI29" s="100">
        <v>8121.5999999999995</v>
      </c>
      <c r="BJ29" s="100">
        <v>28.382678728941741</v>
      </c>
      <c r="BK29" s="100">
        <v>9604.6984818738838</v>
      </c>
      <c r="BL29" s="100">
        <v>19.041287986240214</v>
      </c>
      <c r="BM29" s="100">
        <v>6443.5718545436876</v>
      </c>
      <c r="BN29" s="100">
        <v>19.945823307826096</v>
      </c>
      <c r="BO29" s="100">
        <v>6749.66660736835</v>
      </c>
      <c r="BP29" s="100">
        <v>24.81926085945328</v>
      </c>
      <c r="BQ29" s="100">
        <v>8398.8378748389896</v>
      </c>
      <c r="BR29" s="100">
        <v>23.211666789802976</v>
      </c>
      <c r="BS29" s="100">
        <v>7854.8280416693269</v>
      </c>
      <c r="BT29" s="100">
        <v>17</v>
      </c>
      <c r="BU29" s="100">
        <v>5752.7999999999993</v>
      </c>
      <c r="BV29" s="100">
        <v>15</v>
      </c>
      <c r="BW29" s="100">
        <v>5076</v>
      </c>
      <c r="BX29" s="100">
        <v>35</v>
      </c>
      <c r="BY29" s="100">
        <v>11844</v>
      </c>
      <c r="BZ29" s="100">
        <v>22</v>
      </c>
      <c r="CA29" s="100">
        <v>7444.7999999999993</v>
      </c>
      <c r="CB29" s="100">
        <v>24</v>
      </c>
      <c r="CC29" s="100">
        <v>8121.5999999999995</v>
      </c>
      <c r="CD29" s="100">
        <v>28.882079319447705</v>
      </c>
      <c r="CE29" s="100">
        <v>9773.6956417011024</v>
      </c>
      <c r="CF29" s="100">
        <v>25</v>
      </c>
      <c r="CG29" s="100">
        <v>8460</v>
      </c>
      <c r="CH29" s="100">
        <v>19.645998349313338</v>
      </c>
      <c r="CI29" s="100">
        <v>6648.2058414076328</v>
      </c>
      <c r="CJ29" s="100">
        <v>21</v>
      </c>
      <c r="CK29" s="100">
        <v>7106.4</v>
      </c>
      <c r="CL29" s="100">
        <v>19</v>
      </c>
      <c r="CM29" s="100">
        <v>6429.5999999999995</v>
      </c>
      <c r="CN29" s="100">
        <v>17</v>
      </c>
      <c r="CO29" s="100">
        <v>5752.7999999999993</v>
      </c>
      <c r="CP29" s="100">
        <v>30</v>
      </c>
      <c r="CQ29" s="100">
        <v>10152</v>
      </c>
      <c r="CR29" s="100">
        <v>22</v>
      </c>
      <c r="CS29" s="100">
        <v>7444.7999999999993</v>
      </c>
      <c r="CT29" s="100">
        <v>19</v>
      </c>
      <c r="CU29" s="100">
        <v>6429.5999999999995</v>
      </c>
    </row>
    <row r="30" spans="2:99">
      <c r="C30" s="99" t="s">
        <v>196</v>
      </c>
      <c r="D30" s="100">
        <v>24.915622753165348</v>
      </c>
      <c r="E30" s="100">
        <v>3468.254687240616</v>
      </c>
      <c r="F30" s="100">
        <v>23</v>
      </c>
      <c r="G30" s="100">
        <v>3201.6</v>
      </c>
      <c r="H30" s="100">
        <v>19</v>
      </c>
      <c r="I30" s="100">
        <v>2644.7999999999997</v>
      </c>
      <c r="J30" s="100">
        <v>21.83881993865673</v>
      </c>
      <c r="K30" s="100">
        <v>3039.9637354610168</v>
      </c>
      <c r="L30" s="100">
        <v>18</v>
      </c>
      <c r="M30" s="100">
        <v>2505.6</v>
      </c>
      <c r="N30" s="100">
        <v>29</v>
      </c>
      <c r="O30" s="100">
        <v>4036.7999999999997</v>
      </c>
      <c r="P30" s="100">
        <v>25</v>
      </c>
      <c r="Q30" s="100">
        <v>3479.9999999999995</v>
      </c>
      <c r="R30" s="100">
        <v>27</v>
      </c>
      <c r="S30" s="100">
        <v>3758.3999999999996</v>
      </c>
      <c r="T30" s="100">
        <v>30</v>
      </c>
      <c r="U30" s="100">
        <v>4176</v>
      </c>
      <c r="V30" s="100">
        <v>21</v>
      </c>
      <c r="W30" s="100">
        <v>2923.2</v>
      </c>
      <c r="X30" s="100">
        <v>23</v>
      </c>
      <c r="Y30" s="100">
        <v>3201.6</v>
      </c>
      <c r="Z30" s="100">
        <v>22</v>
      </c>
      <c r="AA30" s="100">
        <v>3062.3999999999996</v>
      </c>
      <c r="AB30" s="100">
        <v>7.7784880013391913</v>
      </c>
      <c r="AC30" s="100">
        <v>1082.7655297864153</v>
      </c>
      <c r="AD30" s="100">
        <v>5.2862257612998115E-4</v>
      </c>
      <c r="AE30" s="100">
        <v>7.3584262597293365E-2</v>
      </c>
      <c r="AF30" s="100">
        <v>6.5081966701661953E-4</v>
      </c>
      <c r="AG30" s="100">
        <v>9.0594097648713429E-2</v>
      </c>
      <c r="AH30" s="100">
        <v>7.8686779307428237E-4</v>
      </c>
      <c r="AI30" s="100">
        <v>0.1095319967959401</v>
      </c>
      <c r="AJ30" s="100">
        <v>27</v>
      </c>
      <c r="AK30" s="100">
        <v>3758.3999999999996</v>
      </c>
      <c r="AL30" s="100">
        <v>26.541218726085201</v>
      </c>
      <c r="AM30" s="100">
        <v>3694.5376466710595</v>
      </c>
      <c r="AN30" s="100">
        <v>24.056463347883788</v>
      </c>
      <c r="AO30" s="100">
        <v>3348.659698025423</v>
      </c>
      <c r="AP30" s="100">
        <v>23.582002183773071</v>
      </c>
      <c r="AQ30" s="100">
        <v>3282.6147039812113</v>
      </c>
      <c r="AR30" s="100">
        <v>23.766458277869976</v>
      </c>
      <c r="AS30" s="100">
        <v>3308.2909922795002</v>
      </c>
      <c r="AT30" s="100">
        <v>23.999911083232341</v>
      </c>
      <c r="AU30" s="100">
        <v>3340.7876227859415</v>
      </c>
      <c r="AV30" s="100">
        <v>20</v>
      </c>
      <c r="AW30" s="100">
        <v>2784</v>
      </c>
      <c r="AX30" s="100">
        <v>25.558446896028467</v>
      </c>
      <c r="AY30" s="100">
        <v>3557.7358079271626</v>
      </c>
      <c r="AZ30" s="100">
        <v>20</v>
      </c>
      <c r="BA30" s="100">
        <v>2784</v>
      </c>
      <c r="BB30" s="100">
        <v>30</v>
      </c>
      <c r="BC30" s="100">
        <v>4176</v>
      </c>
      <c r="BD30" s="100">
        <v>20</v>
      </c>
      <c r="BE30" s="100">
        <v>2784</v>
      </c>
      <c r="BF30" s="100">
        <v>16</v>
      </c>
      <c r="BG30" s="100">
        <v>2227.1999999999998</v>
      </c>
      <c r="BH30" s="100">
        <v>24</v>
      </c>
      <c r="BI30" s="100">
        <v>3340.7999999999997</v>
      </c>
      <c r="BJ30" s="100">
        <v>30.156596149500601</v>
      </c>
      <c r="BK30" s="100">
        <v>4197.7981840104831</v>
      </c>
      <c r="BL30" s="100">
        <v>18.175774895956565</v>
      </c>
      <c r="BM30" s="100">
        <v>2530.0678655171537</v>
      </c>
      <c r="BN30" s="100">
        <v>17.096419978136655</v>
      </c>
      <c r="BO30" s="100">
        <v>2379.8216609566221</v>
      </c>
      <c r="BP30" s="100">
        <v>22.833719990697016</v>
      </c>
      <c r="BQ30" s="100">
        <v>3178.4538227050243</v>
      </c>
      <c r="BR30" s="100">
        <v>23.211666789802976</v>
      </c>
      <c r="BS30" s="100">
        <v>3231.0640171405739</v>
      </c>
      <c r="BT30" s="100">
        <v>17</v>
      </c>
      <c r="BU30" s="100">
        <v>2366.3999999999996</v>
      </c>
      <c r="BV30" s="100">
        <v>18</v>
      </c>
      <c r="BW30" s="100">
        <v>2505.6</v>
      </c>
      <c r="BX30" s="100">
        <v>33</v>
      </c>
      <c r="BY30" s="100">
        <v>4593.5999999999995</v>
      </c>
      <c r="BZ30" s="100">
        <v>20</v>
      </c>
      <c r="CA30" s="100">
        <v>2784</v>
      </c>
      <c r="CB30" s="100">
        <v>26</v>
      </c>
      <c r="CC30" s="100">
        <v>3619.2</v>
      </c>
      <c r="CD30" s="100">
        <v>28.056877053177772</v>
      </c>
      <c r="CE30" s="100">
        <v>3905.5172858023457</v>
      </c>
      <c r="CF30" s="100">
        <v>25</v>
      </c>
      <c r="CG30" s="100">
        <v>3479.9999999999995</v>
      </c>
      <c r="CH30" s="100">
        <v>21.517045811152709</v>
      </c>
      <c r="CI30" s="100">
        <v>2995.1727769124568</v>
      </c>
      <c r="CJ30" s="100">
        <v>20</v>
      </c>
      <c r="CK30" s="100">
        <v>2784</v>
      </c>
      <c r="CL30" s="100">
        <v>19</v>
      </c>
      <c r="CM30" s="100">
        <v>2644.7999999999997</v>
      </c>
      <c r="CN30" s="100">
        <v>20</v>
      </c>
      <c r="CO30" s="100">
        <v>2784</v>
      </c>
      <c r="CP30" s="100">
        <v>28</v>
      </c>
      <c r="CQ30" s="100">
        <v>3897.5999999999995</v>
      </c>
      <c r="CR30" s="100">
        <v>20</v>
      </c>
      <c r="CS30" s="100">
        <v>2784</v>
      </c>
      <c r="CT30" s="100">
        <v>18</v>
      </c>
      <c r="CU30" s="100">
        <v>2505.6</v>
      </c>
    </row>
    <row r="31" spans="2:99">
      <c r="C31" s="99" t="s">
        <v>197</v>
      </c>
      <c r="D31" s="100">
        <v>24.915622753165348</v>
      </c>
      <c r="E31" s="100">
        <v>8491.2442342787508</v>
      </c>
      <c r="F31" s="100">
        <v>23</v>
      </c>
      <c r="G31" s="100">
        <v>7838.4000000000005</v>
      </c>
      <c r="H31" s="100">
        <v>18</v>
      </c>
      <c r="I31" s="100">
        <v>6134.4000000000005</v>
      </c>
      <c r="J31" s="100">
        <v>21.83881993865673</v>
      </c>
      <c r="K31" s="100">
        <v>7442.6698350942142</v>
      </c>
      <c r="L31" s="100">
        <v>17</v>
      </c>
      <c r="M31" s="100">
        <v>5793.6</v>
      </c>
      <c r="N31" s="100">
        <v>26</v>
      </c>
      <c r="O31" s="100">
        <v>8860.8000000000011</v>
      </c>
      <c r="P31" s="100">
        <v>26</v>
      </c>
      <c r="Q31" s="100">
        <v>8860.8000000000011</v>
      </c>
      <c r="R31" s="100">
        <v>26</v>
      </c>
      <c r="S31" s="100">
        <v>8860.8000000000011</v>
      </c>
      <c r="T31" s="100">
        <v>30</v>
      </c>
      <c r="U31" s="100">
        <v>10224</v>
      </c>
      <c r="V31" s="100">
        <v>22</v>
      </c>
      <c r="W31" s="100">
        <v>7497.6</v>
      </c>
      <c r="X31" s="100">
        <v>20</v>
      </c>
      <c r="Y31" s="100">
        <v>6816</v>
      </c>
      <c r="Z31" s="100">
        <v>22</v>
      </c>
      <c r="AA31" s="100">
        <v>7497.6</v>
      </c>
      <c r="AB31" s="100">
        <v>7.4673484812856232</v>
      </c>
      <c r="AC31" s="100">
        <v>2544.8723624221407</v>
      </c>
      <c r="AD31" s="100">
        <v>5.5971802178468588E-4</v>
      </c>
      <c r="AE31" s="100">
        <v>0.19075190182422094</v>
      </c>
      <c r="AF31" s="100">
        <v>6.5081966701661953E-4</v>
      </c>
      <c r="AG31" s="100">
        <v>0.22179934251926395</v>
      </c>
      <c r="AH31" s="100">
        <v>8.140011652492576E-4</v>
      </c>
      <c r="AI31" s="100">
        <v>0.27741159711694702</v>
      </c>
      <c r="AJ31" s="100">
        <v>23</v>
      </c>
      <c r="AK31" s="100">
        <v>7838.4000000000005</v>
      </c>
      <c r="AL31" s="100">
        <v>24.645417388507685</v>
      </c>
      <c r="AM31" s="100">
        <v>8399.1582460034188</v>
      </c>
      <c r="AN31" s="100">
        <v>22.338144537320659</v>
      </c>
      <c r="AO31" s="100">
        <v>7612.8396583188805</v>
      </c>
      <c r="AP31" s="100">
        <v>25.328817160348855</v>
      </c>
      <c r="AQ31" s="100">
        <v>8632.0608882468896</v>
      </c>
      <c r="AR31" s="100">
        <v>21.865141615640376</v>
      </c>
      <c r="AS31" s="100">
        <v>7451.6402626102399</v>
      </c>
      <c r="AT31" s="100">
        <v>23.111025487557072</v>
      </c>
      <c r="AU31" s="100">
        <v>7876.2374861594499</v>
      </c>
      <c r="AV31" s="100">
        <v>22</v>
      </c>
      <c r="AW31" s="100">
        <v>7497.6</v>
      </c>
      <c r="AX31" s="100">
        <v>24.645645221170305</v>
      </c>
      <c r="AY31" s="100">
        <v>8399.2358913748394</v>
      </c>
      <c r="AZ31" s="100">
        <v>21</v>
      </c>
      <c r="BA31" s="100">
        <v>7156.8</v>
      </c>
      <c r="BB31" s="100">
        <v>26</v>
      </c>
      <c r="BC31" s="100">
        <v>8860.8000000000011</v>
      </c>
      <c r="BD31" s="100">
        <v>18</v>
      </c>
      <c r="BE31" s="100">
        <v>6134.4000000000005</v>
      </c>
      <c r="BF31" s="100">
        <v>18</v>
      </c>
      <c r="BG31" s="100">
        <v>6134.4000000000005</v>
      </c>
      <c r="BH31" s="100">
        <v>28</v>
      </c>
      <c r="BI31" s="100">
        <v>9542.4</v>
      </c>
      <c r="BJ31" s="100">
        <v>28.382678728941741</v>
      </c>
      <c r="BK31" s="100">
        <v>9672.8169108233451</v>
      </c>
      <c r="BL31" s="100">
        <v>17.310261805672923</v>
      </c>
      <c r="BM31" s="100">
        <v>5899.3372233733326</v>
      </c>
      <c r="BN31" s="100">
        <v>18.046221088033136</v>
      </c>
      <c r="BO31" s="100">
        <v>6150.1521468016927</v>
      </c>
      <c r="BP31" s="100">
        <v>24.81926085945328</v>
      </c>
      <c r="BQ31" s="100">
        <v>8458.4041009016782</v>
      </c>
      <c r="BR31" s="100">
        <v>20.810459880513015</v>
      </c>
      <c r="BS31" s="100">
        <v>7092.2047272788359</v>
      </c>
      <c r="BT31" s="100">
        <v>18</v>
      </c>
      <c r="BU31" s="100">
        <v>6134.4000000000005</v>
      </c>
      <c r="BV31" s="100">
        <v>17</v>
      </c>
      <c r="BW31" s="100">
        <v>5793.6</v>
      </c>
      <c r="BX31" s="100">
        <v>32</v>
      </c>
      <c r="BY31" s="100">
        <v>10905.6</v>
      </c>
      <c r="BZ31" s="100">
        <v>21</v>
      </c>
      <c r="CA31" s="100">
        <v>7156.8</v>
      </c>
      <c r="CB31" s="100">
        <v>25</v>
      </c>
      <c r="CC31" s="100">
        <v>8520</v>
      </c>
      <c r="CD31" s="100">
        <v>24.756067988098035</v>
      </c>
      <c r="CE31" s="100">
        <v>8436.8679703438102</v>
      </c>
      <c r="CF31" s="100">
        <v>24</v>
      </c>
      <c r="CG31" s="100">
        <v>8179.2000000000007</v>
      </c>
      <c r="CH31" s="100">
        <v>22.452569542072389</v>
      </c>
      <c r="CI31" s="100">
        <v>7651.8356999382704</v>
      </c>
      <c r="CJ31" s="100">
        <v>20</v>
      </c>
      <c r="CK31" s="100">
        <v>6816</v>
      </c>
      <c r="CL31" s="100">
        <v>18</v>
      </c>
      <c r="CM31" s="100">
        <v>6134.4000000000005</v>
      </c>
      <c r="CN31" s="100">
        <v>16</v>
      </c>
      <c r="CO31" s="100">
        <v>5452.8</v>
      </c>
      <c r="CP31" s="100">
        <v>27</v>
      </c>
      <c r="CQ31" s="100">
        <v>9201.6</v>
      </c>
      <c r="CR31" s="100">
        <v>20</v>
      </c>
      <c r="CS31" s="100">
        <v>6816</v>
      </c>
      <c r="CT31" s="100">
        <v>17</v>
      </c>
      <c r="CU31" s="100">
        <v>5793.6</v>
      </c>
    </row>
    <row r="32" spans="2:99">
      <c r="C32" s="99" t="s">
        <v>198</v>
      </c>
      <c r="D32" s="100">
        <v>24.915622753165348</v>
      </c>
      <c r="E32" s="100">
        <v>20929.123112658894</v>
      </c>
      <c r="F32" s="100">
        <v>20</v>
      </c>
      <c r="G32" s="100">
        <v>16800</v>
      </c>
      <c r="H32" s="100">
        <v>19</v>
      </c>
      <c r="I32" s="100">
        <v>15960</v>
      </c>
      <c r="J32" s="100">
        <v>22.748770769434095</v>
      </c>
      <c r="K32" s="100">
        <v>19108.967446324641</v>
      </c>
      <c r="L32" s="100">
        <v>16</v>
      </c>
      <c r="M32" s="100">
        <v>13440</v>
      </c>
      <c r="N32" s="100">
        <v>24</v>
      </c>
      <c r="O32" s="100">
        <v>20160</v>
      </c>
      <c r="P32" s="100">
        <v>25</v>
      </c>
      <c r="Q32" s="100">
        <v>21000</v>
      </c>
      <c r="R32" s="100">
        <v>26</v>
      </c>
      <c r="S32" s="100">
        <v>21840</v>
      </c>
      <c r="T32" s="100">
        <v>27</v>
      </c>
      <c r="U32" s="100">
        <v>22680</v>
      </c>
      <c r="V32" s="100">
        <v>20</v>
      </c>
      <c r="W32" s="100">
        <v>16800</v>
      </c>
      <c r="X32" s="100">
        <v>21</v>
      </c>
      <c r="Y32" s="100">
        <v>17640</v>
      </c>
      <c r="Z32" s="100">
        <v>21</v>
      </c>
      <c r="AA32" s="100">
        <v>17640</v>
      </c>
      <c r="AB32" s="100">
        <v>6.5339299211249209</v>
      </c>
      <c r="AC32" s="100">
        <v>5488.5011337449332</v>
      </c>
      <c r="AD32" s="100">
        <v>5.2862257612998115E-4</v>
      </c>
      <c r="AE32" s="100">
        <v>0.44404296394918419</v>
      </c>
      <c r="AF32" s="100">
        <v>6.2671523490489297E-4</v>
      </c>
      <c r="AG32" s="100">
        <v>0.52644079732011007</v>
      </c>
      <c r="AH32" s="100">
        <v>7.8686779307428237E-4</v>
      </c>
      <c r="AI32" s="100">
        <v>0.66096894618239721</v>
      </c>
      <c r="AJ32" s="100">
        <v>24</v>
      </c>
      <c r="AK32" s="100">
        <v>20160</v>
      </c>
      <c r="AL32" s="100">
        <v>26.541218726085201</v>
      </c>
      <c r="AM32" s="100">
        <v>22294.623729911571</v>
      </c>
      <c r="AN32" s="100">
        <v>20.619825726757529</v>
      </c>
      <c r="AO32" s="100">
        <v>17320.653610476325</v>
      </c>
      <c r="AP32" s="100">
        <v>21.835187207197286</v>
      </c>
      <c r="AQ32" s="100">
        <v>18341.557254045721</v>
      </c>
      <c r="AR32" s="100">
        <v>22.815799946755174</v>
      </c>
      <c r="AS32" s="100">
        <v>19165.271955274347</v>
      </c>
      <c r="AT32" s="100">
        <v>24.88879667890761</v>
      </c>
      <c r="AU32" s="100">
        <v>20906.589210282393</v>
      </c>
      <c r="AV32" s="100">
        <v>19</v>
      </c>
      <c r="AW32" s="100">
        <v>15960</v>
      </c>
      <c r="AX32" s="100">
        <v>24.645645221170305</v>
      </c>
      <c r="AY32" s="100">
        <v>20702.341985783056</v>
      </c>
      <c r="AZ32" s="100">
        <v>19</v>
      </c>
      <c r="BA32" s="100">
        <v>15960</v>
      </c>
      <c r="BB32" s="100">
        <v>24</v>
      </c>
      <c r="BC32" s="100">
        <v>20160</v>
      </c>
      <c r="BD32" s="100">
        <v>19</v>
      </c>
      <c r="BE32" s="100">
        <v>15960</v>
      </c>
      <c r="BF32" s="100">
        <v>15</v>
      </c>
      <c r="BG32" s="100">
        <v>12600</v>
      </c>
      <c r="BH32" s="100">
        <v>22</v>
      </c>
      <c r="BI32" s="100">
        <v>18480</v>
      </c>
      <c r="BJ32" s="100">
        <v>25.721802598103448</v>
      </c>
      <c r="BK32" s="100">
        <v>21606.314182406895</v>
      </c>
      <c r="BL32" s="100">
        <v>19.906801076523859</v>
      </c>
      <c r="BM32" s="100">
        <v>16721.712904280041</v>
      </c>
      <c r="BN32" s="100">
        <v>16.146618868240175</v>
      </c>
      <c r="BO32" s="100">
        <v>13563.159849321746</v>
      </c>
      <c r="BP32" s="100">
        <v>22.833719990697016</v>
      </c>
      <c r="BQ32" s="100">
        <v>19180.324792185493</v>
      </c>
      <c r="BR32" s="100">
        <v>20.010057577416358</v>
      </c>
      <c r="BS32" s="100">
        <v>16808.448365029741</v>
      </c>
      <c r="BT32" s="100">
        <v>17</v>
      </c>
      <c r="BU32" s="100">
        <v>14280</v>
      </c>
      <c r="BV32" s="100">
        <v>16</v>
      </c>
      <c r="BW32" s="100">
        <v>13440</v>
      </c>
      <c r="BX32" s="100">
        <v>31</v>
      </c>
      <c r="BY32" s="100">
        <v>26040</v>
      </c>
      <c r="BZ32" s="100">
        <v>21</v>
      </c>
      <c r="CA32" s="100">
        <v>17640</v>
      </c>
      <c r="CB32" s="100">
        <v>22</v>
      </c>
      <c r="CC32" s="100">
        <v>18480</v>
      </c>
      <c r="CD32" s="100">
        <v>23.105663455558165</v>
      </c>
      <c r="CE32" s="100">
        <v>19408.757302668859</v>
      </c>
      <c r="CF32" s="100">
        <v>23</v>
      </c>
      <c r="CG32" s="100">
        <v>19320</v>
      </c>
      <c r="CH32" s="100">
        <v>19.645998349313338</v>
      </c>
      <c r="CI32" s="100">
        <v>16502.638613423205</v>
      </c>
      <c r="CJ32" s="100">
        <v>17</v>
      </c>
      <c r="CK32" s="100">
        <v>14280</v>
      </c>
      <c r="CL32" s="100">
        <v>19</v>
      </c>
      <c r="CM32" s="100">
        <v>15960</v>
      </c>
      <c r="CN32" s="100">
        <v>17</v>
      </c>
      <c r="CO32" s="100">
        <v>14280</v>
      </c>
      <c r="CP32" s="100">
        <v>26</v>
      </c>
      <c r="CQ32" s="100">
        <v>21840</v>
      </c>
      <c r="CR32" s="100">
        <v>19</v>
      </c>
      <c r="CS32" s="100">
        <v>15960</v>
      </c>
      <c r="CT32" s="100">
        <v>17</v>
      </c>
      <c r="CU32" s="100">
        <v>14280</v>
      </c>
    </row>
    <row r="33" spans="2:99">
      <c r="C33" s="99" t="s">
        <v>199</v>
      </c>
      <c r="D33" s="100">
        <v>24.915622753165348</v>
      </c>
      <c r="E33" s="100">
        <v>11810.005185000375</v>
      </c>
      <c r="F33" s="100">
        <v>23</v>
      </c>
      <c r="G33" s="100">
        <v>10902</v>
      </c>
      <c r="H33" s="100">
        <v>21</v>
      </c>
      <c r="I33" s="100">
        <v>9954</v>
      </c>
      <c r="J33" s="100">
        <v>20.928869107879365</v>
      </c>
      <c r="K33" s="100">
        <v>9920.2839571348195</v>
      </c>
      <c r="L33" s="100">
        <v>18</v>
      </c>
      <c r="M33" s="100">
        <v>8532</v>
      </c>
      <c r="N33" s="100">
        <v>30</v>
      </c>
      <c r="O33" s="100">
        <v>14220</v>
      </c>
      <c r="P33" s="100">
        <v>27</v>
      </c>
      <c r="Q33" s="100">
        <v>12798</v>
      </c>
      <c r="R33" s="100">
        <v>30</v>
      </c>
      <c r="S33" s="100">
        <v>14220</v>
      </c>
      <c r="T33" s="100">
        <v>24</v>
      </c>
      <c r="U33" s="100">
        <v>11376</v>
      </c>
      <c r="V33" s="100">
        <v>21</v>
      </c>
      <c r="W33" s="100">
        <v>9954</v>
      </c>
      <c r="X33" s="100">
        <v>22</v>
      </c>
      <c r="Y33" s="100">
        <v>10428</v>
      </c>
      <c r="Z33" s="100">
        <v>24</v>
      </c>
      <c r="AA33" s="100">
        <v>11376</v>
      </c>
      <c r="AB33" s="100">
        <v>6.5339299211249209</v>
      </c>
      <c r="AC33" s="100">
        <v>3097.0827826132127</v>
      </c>
      <c r="AD33" s="100">
        <v>5.2862257612998115E-4</v>
      </c>
      <c r="AE33" s="100">
        <v>0.25056710108561109</v>
      </c>
      <c r="AF33" s="100">
        <v>6.2671523490489297E-4</v>
      </c>
      <c r="AG33" s="100">
        <v>0.29706302134491924</v>
      </c>
      <c r="AH33" s="100">
        <v>8.140011652492576E-4</v>
      </c>
      <c r="AI33" s="100">
        <v>0.38583655232814812</v>
      </c>
      <c r="AJ33" s="100">
        <v>25</v>
      </c>
      <c r="AK33" s="100">
        <v>11850</v>
      </c>
      <c r="AL33" s="100">
        <v>23.697516719718926</v>
      </c>
      <c r="AM33" s="100">
        <v>11232.62292514677</v>
      </c>
      <c r="AN33" s="100">
        <v>23.197303942602222</v>
      </c>
      <c r="AO33" s="100">
        <v>10995.522068793452</v>
      </c>
      <c r="AP33" s="100">
        <v>26.202224648636747</v>
      </c>
      <c r="AQ33" s="100">
        <v>12419.854483453819</v>
      </c>
      <c r="AR33" s="100">
        <v>20.914483284525577</v>
      </c>
      <c r="AS33" s="100">
        <v>9913.4650768651227</v>
      </c>
      <c r="AT33" s="100">
        <v>24.88879667890761</v>
      </c>
      <c r="AU33" s="100">
        <v>11797.289625802207</v>
      </c>
      <c r="AV33" s="100">
        <v>18</v>
      </c>
      <c r="AW33" s="100">
        <v>8532</v>
      </c>
      <c r="AX33" s="100">
        <v>26.47124857088663</v>
      </c>
      <c r="AY33" s="100">
        <v>12547.371822600262</v>
      </c>
      <c r="AZ33" s="100">
        <v>22</v>
      </c>
      <c r="BA33" s="100">
        <v>10428</v>
      </c>
      <c r="BB33" s="100">
        <v>30</v>
      </c>
      <c r="BC33" s="100">
        <v>14220</v>
      </c>
      <c r="BD33" s="100">
        <v>17</v>
      </c>
      <c r="BE33" s="100">
        <v>8058</v>
      </c>
      <c r="BF33" s="100">
        <v>15</v>
      </c>
      <c r="BG33" s="100">
        <v>7110</v>
      </c>
      <c r="BH33" s="100">
        <v>26</v>
      </c>
      <c r="BI33" s="100">
        <v>12324</v>
      </c>
      <c r="BJ33" s="100">
        <v>27.495720018662308</v>
      </c>
      <c r="BK33" s="100">
        <v>13032.971288845934</v>
      </c>
      <c r="BL33" s="100">
        <v>19.906801076523859</v>
      </c>
      <c r="BM33" s="100">
        <v>9435.8237102723087</v>
      </c>
      <c r="BN33" s="100">
        <v>16.146618868240175</v>
      </c>
      <c r="BO33" s="100">
        <v>7653.4973435458433</v>
      </c>
      <c r="BP33" s="100">
        <v>23.82649042507515</v>
      </c>
      <c r="BQ33" s="100">
        <v>11293.756461485622</v>
      </c>
      <c r="BR33" s="100">
        <v>23.211666789802976</v>
      </c>
      <c r="BS33" s="100">
        <v>11002.330058366611</v>
      </c>
      <c r="BT33" s="100">
        <v>17</v>
      </c>
      <c r="BU33" s="100">
        <v>8058</v>
      </c>
      <c r="BV33" s="100">
        <v>16</v>
      </c>
      <c r="BW33" s="100">
        <v>7584</v>
      </c>
      <c r="BX33" s="100">
        <v>31</v>
      </c>
      <c r="BY33" s="100">
        <v>14694</v>
      </c>
      <c r="BZ33" s="100">
        <v>23</v>
      </c>
      <c r="CA33" s="100">
        <v>10902</v>
      </c>
      <c r="CB33" s="100">
        <v>26</v>
      </c>
      <c r="CC33" s="100">
        <v>12324</v>
      </c>
      <c r="CD33" s="100">
        <v>25.581270254367968</v>
      </c>
      <c r="CE33" s="100">
        <v>12125.522100570417</v>
      </c>
      <c r="CF33" s="100">
        <v>24</v>
      </c>
      <c r="CG33" s="100">
        <v>11376</v>
      </c>
      <c r="CH33" s="100">
        <v>18.710474618393658</v>
      </c>
      <c r="CI33" s="100">
        <v>8868.7649691185943</v>
      </c>
      <c r="CJ33" s="100">
        <v>18</v>
      </c>
      <c r="CK33" s="100">
        <v>8532</v>
      </c>
      <c r="CL33" s="100">
        <v>18</v>
      </c>
      <c r="CM33" s="100">
        <v>8532</v>
      </c>
      <c r="CN33" s="100">
        <v>18</v>
      </c>
      <c r="CO33" s="100">
        <v>8532</v>
      </c>
      <c r="CP33" s="100">
        <v>30</v>
      </c>
      <c r="CQ33" s="100">
        <v>14220</v>
      </c>
      <c r="CR33" s="100">
        <v>22</v>
      </c>
      <c r="CS33" s="100">
        <v>10428</v>
      </c>
      <c r="CT33" s="100">
        <v>19</v>
      </c>
      <c r="CU33" s="100">
        <v>9006</v>
      </c>
    </row>
    <row r="34" spans="2:99">
      <c r="C34" s="99" t="s">
        <v>200</v>
      </c>
      <c r="D34" s="100">
        <v>24.915622753165348</v>
      </c>
      <c r="E34" s="100">
        <v>13663.727517835876</v>
      </c>
      <c r="F34" s="100">
        <v>21</v>
      </c>
      <c r="G34" s="100">
        <v>11516.4</v>
      </c>
      <c r="H34" s="100">
        <v>19</v>
      </c>
      <c r="I34" s="100">
        <v>10419.6</v>
      </c>
      <c r="J34" s="100">
        <v>20.018918277102006</v>
      </c>
      <c r="K34" s="100">
        <v>10978.374783162741</v>
      </c>
      <c r="L34" s="100">
        <v>17</v>
      </c>
      <c r="M34" s="100">
        <v>9322.7999999999993</v>
      </c>
      <c r="N34" s="100">
        <v>29</v>
      </c>
      <c r="O34" s="100">
        <v>15903.599999999999</v>
      </c>
      <c r="P34" s="100">
        <v>27</v>
      </c>
      <c r="Q34" s="100">
        <v>14806.8</v>
      </c>
      <c r="R34" s="100">
        <v>27</v>
      </c>
      <c r="S34" s="100">
        <v>14806.8</v>
      </c>
      <c r="T34" s="100">
        <v>29</v>
      </c>
      <c r="U34" s="100">
        <v>15903.599999999999</v>
      </c>
      <c r="V34" s="100">
        <v>20</v>
      </c>
      <c r="W34" s="100">
        <v>10968</v>
      </c>
      <c r="X34" s="100">
        <v>23</v>
      </c>
      <c r="Y34" s="100">
        <v>12613.199999999999</v>
      </c>
      <c r="Z34" s="100">
        <v>22</v>
      </c>
      <c r="AA34" s="100">
        <v>12064.8</v>
      </c>
      <c r="AB34" s="100">
        <v>8.0896275213927584</v>
      </c>
      <c r="AC34" s="100">
        <v>4436.3517327317886</v>
      </c>
      <c r="AD34" s="100">
        <v>4.975271304752763E-4</v>
      </c>
      <c r="AE34" s="100">
        <v>0.27284387835264151</v>
      </c>
      <c r="AF34" s="100">
        <v>6.0261080279316631E-4</v>
      </c>
      <c r="AG34" s="100">
        <v>0.33047176425177238</v>
      </c>
      <c r="AH34" s="100">
        <v>7.8686779307428237E-4</v>
      </c>
      <c r="AI34" s="100">
        <v>0.43151829772193645</v>
      </c>
      <c r="AJ34" s="100">
        <v>22</v>
      </c>
      <c r="AK34" s="100">
        <v>12064.8</v>
      </c>
      <c r="AL34" s="100">
        <v>23.697516719718926</v>
      </c>
      <c r="AM34" s="100">
        <v>12995.71816909386</v>
      </c>
      <c r="AN34" s="100">
        <v>24.056463347883788</v>
      </c>
      <c r="AO34" s="100">
        <v>13192.564499979469</v>
      </c>
      <c r="AP34" s="100">
        <v>25.328817160348855</v>
      </c>
      <c r="AQ34" s="100">
        <v>13890.323330735311</v>
      </c>
      <c r="AR34" s="100">
        <v>21.865141615640376</v>
      </c>
      <c r="AS34" s="100">
        <v>11990.843662017181</v>
      </c>
      <c r="AT34" s="100">
        <v>24.88879667890761</v>
      </c>
      <c r="AU34" s="100">
        <v>13649.016098712933</v>
      </c>
      <c r="AV34" s="100">
        <v>21</v>
      </c>
      <c r="AW34" s="100">
        <v>11516.4</v>
      </c>
      <c r="AX34" s="100">
        <v>24.645645221170305</v>
      </c>
      <c r="AY34" s="100">
        <v>13515.671839289795</v>
      </c>
      <c r="AZ34" s="100">
        <v>21</v>
      </c>
      <c r="BA34" s="100">
        <v>11516.4</v>
      </c>
      <c r="BB34" s="100">
        <v>25</v>
      </c>
      <c r="BC34" s="100">
        <v>13710</v>
      </c>
      <c r="BD34" s="100">
        <v>16</v>
      </c>
      <c r="BE34" s="100">
        <v>8774.4</v>
      </c>
      <c r="BF34" s="100">
        <v>16</v>
      </c>
      <c r="BG34" s="100">
        <v>8774.4</v>
      </c>
      <c r="BH34" s="100">
        <v>25</v>
      </c>
      <c r="BI34" s="100">
        <v>13710</v>
      </c>
      <c r="BJ34" s="100">
        <v>24.834843887824022</v>
      </c>
      <c r="BK34" s="100">
        <v>13619.428388082693</v>
      </c>
      <c r="BL34" s="100">
        <v>18.175774895956565</v>
      </c>
      <c r="BM34" s="100">
        <v>9967.5949529425798</v>
      </c>
      <c r="BN34" s="100">
        <v>18.996022197929616</v>
      </c>
      <c r="BO34" s="100">
        <v>10417.418573344601</v>
      </c>
      <c r="BP34" s="100">
        <v>22.833719990697016</v>
      </c>
      <c r="BQ34" s="100">
        <v>12522.012042898243</v>
      </c>
      <c r="BR34" s="100">
        <v>19.209655274319704</v>
      </c>
      <c r="BS34" s="100">
        <v>10534.574952436926</v>
      </c>
      <c r="BT34" s="100">
        <v>16</v>
      </c>
      <c r="BU34" s="100">
        <v>8774.4</v>
      </c>
      <c r="BV34" s="100">
        <v>15</v>
      </c>
      <c r="BW34" s="100">
        <v>8226</v>
      </c>
      <c r="BX34" s="100">
        <v>29</v>
      </c>
      <c r="BY34" s="100">
        <v>15903.599999999999</v>
      </c>
      <c r="BZ34" s="100">
        <v>20</v>
      </c>
      <c r="CA34" s="100">
        <v>10968</v>
      </c>
      <c r="CB34" s="100">
        <v>26</v>
      </c>
      <c r="CC34" s="100">
        <v>14258.4</v>
      </c>
      <c r="CD34" s="100">
        <v>27.231674786907838</v>
      </c>
      <c r="CE34" s="100">
        <v>14933.850453140258</v>
      </c>
      <c r="CF34" s="100">
        <v>23</v>
      </c>
      <c r="CG34" s="100">
        <v>12613.199999999999</v>
      </c>
      <c r="CH34" s="100">
        <v>21.517045811152709</v>
      </c>
      <c r="CI34" s="100">
        <v>11799.947922836145</v>
      </c>
      <c r="CJ34" s="100">
        <v>20</v>
      </c>
      <c r="CK34" s="100">
        <v>10968</v>
      </c>
      <c r="CL34" s="100">
        <v>21</v>
      </c>
      <c r="CM34" s="100">
        <v>11516.4</v>
      </c>
      <c r="CN34" s="100">
        <v>18</v>
      </c>
      <c r="CO34" s="100">
        <v>9871.1999999999989</v>
      </c>
      <c r="CP34" s="100">
        <v>26</v>
      </c>
      <c r="CQ34" s="100">
        <v>14258.4</v>
      </c>
      <c r="CR34" s="100">
        <v>19</v>
      </c>
      <c r="CS34" s="100">
        <v>10419.6</v>
      </c>
      <c r="CT34" s="100">
        <v>20</v>
      </c>
      <c r="CU34" s="100">
        <v>10968</v>
      </c>
    </row>
    <row r="35" spans="2:99">
      <c r="C35" s="99" t="s">
        <v>201</v>
      </c>
      <c r="D35" s="100">
        <v>24.056463347883788</v>
      </c>
      <c r="E35" s="100">
        <v>12095.589771315967</v>
      </c>
      <c r="F35" s="100">
        <v>22</v>
      </c>
      <c r="G35" s="100">
        <v>11061.599999999999</v>
      </c>
      <c r="H35" s="100">
        <v>19</v>
      </c>
      <c r="I35" s="100">
        <v>9553.1999999999989</v>
      </c>
      <c r="J35" s="100">
        <v>20.928869107879365</v>
      </c>
      <c r="K35" s="100">
        <v>10523.035387441743</v>
      </c>
      <c r="L35" s="100">
        <v>18</v>
      </c>
      <c r="M35" s="100">
        <v>9050.3999999999978</v>
      </c>
      <c r="N35" s="100">
        <v>27</v>
      </c>
      <c r="O35" s="100">
        <v>13575.599999999997</v>
      </c>
      <c r="P35" s="100">
        <v>29</v>
      </c>
      <c r="Q35" s="100">
        <v>14581.199999999997</v>
      </c>
      <c r="R35" s="100">
        <v>27</v>
      </c>
      <c r="S35" s="100">
        <v>13575.599999999997</v>
      </c>
      <c r="T35" s="100">
        <v>24</v>
      </c>
      <c r="U35" s="100">
        <v>12067.199999999997</v>
      </c>
      <c r="V35" s="100">
        <v>20</v>
      </c>
      <c r="W35" s="100">
        <v>10055.999999999998</v>
      </c>
      <c r="X35" s="100">
        <v>23</v>
      </c>
      <c r="Y35" s="100">
        <v>11564.399999999998</v>
      </c>
      <c r="Z35" s="100">
        <v>21</v>
      </c>
      <c r="AA35" s="100">
        <v>10558.799999999997</v>
      </c>
      <c r="AB35" s="100">
        <v>7.1562089612320561</v>
      </c>
      <c r="AC35" s="100">
        <v>3598.1418657074769</v>
      </c>
      <c r="AD35" s="100">
        <v>5.2862257612998115E-4</v>
      </c>
      <c r="AE35" s="100">
        <v>0.26579143127815447</v>
      </c>
      <c r="AF35" s="100">
        <v>6.0261080279316631E-4</v>
      </c>
      <c r="AG35" s="100">
        <v>0.30299271164440394</v>
      </c>
      <c r="AH35" s="100">
        <v>7.5973442089930703E-4</v>
      </c>
      <c r="AI35" s="100">
        <v>0.38199446682817151</v>
      </c>
      <c r="AJ35" s="100">
        <v>21</v>
      </c>
      <c r="AK35" s="100">
        <v>10558.799999999997</v>
      </c>
      <c r="AL35" s="100">
        <v>24.645417388507685</v>
      </c>
      <c r="AM35" s="100">
        <v>12391.715862941661</v>
      </c>
      <c r="AN35" s="100">
        <v>25.774782158446914</v>
      </c>
      <c r="AO35" s="100">
        <v>12959.560469267106</v>
      </c>
      <c r="AP35" s="100">
        <v>24.455409672060963</v>
      </c>
      <c r="AQ35" s="100">
        <v>12296.17998311225</v>
      </c>
      <c r="AR35" s="100">
        <v>23.766458277869976</v>
      </c>
      <c r="AS35" s="100">
        <v>11949.775222113021</v>
      </c>
      <c r="AT35" s="100">
        <v>22.222139891881795</v>
      </c>
      <c r="AU35" s="100">
        <v>11173.291937638165</v>
      </c>
      <c r="AV35" s="100">
        <v>19</v>
      </c>
      <c r="AW35" s="100">
        <v>9553.1999999999989</v>
      </c>
      <c r="AX35" s="100">
        <v>25.558446896028467</v>
      </c>
      <c r="AY35" s="100">
        <v>12850.78709932311</v>
      </c>
      <c r="AZ35" s="100">
        <v>20</v>
      </c>
      <c r="BA35" s="100">
        <v>10055.999999999998</v>
      </c>
      <c r="BB35" s="100">
        <v>27</v>
      </c>
      <c r="BC35" s="100">
        <v>13575.599999999997</v>
      </c>
      <c r="BD35" s="100">
        <v>20</v>
      </c>
      <c r="BE35" s="100">
        <v>10055.999999999998</v>
      </c>
      <c r="BF35" s="100">
        <v>17</v>
      </c>
      <c r="BG35" s="100">
        <v>8547.5999999999985</v>
      </c>
      <c r="BH35" s="100">
        <v>26</v>
      </c>
      <c r="BI35" s="100">
        <v>13072.799999999997</v>
      </c>
      <c r="BJ35" s="100">
        <v>24.834843887824022</v>
      </c>
      <c r="BK35" s="100">
        <v>12486.959506797915</v>
      </c>
      <c r="BL35" s="100">
        <v>19.906801076523859</v>
      </c>
      <c r="BM35" s="100">
        <v>10009.139581276195</v>
      </c>
      <c r="BN35" s="100">
        <v>16.146618868240175</v>
      </c>
      <c r="BO35" s="100">
        <v>8118.5199669511585</v>
      </c>
      <c r="BP35" s="100">
        <v>20.848179121940756</v>
      </c>
      <c r="BQ35" s="100">
        <v>10482.464462511811</v>
      </c>
      <c r="BR35" s="100">
        <v>19.209655274319704</v>
      </c>
      <c r="BS35" s="100">
        <v>9658.6146719279459</v>
      </c>
      <c r="BT35" s="100">
        <v>17</v>
      </c>
      <c r="BU35" s="100">
        <v>8547.5999999999985</v>
      </c>
      <c r="BV35" s="100">
        <v>15</v>
      </c>
      <c r="BW35" s="100">
        <v>7541.9999999999982</v>
      </c>
      <c r="BX35" s="100">
        <v>30</v>
      </c>
      <c r="BY35" s="100">
        <v>15083.999999999996</v>
      </c>
      <c r="BZ35" s="100">
        <v>22</v>
      </c>
      <c r="CA35" s="100">
        <v>11061.599999999999</v>
      </c>
      <c r="CB35" s="100">
        <v>23</v>
      </c>
      <c r="CC35" s="100">
        <v>11564.399999999998</v>
      </c>
      <c r="CD35" s="100">
        <v>28.056877053177772</v>
      </c>
      <c r="CE35" s="100">
        <v>14106.997782337781</v>
      </c>
      <c r="CF35" s="100">
        <v>23</v>
      </c>
      <c r="CG35" s="100">
        <v>11564.399999999998</v>
      </c>
      <c r="CH35" s="100">
        <v>21.517045811152709</v>
      </c>
      <c r="CI35" s="100">
        <v>10818.77063384758</v>
      </c>
      <c r="CJ35" s="100">
        <v>20</v>
      </c>
      <c r="CK35" s="100">
        <v>10055.999999999998</v>
      </c>
      <c r="CL35" s="100">
        <v>21</v>
      </c>
      <c r="CM35" s="100">
        <v>10558.799999999997</v>
      </c>
      <c r="CN35" s="100">
        <v>18</v>
      </c>
      <c r="CO35" s="100">
        <v>9050.3999999999978</v>
      </c>
      <c r="CP35" s="100">
        <v>26</v>
      </c>
      <c r="CQ35" s="100">
        <v>13072.799999999997</v>
      </c>
      <c r="CR35" s="100">
        <v>20</v>
      </c>
      <c r="CS35" s="100">
        <v>10055.999999999998</v>
      </c>
      <c r="CT35" s="100">
        <v>20</v>
      </c>
      <c r="CU35" s="100">
        <v>10055.999999999998</v>
      </c>
    </row>
    <row r="36" spans="2:99">
      <c r="C36" s="99" t="s">
        <v>202</v>
      </c>
      <c r="D36" s="100">
        <v>24.056463347883788</v>
      </c>
      <c r="E36" s="100">
        <v>18302.157315069984</v>
      </c>
      <c r="F36" s="100">
        <v>20</v>
      </c>
      <c r="G36" s="100">
        <v>15216</v>
      </c>
      <c r="H36" s="100">
        <v>19</v>
      </c>
      <c r="I36" s="100">
        <v>14455.199999999999</v>
      </c>
      <c r="J36" s="100">
        <v>20.018918277102006</v>
      </c>
      <c r="K36" s="100">
        <v>15230.393025219206</v>
      </c>
      <c r="L36" s="100">
        <v>17</v>
      </c>
      <c r="M36" s="100">
        <v>12933.599999999999</v>
      </c>
      <c r="N36" s="100">
        <v>26</v>
      </c>
      <c r="O36" s="100">
        <v>19780.8</v>
      </c>
      <c r="P36" s="100">
        <v>27</v>
      </c>
      <c r="Q36" s="100">
        <v>20541.599999999999</v>
      </c>
      <c r="R36" s="100">
        <v>29</v>
      </c>
      <c r="S36" s="100">
        <v>22063.199999999997</v>
      </c>
      <c r="T36" s="100">
        <v>25</v>
      </c>
      <c r="U36" s="100">
        <v>19020</v>
      </c>
      <c r="V36" s="100">
        <v>20</v>
      </c>
      <c r="W36" s="100">
        <v>15216</v>
      </c>
      <c r="X36" s="100">
        <v>20</v>
      </c>
      <c r="Y36" s="100">
        <v>15216</v>
      </c>
      <c r="Z36" s="100">
        <v>24</v>
      </c>
      <c r="AA36" s="100">
        <v>18259.199999999997</v>
      </c>
      <c r="AB36" s="100">
        <v>7.4673484812856232</v>
      </c>
      <c r="AC36" s="100">
        <v>5681.1587245621022</v>
      </c>
      <c r="AD36" s="100">
        <v>5.2862257612998115E-4</v>
      </c>
      <c r="AE36" s="100">
        <v>0.40217605591968963</v>
      </c>
      <c r="AF36" s="100">
        <v>6.5081966701661953E-4</v>
      </c>
      <c r="AG36" s="100">
        <v>0.49514360266624413</v>
      </c>
      <c r="AH36" s="100">
        <v>7.3260104872433179E-4</v>
      </c>
      <c r="AI36" s="100">
        <v>0.55736287786947158</v>
      </c>
      <c r="AJ36" s="100">
        <v>21</v>
      </c>
      <c r="AK36" s="100">
        <v>15976.8</v>
      </c>
      <c r="AL36" s="100">
        <v>24.645417388507685</v>
      </c>
      <c r="AM36" s="100">
        <v>18750.233549176646</v>
      </c>
      <c r="AN36" s="100">
        <v>22.338144537320659</v>
      </c>
      <c r="AO36" s="100">
        <v>16994.860363993557</v>
      </c>
      <c r="AP36" s="100">
        <v>24.455409672060963</v>
      </c>
      <c r="AQ36" s="100">
        <v>18605.67567850398</v>
      </c>
      <c r="AR36" s="100">
        <v>22.815799946755174</v>
      </c>
      <c r="AS36" s="100">
        <v>17358.260599491336</v>
      </c>
      <c r="AT36" s="100">
        <v>25.777682274582887</v>
      </c>
      <c r="AU36" s="100">
        <v>19611.660674502658</v>
      </c>
      <c r="AV36" s="100">
        <v>18</v>
      </c>
      <c r="AW36" s="100">
        <v>13694.4</v>
      </c>
      <c r="AX36" s="100">
        <v>23.73284354631215</v>
      </c>
      <c r="AY36" s="100">
        <v>18055.947370034282</v>
      </c>
      <c r="AZ36" s="100">
        <v>20</v>
      </c>
      <c r="BA36" s="100">
        <v>15216</v>
      </c>
      <c r="BB36" s="100">
        <v>24</v>
      </c>
      <c r="BC36" s="100">
        <v>18259.199999999997</v>
      </c>
      <c r="BD36" s="100">
        <v>16</v>
      </c>
      <c r="BE36" s="100">
        <v>12172.8</v>
      </c>
      <c r="BF36" s="100">
        <v>14</v>
      </c>
      <c r="BG36" s="100">
        <v>10651.199999999999</v>
      </c>
      <c r="BH36" s="100">
        <v>24</v>
      </c>
      <c r="BI36" s="100">
        <v>18259.199999999997</v>
      </c>
      <c r="BJ36" s="100">
        <v>26.608761308382878</v>
      </c>
      <c r="BK36" s="100">
        <v>20243.945603417691</v>
      </c>
      <c r="BL36" s="100">
        <v>19.041287986240214</v>
      </c>
      <c r="BM36" s="100">
        <v>14486.611899931553</v>
      </c>
      <c r="BN36" s="100">
        <v>16.146618868240175</v>
      </c>
      <c r="BO36" s="100">
        <v>12284.347634957125</v>
      </c>
      <c r="BP36" s="100">
        <v>21.84094955631889</v>
      </c>
      <c r="BQ36" s="100">
        <v>16616.594422447411</v>
      </c>
      <c r="BR36" s="100">
        <v>20.010057577416358</v>
      </c>
      <c r="BS36" s="100">
        <v>15223.651804898363</v>
      </c>
      <c r="BT36" s="100">
        <v>16</v>
      </c>
      <c r="BU36" s="100">
        <v>12172.8</v>
      </c>
      <c r="BV36" s="100">
        <v>16</v>
      </c>
      <c r="BW36" s="100">
        <v>12172.8</v>
      </c>
      <c r="BX36" s="100">
        <v>32</v>
      </c>
      <c r="BY36" s="100">
        <v>24345.599999999999</v>
      </c>
      <c r="BZ36" s="100">
        <v>19</v>
      </c>
      <c r="CA36" s="100">
        <v>14455.199999999999</v>
      </c>
      <c r="CB36" s="100">
        <v>25</v>
      </c>
      <c r="CC36" s="100">
        <v>19020</v>
      </c>
      <c r="CD36" s="100">
        <v>26.406472520637902</v>
      </c>
      <c r="CE36" s="100">
        <v>20090.044293701314</v>
      </c>
      <c r="CF36" s="100">
        <v>21</v>
      </c>
      <c r="CG36" s="100">
        <v>15976.8</v>
      </c>
      <c r="CH36" s="100">
        <v>19.645998349313338</v>
      </c>
      <c r="CI36" s="100">
        <v>14946.675544157586</v>
      </c>
      <c r="CJ36" s="100">
        <v>21</v>
      </c>
      <c r="CK36" s="100">
        <v>15976.8</v>
      </c>
      <c r="CL36" s="100">
        <v>20</v>
      </c>
      <c r="CM36" s="100">
        <v>15216</v>
      </c>
      <c r="CN36" s="100">
        <v>17</v>
      </c>
      <c r="CO36" s="100">
        <v>12933.599999999999</v>
      </c>
      <c r="CP36" s="100">
        <v>30</v>
      </c>
      <c r="CQ36" s="100">
        <v>22824</v>
      </c>
      <c r="CR36" s="100">
        <v>22</v>
      </c>
      <c r="CS36" s="100">
        <v>16737.599999999999</v>
      </c>
      <c r="CT36" s="100">
        <v>18</v>
      </c>
      <c r="CU36" s="100">
        <v>13694.4</v>
      </c>
    </row>
    <row r="37" spans="2:99">
      <c r="B37" s="99" t="s">
        <v>128</v>
      </c>
      <c r="C37" s="99" t="s">
        <v>203</v>
      </c>
      <c r="D37" s="100">
        <v>16.324028700349711</v>
      </c>
      <c r="E37" s="100">
        <v>14045.194293780891</v>
      </c>
      <c r="F37" s="100">
        <v>11</v>
      </c>
      <c r="G37" s="100">
        <v>9464.4</v>
      </c>
      <c r="H37" s="100">
        <v>11</v>
      </c>
      <c r="I37" s="100">
        <v>9464.4</v>
      </c>
      <c r="J37" s="100">
        <v>18.199016615547276</v>
      </c>
      <c r="K37" s="100">
        <v>15658.433896016875</v>
      </c>
      <c r="L37" s="100">
        <v>12</v>
      </c>
      <c r="M37" s="100">
        <v>10324.799999999999</v>
      </c>
      <c r="N37" s="100">
        <v>16</v>
      </c>
      <c r="O37" s="100">
        <v>13766.4</v>
      </c>
      <c r="P37" s="100">
        <v>16</v>
      </c>
      <c r="Q37" s="100">
        <v>13766.4</v>
      </c>
      <c r="R37" s="100">
        <v>16</v>
      </c>
      <c r="S37" s="100">
        <v>13766.4</v>
      </c>
      <c r="T37" s="100">
        <v>19</v>
      </c>
      <c r="U37" s="100">
        <v>16347.6</v>
      </c>
      <c r="V37" s="100">
        <v>20</v>
      </c>
      <c r="W37" s="100">
        <v>17208</v>
      </c>
      <c r="X37" s="100">
        <v>18</v>
      </c>
      <c r="Y37" s="100">
        <v>15487.199999999999</v>
      </c>
      <c r="Z37" s="100">
        <v>10</v>
      </c>
      <c r="AA37" s="100">
        <v>8604</v>
      </c>
      <c r="AB37" s="100">
        <v>5.2893718409106496</v>
      </c>
      <c r="AC37" s="100">
        <v>4550.9755319195228</v>
      </c>
      <c r="AD37" s="100">
        <v>4.975271304752763E-4</v>
      </c>
      <c r="AE37" s="100">
        <v>0.42807234306092773</v>
      </c>
      <c r="AF37" s="100">
        <v>4.5798421012280635E-4</v>
      </c>
      <c r="AG37" s="100">
        <v>0.39404961438966257</v>
      </c>
      <c r="AH37" s="100">
        <v>3.2560046609970305E-4</v>
      </c>
      <c r="AI37" s="100">
        <v>0.28014664103218451</v>
      </c>
      <c r="AJ37" s="100">
        <v>15</v>
      </c>
      <c r="AK37" s="100">
        <v>12906</v>
      </c>
      <c r="AL37" s="100">
        <v>14.218510031831357</v>
      </c>
      <c r="AM37" s="100">
        <v>12233.606031387699</v>
      </c>
      <c r="AN37" s="100">
        <v>16.324028700349711</v>
      </c>
      <c r="AO37" s="100">
        <v>14045.194293780891</v>
      </c>
      <c r="AP37" s="100">
        <v>11.354297347742589</v>
      </c>
      <c r="AQ37" s="100">
        <v>9769.2374379977227</v>
      </c>
      <c r="AR37" s="100">
        <v>18.062508291181182</v>
      </c>
      <c r="AS37" s="100">
        <v>15540.982133732288</v>
      </c>
      <c r="AT37" s="100">
        <v>10.666627148103263</v>
      </c>
      <c r="AU37" s="100">
        <v>9177.5659982280467</v>
      </c>
      <c r="AV37" s="100">
        <v>16</v>
      </c>
      <c r="AW37" s="100">
        <v>13766.4</v>
      </c>
      <c r="AX37" s="100">
        <v>17.343231822305032</v>
      </c>
      <c r="AY37" s="100">
        <v>14922.116659911249</v>
      </c>
      <c r="AZ37" s="100">
        <v>10</v>
      </c>
      <c r="BA37" s="100">
        <v>8604</v>
      </c>
      <c r="BB37" s="100">
        <v>14</v>
      </c>
      <c r="BC37" s="100">
        <v>12045.6</v>
      </c>
      <c r="BD37" s="100">
        <v>10</v>
      </c>
      <c r="BE37" s="100">
        <v>8604</v>
      </c>
      <c r="BF37" s="100">
        <v>12</v>
      </c>
      <c r="BG37" s="100">
        <v>10324.799999999999</v>
      </c>
      <c r="BH37" s="100">
        <v>17</v>
      </c>
      <c r="BI37" s="100">
        <v>14626.8</v>
      </c>
      <c r="BJ37" s="100">
        <v>11.530463233632581</v>
      </c>
      <c r="BK37" s="100">
        <v>9920.810566217473</v>
      </c>
      <c r="BL37" s="100">
        <v>14.713722534821983</v>
      </c>
      <c r="BM37" s="100">
        <v>12659.686868960835</v>
      </c>
      <c r="BN37" s="100">
        <v>11.39761331875777</v>
      </c>
      <c r="BO37" s="100">
        <v>9806.5064994591849</v>
      </c>
      <c r="BP37" s="100">
        <v>11.913245212537575</v>
      </c>
      <c r="BQ37" s="100">
        <v>10250.156180867329</v>
      </c>
      <c r="BR37" s="100">
        <v>13.606839152643126</v>
      </c>
      <c r="BS37" s="100">
        <v>11707.324406934145</v>
      </c>
      <c r="BT37" s="100">
        <v>13</v>
      </c>
      <c r="BU37" s="100">
        <v>11185.199999999999</v>
      </c>
      <c r="BV37" s="100">
        <v>13</v>
      </c>
      <c r="BW37" s="100">
        <v>11185.199999999999</v>
      </c>
      <c r="BX37" s="100">
        <v>12</v>
      </c>
      <c r="BY37" s="100">
        <v>10324.799999999999</v>
      </c>
      <c r="BZ37" s="100">
        <v>13</v>
      </c>
      <c r="CA37" s="100">
        <v>11185.199999999999</v>
      </c>
      <c r="CB37" s="100">
        <v>12</v>
      </c>
      <c r="CC37" s="100">
        <v>10324.799999999999</v>
      </c>
      <c r="CD37" s="100">
        <v>13.203236260318951</v>
      </c>
      <c r="CE37" s="100">
        <v>11360.064478378425</v>
      </c>
      <c r="CF37" s="100">
        <v>16</v>
      </c>
      <c r="CG37" s="100">
        <v>13766.4</v>
      </c>
      <c r="CH37" s="100">
        <v>17.774950887473974</v>
      </c>
      <c r="CI37" s="100">
        <v>15293.567743582607</v>
      </c>
      <c r="CJ37" s="100">
        <v>10</v>
      </c>
      <c r="CK37" s="100">
        <v>8604</v>
      </c>
      <c r="CL37" s="100">
        <v>17</v>
      </c>
      <c r="CM37" s="100">
        <v>14626.8</v>
      </c>
      <c r="CN37" s="100">
        <v>15</v>
      </c>
      <c r="CO37" s="100">
        <v>12906</v>
      </c>
      <c r="CP37" s="100">
        <v>18</v>
      </c>
      <c r="CQ37" s="100">
        <v>15487.199999999999</v>
      </c>
      <c r="CR37" s="100">
        <v>11</v>
      </c>
      <c r="CS37" s="100">
        <v>9464.4</v>
      </c>
      <c r="CT37" s="100">
        <v>15</v>
      </c>
      <c r="CU37" s="100">
        <v>12906</v>
      </c>
    </row>
    <row r="38" spans="2:99">
      <c r="C38" s="99" t="s">
        <v>204</v>
      </c>
      <c r="D38" s="100">
        <v>14.605709889786585</v>
      </c>
      <c r="E38" s="100">
        <v>18140.291683114938</v>
      </c>
      <c r="F38" s="100">
        <v>11</v>
      </c>
      <c r="G38" s="100">
        <v>13662</v>
      </c>
      <c r="H38" s="100">
        <v>11</v>
      </c>
      <c r="I38" s="100">
        <v>13662</v>
      </c>
      <c r="J38" s="100">
        <v>17.289065784769914</v>
      </c>
      <c r="K38" s="100">
        <v>21473.019704684233</v>
      </c>
      <c r="L38" s="100">
        <v>11</v>
      </c>
      <c r="M38" s="100">
        <v>13662</v>
      </c>
      <c r="N38" s="100">
        <v>15</v>
      </c>
      <c r="O38" s="100">
        <v>18630</v>
      </c>
      <c r="P38" s="100">
        <v>15</v>
      </c>
      <c r="Q38" s="100">
        <v>18630</v>
      </c>
      <c r="R38" s="100">
        <v>14</v>
      </c>
      <c r="S38" s="100">
        <v>17388</v>
      </c>
      <c r="T38" s="100">
        <v>18</v>
      </c>
      <c r="U38" s="100">
        <v>22356</v>
      </c>
      <c r="V38" s="100">
        <v>19</v>
      </c>
      <c r="W38" s="100">
        <v>23598</v>
      </c>
      <c r="X38" s="100">
        <v>17</v>
      </c>
      <c r="Y38" s="100">
        <v>21114</v>
      </c>
      <c r="Z38" s="100">
        <v>9</v>
      </c>
      <c r="AA38" s="100">
        <v>11178</v>
      </c>
      <c r="AB38" s="100">
        <v>5.6005113609642176</v>
      </c>
      <c r="AC38" s="100">
        <v>6955.8351103175582</v>
      </c>
      <c r="AD38" s="100">
        <v>4.975271304752763E-4</v>
      </c>
      <c r="AE38" s="100">
        <v>0.61792869605029321</v>
      </c>
      <c r="AF38" s="100">
        <v>4.5798421012280635E-4</v>
      </c>
      <c r="AG38" s="100">
        <v>0.56881638897252551</v>
      </c>
      <c r="AH38" s="100">
        <v>3.2560046609970305E-4</v>
      </c>
      <c r="AI38" s="100">
        <v>0.40439577889583117</v>
      </c>
      <c r="AJ38" s="100">
        <v>14</v>
      </c>
      <c r="AK38" s="100">
        <v>17388</v>
      </c>
      <c r="AL38" s="100">
        <v>13.270609363042601</v>
      </c>
      <c r="AM38" s="100">
        <v>16482.09682889891</v>
      </c>
      <c r="AN38" s="100">
        <v>16.324028700349711</v>
      </c>
      <c r="AO38" s="100">
        <v>20274.443645834341</v>
      </c>
      <c r="AP38" s="100">
        <v>11.354297347742589</v>
      </c>
      <c r="AQ38" s="100">
        <v>14102.037305896296</v>
      </c>
      <c r="AR38" s="100">
        <v>18.062508291181182</v>
      </c>
      <c r="AS38" s="100">
        <v>22433.635297647026</v>
      </c>
      <c r="AT38" s="100">
        <v>9.7777415524279903</v>
      </c>
      <c r="AU38" s="100">
        <v>12143.955008115563</v>
      </c>
      <c r="AV38" s="100">
        <v>15</v>
      </c>
      <c r="AW38" s="100">
        <v>18630</v>
      </c>
      <c r="AX38" s="100">
        <v>18.256033497163187</v>
      </c>
      <c r="AY38" s="100">
        <v>22673.99360347668</v>
      </c>
      <c r="AZ38" s="100">
        <v>11</v>
      </c>
      <c r="BA38" s="100">
        <v>13662</v>
      </c>
      <c r="BB38" s="100">
        <v>15</v>
      </c>
      <c r="BC38" s="100">
        <v>18630</v>
      </c>
      <c r="BD38" s="100">
        <v>11</v>
      </c>
      <c r="BE38" s="100">
        <v>13662</v>
      </c>
      <c r="BF38" s="100">
        <v>11</v>
      </c>
      <c r="BG38" s="100">
        <v>13662</v>
      </c>
      <c r="BH38" s="100">
        <v>18</v>
      </c>
      <c r="BI38" s="100">
        <v>22356</v>
      </c>
      <c r="BJ38" s="100">
        <v>11.530463233632581</v>
      </c>
      <c r="BK38" s="100">
        <v>14320.835336171665</v>
      </c>
      <c r="BL38" s="100">
        <v>16.444748715389274</v>
      </c>
      <c r="BM38" s="100">
        <v>20424.37790451348</v>
      </c>
      <c r="BN38" s="100">
        <v>11.39761331875777</v>
      </c>
      <c r="BO38" s="100">
        <v>14155.83574189715</v>
      </c>
      <c r="BP38" s="100">
        <v>11.913245212537575</v>
      </c>
      <c r="BQ38" s="100">
        <v>14796.250553971668</v>
      </c>
      <c r="BR38" s="100">
        <v>13.606839152643126</v>
      </c>
      <c r="BS38" s="100">
        <v>16899.694227582761</v>
      </c>
      <c r="BT38" s="100">
        <v>13</v>
      </c>
      <c r="BU38" s="100">
        <v>16146</v>
      </c>
      <c r="BV38" s="100">
        <v>14</v>
      </c>
      <c r="BW38" s="100">
        <v>17388</v>
      </c>
      <c r="BX38" s="100">
        <v>11</v>
      </c>
      <c r="BY38" s="100">
        <v>13662</v>
      </c>
      <c r="BZ38" s="100">
        <v>12</v>
      </c>
      <c r="CA38" s="100">
        <v>14904</v>
      </c>
      <c r="CB38" s="100">
        <v>12</v>
      </c>
      <c r="CC38" s="100">
        <v>14904</v>
      </c>
      <c r="CD38" s="100">
        <v>13.203236260318951</v>
      </c>
      <c r="CE38" s="100">
        <v>16398.419435316137</v>
      </c>
      <c r="CF38" s="100">
        <v>15</v>
      </c>
      <c r="CG38" s="100">
        <v>18630</v>
      </c>
      <c r="CH38" s="100">
        <v>16.839427156554294</v>
      </c>
      <c r="CI38" s="100">
        <v>20914.568528440432</v>
      </c>
      <c r="CJ38" s="100">
        <v>10</v>
      </c>
      <c r="CK38" s="100">
        <v>12420</v>
      </c>
      <c r="CL38" s="100">
        <v>18</v>
      </c>
      <c r="CM38" s="100">
        <v>22356</v>
      </c>
      <c r="CN38" s="100">
        <v>15</v>
      </c>
      <c r="CO38" s="100">
        <v>18630</v>
      </c>
      <c r="CP38" s="100">
        <v>17</v>
      </c>
      <c r="CQ38" s="100">
        <v>21114</v>
      </c>
      <c r="CR38" s="100">
        <v>11</v>
      </c>
      <c r="CS38" s="100">
        <v>13662</v>
      </c>
      <c r="CT38" s="100">
        <v>15</v>
      </c>
      <c r="CU38" s="100">
        <v>18630</v>
      </c>
    </row>
    <row r="39" spans="2:99">
      <c r="C39" s="99" t="s">
        <v>205</v>
      </c>
      <c r="D39" s="100">
        <v>13.746550484505022</v>
      </c>
      <c r="E39" s="100">
        <v>19564.090649547546</v>
      </c>
      <c r="F39" s="100">
        <v>11</v>
      </c>
      <c r="G39" s="100">
        <v>15655.2</v>
      </c>
      <c r="H39" s="100">
        <v>10</v>
      </c>
      <c r="I39" s="100">
        <v>14232</v>
      </c>
      <c r="J39" s="100">
        <v>16.379114953992548</v>
      </c>
      <c r="K39" s="100">
        <v>23310.756402522195</v>
      </c>
      <c r="L39" s="100">
        <v>11</v>
      </c>
      <c r="M39" s="100">
        <v>15655.2</v>
      </c>
      <c r="N39" s="100">
        <v>13</v>
      </c>
      <c r="O39" s="100">
        <v>18501.600000000002</v>
      </c>
      <c r="P39" s="100">
        <v>17</v>
      </c>
      <c r="Q39" s="100">
        <v>24194.400000000001</v>
      </c>
      <c r="R39" s="100">
        <v>14</v>
      </c>
      <c r="S39" s="100">
        <v>19924.8</v>
      </c>
      <c r="T39" s="100">
        <v>16</v>
      </c>
      <c r="U39" s="100">
        <v>22771.200000000001</v>
      </c>
      <c r="V39" s="100">
        <v>17</v>
      </c>
      <c r="W39" s="100">
        <v>24194.400000000001</v>
      </c>
      <c r="X39" s="100">
        <v>15</v>
      </c>
      <c r="Y39" s="100">
        <v>21348</v>
      </c>
      <c r="Z39" s="100">
        <v>9</v>
      </c>
      <c r="AA39" s="100">
        <v>12808.800000000001</v>
      </c>
      <c r="AB39" s="100">
        <v>4.6670928008035144</v>
      </c>
      <c r="AC39" s="100">
        <v>6642.206474103562</v>
      </c>
      <c r="AD39" s="100">
        <v>4.6643168482057157E-4</v>
      </c>
      <c r="AE39" s="100">
        <v>0.66382557383663743</v>
      </c>
      <c r="AF39" s="100">
        <v>4.0977534589935308E-4</v>
      </c>
      <c r="AG39" s="100">
        <v>0.58319227228395931</v>
      </c>
      <c r="AH39" s="100">
        <v>3.2560046609970305E-4</v>
      </c>
      <c r="AI39" s="100">
        <v>0.46339458335309741</v>
      </c>
      <c r="AJ39" s="100">
        <v>14</v>
      </c>
      <c r="AK39" s="100">
        <v>19924.8</v>
      </c>
      <c r="AL39" s="100">
        <v>11.374808025465086</v>
      </c>
      <c r="AM39" s="100">
        <v>16188.626781841911</v>
      </c>
      <c r="AN39" s="100">
        <v>16.324028700349711</v>
      </c>
      <c r="AO39" s="100">
        <v>23232.35764633771</v>
      </c>
      <c r="AP39" s="100">
        <v>12.227704836030481</v>
      </c>
      <c r="AQ39" s="100">
        <v>17402.469522638581</v>
      </c>
      <c r="AR39" s="100">
        <v>18.062508291181182</v>
      </c>
      <c r="AS39" s="100">
        <v>25706.561800009058</v>
      </c>
      <c r="AT39" s="100">
        <v>10.666627148103263</v>
      </c>
      <c r="AU39" s="100">
        <v>15180.743757180564</v>
      </c>
      <c r="AV39" s="100">
        <v>14</v>
      </c>
      <c r="AW39" s="100">
        <v>19924.8</v>
      </c>
      <c r="AX39" s="100">
        <v>16.430430147446874</v>
      </c>
      <c r="AY39" s="100">
        <v>23383.788185846392</v>
      </c>
      <c r="AZ39" s="100">
        <v>10</v>
      </c>
      <c r="BA39" s="100">
        <v>14232</v>
      </c>
      <c r="BB39" s="100">
        <v>13</v>
      </c>
      <c r="BC39" s="100">
        <v>18501.600000000002</v>
      </c>
      <c r="BD39" s="100">
        <v>10</v>
      </c>
      <c r="BE39" s="100">
        <v>14232</v>
      </c>
      <c r="BF39" s="100">
        <v>10</v>
      </c>
      <c r="BG39" s="100">
        <v>14232</v>
      </c>
      <c r="BH39" s="100">
        <v>17</v>
      </c>
      <c r="BI39" s="100">
        <v>24194.400000000001</v>
      </c>
      <c r="BJ39" s="100">
        <v>11.530463233632581</v>
      </c>
      <c r="BK39" s="100">
        <v>16410.155274105891</v>
      </c>
      <c r="BL39" s="100">
        <v>14.713722534821983</v>
      </c>
      <c r="BM39" s="100">
        <v>20940.569911558647</v>
      </c>
      <c r="BN39" s="100">
        <v>10.447812208861288</v>
      </c>
      <c r="BO39" s="100">
        <v>14869.326335651385</v>
      </c>
      <c r="BP39" s="100">
        <v>11.913245212537575</v>
      </c>
      <c r="BQ39" s="100">
        <v>16954.930586483479</v>
      </c>
      <c r="BR39" s="100">
        <v>15.207643758836435</v>
      </c>
      <c r="BS39" s="100">
        <v>21643.518597576014</v>
      </c>
      <c r="BT39" s="100">
        <v>14</v>
      </c>
      <c r="BU39" s="100">
        <v>19924.8</v>
      </c>
      <c r="BV39" s="100">
        <v>12</v>
      </c>
      <c r="BW39" s="100">
        <v>17078.400000000001</v>
      </c>
      <c r="BX39" s="100">
        <v>11</v>
      </c>
      <c r="BY39" s="100">
        <v>15655.2</v>
      </c>
      <c r="BZ39" s="100">
        <v>13</v>
      </c>
      <c r="CA39" s="100">
        <v>18501.600000000002</v>
      </c>
      <c r="CB39" s="100">
        <v>12</v>
      </c>
      <c r="CC39" s="100">
        <v>17078.400000000001</v>
      </c>
      <c r="CD39" s="100">
        <v>13.203236260318951</v>
      </c>
      <c r="CE39" s="100">
        <v>18790.84584568593</v>
      </c>
      <c r="CF39" s="100">
        <v>16</v>
      </c>
      <c r="CG39" s="100">
        <v>22771.200000000001</v>
      </c>
      <c r="CH39" s="100">
        <v>16.839427156554294</v>
      </c>
      <c r="CI39" s="100">
        <v>23965.872729208073</v>
      </c>
      <c r="CJ39" s="100">
        <v>9</v>
      </c>
      <c r="CK39" s="100">
        <v>12808.800000000001</v>
      </c>
      <c r="CL39" s="100">
        <v>17</v>
      </c>
      <c r="CM39" s="100">
        <v>24194.400000000001</v>
      </c>
      <c r="CN39" s="100">
        <v>14</v>
      </c>
      <c r="CO39" s="100">
        <v>19924.8</v>
      </c>
      <c r="CP39" s="100">
        <v>19</v>
      </c>
      <c r="CQ39" s="100">
        <v>27040.799999999999</v>
      </c>
      <c r="CR39" s="100">
        <v>9</v>
      </c>
      <c r="CS39" s="100">
        <v>12808.800000000001</v>
      </c>
      <c r="CT39" s="100">
        <v>15</v>
      </c>
      <c r="CU39" s="100">
        <v>21348</v>
      </c>
    </row>
    <row r="40" spans="2:99">
      <c r="C40" s="99" t="s">
        <v>206</v>
      </c>
      <c r="D40" s="100">
        <v>14.605709889786585</v>
      </c>
      <c r="E40" s="100">
        <v>10586.218528117317</v>
      </c>
      <c r="F40" s="100">
        <v>12</v>
      </c>
      <c r="G40" s="100">
        <v>8697.5999999999985</v>
      </c>
      <c r="H40" s="100">
        <v>9</v>
      </c>
      <c r="I40" s="100">
        <v>6523.2</v>
      </c>
      <c r="J40" s="100">
        <v>17.289065784769914</v>
      </c>
      <c r="K40" s="100">
        <v>12531.114880801233</v>
      </c>
      <c r="L40" s="100">
        <v>11</v>
      </c>
      <c r="M40" s="100">
        <v>7972.7999999999993</v>
      </c>
      <c r="N40" s="100">
        <v>16</v>
      </c>
      <c r="O40" s="100">
        <v>11596.8</v>
      </c>
      <c r="P40" s="100">
        <v>16</v>
      </c>
      <c r="Q40" s="100">
        <v>11596.8</v>
      </c>
      <c r="R40" s="100">
        <v>16</v>
      </c>
      <c r="S40" s="100">
        <v>11596.8</v>
      </c>
      <c r="T40" s="100">
        <v>20</v>
      </c>
      <c r="U40" s="100">
        <v>14496</v>
      </c>
      <c r="V40" s="100">
        <v>20</v>
      </c>
      <c r="W40" s="100">
        <v>14496</v>
      </c>
      <c r="X40" s="100">
        <v>16</v>
      </c>
      <c r="Y40" s="100">
        <v>11596.8</v>
      </c>
      <c r="Z40" s="100">
        <v>11</v>
      </c>
      <c r="AA40" s="100">
        <v>7972.7999999999993</v>
      </c>
      <c r="AB40" s="100">
        <v>5.2893718409106496</v>
      </c>
      <c r="AC40" s="100">
        <v>3833.7367102920384</v>
      </c>
      <c r="AD40" s="100">
        <v>5.9081346743939062E-4</v>
      </c>
      <c r="AE40" s="100">
        <v>0.4282216012000703</v>
      </c>
      <c r="AF40" s="100">
        <v>4.8208864223453301E-4</v>
      </c>
      <c r="AG40" s="100">
        <v>0.34941784789158953</v>
      </c>
      <c r="AH40" s="100">
        <v>3.2560046609970305E-4</v>
      </c>
      <c r="AI40" s="100">
        <v>0.23599521782906477</v>
      </c>
      <c r="AJ40" s="100">
        <v>15</v>
      </c>
      <c r="AK40" s="100">
        <v>10872</v>
      </c>
      <c r="AL40" s="100">
        <v>13.270609363042601</v>
      </c>
      <c r="AM40" s="100">
        <v>9618.5376663332772</v>
      </c>
      <c r="AN40" s="100">
        <v>18.04234751091284</v>
      </c>
      <c r="AO40" s="100">
        <v>13077.093475909625</v>
      </c>
      <c r="AP40" s="100">
        <v>12.227704836030481</v>
      </c>
      <c r="AQ40" s="100">
        <v>8862.6404651548928</v>
      </c>
      <c r="AR40" s="100">
        <v>19.963824953410775</v>
      </c>
      <c r="AS40" s="100">
        <v>14469.780326232129</v>
      </c>
      <c r="AT40" s="100">
        <v>10.666627148103263</v>
      </c>
      <c r="AU40" s="100">
        <v>7731.171356945245</v>
      </c>
      <c r="AV40" s="100">
        <v>14</v>
      </c>
      <c r="AW40" s="100">
        <v>10147.199999999999</v>
      </c>
      <c r="AX40" s="100">
        <v>18.256033497163187</v>
      </c>
      <c r="AY40" s="100">
        <v>13231.973078743877</v>
      </c>
      <c r="AZ40" s="100">
        <v>12</v>
      </c>
      <c r="BA40" s="100">
        <v>8697.5999999999985</v>
      </c>
      <c r="BB40" s="100">
        <v>16</v>
      </c>
      <c r="BC40" s="100">
        <v>11596.8</v>
      </c>
      <c r="BD40" s="100">
        <v>11</v>
      </c>
      <c r="BE40" s="100">
        <v>7972.7999999999993</v>
      </c>
      <c r="BF40" s="100">
        <v>12</v>
      </c>
      <c r="BG40" s="100">
        <v>8697.5999999999985</v>
      </c>
      <c r="BH40" s="100">
        <v>19</v>
      </c>
      <c r="BI40" s="100">
        <v>13771.199999999999</v>
      </c>
      <c r="BJ40" s="100">
        <v>13.304380654191439</v>
      </c>
      <c r="BK40" s="100">
        <v>9643.0150981579536</v>
      </c>
      <c r="BL40" s="100">
        <v>16.444748715389274</v>
      </c>
      <c r="BM40" s="100">
        <v>11919.153868914145</v>
      </c>
      <c r="BN40" s="100">
        <v>12.34741442865425</v>
      </c>
      <c r="BO40" s="100">
        <v>8949.4059778886003</v>
      </c>
      <c r="BP40" s="100">
        <v>12.906015646915707</v>
      </c>
      <c r="BQ40" s="100">
        <v>9354.2801408845044</v>
      </c>
      <c r="BR40" s="100">
        <v>16.80844836502974</v>
      </c>
      <c r="BS40" s="100">
        <v>12182.763374973554</v>
      </c>
      <c r="BT40" s="100">
        <v>14</v>
      </c>
      <c r="BU40" s="100">
        <v>10147.199999999999</v>
      </c>
      <c r="BV40" s="100">
        <v>13</v>
      </c>
      <c r="BW40" s="100">
        <v>9422.4</v>
      </c>
      <c r="BX40" s="100">
        <v>12</v>
      </c>
      <c r="BY40" s="100">
        <v>8697.5999999999985</v>
      </c>
      <c r="BZ40" s="100">
        <v>13</v>
      </c>
      <c r="CA40" s="100">
        <v>9422.4</v>
      </c>
      <c r="CB40" s="100">
        <v>15</v>
      </c>
      <c r="CC40" s="100">
        <v>10872</v>
      </c>
      <c r="CD40" s="100">
        <v>14.028438526588886</v>
      </c>
      <c r="CE40" s="100">
        <v>10167.812244071623</v>
      </c>
      <c r="CF40" s="100">
        <v>19</v>
      </c>
      <c r="CG40" s="100">
        <v>13771.199999999999</v>
      </c>
      <c r="CH40" s="100">
        <v>18.710474618393658</v>
      </c>
      <c r="CI40" s="100">
        <v>13561.352003411723</v>
      </c>
      <c r="CJ40" s="100">
        <v>10</v>
      </c>
      <c r="CK40" s="100">
        <v>7248</v>
      </c>
      <c r="CL40" s="100">
        <v>18</v>
      </c>
      <c r="CM40" s="100">
        <v>13046.4</v>
      </c>
      <c r="CN40" s="100">
        <v>16</v>
      </c>
      <c r="CO40" s="100">
        <v>11596.8</v>
      </c>
      <c r="CP40" s="100">
        <v>21</v>
      </c>
      <c r="CQ40" s="100">
        <v>15220.8</v>
      </c>
      <c r="CR40" s="100">
        <v>10</v>
      </c>
      <c r="CS40" s="100">
        <v>7248</v>
      </c>
      <c r="CT40" s="100">
        <v>16</v>
      </c>
      <c r="CU40" s="100">
        <v>11596.8</v>
      </c>
    </row>
    <row r="41" spans="2:99">
      <c r="C41" s="99" t="s">
        <v>207</v>
      </c>
      <c r="D41" s="100">
        <v>15.464869295068148</v>
      </c>
      <c r="E41" s="100">
        <v>10206.813734744977</v>
      </c>
      <c r="F41" s="100">
        <v>12</v>
      </c>
      <c r="G41" s="100">
        <v>7920</v>
      </c>
      <c r="H41" s="100">
        <v>11</v>
      </c>
      <c r="I41" s="100">
        <v>7260</v>
      </c>
      <c r="J41" s="100">
        <v>16.379114953992548</v>
      </c>
      <c r="K41" s="100">
        <v>10810.215869635082</v>
      </c>
      <c r="L41" s="100">
        <v>12</v>
      </c>
      <c r="M41" s="100">
        <v>7920</v>
      </c>
      <c r="N41" s="100">
        <v>15</v>
      </c>
      <c r="O41" s="100">
        <v>9900</v>
      </c>
      <c r="P41" s="100">
        <v>18</v>
      </c>
      <c r="Q41" s="100">
        <v>11880</v>
      </c>
      <c r="R41" s="100">
        <v>14</v>
      </c>
      <c r="S41" s="100">
        <v>9240</v>
      </c>
      <c r="T41" s="100">
        <v>18</v>
      </c>
      <c r="U41" s="100">
        <v>11880</v>
      </c>
      <c r="V41" s="100">
        <v>18</v>
      </c>
      <c r="W41" s="100">
        <v>11880</v>
      </c>
      <c r="X41" s="100">
        <v>19</v>
      </c>
      <c r="Y41" s="100">
        <v>12540</v>
      </c>
      <c r="Z41" s="100">
        <v>10</v>
      </c>
      <c r="AA41" s="100">
        <v>6600</v>
      </c>
      <c r="AB41" s="100">
        <v>4.9782323208570824</v>
      </c>
      <c r="AC41" s="100">
        <v>3285.6333317656745</v>
      </c>
      <c r="AD41" s="100">
        <v>5.2862257612998115E-4</v>
      </c>
      <c r="AE41" s="100">
        <v>0.34889090024578756</v>
      </c>
      <c r="AF41" s="100">
        <v>4.8208864223453301E-4</v>
      </c>
      <c r="AG41" s="100">
        <v>0.3181785038747918</v>
      </c>
      <c r="AH41" s="100">
        <v>3.2560046609970305E-4</v>
      </c>
      <c r="AI41" s="100">
        <v>0.214896307625804</v>
      </c>
      <c r="AJ41" s="100">
        <v>16</v>
      </c>
      <c r="AK41" s="100">
        <v>10560</v>
      </c>
      <c r="AL41" s="100">
        <v>12.322708694253842</v>
      </c>
      <c r="AM41" s="100">
        <v>8132.9877382075356</v>
      </c>
      <c r="AN41" s="100">
        <v>15.464869295068148</v>
      </c>
      <c r="AO41" s="100">
        <v>10206.813734744977</v>
      </c>
      <c r="AP41" s="100">
        <v>13.101112324318374</v>
      </c>
      <c r="AQ41" s="100">
        <v>8646.7341340501262</v>
      </c>
      <c r="AR41" s="100">
        <v>19.013166622295977</v>
      </c>
      <c r="AS41" s="100">
        <v>12548.689970715344</v>
      </c>
      <c r="AT41" s="100">
        <v>11.555512743778536</v>
      </c>
      <c r="AU41" s="100">
        <v>7626.6384108938337</v>
      </c>
      <c r="AV41" s="100">
        <v>15</v>
      </c>
      <c r="AW41" s="100">
        <v>9900</v>
      </c>
      <c r="AX41" s="100">
        <v>19.16883517202135</v>
      </c>
      <c r="AY41" s="100">
        <v>12651.431213534092</v>
      </c>
      <c r="AZ41" s="100">
        <v>11</v>
      </c>
      <c r="BA41" s="100">
        <v>7260</v>
      </c>
      <c r="BB41" s="100">
        <v>16</v>
      </c>
      <c r="BC41" s="100">
        <v>10560</v>
      </c>
      <c r="BD41" s="100">
        <v>11</v>
      </c>
      <c r="BE41" s="100">
        <v>7260</v>
      </c>
      <c r="BF41" s="100">
        <v>12</v>
      </c>
      <c r="BG41" s="100">
        <v>7920</v>
      </c>
      <c r="BH41" s="100">
        <v>20</v>
      </c>
      <c r="BI41" s="100">
        <v>13200</v>
      </c>
      <c r="BJ41" s="100">
        <v>12.417421943912011</v>
      </c>
      <c r="BK41" s="100">
        <v>8195.4984829819277</v>
      </c>
      <c r="BL41" s="100">
        <v>17.310261805672923</v>
      </c>
      <c r="BM41" s="100">
        <v>11424.77279174413</v>
      </c>
      <c r="BN41" s="100">
        <v>12.34741442865425</v>
      </c>
      <c r="BO41" s="100">
        <v>8149.2935229118057</v>
      </c>
      <c r="BP41" s="100">
        <v>12.906015646915707</v>
      </c>
      <c r="BQ41" s="100">
        <v>8517.9703269643669</v>
      </c>
      <c r="BR41" s="100">
        <v>14.407241455739779</v>
      </c>
      <c r="BS41" s="100">
        <v>9508.7793607882541</v>
      </c>
      <c r="BT41" s="100">
        <v>14</v>
      </c>
      <c r="BU41" s="100">
        <v>9240</v>
      </c>
      <c r="BV41" s="100">
        <v>13</v>
      </c>
      <c r="BW41" s="100">
        <v>8580</v>
      </c>
      <c r="BX41" s="100">
        <v>12</v>
      </c>
      <c r="BY41" s="100">
        <v>7920</v>
      </c>
      <c r="BZ41" s="100">
        <v>12</v>
      </c>
      <c r="CA41" s="100">
        <v>7920</v>
      </c>
      <c r="CB41" s="100">
        <v>13</v>
      </c>
      <c r="CC41" s="100">
        <v>8580</v>
      </c>
      <c r="CD41" s="100">
        <v>15.678843059128754</v>
      </c>
      <c r="CE41" s="100">
        <v>10348.036419024978</v>
      </c>
      <c r="CF41" s="100">
        <v>16</v>
      </c>
      <c r="CG41" s="100">
        <v>10560</v>
      </c>
      <c r="CH41" s="100">
        <v>17.774950887473974</v>
      </c>
      <c r="CI41" s="100">
        <v>11731.467585732822</v>
      </c>
      <c r="CJ41" s="100">
        <v>10</v>
      </c>
      <c r="CK41" s="100">
        <v>6600</v>
      </c>
      <c r="CL41" s="100">
        <v>17</v>
      </c>
      <c r="CM41" s="100">
        <v>11220</v>
      </c>
      <c r="CN41" s="100">
        <v>16</v>
      </c>
      <c r="CO41" s="100">
        <v>10560</v>
      </c>
      <c r="CP41" s="100">
        <v>19</v>
      </c>
      <c r="CQ41" s="100">
        <v>12540</v>
      </c>
      <c r="CR41" s="100">
        <v>10</v>
      </c>
      <c r="CS41" s="100">
        <v>6600</v>
      </c>
      <c r="CT41" s="100">
        <v>14</v>
      </c>
      <c r="CU41" s="100">
        <v>9240</v>
      </c>
    </row>
    <row r="42" spans="2:99">
      <c r="C42" s="99" t="s">
        <v>208</v>
      </c>
      <c r="D42" s="100">
        <v>15.464869295068148</v>
      </c>
      <c r="E42" s="100">
        <v>13083.279423627653</v>
      </c>
      <c r="F42" s="100">
        <v>13</v>
      </c>
      <c r="G42" s="100">
        <v>10998</v>
      </c>
      <c r="H42" s="100">
        <v>11</v>
      </c>
      <c r="I42" s="100">
        <v>9306</v>
      </c>
      <c r="J42" s="100">
        <v>18.199016615547276</v>
      </c>
      <c r="K42" s="100">
        <v>15396.368056752995</v>
      </c>
      <c r="L42" s="100">
        <v>12</v>
      </c>
      <c r="M42" s="100">
        <v>10152</v>
      </c>
      <c r="N42" s="100">
        <v>14</v>
      </c>
      <c r="O42" s="100">
        <v>11844</v>
      </c>
      <c r="P42" s="100">
        <v>16</v>
      </c>
      <c r="Q42" s="100">
        <v>13536</v>
      </c>
      <c r="R42" s="100">
        <v>16</v>
      </c>
      <c r="S42" s="100">
        <v>13536</v>
      </c>
      <c r="T42" s="100">
        <v>19</v>
      </c>
      <c r="U42" s="100">
        <v>16074</v>
      </c>
      <c r="V42" s="100">
        <v>18</v>
      </c>
      <c r="W42" s="100">
        <v>15228</v>
      </c>
      <c r="X42" s="100">
        <v>18</v>
      </c>
      <c r="Y42" s="100">
        <v>15228</v>
      </c>
      <c r="Z42" s="100">
        <v>9</v>
      </c>
      <c r="AA42" s="100">
        <v>7614</v>
      </c>
      <c r="AB42" s="100">
        <v>5.2893718409106496</v>
      </c>
      <c r="AC42" s="100">
        <v>4474.8085774104093</v>
      </c>
      <c r="AD42" s="100">
        <v>5.5971802178468588E-4</v>
      </c>
      <c r="AE42" s="100">
        <v>0.47352144642984428</v>
      </c>
      <c r="AF42" s="100">
        <v>4.3387977801107968E-4</v>
      </c>
      <c r="AG42" s="100">
        <v>0.36706229219737341</v>
      </c>
      <c r="AH42" s="100">
        <v>3.5273383827467834E-4</v>
      </c>
      <c r="AI42" s="100">
        <v>0.29841282718037787</v>
      </c>
      <c r="AJ42" s="100">
        <v>14</v>
      </c>
      <c r="AK42" s="100">
        <v>11844</v>
      </c>
      <c r="AL42" s="100">
        <v>13.270609363042601</v>
      </c>
      <c r="AM42" s="100">
        <v>11226.935521134041</v>
      </c>
      <c r="AN42" s="100">
        <v>16.324028700349711</v>
      </c>
      <c r="AO42" s="100">
        <v>13810.128280495856</v>
      </c>
      <c r="AP42" s="100">
        <v>12.227704836030481</v>
      </c>
      <c r="AQ42" s="100">
        <v>10344.638291281788</v>
      </c>
      <c r="AR42" s="100">
        <v>16.161191628951581</v>
      </c>
      <c r="AS42" s="100">
        <v>13672.368118093038</v>
      </c>
      <c r="AT42" s="100">
        <v>11.555512743778536</v>
      </c>
      <c r="AU42" s="100">
        <v>9775.9637812366418</v>
      </c>
      <c r="AV42" s="100">
        <v>16</v>
      </c>
      <c r="AW42" s="100">
        <v>13536</v>
      </c>
      <c r="AX42" s="100">
        <v>18.256033497163187</v>
      </c>
      <c r="AY42" s="100">
        <v>15444.604338600057</v>
      </c>
      <c r="AZ42" s="100">
        <v>11</v>
      </c>
      <c r="BA42" s="100">
        <v>9306</v>
      </c>
      <c r="BB42" s="100">
        <v>13</v>
      </c>
      <c r="BC42" s="100">
        <v>10998</v>
      </c>
      <c r="BD42" s="100">
        <v>11</v>
      </c>
      <c r="BE42" s="100">
        <v>9306</v>
      </c>
      <c r="BF42" s="100">
        <v>12</v>
      </c>
      <c r="BG42" s="100">
        <v>10152</v>
      </c>
      <c r="BH42" s="100">
        <v>19</v>
      </c>
      <c r="BI42" s="100">
        <v>16074</v>
      </c>
      <c r="BJ42" s="100">
        <v>13.304380654191439</v>
      </c>
      <c r="BK42" s="100">
        <v>11255.506033445958</v>
      </c>
      <c r="BL42" s="100">
        <v>14.713722534821983</v>
      </c>
      <c r="BM42" s="100">
        <v>12447.809264459398</v>
      </c>
      <c r="BN42" s="100">
        <v>11.39761331875777</v>
      </c>
      <c r="BO42" s="100">
        <v>9642.3808676690733</v>
      </c>
      <c r="BP42" s="100">
        <v>12.906015646915707</v>
      </c>
      <c r="BQ42" s="100">
        <v>10918.489237290689</v>
      </c>
      <c r="BR42" s="100">
        <v>13.606839152643126</v>
      </c>
      <c r="BS42" s="100">
        <v>11511.385923136084</v>
      </c>
      <c r="BT42" s="100">
        <v>14</v>
      </c>
      <c r="BU42" s="100">
        <v>11844</v>
      </c>
      <c r="BV42" s="100">
        <v>14</v>
      </c>
      <c r="BW42" s="100">
        <v>11844</v>
      </c>
      <c r="BX42" s="100">
        <v>13</v>
      </c>
      <c r="BY42" s="100">
        <v>10998</v>
      </c>
      <c r="BZ42" s="100">
        <v>12</v>
      </c>
      <c r="CA42" s="100">
        <v>10152</v>
      </c>
      <c r="CB42" s="100">
        <v>14</v>
      </c>
      <c r="CC42" s="100">
        <v>11844</v>
      </c>
      <c r="CD42" s="100">
        <v>13.203236260318951</v>
      </c>
      <c r="CE42" s="100">
        <v>11169.937876229833</v>
      </c>
      <c r="CF42" s="100">
        <v>18</v>
      </c>
      <c r="CG42" s="100">
        <v>15228</v>
      </c>
      <c r="CH42" s="100">
        <v>17.774950887473974</v>
      </c>
      <c r="CI42" s="100">
        <v>15037.608450802982</v>
      </c>
      <c r="CJ42" s="100">
        <v>10</v>
      </c>
      <c r="CK42" s="100">
        <v>8460</v>
      </c>
      <c r="CL42" s="100">
        <v>20</v>
      </c>
      <c r="CM42" s="100">
        <v>16920</v>
      </c>
      <c r="CN42" s="100">
        <v>15</v>
      </c>
      <c r="CO42" s="100">
        <v>12690</v>
      </c>
      <c r="CP42" s="100">
        <v>20</v>
      </c>
      <c r="CQ42" s="100">
        <v>16920</v>
      </c>
      <c r="CR42" s="100">
        <v>10</v>
      </c>
      <c r="CS42" s="100">
        <v>8460</v>
      </c>
      <c r="CT42" s="100">
        <v>14</v>
      </c>
      <c r="CU42" s="100">
        <v>11844</v>
      </c>
    </row>
    <row r="43" spans="2:99">
      <c r="C43" s="99" t="s">
        <v>209</v>
      </c>
      <c r="D43" s="100">
        <v>16.324028700349711</v>
      </c>
      <c r="E43" s="100">
        <v>16689.686943237542</v>
      </c>
      <c r="F43" s="100">
        <v>13</v>
      </c>
      <c r="G43" s="100">
        <v>13291.199999999999</v>
      </c>
      <c r="H43" s="100">
        <v>10</v>
      </c>
      <c r="I43" s="100">
        <v>10224</v>
      </c>
      <c r="J43" s="100">
        <v>18.199016615547276</v>
      </c>
      <c r="K43" s="100">
        <v>18606.674587735535</v>
      </c>
      <c r="L43" s="100">
        <v>12</v>
      </c>
      <c r="M43" s="100">
        <v>12268.8</v>
      </c>
      <c r="N43" s="100">
        <v>14</v>
      </c>
      <c r="O43" s="100">
        <v>14313.6</v>
      </c>
      <c r="P43" s="100">
        <v>16</v>
      </c>
      <c r="Q43" s="100">
        <v>16358.4</v>
      </c>
      <c r="R43" s="100">
        <v>15</v>
      </c>
      <c r="S43" s="100">
        <v>15336</v>
      </c>
      <c r="T43" s="100">
        <v>19</v>
      </c>
      <c r="U43" s="100">
        <v>19425.599999999999</v>
      </c>
      <c r="V43" s="100">
        <v>17</v>
      </c>
      <c r="W43" s="100">
        <v>17380.8</v>
      </c>
      <c r="X43" s="100">
        <v>18</v>
      </c>
      <c r="Y43" s="100">
        <v>18403.2</v>
      </c>
      <c r="Z43" s="100">
        <v>9</v>
      </c>
      <c r="AA43" s="100">
        <v>9201.6</v>
      </c>
      <c r="AB43" s="100">
        <v>5.6005113609642176</v>
      </c>
      <c r="AC43" s="100">
        <v>5725.9628154498159</v>
      </c>
      <c r="AD43" s="100">
        <v>5.2862257612998115E-4</v>
      </c>
      <c r="AE43" s="100">
        <v>0.54046372183529268</v>
      </c>
      <c r="AF43" s="100">
        <v>4.3387977801107968E-4</v>
      </c>
      <c r="AG43" s="100">
        <v>0.44359868503852784</v>
      </c>
      <c r="AH43" s="100">
        <v>2.9846709392472776E-4</v>
      </c>
      <c r="AI43" s="100">
        <v>0.30515275682864168</v>
      </c>
      <c r="AJ43" s="100">
        <v>15</v>
      </c>
      <c r="AK43" s="100">
        <v>15336</v>
      </c>
      <c r="AL43" s="100">
        <v>11.374808025465086</v>
      </c>
      <c r="AM43" s="100">
        <v>11629.603725235504</v>
      </c>
      <c r="AN43" s="100">
        <v>15.464869295068148</v>
      </c>
      <c r="AO43" s="100">
        <v>15811.282367277674</v>
      </c>
      <c r="AP43" s="100">
        <v>11.354297347742589</v>
      </c>
      <c r="AQ43" s="100">
        <v>11608.633608332024</v>
      </c>
      <c r="AR43" s="100">
        <v>16.161191628951581</v>
      </c>
      <c r="AS43" s="100">
        <v>16523.202321440098</v>
      </c>
      <c r="AT43" s="100">
        <v>11.555512743778536</v>
      </c>
      <c r="AU43" s="100">
        <v>11814.356229239174</v>
      </c>
      <c r="AV43" s="100">
        <v>14</v>
      </c>
      <c r="AW43" s="100">
        <v>14313.6</v>
      </c>
      <c r="AX43" s="100">
        <v>16.430430147446874</v>
      </c>
      <c r="AY43" s="100">
        <v>16798.471782749682</v>
      </c>
      <c r="AZ43" s="100">
        <v>10</v>
      </c>
      <c r="BA43" s="100">
        <v>10224</v>
      </c>
      <c r="BB43" s="100">
        <v>15</v>
      </c>
      <c r="BC43" s="100">
        <v>15336</v>
      </c>
      <c r="BD43" s="100">
        <v>12</v>
      </c>
      <c r="BE43" s="100">
        <v>12268.8</v>
      </c>
      <c r="BF43" s="100">
        <v>13</v>
      </c>
      <c r="BG43" s="100">
        <v>13291.199999999999</v>
      </c>
      <c r="BH43" s="100">
        <v>18</v>
      </c>
      <c r="BI43" s="100">
        <v>18403.2</v>
      </c>
      <c r="BJ43" s="100">
        <v>12.417421943912011</v>
      </c>
      <c r="BK43" s="100">
        <v>12695.572195455639</v>
      </c>
      <c r="BL43" s="100">
        <v>16.444748715389274</v>
      </c>
      <c r="BM43" s="100">
        <v>16813.111086613993</v>
      </c>
      <c r="BN43" s="100">
        <v>12.34741442865425</v>
      </c>
      <c r="BO43" s="100">
        <v>12623.996511856105</v>
      </c>
      <c r="BP43" s="100">
        <v>11.913245212537575</v>
      </c>
      <c r="BQ43" s="100">
        <v>12180.101905298416</v>
      </c>
      <c r="BR43" s="100">
        <v>15.207643758836435</v>
      </c>
      <c r="BS43" s="100">
        <v>15548.29497903437</v>
      </c>
      <c r="BT43" s="100">
        <v>14</v>
      </c>
      <c r="BU43" s="100">
        <v>14313.6</v>
      </c>
      <c r="BV43" s="100">
        <v>14</v>
      </c>
      <c r="BW43" s="100">
        <v>14313.6</v>
      </c>
      <c r="BX43" s="100">
        <v>12</v>
      </c>
      <c r="BY43" s="100">
        <v>12268.8</v>
      </c>
      <c r="BZ43" s="100">
        <v>12</v>
      </c>
      <c r="CA43" s="100">
        <v>12268.8</v>
      </c>
      <c r="CB43" s="100">
        <v>13</v>
      </c>
      <c r="CC43" s="100">
        <v>13291.199999999999</v>
      </c>
      <c r="CD43" s="100">
        <v>13.203236260318951</v>
      </c>
      <c r="CE43" s="100">
        <v>13498.988752550094</v>
      </c>
      <c r="CF43" s="100">
        <v>17</v>
      </c>
      <c r="CG43" s="100">
        <v>17380.8</v>
      </c>
      <c r="CH43" s="100">
        <v>15.90390342563461</v>
      </c>
      <c r="CI43" s="100">
        <v>16260.150862368824</v>
      </c>
      <c r="CJ43" s="100">
        <v>10</v>
      </c>
      <c r="CK43" s="100">
        <v>10224</v>
      </c>
      <c r="CL43" s="100">
        <v>20</v>
      </c>
      <c r="CM43" s="100">
        <v>20448</v>
      </c>
      <c r="CN43" s="100">
        <v>15</v>
      </c>
      <c r="CO43" s="100">
        <v>15336</v>
      </c>
      <c r="CP43" s="100">
        <v>20</v>
      </c>
      <c r="CQ43" s="100">
        <v>20448</v>
      </c>
      <c r="CR43" s="100">
        <v>11</v>
      </c>
      <c r="CS43" s="100">
        <v>11246.4</v>
      </c>
      <c r="CT43" s="100">
        <v>16</v>
      </c>
      <c r="CU43" s="100">
        <v>16358.4</v>
      </c>
    </row>
    <row r="44" spans="2:99">
      <c r="C44" s="99" t="s">
        <v>210</v>
      </c>
      <c r="D44" s="100">
        <v>14.605709889786585</v>
      </c>
      <c r="E44" s="100">
        <v>14932.877791317804</v>
      </c>
      <c r="F44" s="100">
        <v>11</v>
      </c>
      <c r="G44" s="100">
        <v>11246.4</v>
      </c>
      <c r="H44" s="100">
        <v>9</v>
      </c>
      <c r="I44" s="100">
        <v>9201.6</v>
      </c>
      <c r="J44" s="100">
        <v>17.289065784769914</v>
      </c>
      <c r="K44" s="100">
        <v>17676.340858348758</v>
      </c>
      <c r="L44" s="100">
        <v>10</v>
      </c>
      <c r="M44" s="100">
        <v>10224</v>
      </c>
      <c r="N44" s="100">
        <v>14</v>
      </c>
      <c r="O44" s="100">
        <v>14313.6</v>
      </c>
      <c r="P44" s="100">
        <v>16</v>
      </c>
      <c r="Q44" s="100">
        <v>16358.4</v>
      </c>
      <c r="R44" s="100">
        <v>14</v>
      </c>
      <c r="S44" s="100">
        <v>14313.6</v>
      </c>
      <c r="T44" s="100">
        <v>18</v>
      </c>
      <c r="U44" s="100">
        <v>18403.2</v>
      </c>
      <c r="V44" s="100">
        <v>18</v>
      </c>
      <c r="W44" s="100">
        <v>18403.2</v>
      </c>
      <c r="X44" s="100">
        <v>19</v>
      </c>
      <c r="Y44" s="100">
        <v>19425.599999999999</v>
      </c>
      <c r="Z44" s="100">
        <v>9</v>
      </c>
      <c r="AA44" s="100">
        <v>9201.6</v>
      </c>
      <c r="AB44" s="100">
        <v>4.6670928008035144</v>
      </c>
      <c r="AC44" s="100">
        <v>4771.6356795415131</v>
      </c>
      <c r="AD44" s="100">
        <v>5.5971802178468588E-4</v>
      </c>
      <c r="AE44" s="100">
        <v>0.5722557054726628</v>
      </c>
      <c r="AF44" s="100">
        <v>4.3387977801107968E-4</v>
      </c>
      <c r="AG44" s="100">
        <v>0.44359868503852784</v>
      </c>
      <c r="AH44" s="100">
        <v>3.5273383827467834E-4</v>
      </c>
      <c r="AI44" s="100">
        <v>0.36063507625203112</v>
      </c>
      <c r="AJ44" s="100">
        <v>16</v>
      </c>
      <c r="AK44" s="100">
        <v>16358.4</v>
      </c>
      <c r="AL44" s="100">
        <v>13.270609363042601</v>
      </c>
      <c r="AM44" s="100">
        <v>13567.871012774754</v>
      </c>
      <c r="AN44" s="100">
        <v>16.324028700349711</v>
      </c>
      <c r="AO44" s="100">
        <v>16689.686943237542</v>
      </c>
      <c r="AP44" s="100">
        <v>13.101112324318374</v>
      </c>
      <c r="AQ44" s="100">
        <v>13394.577240383105</v>
      </c>
      <c r="AR44" s="100">
        <v>18.062508291181182</v>
      </c>
      <c r="AS44" s="100">
        <v>18467.108476903639</v>
      </c>
      <c r="AT44" s="100">
        <v>10.666627148103263</v>
      </c>
      <c r="AU44" s="100">
        <v>10905.559596220775</v>
      </c>
      <c r="AV44" s="100">
        <v>16</v>
      </c>
      <c r="AW44" s="100">
        <v>16358.4</v>
      </c>
      <c r="AX44" s="100">
        <v>16.430430147446874</v>
      </c>
      <c r="AY44" s="100">
        <v>16798.471782749682</v>
      </c>
      <c r="AZ44" s="100">
        <v>10</v>
      </c>
      <c r="BA44" s="100">
        <v>10224</v>
      </c>
      <c r="BB44" s="100">
        <v>13</v>
      </c>
      <c r="BC44" s="100">
        <v>13291.199999999999</v>
      </c>
      <c r="BD44" s="100">
        <v>11</v>
      </c>
      <c r="BE44" s="100">
        <v>11246.4</v>
      </c>
      <c r="BF44" s="100">
        <v>13</v>
      </c>
      <c r="BG44" s="100">
        <v>13291.199999999999</v>
      </c>
      <c r="BH44" s="100">
        <v>18</v>
      </c>
      <c r="BI44" s="100">
        <v>18403.2</v>
      </c>
      <c r="BJ44" s="100">
        <v>11.530463233632581</v>
      </c>
      <c r="BK44" s="100">
        <v>11788.745610065951</v>
      </c>
      <c r="BL44" s="100">
        <v>16.444748715389274</v>
      </c>
      <c r="BM44" s="100">
        <v>16813.111086613993</v>
      </c>
      <c r="BN44" s="100">
        <v>11.39761331875777</v>
      </c>
      <c r="BO44" s="100">
        <v>11652.919857097944</v>
      </c>
      <c r="BP44" s="100">
        <v>10.920474778159445</v>
      </c>
      <c r="BQ44" s="100">
        <v>11165.093413190216</v>
      </c>
      <c r="BR44" s="100">
        <v>15.207643758836435</v>
      </c>
      <c r="BS44" s="100">
        <v>15548.29497903437</v>
      </c>
      <c r="BT44" s="100">
        <v>14</v>
      </c>
      <c r="BU44" s="100">
        <v>14313.6</v>
      </c>
      <c r="BV44" s="100">
        <v>13</v>
      </c>
      <c r="BW44" s="100">
        <v>13291.199999999999</v>
      </c>
      <c r="BX44" s="100">
        <v>12</v>
      </c>
      <c r="BY44" s="100">
        <v>12268.8</v>
      </c>
      <c r="BZ44" s="100">
        <v>13</v>
      </c>
      <c r="CA44" s="100">
        <v>13291.199999999999</v>
      </c>
      <c r="CB44" s="100">
        <v>13</v>
      </c>
      <c r="CC44" s="100">
        <v>13291.199999999999</v>
      </c>
      <c r="CD44" s="100">
        <v>13.203236260318951</v>
      </c>
      <c r="CE44" s="100">
        <v>13498.988752550094</v>
      </c>
      <c r="CF44" s="100">
        <v>18</v>
      </c>
      <c r="CG44" s="100">
        <v>18403.2</v>
      </c>
      <c r="CH44" s="100">
        <v>18.710474618393658</v>
      </c>
      <c r="CI44" s="100">
        <v>19129.589249845674</v>
      </c>
      <c r="CJ44" s="100">
        <v>11</v>
      </c>
      <c r="CK44" s="100">
        <v>11246.4</v>
      </c>
      <c r="CL44" s="100">
        <v>19</v>
      </c>
      <c r="CM44" s="100">
        <v>19425.599999999999</v>
      </c>
      <c r="CN44" s="100">
        <v>16</v>
      </c>
      <c r="CO44" s="100">
        <v>16358.4</v>
      </c>
      <c r="CP44" s="100">
        <v>19</v>
      </c>
      <c r="CQ44" s="100">
        <v>19425.599999999999</v>
      </c>
      <c r="CR44" s="100">
        <v>9</v>
      </c>
      <c r="CS44" s="100">
        <v>9201.6</v>
      </c>
      <c r="CT44" s="100">
        <v>14</v>
      </c>
      <c r="CU44" s="100">
        <v>14313.6</v>
      </c>
    </row>
    <row r="45" spans="2:99">
      <c r="C45" s="99" t="s">
        <v>211</v>
      </c>
      <c r="D45" s="100">
        <v>15.464869295068148</v>
      </c>
      <c r="E45" s="100">
        <v>19318.714723399131</v>
      </c>
      <c r="F45" s="100">
        <v>11</v>
      </c>
      <c r="G45" s="100">
        <v>13741.2</v>
      </c>
      <c r="H45" s="100">
        <v>9</v>
      </c>
      <c r="I45" s="100">
        <v>11242.800000000001</v>
      </c>
      <c r="J45" s="100">
        <v>15.469164123215185</v>
      </c>
      <c r="K45" s="100">
        <v>19324.07982272041</v>
      </c>
      <c r="L45" s="100">
        <v>10</v>
      </c>
      <c r="M45" s="100">
        <v>12492</v>
      </c>
      <c r="N45" s="100">
        <v>15</v>
      </c>
      <c r="O45" s="100">
        <v>18738</v>
      </c>
      <c r="P45" s="100">
        <v>17</v>
      </c>
      <c r="Q45" s="100">
        <v>21236.400000000001</v>
      </c>
      <c r="R45" s="100">
        <v>15</v>
      </c>
      <c r="S45" s="100">
        <v>18738</v>
      </c>
      <c r="T45" s="100">
        <v>19</v>
      </c>
      <c r="U45" s="100">
        <v>23734.799999999999</v>
      </c>
      <c r="V45" s="100">
        <v>17</v>
      </c>
      <c r="W45" s="100">
        <v>21236.400000000001</v>
      </c>
      <c r="X45" s="100">
        <v>18</v>
      </c>
      <c r="Y45" s="100">
        <v>22485.600000000002</v>
      </c>
      <c r="Z45" s="100">
        <v>10</v>
      </c>
      <c r="AA45" s="100">
        <v>12492</v>
      </c>
      <c r="AB45" s="100">
        <v>4.9782323208570824</v>
      </c>
      <c r="AC45" s="100">
        <v>6218.8078152146672</v>
      </c>
      <c r="AD45" s="100">
        <v>4.975271304752763E-4</v>
      </c>
      <c r="AE45" s="100">
        <v>0.62151089138971516</v>
      </c>
      <c r="AF45" s="100">
        <v>4.5798421012280635E-4</v>
      </c>
      <c r="AG45" s="100">
        <v>0.57211387528540969</v>
      </c>
      <c r="AH45" s="100">
        <v>2.9846709392472776E-4</v>
      </c>
      <c r="AI45" s="100">
        <v>0.37284509373076996</v>
      </c>
      <c r="AJ45" s="100">
        <v>15</v>
      </c>
      <c r="AK45" s="100">
        <v>18738</v>
      </c>
      <c r="AL45" s="100">
        <v>12.322708694253842</v>
      </c>
      <c r="AM45" s="100">
        <v>15393.527700861901</v>
      </c>
      <c r="AN45" s="100">
        <v>16.324028700349711</v>
      </c>
      <c r="AO45" s="100">
        <v>20391.97665247686</v>
      </c>
      <c r="AP45" s="100">
        <v>13.101112324318374</v>
      </c>
      <c r="AQ45" s="100">
        <v>16365.909515538513</v>
      </c>
      <c r="AR45" s="100">
        <v>18.062508291181182</v>
      </c>
      <c r="AS45" s="100">
        <v>22563.685357343533</v>
      </c>
      <c r="AT45" s="100">
        <v>11.555512743778536</v>
      </c>
      <c r="AU45" s="100">
        <v>14435.146519528147</v>
      </c>
      <c r="AV45" s="100">
        <v>14</v>
      </c>
      <c r="AW45" s="100">
        <v>17488.8</v>
      </c>
      <c r="AX45" s="100">
        <v>14.604826797730553</v>
      </c>
      <c r="AY45" s="100">
        <v>18244.349635725008</v>
      </c>
      <c r="AZ45" s="100">
        <v>10</v>
      </c>
      <c r="BA45" s="100">
        <v>12492</v>
      </c>
      <c r="BB45" s="100">
        <v>15</v>
      </c>
      <c r="BC45" s="100">
        <v>18738</v>
      </c>
      <c r="BD45" s="100">
        <v>9</v>
      </c>
      <c r="BE45" s="100">
        <v>11242.800000000001</v>
      </c>
      <c r="BF45" s="100">
        <v>11</v>
      </c>
      <c r="BG45" s="100">
        <v>13741.2</v>
      </c>
      <c r="BH45" s="100">
        <v>17</v>
      </c>
      <c r="BI45" s="100">
        <v>21236.400000000001</v>
      </c>
      <c r="BJ45" s="100">
        <v>10.643504523353151</v>
      </c>
      <c r="BK45" s="100">
        <v>13295.865850572756</v>
      </c>
      <c r="BL45" s="100">
        <v>13.848209444538336</v>
      </c>
      <c r="BM45" s="100">
        <v>17299.18323811729</v>
      </c>
      <c r="BN45" s="100">
        <v>11.39761331875777</v>
      </c>
      <c r="BO45" s="100">
        <v>14237.898557792207</v>
      </c>
      <c r="BP45" s="100">
        <v>12.906015646915707</v>
      </c>
      <c r="BQ45" s="100">
        <v>16122.194746127101</v>
      </c>
      <c r="BR45" s="100">
        <v>16.00804606193309</v>
      </c>
      <c r="BS45" s="100">
        <v>19997.251140566816</v>
      </c>
      <c r="BT45" s="100">
        <v>13</v>
      </c>
      <c r="BU45" s="100">
        <v>16239.6</v>
      </c>
      <c r="BV45" s="100">
        <v>12</v>
      </c>
      <c r="BW45" s="100">
        <v>14990.400000000001</v>
      </c>
      <c r="BX45" s="100">
        <v>12</v>
      </c>
      <c r="BY45" s="100">
        <v>14990.400000000001</v>
      </c>
      <c r="BZ45" s="100">
        <v>13</v>
      </c>
      <c r="CA45" s="100">
        <v>16239.6</v>
      </c>
      <c r="CB45" s="100">
        <v>12</v>
      </c>
      <c r="CC45" s="100">
        <v>14990.400000000001</v>
      </c>
      <c r="CD45" s="100">
        <v>14.853640792858821</v>
      </c>
      <c r="CE45" s="100">
        <v>18555.168078439241</v>
      </c>
      <c r="CF45" s="100">
        <v>18</v>
      </c>
      <c r="CG45" s="100">
        <v>22485.600000000002</v>
      </c>
      <c r="CH45" s="100">
        <v>16.839427156554294</v>
      </c>
      <c r="CI45" s="100">
        <v>21035.812403967626</v>
      </c>
      <c r="CJ45" s="100">
        <v>10</v>
      </c>
      <c r="CK45" s="100">
        <v>12492</v>
      </c>
      <c r="CL45" s="100">
        <v>19</v>
      </c>
      <c r="CM45" s="100">
        <v>23734.799999999999</v>
      </c>
      <c r="CN45" s="100">
        <v>16</v>
      </c>
      <c r="CO45" s="100">
        <v>19987.2</v>
      </c>
      <c r="CP45" s="100">
        <v>20</v>
      </c>
      <c r="CQ45" s="100">
        <v>24984</v>
      </c>
      <c r="CR45" s="100">
        <v>10</v>
      </c>
      <c r="CS45" s="100">
        <v>12492</v>
      </c>
      <c r="CT45" s="100">
        <v>14</v>
      </c>
      <c r="CU45" s="100">
        <v>17488.8</v>
      </c>
    </row>
    <row r="46" spans="2:99">
      <c r="C46" s="99" t="s">
        <v>212</v>
      </c>
      <c r="D46" s="100">
        <v>14.605709889786585</v>
      </c>
      <c r="E46" s="100">
        <v>17702.120386421342</v>
      </c>
      <c r="F46" s="100">
        <v>13</v>
      </c>
      <c r="G46" s="100">
        <v>15756</v>
      </c>
      <c r="H46" s="100">
        <v>9</v>
      </c>
      <c r="I46" s="100">
        <v>10908</v>
      </c>
      <c r="J46" s="100">
        <v>17.289065784769914</v>
      </c>
      <c r="K46" s="100">
        <v>20954.347731141137</v>
      </c>
      <c r="L46" s="100">
        <v>11</v>
      </c>
      <c r="M46" s="100">
        <v>13332</v>
      </c>
      <c r="N46" s="100">
        <v>15</v>
      </c>
      <c r="O46" s="100">
        <v>18180</v>
      </c>
      <c r="P46" s="100">
        <v>16</v>
      </c>
      <c r="Q46" s="100">
        <v>19392</v>
      </c>
      <c r="R46" s="100">
        <v>14</v>
      </c>
      <c r="S46" s="100">
        <v>16968</v>
      </c>
      <c r="T46" s="100">
        <v>17</v>
      </c>
      <c r="U46" s="100">
        <v>20604</v>
      </c>
      <c r="V46" s="100">
        <v>20</v>
      </c>
      <c r="W46" s="100">
        <v>24240</v>
      </c>
      <c r="X46" s="100">
        <v>18</v>
      </c>
      <c r="Y46" s="100">
        <v>21816</v>
      </c>
      <c r="Z46" s="100">
        <v>10</v>
      </c>
      <c r="AA46" s="100">
        <v>12120</v>
      </c>
      <c r="AB46" s="100">
        <v>4.6670928008035144</v>
      </c>
      <c r="AC46" s="100">
        <v>5656.5164745738593</v>
      </c>
      <c r="AD46" s="100">
        <v>5.2862257612998115E-4</v>
      </c>
      <c r="AE46" s="100">
        <v>0.64069056226953713</v>
      </c>
      <c r="AF46" s="100">
        <v>4.3387977801107968E-4</v>
      </c>
      <c r="AG46" s="100">
        <v>0.5258622909494286</v>
      </c>
      <c r="AH46" s="100">
        <v>3.2560046609970305E-4</v>
      </c>
      <c r="AI46" s="100">
        <v>0.39462776491284007</v>
      </c>
      <c r="AJ46" s="100">
        <v>13</v>
      </c>
      <c r="AK46" s="100">
        <v>15756</v>
      </c>
      <c r="AL46" s="100">
        <v>12.322708694253842</v>
      </c>
      <c r="AM46" s="100">
        <v>14935.122937435657</v>
      </c>
      <c r="AN46" s="100">
        <v>16.324028700349711</v>
      </c>
      <c r="AO46" s="100">
        <v>19784.722784823851</v>
      </c>
      <c r="AP46" s="100">
        <v>13.101112324318374</v>
      </c>
      <c r="AQ46" s="100">
        <v>15878.548137073869</v>
      </c>
      <c r="AR46" s="100">
        <v>19.013166622295977</v>
      </c>
      <c r="AS46" s="100">
        <v>23043.957946222723</v>
      </c>
      <c r="AT46" s="100">
        <v>11.555512743778536</v>
      </c>
      <c r="AU46" s="100">
        <v>14005.281445459586</v>
      </c>
      <c r="AV46" s="100">
        <v>15</v>
      </c>
      <c r="AW46" s="100">
        <v>18180</v>
      </c>
      <c r="AX46" s="100">
        <v>17.343231822305032</v>
      </c>
      <c r="AY46" s="100">
        <v>21019.996968633699</v>
      </c>
      <c r="AZ46" s="100">
        <v>10</v>
      </c>
      <c r="BA46" s="100">
        <v>12120</v>
      </c>
      <c r="BB46" s="100">
        <v>14</v>
      </c>
      <c r="BC46" s="100">
        <v>16968</v>
      </c>
      <c r="BD46" s="100">
        <v>10</v>
      </c>
      <c r="BE46" s="100">
        <v>12120</v>
      </c>
      <c r="BF46" s="100">
        <v>11</v>
      </c>
      <c r="BG46" s="100">
        <v>13332</v>
      </c>
      <c r="BH46" s="100">
        <v>16</v>
      </c>
      <c r="BI46" s="100">
        <v>19392</v>
      </c>
      <c r="BJ46" s="100">
        <v>11.530463233632581</v>
      </c>
      <c r="BK46" s="100">
        <v>13974.921439162688</v>
      </c>
      <c r="BL46" s="100">
        <v>13.848209444538336</v>
      </c>
      <c r="BM46" s="100">
        <v>16784.029846780464</v>
      </c>
      <c r="BN46" s="100">
        <v>10.447812208861288</v>
      </c>
      <c r="BO46" s="100">
        <v>12662.748397139881</v>
      </c>
      <c r="BP46" s="100">
        <v>10.920474778159445</v>
      </c>
      <c r="BQ46" s="100">
        <v>13235.615431129247</v>
      </c>
      <c r="BR46" s="100">
        <v>14.407241455739779</v>
      </c>
      <c r="BS46" s="100">
        <v>17461.576644356614</v>
      </c>
      <c r="BT46" s="100">
        <v>14</v>
      </c>
      <c r="BU46" s="100">
        <v>16968</v>
      </c>
      <c r="BV46" s="100">
        <v>12</v>
      </c>
      <c r="BW46" s="100">
        <v>14544</v>
      </c>
      <c r="BX46" s="100">
        <v>12</v>
      </c>
      <c r="BY46" s="100">
        <v>14544</v>
      </c>
      <c r="BZ46" s="100">
        <v>13</v>
      </c>
      <c r="CA46" s="100">
        <v>15756</v>
      </c>
      <c r="CB46" s="100">
        <v>13</v>
      </c>
      <c r="CC46" s="100">
        <v>15756</v>
      </c>
      <c r="CD46" s="100">
        <v>12.378033994049018</v>
      </c>
      <c r="CE46" s="100">
        <v>15002.17720078741</v>
      </c>
      <c r="CF46" s="100">
        <v>15</v>
      </c>
      <c r="CG46" s="100">
        <v>18180</v>
      </c>
      <c r="CH46" s="100">
        <v>17.774950887473974</v>
      </c>
      <c r="CI46" s="100">
        <v>21543.240475618455</v>
      </c>
      <c r="CJ46" s="100">
        <v>9</v>
      </c>
      <c r="CK46" s="100">
        <v>10908</v>
      </c>
      <c r="CL46" s="100">
        <v>19</v>
      </c>
      <c r="CM46" s="100">
        <v>23028</v>
      </c>
      <c r="CN46" s="100">
        <v>14</v>
      </c>
      <c r="CO46" s="100">
        <v>16968</v>
      </c>
      <c r="CP46" s="100">
        <v>19</v>
      </c>
      <c r="CQ46" s="100">
        <v>23028</v>
      </c>
      <c r="CR46" s="100">
        <v>10</v>
      </c>
      <c r="CS46" s="100">
        <v>12120</v>
      </c>
      <c r="CT46" s="100">
        <v>15</v>
      </c>
      <c r="CU46" s="100">
        <v>18180</v>
      </c>
    </row>
    <row r="47" spans="2:99">
      <c r="C47" s="99" t="s">
        <v>213</v>
      </c>
      <c r="D47" s="100">
        <v>14.605709889786585</v>
      </c>
      <c r="E47" s="100">
        <v>22311.682427637985</v>
      </c>
      <c r="F47" s="100">
        <v>12</v>
      </c>
      <c r="G47" s="100">
        <v>18331.199999999997</v>
      </c>
      <c r="H47" s="100">
        <v>10</v>
      </c>
      <c r="I47" s="100">
        <v>15276</v>
      </c>
      <c r="J47" s="100">
        <v>14.559213292437821</v>
      </c>
      <c r="K47" s="100">
        <v>22240.654225528015</v>
      </c>
      <c r="L47" s="100">
        <v>10</v>
      </c>
      <c r="M47" s="100">
        <v>15276</v>
      </c>
      <c r="N47" s="100">
        <v>14</v>
      </c>
      <c r="O47" s="100">
        <v>21386.399999999998</v>
      </c>
      <c r="P47" s="100">
        <v>17</v>
      </c>
      <c r="Q47" s="100">
        <v>25969.199999999997</v>
      </c>
      <c r="R47" s="100">
        <v>14</v>
      </c>
      <c r="S47" s="100">
        <v>21386.399999999998</v>
      </c>
      <c r="T47" s="100">
        <v>17</v>
      </c>
      <c r="U47" s="100">
        <v>25969.199999999997</v>
      </c>
      <c r="V47" s="100">
        <v>17</v>
      </c>
      <c r="W47" s="100">
        <v>25969.199999999997</v>
      </c>
      <c r="X47" s="100">
        <v>17</v>
      </c>
      <c r="Y47" s="100">
        <v>25969.199999999997</v>
      </c>
      <c r="Z47" s="100">
        <v>10</v>
      </c>
      <c r="AA47" s="100">
        <v>15276</v>
      </c>
      <c r="AB47" s="100">
        <v>4.6670928008035144</v>
      </c>
      <c r="AC47" s="100">
        <v>7129.4509625074479</v>
      </c>
      <c r="AD47" s="100">
        <v>5.2862257612998115E-4</v>
      </c>
      <c r="AE47" s="100">
        <v>0.80752384729615911</v>
      </c>
      <c r="AF47" s="100">
        <v>4.0977534589935308E-4</v>
      </c>
      <c r="AG47" s="100">
        <v>0.62597281839585173</v>
      </c>
      <c r="AH47" s="100">
        <v>2.9846709392472776E-4</v>
      </c>
      <c r="AI47" s="100">
        <v>0.45593833267941408</v>
      </c>
      <c r="AJ47" s="100">
        <v>13</v>
      </c>
      <c r="AK47" s="100">
        <v>19858.8</v>
      </c>
      <c r="AL47" s="100">
        <v>11.374808025465086</v>
      </c>
      <c r="AM47" s="100">
        <v>17376.156739700466</v>
      </c>
      <c r="AN47" s="100">
        <v>13.746550484505022</v>
      </c>
      <c r="AO47" s="100">
        <v>20999.23052012987</v>
      </c>
      <c r="AP47" s="100">
        <v>11.354297347742589</v>
      </c>
      <c r="AQ47" s="100">
        <v>17344.824628411578</v>
      </c>
      <c r="AR47" s="100">
        <v>15.210533297836783</v>
      </c>
      <c r="AS47" s="100">
        <v>23235.610665775468</v>
      </c>
      <c r="AT47" s="100">
        <v>10.666627148103263</v>
      </c>
      <c r="AU47" s="100">
        <v>16294.339631442544</v>
      </c>
      <c r="AV47" s="100">
        <v>15</v>
      </c>
      <c r="AW47" s="100">
        <v>22914</v>
      </c>
      <c r="AX47" s="100">
        <v>17.343231822305032</v>
      </c>
      <c r="AY47" s="100">
        <v>26493.520931753166</v>
      </c>
      <c r="AZ47" s="100">
        <v>10</v>
      </c>
      <c r="BA47" s="100">
        <v>15276</v>
      </c>
      <c r="BB47" s="100">
        <v>13</v>
      </c>
      <c r="BC47" s="100">
        <v>19858.8</v>
      </c>
      <c r="BD47" s="100">
        <v>11</v>
      </c>
      <c r="BE47" s="100">
        <v>16803.599999999999</v>
      </c>
      <c r="BF47" s="100">
        <v>11</v>
      </c>
      <c r="BG47" s="100">
        <v>16803.599999999999</v>
      </c>
      <c r="BH47" s="100">
        <v>19</v>
      </c>
      <c r="BI47" s="100">
        <v>29024.399999999998</v>
      </c>
      <c r="BJ47" s="100">
        <v>12.417421943912011</v>
      </c>
      <c r="BK47" s="100">
        <v>18968.853761519986</v>
      </c>
      <c r="BL47" s="100">
        <v>16.444748715389274</v>
      </c>
      <c r="BM47" s="100">
        <v>25120.998137628652</v>
      </c>
      <c r="BN47" s="100">
        <v>11.39761331875777</v>
      </c>
      <c r="BO47" s="100">
        <v>17410.994105734368</v>
      </c>
      <c r="BP47" s="100">
        <v>10.920474778159445</v>
      </c>
      <c r="BQ47" s="100">
        <v>16682.117271116367</v>
      </c>
      <c r="BR47" s="100">
        <v>14.407241455739779</v>
      </c>
      <c r="BS47" s="100">
        <v>22008.502047788086</v>
      </c>
      <c r="BT47" s="100">
        <v>14</v>
      </c>
      <c r="BU47" s="100">
        <v>21386.399999999998</v>
      </c>
      <c r="BV47" s="100">
        <v>12</v>
      </c>
      <c r="BW47" s="100">
        <v>18331.199999999997</v>
      </c>
      <c r="BX47" s="100">
        <v>13</v>
      </c>
      <c r="BY47" s="100">
        <v>19858.8</v>
      </c>
      <c r="BZ47" s="100">
        <v>11</v>
      </c>
      <c r="CA47" s="100">
        <v>16803.599999999999</v>
      </c>
      <c r="CB47" s="100">
        <v>13</v>
      </c>
      <c r="CC47" s="100">
        <v>19858.8</v>
      </c>
      <c r="CD47" s="100">
        <v>13.203236260318951</v>
      </c>
      <c r="CE47" s="100">
        <v>20169.263711263229</v>
      </c>
      <c r="CF47" s="100">
        <v>18</v>
      </c>
      <c r="CG47" s="100">
        <v>27496.799999999999</v>
      </c>
      <c r="CH47" s="100">
        <v>17.774950887473974</v>
      </c>
      <c r="CI47" s="100">
        <v>27153.014975705242</v>
      </c>
      <c r="CJ47" s="100">
        <v>10</v>
      </c>
      <c r="CK47" s="100">
        <v>15276</v>
      </c>
      <c r="CL47" s="100">
        <v>17</v>
      </c>
      <c r="CM47" s="100">
        <v>25969.199999999997</v>
      </c>
      <c r="CN47" s="100">
        <v>14</v>
      </c>
      <c r="CO47" s="100">
        <v>21386.399999999998</v>
      </c>
      <c r="CP47" s="100">
        <v>19</v>
      </c>
      <c r="CQ47" s="100">
        <v>29024.399999999998</v>
      </c>
      <c r="CR47" s="100">
        <v>9</v>
      </c>
      <c r="CS47" s="100">
        <v>13748.4</v>
      </c>
      <c r="CT47" s="100">
        <v>16</v>
      </c>
      <c r="CU47" s="100">
        <v>24441.599999999999</v>
      </c>
    </row>
    <row r="48" spans="2:99">
      <c r="C48" s="99" t="s">
        <v>214</v>
      </c>
      <c r="D48" s="100">
        <v>14.605709889786585</v>
      </c>
      <c r="E48" s="100">
        <v>12671.913900378842</v>
      </c>
      <c r="F48" s="100">
        <v>13</v>
      </c>
      <c r="G48" s="100">
        <v>11278.800000000001</v>
      </c>
      <c r="H48" s="100">
        <v>11</v>
      </c>
      <c r="I48" s="100">
        <v>9543.6</v>
      </c>
      <c r="J48" s="100">
        <v>18.199016615547276</v>
      </c>
      <c r="K48" s="100">
        <v>15789.466815648817</v>
      </c>
      <c r="L48" s="100">
        <v>12</v>
      </c>
      <c r="M48" s="100">
        <v>10411.200000000001</v>
      </c>
      <c r="N48" s="100">
        <v>14</v>
      </c>
      <c r="O48" s="100">
        <v>12146.4</v>
      </c>
      <c r="P48" s="100">
        <v>15</v>
      </c>
      <c r="Q48" s="100">
        <v>13014</v>
      </c>
      <c r="R48" s="100">
        <v>14</v>
      </c>
      <c r="S48" s="100">
        <v>12146.4</v>
      </c>
      <c r="T48" s="100">
        <v>18</v>
      </c>
      <c r="U48" s="100">
        <v>15616.800000000001</v>
      </c>
      <c r="V48" s="100">
        <v>20</v>
      </c>
      <c r="W48" s="100">
        <v>17352</v>
      </c>
      <c r="X48" s="100">
        <v>17</v>
      </c>
      <c r="Y48" s="100">
        <v>14749.2</v>
      </c>
      <c r="Z48" s="100">
        <v>9</v>
      </c>
      <c r="AA48" s="100">
        <v>7808.4000000000005</v>
      </c>
      <c r="AB48" s="100">
        <v>5.2893718409106496</v>
      </c>
      <c r="AC48" s="100">
        <v>4589.0590091740796</v>
      </c>
      <c r="AD48" s="100">
        <v>4.975271304752763E-4</v>
      </c>
      <c r="AE48" s="100">
        <v>0.43165453840034973</v>
      </c>
      <c r="AF48" s="100">
        <v>4.0977534589935308E-4</v>
      </c>
      <c r="AG48" s="100">
        <v>0.35552109010227873</v>
      </c>
      <c r="AH48" s="100">
        <v>2.9846709392472776E-4</v>
      </c>
      <c r="AI48" s="100">
        <v>0.25895005068909382</v>
      </c>
      <c r="AJ48" s="100">
        <v>16</v>
      </c>
      <c r="AK48" s="100">
        <v>13881.6</v>
      </c>
      <c r="AL48" s="100">
        <v>14.218510031831357</v>
      </c>
      <c r="AM48" s="100">
        <v>12335.979303616887</v>
      </c>
      <c r="AN48" s="100">
        <v>14.605709889786585</v>
      </c>
      <c r="AO48" s="100">
        <v>12671.913900378842</v>
      </c>
      <c r="AP48" s="100">
        <v>12.227704836030481</v>
      </c>
      <c r="AQ48" s="100">
        <v>10608.756715740046</v>
      </c>
      <c r="AR48" s="100">
        <v>17.11184996006638</v>
      </c>
      <c r="AS48" s="100">
        <v>14846.241025353591</v>
      </c>
      <c r="AT48" s="100">
        <v>9.7777415524279903</v>
      </c>
      <c r="AU48" s="100">
        <v>8483.1685708865243</v>
      </c>
      <c r="AV48" s="100">
        <v>16</v>
      </c>
      <c r="AW48" s="100">
        <v>13881.6</v>
      </c>
      <c r="AX48" s="100">
        <v>17.343231822305032</v>
      </c>
      <c r="AY48" s="100">
        <v>15046.987929031846</v>
      </c>
      <c r="AZ48" s="100">
        <v>11</v>
      </c>
      <c r="BA48" s="100">
        <v>9543.6</v>
      </c>
      <c r="BB48" s="100">
        <v>14</v>
      </c>
      <c r="BC48" s="100">
        <v>12146.4</v>
      </c>
      <c r="BD48" s="100">
        <v>11</v>
      </c>
      <c r="BE48" s="100">
        <v>9543.6</v>
      </c>
      <c r="BF48" s="100">
        <v>13</v>
      </c>
      <c r="BG48" s="100">
        <v>11278.800000000001</v>
      </c>
      <c r="BH48" s="100">
        <v>17</v>
      </c>
      <c r="BI48" s="100">
        <v>14749.2</v>
      </c>
      <c r="BJ48" s="100">
        <v>13.304380654191439</v>
      </c>
      <c r="BK48" s="100">
        <v>11542.880655576493</v>
      </c>
      <c r="BL48" s="100">
        <v>16.444748715389274</v>
      </c>
      <c r="BM48" s="100">
        <v>14267.463985471733</v>
      </c>
      <c r="BN48" s="100">
        <v>10.447812208861288</v>
      </c>
      <c r="BO48" s="100">
        <v>9064.5218724080532</v>
      </c>
      <c r="BP48" s="100">
        <v>10.920474778159445</v>
      </c>
      <c r="BQ48" s="100">
        <v>9474.6039175311344</v>
      </c>
      <c r="BR48" s="100">
        <v>14.407241455739779</v>
      </c>
      <c r="BS48" s="100">
        <v>12499.722686999832</v>
      </c>
      <c r="BT48" s="100">
        <v>14</v>
      </c>
      <c r="BU48" s="100">
        <v>12146.4</v>
      </c>
      <c r="BV48" s="100">
        <v>14</v>
      </c>
      <c r="BW48" s="100">
        <v>12146.4</v>
      </c>
      <c r="BX48" s="100">
        <v>13</v>
      </c>
      <c r="BY48" s="100">
        <v>11278.800000000001</v>
      </c>
      <c r="BZ48" s="100">
        <v>14</v>
      </c>
      <c r="CA48" s="100">
        <v>12146.4</v>
      </c>
      <c r="CB48" s="100">
        <v>14</v>
      </c>
      <c r="CC48" s="100">
        <v>12146.4</v>
      </c>
      <c r="CD48" s="100">
        <v>13.203236260318951</v>
      </c>
      <c r="CE48" s="100">
        <v>11455.127779452721</v>
      </c>
      <c r="CF48" s="100">
        <v>19</v>
      </c>
      <c r="CG48" s="100">
        <v>16484.400000000001</v>
      </c>
      <c r="CH48" s="100">
        <v>19.645998349313338</v>
      </c>
      <c r="CI48" s="100">
        <v>17044.868167864253</v>
      </c>
      <c r="CJ48" s="100">
        <v>11</v>
      </c>
      <c r="CK48" s="100">
        <v>9543.6</v>
      </c>
      <c r="CL48" s="100">
        <v>17</v>
      </c>
      <c r="CM48" s="100">
        <v>14749.2</v>
      </c>
      <c r="CN48" s="100">
        <v>15</v>
      </c>
      <c r="CO48" s="100">
        <v>13014</v>
      </c>
      <c r="CP48" s="100">
        <v>18</v>
      </c>
      <c r="CQ48" s="100">
        <v>15616.800000000001</v>
      </c>
      <c r="CR48" s="100">
        <v>10</v>
      </c>
      <c r="CS48" s="100">
        <v>8676</v>
      </c>
      <c r="CT48" s="100">
        <v>16</v>
      </c>
      <c r="CU48" s="100">
        <v>13881.6</v>
      </c>
    </row>
    <row r="49" spans="2:99">
      <c r="B49" s="99" t="s">
        <v>129</v>
      </c>
      <c r="C49" s="99" t="s">
        <v>215</v>
      </c>
      <c r="D49" s="100">
        <v>12</v>
      </c>
      <c r="E49" s="100">
        <v>11822.4</v>
      </c>
      <c r="F49" s="100">
        <v>14.233128834355828</v>
      </c>
      <c r="G49" s="100">
        <v>14022.47852760736</v>
      </c>
      <c r="H49" s="100">
        <v>12.307692307692308</v>
      </c>
      <c r="I49" s="100">
        <v>12125.538461538461</v>
      </c>
      <c r="J49" s="100">
        <v>13.254437869822485</v>
      </c>
      <c r="K49" s="100">
        <v>13058.272189349113</v>
      </c>
      <c r="L49" s="100">
        <v>14.103703703703703</v>
      </c>
      <c r="M49" s="100">
        <v>13894.968888888887</v>
      </c>
      <c r="N49" s="100">
        <v>8.7375886524822697</v>
      </c>
      <c r="O49" s="100">
        <v>8608.2723404255321</v>
      </c>
      <c r="P49" s="100">
        <v>10.253521126760564</v>
      </c>
      <c r="Q49" s="100">
        <v>10101.769014084506</v>
      </c>
      <c r="R49" s="100">
        <v>7.2517985611510793</v>
      </c>
      <c r="S49" s="100">
        <v>7144.4719424460427</v>
      </c>
      <c r="T49" s="100">
        <v>7.2413793103448274</v>
      </c>
      <c r="U49" s="100">
        <v>7134.2068965517237</v>
      </c>
      <c r="V49" s="100">
        <v>16</v>
      </c>
      <c r="W49" s="100">
        <v>15763.199999999999</v>
      </c>
      <c r="X49" s="100">
        <v>15</v>
      </c>
      <c r="Y49" s="100">
        <v>14777.999999999998</v>
      </c>
      <c r="Z49" s="100">
        <v>13.517241379310345</v>
      </c>
      <c r="AA49" s="100">
        <v>13317.186206896551</v>
      </c>
      <c r="AB49" s="100">
        <v>10</v>
      </c>
      <c r="AC49" s="100">
        <v>9852</v>
      </c>
      <c r="AD49" s="100">
        <v>8</v>
      </c>
      <c r="AE49" s="100">
        <v>7881.5999999999995</v>
      </c>
      <c r="AF49" s="100">
        <v>18</v>
      </c>
      <c r="AG49" s="100">
        <v>17733.599999999999</v>
      </c>
      <c r="AH49" s="100">
        <v>14</v>
      </c>
      <c r="AI49" s="100">
        <v>13792.8</v>
      </c>
      <c r="AJ49" s="100">
        <v>10</v>
      </c>
      <c r="AK49" s="100">
        <v>9852</v>
      </c>
      <c r="AL49" s="100">
        <v>12</v>
      </c>
      <c r="AM49" s="100">
        <v>11822.4</v>
      </c>
      <c r="AN49" s="100">
        <v>14</v>
      </c>
      <c r="AO49" s="100">
        <v>13792.8</v>
      </c>
      <c r="AP49" s="100">
        <v>11.479532163742689</v>
      </c>
      <c r="AQ49" s="100">
        <v>11309.635087719296</v>
      </c>
      <c r="AR49" s="100">
        <v>10.76923076923077</v>
      </c>
      <c r="AS49" s="100">
        <v>10609.846153846154</v>
      </c>
      <c r="AT49" s="100">
        <v>11.973684210526317</v>
      </c>
      <c r="AU49" s="100">
        <v>11796.473684210527</v>
      </c>
      <c r="AV49" s="100">
        <v>10</v>
      </c>
      <c r="AW49" s="100">
        <v>9852</v>
      </c>
      <c r="AX49" s="100">
        <v>12</v>
      </c>
      <c r="AY49" s="100">
        <v>11822.4</v>
      </c>
      <c r="AZ49" s="100">
        <v>7.8509316770186333</v>
      </c>
      <c r="BA49" s="100">
        <v>7734.737888198757</v>
      </c>
      <c r="BB49" s="100">
        <v>9.4915254237288131</v>
      </c>
      <c r="BC49" s="100">
        <v>9351.0508474576254</v>
      </c>
      <c r="BD49" s="100">
        <v>12</v>
      </c>
      <c r="BE49" s="100">
        <v>11822.4</v>
      </c>
      <c r="BF49" s="100">
        <v>11</v>
      </c>
      <c r="BG49" s="100">
        <v>10837.199999999999</v>
      </c>
      <c r="BH49" s="100">
        <v>14</v>
      </c>
      <c r="BI49" s="100">
        <v>13792.8</v>
      </c>
      <c r="BJ49" s="100">
        <v>12</v>
      </c>
      <c r="BK49" s="100">
        <v>11822.4</v>
      </c>
      <c r="BL49" s="100">
        <v>11</v>
      </c>
      <c r="BM49" s="100">
        <v>10837.199999999999</v>
      </c>
      <c r="BN49" s="100">
        <v>16</v>
      </c>
      <c r="BO49" s="100">
        <v>15763.199999999999</v>
      </c>
      <c r="BP49" s="100">
        <v>10</v>
      </c>
      <c r="BQ49" s="100">
        <v>9852</v>
      </c>
      <c r="BR49" s="100">
        <v>15</v>
      </c>
      <c r="BS49" s="100">
        <v>14777.999999999998</v>
      </c>
      <c r="BT49" s="100">
        <v>14</v>
      </c>
      <c r="BU49" s="100">
        <v>13792.8</v>
      </c>
      <c r="BV49" s="100">
        <v>10</v>
      </c>
      <c r="BW49" s="100">
        <v>9852</v>
      </c>
      <c r="BX49" s="100">
        <v>8</v>
      </c>
      <c r="BY49" s="100">
        <v>7881.5999999999995</v>
      </c>
      <c r="BZ49" s="100">
        <v>14</v>
      </c>
      <c r="CA49" s="100">
        <v>13792.8</v>
      </c>
      <c r="CB49" s="100">
        <v>8</v>
      </c>
      <c r="CC49" s="100">
        <v>7881.5999999999995</v>
      </c>
      <c r="CD49" s="100">
        <v>15</v>
      </c>
      <c r="CE49" s="100">
        <v>14777.999999999998</v>
      </c>
      <c r="CF49" s="100">
        <v>11</v>
      </c>
      <c r="CG49" s="100">
        <v>10837.199999999999</v>
      </c>
      <c r="CH49" s="100">
        <v>13</v>
      </c>
      <c r="CI49" s="100">
        <v>12807.599999999999</v>
      </c>
      <c r="CJ49" s="100">
        <v>14</v>
      </c>
      <c r="CK49" s="100">
        <v>13792.8</v>
      </c>
      <c r="CL49" s="100">
        <v>10</v>
      </c>
      <c r="CM49" s="100">
        <v>9852</v>
      </c>
      <c r="CN49" s="100">
        <v>15</v>
      </c>
      <c r="CO49" s="100">
        <v>14777.999999999998</v>
      </c>
      <c r="CP49" s="100">
        <v>9</v>
      </c>
      <c r="CQ49" s="100">
        <v>8866.7999999999993</v>
      </c>
      <c r="CR49" s="100">
        <v>9</v>
      </c>
      <c r="CS49" s="100">
        <v>8866.7999999999993</v>
      </c>
      <c r="CT49" s="100">
        <v>14</v>
      </c>
      <c r="CU49" s="100">
        <v>13792.8</v>
      </c>
    </row>
    <row r="50" spans="2:99">
      <c r="C50" s="99" t="s">
        <v>216</v>
      </c>
      <c r="D50" s="100">
        <v>12.028231673941894</v>
      </c>
      <c r="E50" s="100">
        <v>3391.9613320516141</v>
      </c>
      <c r="F50" s="100">
        <v>16</v>
      </c>
      <c r="G50" s="100">
        <v>4512</v>
      </c>
      <c r="H50" s="100">
        <v>16</v>
      </c>
      <c r="I50" s="100">
        <v>4512</v>
      </c>
      <c r="J50" s="100">
        <v>14.559213292437821</v>
      </c>
      <c r="K50" s="100">
        <v>4105.6981484674652</v>
      </c>
      <c r="L50" s="100">
        <v>15</v>
      </c>
      <c r="M50" s="100">
        <v>4230</v>
      </c>
      <c r="N50" s="100">
        <v>10</v>
      </c>
      <c r="O50" s="100">
        <v>2820</v>
      </c>
      <c r="P50" s="100">
        <v>14</v>
      </c>
      <c r="Q50" s="100">
        <v>3948</v>
      </c>
      <c r="R50" s="100">
        <v>10</v>
      </c>
      <c r="S50" s="100">
        <v>2820</v>
      </c>
      <c r="T50" s="100">
        <v>9</v>
      </c>
      <c r="U50" s="100">
        <v>2538</v>
      </c>
      <c r="V50" s="100">
        <v>19</v>
      </c>
      <c r="W50" s="100">
        <v>5358</v>
      </c>
      <c r="X50" s="100">
        <v>16</v>
      </c>
      <c r="Y50" s="100">
        <v>4512</v>
      </c>
      <c r="Z50" s="100">
        <v>16</v>
      </c>
      <c r="AA50" s="100">
        <v>4512</v>
      </c>
      <c r="AB50" s="100">
        <v>3.7336742406428116</v>
      </c>
      <c r="AC50" s="100">
        <v>1052.8961358612728</v>
      </c>
      <c r="AD50" s="100">
        <v>2.7985901089234294E-4</v>
      </c>
      <c r="AE50" s="100">
        <v>7.8920241071640709E-2</v>
      </c>
      <c r="AF50" s="100">
        <v>4.0977534589935308E-4</v>
      </c>
      <c r="AG50" s="100">
        <v>0.11555664754361757</v>
      </c>
      <c r="AH50" s="100">
        <v>4.6126732697457932E-4</v>
      </c>
      <c r="AI50" s="100">
        <v>0.13007738620683137</v>
      </c>
      <c r="AJ50" s="100">
        <v>9</v>
      </c>
      <c r="AK50" s="100">
        <v>2538</v>
      </c>
      <c r="AL50" s="100">
        <v>13.270609363042601</v>
      </c>
      <c r="AM50" s="100">
        <v>3742.3118403780136</v>
      </c>
      <c r="AN50" s="100">
        <v>14.605709889786585</v>
      </c>
      <c r="AO50" s="100">
        <v>4118.8101889198169</v>
      </c>
      <c r="AP50" s="100">
        <v>13.101112324318374</v>
      </c>
      <c r="AQ50" s="100">
        <v>3694.5136754577816</v>
      </c>
      <c r="AR50" s="100">
        <v>13.309216635607184</v>
      </c>
      <c r="AS50" s="100">
        <v>3753.1990912412257</v>
      </c>
      <c r="AT50" s="100">
        <v>15.111055126479624</v>
      </c>
      <c r="AU50" s="100">
        <v>4261.3175456672534</v>
      </c>
      <c r="AV50" s="100">
        <v>11</v>
      </c>
      <c r="AW50" s="100">
        <v>3102</v>
      </c>
      <c r="AX50" s="100">
        <v>12.779223448014234</v>
      </c>
      <c r="AY50" s="100">
        <v>3603.7410123400141</v>
      </c>
      <c r="AZ50" s="100">
        <v>10</v>
      </c>
      <c r="BA50" s="100">
        <v>2820</v>
      </c>
      <c r="BB50" s="100">
        <v>15</v>
      </c>
      <c r="BC50" s="100">
        <v>4230</v>
      </c>
      <c r="BD50" s="100">
        <v>13</v>
      </c>
      <c r="BE50" s="100">
        <v>3666</v>
      </c>
      <c r="BF50" s="100">
        <v>12</v>
      </c>
      <c r="BG50" s="100">
        <v>3384</v>
      </c>
      <c r="BH50" s="100">
        <v>15</v>
      </c>
      <c r="BI50" s="100">
        <v>4230</v>
      </c>
      <c r="BJ50" s="100">
        <v>10.643504523353151</v>
      </c>
      <c r="BK50" s="100">
        <v>3001.4682755855888</v>
      </c>
      <c r="BL50" s="100">
        <v>10.386157083403752</v>
      </c>
      <c r="BM50" s="100">
        <v>2928.8962975198583</v>
      </c>
      <c r="BN50" s="100">
        <v>16.146618868240175</v>
      </c>
      <c r="BO50" s="100">
        <v>4553.3465208437292</v>
      </c>
      <c r="BP50" s="100">
        <v>10.920474778159445</v>
      </c>
      <c r="BQ50" s="100">
        <v>3079.5738874409635</v>
      </c>
      <c r="BR50" s="100">
        <v>12.006034546449817</v>
      </c>
      <c r="BS50" s="100">
        <v>3385.7017420988482</v>
      </c>
      <c r="BT50" s="100">
        <v>15</v>
      </c>
      <c r="BU50" s="100">
        <v>4230</v>
      </c>
      <c r="BV50" s="100">
        <v>11</v>
      </c>
      <c r="BW50" s="100">
        <v>3102</v>
      </c>
      <c r="BX50" s="100">
        <v>8</v>
      </c>
      <c r="BY50" s="100">
        <v>2256</v>
      </c>
      <c r="BZ50" s="100">
        <v>15</v>
      </c>
      <c r="CA50" s="100">
        <v>4230</v>
      </c>
      <c r="CB50" s="100">
        <v>9</v>
      </c>
      <c r="CC50" s="100">
        <v>2538</v>
      </c>
      <c r="CD50" s="100">
        <v>12.378033994049018</v>
      </c>
      <c r="CE50" s="100">
        <v>3490.605586321823</v>
      </c>
      <c r="CF50" s="100">
        <v>10</v>
      </c>
      <c r="CG50" s="100">
        <v>2820</v>
      </c>
      <c r="CH50" s="100">
        <v>14.032855963795244</v>
      </c>
      <c r="CI50" s="100">
        <v>3957.2653817902587</v>
      </c>
      <c r="CJ50" s="100">
        <v>15</v>
      </c>
      <c r="CK50" s="100">
        <v>4230</v>
      </c>
      <c r="CL50" s="100">
        <v>10</v>
      </c>
      <c r="CM50" s="100">
        <v>2820</v>
      </c>
      <c r="CN50" s="100">
        <v>16</v>
      </c>
      <c r="CO50" s="100">
        <v>4512</v>
      </c>
      <c r="CP50" s="100">
        <v>10</v>
      </c>
      <c r="CQ50" s="100">
        <v>2820</v>
      </c>
      <c r="CR50" s="100">
        <v>10</v>
      </c>
      <c r="CS50" s="100">
        <v>2820</v>
      </c>
      <c r="CT50" s="100">
        <v>15</v>
      </c>
      <c r="CU50" s="100">
        <v>4230</v>
      </c>
    </row>
    <row r="51" spans="2:99">
      <c r="C51" s="99" t="s">
        <v>217</v>
      </c>
      <c r="D51" s="100">
        <v>11.169072268660329</v>
      </c>
      <c r="E51" s="100">
        <v>9542.8553463433855</v>
      </c>
      <c r="F51" s="100">
        <v>15</v>
      </c>
      <c r="G51" s="100">
        <v>12816</v>
      </c>
      <c r="H51" s="100">
        <v>16</v>
      </c>
      <c r="I51" s="100">
        <v>13670.4</v>
      </c>
      <c r="J51" s="100">
        <v>14.559213292437821</v>
      </c>
      <c r="K51" s="100">
        <v>12439.391837058874</v>
      </c>
      <c r="L51" s="100">
        <v>17</v>
      </c>
      <c r="M51" s="100">
        <v>14524.8</v>
      </c>
      <c r="N51" s="100">
        <v>11</v>
      </c>
      <c r="O51" s="100">
        <v>9398.4</v>
      </c>
      <c r="P51" s="100">
        <v>12</v>
      </c>
      <c r="Q51" s="100">
        <v>10252.799999999999</v>
      </c>
      <c r="R51" s="100">
        <v>9</v>
      </c>
      <c r="S51" s="100">
        <v>7689.5999999999995</v>
      </c>
      <c r="T51" s="100">
        <v>8</v>
      </c>
      <c r="U51" s="100">
        <v>6835.2</v>
      </c>
      <c r="V51" s="100">
        <v>16</v>
      </c>
      <c r="W51" s="100">
        <v>13670.4</v>
      </c>
      <c r="X51" s="100">
        <v>14</v>
      </c>
      <c r="Y51" s="100">
        <v>11961.6</v>
      </c>
      <c r="Z51" s="100">
        <v>16</v>
      </c>
      <c r="AA51" s="100">
        <v>13670.4</v>
      </c>
      <c r="AB51" s="100">
        <v>3.1113952005356769</v>
      </c>
      <c r="AC51" s="100">
        <v>2658.3760593376824</v>
      </c>
      <c r="AD51" s="100">
        <v>2.7985901089234294E-4</v>
      </c>
      <c r="AE51" s="100">
        <v>0.23911153890641781</v>
      </c>
      <c r="AF51" s="100">
        <v>4.3387977801107968E-4</v>
      </c>
      <c r="AG51" s="100">
        <v>0.37070688233266647</v>
      </c>
      <c r="AH51" s="100">
        <v>4.070005826246288E-4</v>
      </c>
      <c r="AI51" s="100">
        <v>0.34774129779448282</v>
      </c>
      <c r="AJ51" s="100">
        <v>9</v>
      </c>
      <c r="AK51" s="100">
        <v>7689.5999999999995</v>
      </c>
      <c r="AL51" s="100">
        <v>11.374808025465086</v>
      </c>
      <c r="AM51" s="100">
        <v>9718.6359769573683</v>
      </c>
      <c r="AN51" s="100">
        <v>12.028231673941894</v>
      </c>
      <c r="AO51" s="100">
        <v>10276.921142215953</v>
      </c>
      <c r="AP51" s="100">
        <v>11.354297347742589</v>
      </c>
      <c r="AQ51" s="100">
        <v>9701.1116539112681</v>
      </c>
      <c r="AR51" s="100">
        <v>11.407899973377587</v>
      </c>
      <c r="AS51" s="100">
        <v>9746.9097372538108</v>
      </c>
      <c r="AT51" s="100">
        <v>12.444398339453805</v>
      </c>
      <c r="AU51" s="100">
        <v>10632.493941229332</v>
      </c>
      <c r="AV51" s="100">
        <v>10</v>
      </c>
      <c r="AW51" s="100">
        <v>8544</v>
      </c>
      <c r="AX51" s="100">
        <v>11.866421773156075</v>
      </c>
      <c r="AY51" s="100">
        <v>10138.67076298455</v>
      </c>
      <c r="AZ51" s="100">
        <v>8</v>
      </c>
      <c r="BA51" s="100">
        <v>6835.2</v>
      </c>
      <c r="BB51" s="100">
        <v>14</v>
      </c>
      <c r="BC51" s="100">
        <v>11961.6</v>
      </c>
      <c r="BD51" s="100">
        <v>12</v>
      </c>
      <c r="BE51" s="100">
        <v>10252.799999999999</v>
      </c>
      <c r="BF51" s="100">
        <v>11</v>
      </c>
      <c r="BG51" s="100">
        <v>9398.4</v>
      </c>
      <c r="BH51" s="100">
        <v>15</v>
      </c>
      <c r="BI51" s="100">
        <v>12816</v>
      </c>
      <c r="BJ51" s="100">
        <v>9.756545813073723</v>
      </c>
      <c r="BK51" s="100">
        <v>8335.9927426901886</v>
      </c>
      <c r="BL51" s="100">
        <v>11.251670173687399</v>
      </c>
      <c r="BM51" s="100">
        <v>9613.4269963985134</v>
      </c>
      <c r="BN51" s="100">
        <v>15.196817758343691</v>
      </c>
      <c r="BO51" s="100">
        <v>12984.161092728849</v>
      </c>
      <c r="BP51" s="100">
        <v>9.9277043437813113</v>
      </c>
      <c r="BQ51" s="100">
        <v>8482.2305913267519</v>
      </c>
      <c r="BR51" s="100">
        <v>10.405229940256508</v>
      </c>
      <c r="BS51" s="100">
        <v>8890.2284609551607</v>
      </c>
      <c r="BT51" s="100">
        <v>15</v>
      </c>
      <c r="BU51" s="100">
        <v>12816</v>
      </c>
      <c r="BV51" s="100">
        <v>10</v>
      </c>
      <c r="BW51" s="100">
        <v>8544</v>
      </c>
      <c r="BX51" s="100">
        <v>9</v>
      </c>
      <c r="BY51" s="100">
        <v>7689.5999999999995</v>
      </c>
      <c r="BZ51" s="100">
        <v>15</v>
      </c>
      <c r="CA51" s="100">
        <v>12816</v>
      </c>
      <c r="CB51" s="100">
        <v>9</v>
      </c>
      <c r="CC51" s="100">
        <v>7689.5999999999995</v>
      </c>
      <c r="CD51" s="100">
        <v>12.378033994049018</v>
      </c>
      <c r="CE51" s="100">
        <v>10575.79224451548</v>
      </c>
      <c r="CF51" s="100">
        <v>10</v>
      </c>
      <c r="CG51" s="100">
        <v>8544</v>
      </c>
      <c r="CH51" s="100">
        <v>12.161808501955877</v>
      </c>
      <c r="CI51" s="100">
        <v>10391.0491840711</v>
      </c>
      <c r="CJ51" s="100">
        <v>14</v>
      </c>
      <c r="CK51" s="100">
        <v>11961.6</v>
      </c>
      <c r="CL51" s="100">
        <v>10</v>
      </c>
      <c r="CM51" s="100">
        <v>8544</v>
      </c>
      <c r="CN51" s="100">
        <v>14</v>
      </c>
      <c r="CO51" s="100">
        <v>11961.6</v>
      </c>
      <c r="CP51" s="100">
        <v>9</v>
      </c>
      <c r="CQ51" s="100">
        <v>7689.5999999999995</v>
      </c>
      <c r="CR51" s="100">
        <v>9</v>
      </c>
      <c r="CS51" s="100">
        <v>7689.5999999999995</v>
      </c>
      <c r="CT51" s="100">
        <v>15</v>
      </c>
      <c r="CU51" s="100">
        <v>12816</v>
      </c>
    </row>
    <row r="52" spans="2:99">
      <c r="C52" s="99" t="s">
        <v>218</v>
      </c>
      <c r="D52" s="100">
        <v>12.028231673941894</v>
      </c>
      <c r="E52" s="100">
        <v>6495.2451039286225</v>
      </c>
      <c r="F52" s="100">
        <v>15</v>
      </c>
      <c r="G52" s="100">
        <v>8100</v>
      </c>
      <c r="H52" s="100">
        <v>15</v>
      </c>
      <c r="I52" s="100">
        <v>8100</v>
      </c>
      <c r="J52" s="100">
        <v>14.559213292437821</v>
      </c>
      <c r="K52" s="100">
        <v>7861.9751779164235</v>
      </c>
      <c r="L52" s="100">
        <v>16</v>
      </c>
      <c r="M52" s="100">
        <v>8640</v>
      </c>
      <c r="N52" s="100">
        <v>10</v>
      </c>
      <c r="O52" s="100">
        <v>5400</v>
      </c>
      <c r="P52" s="100">
        <v>14</v>
      </c>
      <c r="Q52" s="100">
        <v>7560</v>
      </c>
      <c r="R52" s="100">
        <v>9</v>
      </c>
      <c r="S52" s="100">
        <v>4860</v>
      </c>
      <c r="T52" s="100">
        <v>9</v>
      </c>
      <c r="U52" s="100">
        <v>4860</v>
      </c>
      <c r="V52" s="100">
        <v>18</v>
      </c>
      <c r="W52" s="100">
        <v>9720</v>
      </c>
      <c r="X52" s="100">
        <v>15</v>
      </c>
      <c r="Y52" s="100">
        <v>8100</v>
      </c>
      <c r="Z52" s="100">
        <v>14</v>
      </c>
      <c r="AA52" s="100">
        <v>7560</v>
      </c>
      <c r="AB52" s="100">
        <v>3.422534720589244</v>
      </c>
      <c r="AC52" s="100">
        <v>1848.1687491181917</v>
      </c>
      <c r="AD52" s="100">
        <v>2.7985901089234294E-4</v>
      </c>
      <c r="AE52" s="100">
        <v>0.15112386588186519</v>
      </c>
      <c r="AF52" s="100">
        <v>4.5798421012280635E-4</v>
      </c>
      <c r="AG52" s="100">
        <v>0.24731147346631543</v>
      </c>
      <c r="AH52" s="100">
        <v>4.3413395479960403E-4</v>
      </c>
      <c r="AI52" s="100">
        <v>0.23443233559178617</v>
      </c>
      <c r="AJ52" s="100">
        <v>9</v>
      </c>
      <c r="AK52" s="100">
        <v>4860</v>
      </c>
      <c r="AL52" s="100">
        <v>10.426907356676329</v>
      </c>
      <c r="AM52" s="100">
        <v>5630.5299726052181</v>
      </c>
      <c r="AN52" s="100">
        <v>13.746550484505022</v>
      </c>
      <c r="AO52" s="100">
        <v>7423.1372616327117</v>
      </c>
      <c r="AP52" s="100">
        <v>13.101112324318374</v>
      </c>
      <c r="AQ52" s="100">
        <v>7074.6006551319215</v>
      </c>
      <c r="AR52" s="100">
        <v>13.309216635607184</v>
      </c>
      <c r="AS52" s="100">
        <v>7186.9769832278789</v>
      </c>
      <c r="AT52" s="100">
        <v>12.444398339453805</v>
      </c>
      <c r="AU52" s="100">
        <v>6719.9751033050552</v>
      </c>
      <c r="AV52" s="100">
        <v>10</v>
      </c>
      <c r="AW52" s="100">
        <v>5400</v>
      </c>
      <c r="AX52" s="100">
        <v>11.866421773156075</v>
      </c>
      <c r="AY52" s="100">
        <v>6407.8677575042802</v>
      </c>
      <c r="AZ52" s="100">
        <v>9</v>
      </c>
      <c r="BA52" s="100">
        <v>4860</v>
      </c>
      <c r="BB52" s="100">
        <v>15</v>
      </c>
      <c r="BC52" s="100">
        <v>8100</v>
      </c>
      <c r="BD52" s="100">
        <v>11</v>
      </c>
      <c r="BE52" s="100">
        <v>5940</v>
      </c>
      <c r="BF52" s="100">
        <v>13</v>
      </c>
      <c r="BG52" s="100">
        <v>7020</v>
      </c>
      <c r="BH52" s="100">
        <v>13</v>
      </c>
      <c r="BI52" s="100">
        <v>7020</v>
      </c>
      <c r="BJ52" s="100">
        <v>11.530463233632581</v>
      </c>
      <c r="BK52" s="100">
        <v>6226.4501461615937</v>
      </c>
      <c r="BL52" s="100">
        <v>11.251670173687399</v>
      </c>
      <c r="BM52" s="100">
        <v>6075.901893791196</v>
      </c>
      <c r="BN52" s="100">
        <v>16.146618868240175</v>
      </c>
      <c r="BO52" s="100">
        <v>8719.1741888496945</v>
      </c>
      <c r="BP52" s="100">
        <v>10.920474778159445</v>
      </c>
      <c r="BQ52" s="100">
        <v>5897.0563802061006</v>
      </c>
      <c r="BR52" s="100">
        <v>10.405229940256508</v>
      </c>
      <c r="BS52" s="100">
        <v>5618.824167738514</v>
      </c>
      <c r="BT52" s="100">
        <v>14</v>
      </c>
      <c r="BU52" s="100">
        <v>7560</v>
      </c>
      <c r="BV52" s="100">
        <v>9</v>
      </c>
      <c r="BW52" s="100">
        <v>4860</v>
      </c>
      <c r="BX52" s="100">
        <v>8</v>
      </c>
      <c r="BY52" s="100">
        <v>4320</v>
      </c>
      <c r="BZ52" s="100">
        <v>16</v>
      </c>
      <c r="CA52" s="100">
        <v>8640</v>
      </c>
      <c r="CB52" s="100">
        <v>10</v>
      </c>
      <c r="CC52" s="100">
        <v>5400</v>
      </c>
      <c r="CD52" s="100">
        <v>12.378033994049018</v>
      </c>
      <c r="CE52" s="100">
        <v>6684.1383567864696</v>
      </c>
      <c r="CF52" s="100">
        <v>11</v>
      </c>
      <c r="CG52" s="100">
        <v>5940</v>
      </c>
      <c r="CH52" s="100">
        <v>11.226284771036195</v>
      </c>
      <c r="CI52" s="100">
        <v>6062.1937763595452</v>
      </c>
      <c r="CJ52" s="100">
        <v>16</v>
      </c>
      <c r="CK52" s="100">
        <v>8640</v>
      </c>
      <c r="CL52" s="100">
        <v>10</v>
      </c>
      <c r="CM52" s="100">
        <v>5400</v>
      </c>
      <c r="CN52" s="100">
        <v>15</v>
      </c>
      <c r="CO52" s="100">
        <v>8100</v>
      </c>
      <c r="CP52" s="100">
        <v>9</v>
      </c>
      <c r="CQ52" s="100">
        <v>4860</v>
      </c>
      <c r="CR52" s="100">
        <v>9</v>
      </c>
      <c r="CS52" s="100">
        <v>4860</v>
      </c>
      <c r="CT52" s="100">
        <v>13</v>
      </c>
      <c r="CU52" s="100">
        <v>7020</v>
      </c>
    </row>
    <row r="53" spans="2:99">
      <c r="C53" s="99" t="s">
        <v>219</v>
      </c>
      <c r="D53" s="100">
        <v>11.169072268660329</v>
      </c>
      <c r="E53" s="100">
        <v>4543.578598891022</v>
      </c>
      <c r="F53" s="100">
        <v>17</v>
      </c>
      <c r="G53" s="100">
        <v>6915.6</v>
      </c>
      <c r="H53" s="100">
        <v>18</v>
      </c>
      <c r="I53" s="100">
        <v>7322.4000000000005</v>
      </c>
      <c r="J53" s="100">
        <v>13.649262461660458</v>
      </c>
      <c r="K53" s="100">
        <v>5552.5199694034745</v>
      </c>
      <c r="L53" s="100">
        <v>17</v>
      </c>
      <c r="M53" s="100">
        <v>6915.6</v>
      </c>
      <c r="N53" s="100">
        <v>12</v>
      </c>
      <c r="O53" s="100">
        <v>4881.6000000000004</v>
      </c>
      <c r="P53" s="100">
        <v>14</v>
      </c>
      <c r="Q53" s="100">
        <v>5695.2</v>
      </c>
      <c r="R53" s="100">
        <v>11</v>
      </c>
      <c r="S53" s="100">
        <v>4474.8</v>
      </c>
      <c r="T53" s="100">
        <v>9</v>
      </c>
      <c r="U53" s="100">
        <v>3661.2000000000003</v>
      </c>
      <c r="V53" s="100">
        <v>17</v>
      </c>
      <c r="W53" s="100">
        <v>6915.6</v>
      </c>
      <c r="X53" s="100">
        <v>14</v>
      </c>
      <c r="Y53" s="100">
        <v>5695.2</v>
      </c>
      <c r="Z53" s="100">
        <v>15</v>
      </c>
      <c r="AA53" s="100">
        <v>6102</v>
      </c>
      <c r="AB53" s="100">
        <v>3.422534720589244</v>
      </c>
      <c r="AC53" s="100">
        <v>1392.2871243357044</v>
      </c>
      <c r="AD53" s="100">
        <v>3.1095445654704773E-4</v>
      </c>
      <c r="AE53" s="100">
        <v>0.12649627292333901</v>
      </c>
      <c r="AF53" s="100">
        <v>4.0977534589935308E-4</v>
      </c>
      <c r="AG53" s="100">
        <v>0.16669661071185685</v>
      </c>
      <c r="AH53" s="100">
        <v>3.7986721044965351E-4</v>
      </c>
      <c r="AI53" s="100">
        <v>0.15452998121091904</v>
      </c>
      <c r="AJ53" s="100">
        <v>9</v>
      </c>
      <c r="AK53" s="100">
        <v>3661.2000000000003</v>
      </c>
      <c r="AL53" s="100">
        <v>12.322708694253842</v>
      </c>
      <c r="AM53" s="100">
        <v>5012.8778968224633</v>
      </c>
      <c r="AN53" s="100">
        <v>13.746550484505022</v>
      </c>
      <c r="AO53" s="100">
        <v>5592.0967370966428</v>
      </c>
      <c r="AP53" s="100">
        <v>13.101112324318374</v>
      </c>
      <c r="AQ53" s="100">
        <v>5329.5324935327144</v>
      </c>
      <c r="AR53" s="100">
        <v>12.358558304492385</v>
      </c>
      <c r="AS53" s="100">
        <v>5027.4615182675025</v>
      </c>
      <c r="AT53" s="100">
        <v>12.444398339453805</v>
      </c>
      <c r="AU53" s="100">
        <v>5062.3812444898085</v>
      </c>
      <c r="AV53" s="100">
        <v>12</v>
      </c>
      <c r="AW53" s="100">
        <v>4881.6000000000004</v>
      </c>
      <c r="AX53" s="100">
        <v>12.779223448014234</v>
      </c>
      <c r="AY53" s="100">
        <v>5198.5880986521906</v>
      </c>
      <c r="AZ53" s="100">
        <v>10</v>
      </c>
      <c r="BA53" s="100">
        <v>4068</v>
      </c>
      <c r="BB53" s="100">
        <v>16</v>
      </c>
      <c r="BC53" s="100">
        <v>6508.8</v>
      </c>
      <c r="BD53" s="100">
        <v>12</v>
      </c>
      <c r="BE53" s="100">
        <v>4881.6000000000004</v>
      </c>
      <c r="BF53" s="100">
        <v>12</v>
      </c>
      <c r="BG53" s="100">
        <v>4881.6000000000004</v>
      </c>
      <c r="BH53" s="100">
        <v>13</v>
      </c>
      <c r="BI53" s="100">
        <v>5288.4000000000005</v>
      </c>
      <c r="BJ53" s="100">
        <v>11.530463233632581</v>
      </c>
      <c r="BK53" s="100">
        <v>4690.5924434417338</v>
      </c>
      <c r="BL53" s="100">
        <v>11.251670173687399</v>
      </c>
      <c r="BM53" s="100">
        <v>4577.1794266560346</v>
      </c>
      <c r="BN53" s="100">
        <v>17.096419978136655</v>
      </c>
      <c r="BO53" s="100">
        <v>6954.8236471059918</v>
      </c>
      <c r="BP53" s="100">
        <v>10.920474778159445</v>
      </c>
      <c r="BQ53" s="100">
        <v>4442.449139755262</v>
      </c>
      <c r="BR53" s="100">
        <v>11.205632243353161</v>
      </c>
      <c r="BS53" s="100">
        <v>4558.4511965960664</v>
      </c>
      <c r="BT53" s="100">
        <v>15</v>
      </c>
      <c r="BU53" s="100">
        <v>6102</v>
      </c>
      <c r="BV53" s="100">
        <v>11</v>
      </c>
      <c r="BW53" s="100">
        <v>4474.8</v>
      </c>
      <c r="BX53" s="100">
        <v>8</v>
      </c>
      <c r="BY53" s="100">
        <v>3254.4</v>
      </c>
      <c r="BZ53" s="100">
        <v>16</v>
      </c>
      <c r="CA53" s="100">
        <v>6508.8</v>
      </c>
      <c r="CB53" s="100">
        <v>10</v>
      </c>
      <c r="CC53" s="100">
        <v>4068</v>
      </c>
      <c r="CD53" s="100">
        <v>14.028438526588886</v>
      </c>
      <c r="CE53" s="100">
        <v>5706.768792616359</v>
      </c>
      <c r="CF53" s="100">
        <v>10</v>
      </c>
      <c r="CG53" s="100">
        <v>4068</v>
      </c>
      <c r="CH53" s="100">
        <v>12.161808501955877</v>
      </c>
      <c r="CI53" s="100">
        <v>4947.4236985956504</v>
      </c>
      <c r="CJ53" s="100">
        <v>16</v>
      </c>
      <c r="CK53" s="100">
        <v>6508.8</v>
      </c>
      <c r="CL53" s="100">
        <v>10</v>
      </c>
      <c r="CM53" s="100">
        <v>4068</v>
      </c>
      <c r="CN53" s="100">
        <v>15</v>
      </c>
      <c r="CO53" s="100">
        <v>6102</v>
      </c>
      <c r="CP53" s="100">
        <v>10</v>
      </c>
      <c r="CQ53" s="100">
        <v>4068</v>
      </c>
      <c r="CR53" s="100">
        <v>10</v>
      </c>
      <c r="CS53" s="100">
        <v>4068</v>
      </c>
      <c r="CT53" s="100">
        <v>14</v>
      </c>
      <c r="CU53" s="100">
        <v>5695.2</v>
      </c>
    </row>
    <row r="54" spans="2:99">
      <c r="C54" s="99" t="s">
        <v>220</v>
      </c>
      <c r="D54" s="100">
        <v>12.887391079223457</v>
      </c>
      <c r="E54" s="100">
        <v>4314.6985333240136</v>
      </c>
      <c r="F54" s="100">
        <v>15</v>
      </c>
      <c r="G54" s="100">
        <v>5022</v>
      </c>
      <c r="H54" s="100">
        <v>16</v>
      </c>
      <c r="I54" s="100">
        <v>5356.8</v>
      </c>
      <c r="J54" s="100">
        <v>14.559213292437821</v>
      </c>
      <c r="K54" s="100">
        <v>4874.4246103081823</v>
      </c>
      <c r="L54" s="100">
        <v>18</v>
      </c>
      <c r="M54" s="100">
        <v>6026.4000000000005</v>
      </c>
      <c r="N54" s="100">
        <v>10</v>
      </c>
      <c r="O54" s="100">
        <v>3348</v>
      </c>
      <c r="P54" s="100">
        <v>14</v>
      </c>
      <c r="Q54" s="100">
        <v>4687.2</v>
      </c>
      <c r="R54" s="100">
        <v>10</v>
      </c>
      <c r="S54" s="100">
        <v>3348</v>
      </c>
      <c r="T54" s="100">
        <v>9</v>
      </c>
      <c r="U54" s="100">
        <v>3013.2000000000003</v>
      </c>
      <c r="V54" s="100">
        <v>17</v>
      </c>
      <c r="W54" s="100">
        <v>5691.6</v>
      </c>
      <c r="X54" s="100">
        <v>15</v>
      </c>
      <c r="Y54" s="100">
        <v>5022</v>
      </c>
      <c r="Z54" s="100">
        <v>17</v>
      </c>
      <c r="AA54" s="100">
        <v>5691.6</v>
      </c>
      <c r="AB54" s="100">
        <v>3.422534720589244</v>
      </c>
      <c r="AC54" s="100">
        <v>1145.864624453279</v>
      </c>
      <c r="AD54" s="100">
        <v>2.7985901089234294E-4</v>
      </c>
      <c r="AE54" s="100">
        <v>9.3696796846756414E-2</v>
      </c>
      <c r="AF54" s="100">
        <v>4.0977534589935308E-4</v>
      </c>
      <c r="AG54" s="100">
        <v>0.13719278580710342</v>
      </c>
      <c r="AH54" s="100">
        <v>4.070005826246288E-4</v>
      </c>
      <c r="AI54" s="100">
        <v>0.13626379506272573</v>
      </c>
      <c r="AJ54" s="100">
        <v>10</v>
      </c>
      <c r="AK54" s="100">
        <v>3348</v>
      </c>
      <c r="AL54" s="100">
        <v>12.322708694253842</v>
      </c>
      <c r="AM54" s="100">
        <v>4125.6428708361864</v>
      </c>
      <c r="AN54" s="100">
        <v>15.464869295068148</v>
      </c>
      <c r="AO54" s="100">
        <v>5177.6382399888162</v>
      </c>
      <c r="AP54" s="100">
        <v>13.974519812606266</v>
      </c>
      <c r="AQ54" s="100">
        <v>4678.669233260578</v>
      </c>
      <c r="AR54" s="100">
        <v>13.309216635607184</v>
      </c>
      <c r="AS54" s="100">
        <v>4455.9257296012856</v>
      </c>
      <c r="AT54" s="100">
        <v>13.333283935129078</v>
      </c>
      <c r="AU54" s="100">
        <v>4463.9834614812153</v>
      </c>
      <c r="AV54" s="100">
        <v>10</v>
      </c>
      <c r="AW54" s="100">
        <v>3348</v>
      </c>
      <c r="AX54" s="100">
        <v>12.779223448014234</v>
      </c>
      <c r="AY54" s="100">
        <v>4278.4840103951656</v>
      </c>
      <c r="AZ54" s="100">
        <v>10</v>
      </c>
      <c r="BA54" s="100">
        <v>3348</v>
      </c>
      <c r="BB54" s="100">
        <v>14</v>
      </c>
      <c r="BC54" s="100">
        <v>4687.2</v>
      </c>
      <c r="BD54" s="100">
        <v>13</v>
      </c>
      <c r="BE54" s="100">
        <v>4352.4000000000005</v>
      </c>
      <c r="BF54" s="100">
        <v>14</v>
      </c>
      <c r="BG54" s="100">
        <v>4687.2</v>
      </c>
      <c r="BH54" s="100">
        <v>15</v>
      </c>
      <c r="BI54" s="100">
        <v>5022</v>
      </c>
      <c r="BJ54" s="100">
        <v>10.643504523353151</v>
      </c>
      <c r="BK54" s="100">
        <v>3563.445314418635</v>
      </c>
      <c r="BL54" s="100">
        <v>11.251670173687399</v>
      </c>
      <c r="BM54" s="100">
        <v>3767.0591741505414</v>
      </c>
      <c r="BN54" s="100">
        <v>15.196817758343691</v>
      </c>
      <c r="BO54" s="100">
        <v>5087.8945854934682</v>
      </c>
      <c r="BP54" s="100">
        <v>9.9277043437813113</v>
      </c>
      <c r="BQ54" s="100">
        <v>3323.7954142979829</v>
      </c>
      <c r="BR54" s="100">
        <v>12.80643684954647</v>
      </c>
      <c r="BS54" s="100">
        <v>4287.5950572281581</v>
      </c>
      <c r="BT54" s="100">
        <v>14</v>
      </c>
      <c r="BU54" s="100">
        <v>4687.2</v>
      </c>
      <c r="BV54" s="100">
        <v>9</v>
      </c>
      <c r="BW54" s="100">
        <v>3013.2000000000003</v>
      </c>
      <c r="BX54" s="100">
        <v>10</v>
      </c>
      <c r="BY54" s="100">
        <v>3348</v>
      </c>
      <c r="BZ54" s="100">
        <v>15</v>
      </c>
      <c r="CA54" s="100">
        <v>5022</v>
      </c>
      <c r="CB54" s="100">
        <v>9</v>
      </c>
      <c r="CC54" s="100">
        <v>3013.2000000000003</v>
      </c>
      <c r="CD54" s="100">
        <v>12.378033994049018</v>
      </c>
      <c r="CE54" s="100">
        <v>4144.165781207611</v>
      </c>
      <c r="CF54" s="100">
        <v>10</v>
      </c>
      <c r="CG54" s="100">
        <v>3348</v>
      </c>
      <c r="CH54" s="100">
        <v>12.161808501955877</v>
      </c>
      <c r="CI54" s="100">
        <v>4071.7734864548274</v>
      </c>
      <c r="CJ54" s="100">
        <v>16</v>
      </c>
      <c r="CK54" s="100">
        <v>5356.8</v>
      </c>
      <c r="CL54" s="100">
        <v>9</v>
      </c>
      <c r="CM54" s="100">
        <v>3013.2000000000003</v>
      </c>
      <c r="CN54" s="100">
        <v>15</v>
      </c>
      <c r="CO54" s="100">
        <v>5022</v>
      </c>
      <c r="CP54" s="100">
        <v>11</v>
      </c>
      <c r="CQ54" s="100">
        <v>3682.8</v>
      </c>
      <c r="CR54" s="100">
        <v>9</v>
      </c>
      <c r="CS54" s="100">
        <v>3013.2000000000003</v>
      </c>
      <c r="CT54" s="100">
        <v>16</v>
      </c>
      <c r="CU54" s="100">
        <v>5356.8</v>
      </c>
    </row>
    <row r="55" spans="2:99">
      <c r="C55" s="99" t="s">
        <v>221</v>
      </c>
      <c r="D55" s="100">
        <v>12.028231673941894</v>
      </c>
      <c r="E55" s="100">
        <v>7981.9345388278416</v>
      </c>
      <c r="F55" s="100">
        <v>16</v>
      </c>
      <c r="G55" s="100">
        <v>10617.6</v>
      </c>
      <c r="H55" s="100">
        <v>15</v>
      </c>
      <c r="I55" s="100">
        <v>9954</v>
      </c>
      <c r="J55" s="100">
        <v>12.739311630883094</v>
      </c>
      <c r="K55" s="100">
        <v>8453.8071982540223</v>
      </c>
      <c r="L55" s="100">
        <v>17</v>
      </c>
      <c r="M55" s="100">
        <v>11281.2</v>
      </c>
      <c r="N55" s="100">
        <v>10</v>
      </c>
      <c r="O55" s="100">
        <v>6636</v>
      </c>
      <c r="P55" s="100">
        <v>14</v>
      </c>
      <c r="Q55" s="100">
        <v>9290.4</v>
      </c>
      <c r="R55" s="100">
        <v>10</v>
      </c>
      <c r="S55" s="100">
        <v>6636</v>
      </c>
      <c r="T55" s="100">
        <v>9</v>
      </c>
      <c r="U55" s="100">
        <v>5972.4000000000005</v>
      </c>
      <c r="V55" s="100">
        <v>16</v>
      </c>
      <c r="W55" s="100">
        <v>10617.6</v>
      </c>
      <c r="X55" s="100">
        <v>13</v>
      </c>
      <c r="Y55" s="100">
        <v>8626.8000000000011</v>
      </c>
      <c r="Z55" s="100">
        <v>17</v>
      </c>
      <c r="AA55" s="100">
        <v>11281.2</v>
      </c>
      <c r="AB55" s="100">
        <v>3.1113952005356769</v>
      </c>
      <c r="AC55" s="100">
        <v>2064.7218550754751</v>
      </c>
      <c r="AD55" s="100">
        <v>2.7985901089234294E-4</v>
      </c>
      <c r="AE55" s="100">
        <v>0.18571443962815878</v>
      </c>
      <c r="AF55" s="100">
        <v>3.8567091378762636E-4</v>
      </c>
      <c r="AG55" s="100">
        <v>0.25593121838946886</v>
      </c>
      <c r="AH55" s="100">
        <v>3.7986721044965351E-4</v>
      </c>
      <c r="AI55" s="100">
        <v>0.25207988085439009</v>
      </c>
      <c r="AJ55" s="100">
        <v>9</v>
      </c>
      <c r="AK55" s="100">
        <v>5972.4000000000005</v>
      </c>
      <c r="AL55" s="100">
        <v>12.322708694253842</v>
      </c>
      <c r="AM55" s="100">
        <v>8177.3494895068497</v>
      </c>
      <c r="AN55" s="100">
        <v>14.605709889786585</v>
      </c>
      <c r="AO55" s="100">
        <v>9692.3490828623781</v>
      </c>
      <c r="AP55" s="100">
        <v>13.101112324318374</v>
      </c>
      <c r="AQ55" s="100">
        <v>8693.8981384176732</v>
      </c>
      <c r="AR55" s="100">
        <v>12.358558304492385</v>
      </c>
      <c r="AS55" s="100">
        <v>8201.1392908611469</v>
      </c>
      <c r="AT55" s="100">
        <v>13.333283935129078</v>
      </c>
      <c r="AU55" s="100">
        <v>8847.9672193516562</v>
      </c>
      <c r="AV55" s="100">
        <v>11</v>
      </c>
      <c r="AW55" s="100">
        <v>7299.6</v>
      </c>
      <c r="AX55" s="100">
        <v>12.779223448014234</v>
      </c>
      <c r="AY55" s="100">
        <v>8480.2926801022459</v>
      </c>
      <c r="AZ55" s="100">
        <v>10</v>
      </c>
      <c r="BA55" s="100">
        <v>6636</v>
      </c>
      <c r="BB55" s="100">
        <v>13</v>
      </c>
      <c r="BC55" s="100">
        <v>8626.8000000000011</v>
      </c>
      <c r="BD55" s="100">
        <v>11</v>
      </c>
      <c r="BE55" s="100">
        <v>7299.6</v>
      </c>
      <c r="BF55" s="100">
        <v>12</v>
      </c>
      <c r="BG55" s="100">
        <v>7963.2000000000007</v>
      </c>
      <c r="BH55" s="100">
        <v>13</v>
      </c>
      <c r="BI55" s="100">
        <v>8626.8000000000011</v>
      </c>
      <c r="BJ55" s="100">
        <v>9.756545813073723</v>
      </c>
      <c r="BK55" s="100">
        <v>6474.4438015557225</v>
      </c>
      <c r="BL55" s="100">
        <v>11.251670173687399</v>
      </c>
      <c r="BM55" s="100">
        <v>7466.6083272589585</v>
      </c>
      <c r="BN55" s="100">
        <v>14.247016648447211</v>
      </c>
      <c r="BO55" s="100">
        <v>9454.3202479095689</v>
      </c>
      <c r="BP55" s="100">
        <v>9.9277043437813113</v>
      </c>
      <c r="BQ55" s="100">
        <v>6588.0246025332781</v>
      </c>
      <c r="BR55" s="100">
        <v>12.006034546449817</v>
      </c>
      <c r="BS55" s="100">
        <v>7967.204525024099</v>
      </c>
      <c r="BT55" s="100">
        <v>13</v>
      </c>
      <c r="BU55" s="100">
        <v>8626.8000000000011</v>
      </c>
      <c r="BV55" s="100">
        <v>11</v>
      </c>
      <c r="BW55" s="100">
        <v>7299.6</v>
      </c>
      <c r="BX55" s="100">
        <v>8</v>
      </c>
      <c r="BY55" s="100">
        <v>5308.8</v>
      </c>
      <c r="BZ55" s="100">
        <v>16</v>
      </c>
      <c r="CA55" s="100">
        <v>10617.6</v>
      </c>
      <c r="CB55" s="100">
        <v>10</v>
      </c>
      <c r="CC55" s="100">
        <v>6636</v>
      </c>
      <c r="CD55" s="100">
        <v>12.378033994049018</v>
      </c>
      <c r="CE55" s="100">
        <v>8214.0633584509287</v>
      </c>
      <c r="CF55" s="100">
        <v>10</v>
      </c>
      <c r="CG55" s="100">
        <v>6636</v>
      </c>
      <c r="CH55" s="100">
        <v>11.226284771036195</v>
      </c>
      <c r="CI55" s="100">
        <v>7449.7625740596186</v>
      </c>
      <c r="CJ55" s="100">
        <v>17</v>
      </c>
      <c r="CK55" s="100">
        <v>11281.2</v>
      </c>
      <c r="CL55" s="100">
        <v>10</v>
      </c>
      <c r="CM55" s="100">
        <v>6636</v>
      </c>
      <c r="CN55" s="100">
        <v>14</v>
      </c>
      <c r="CO55" s="100">
        <v>9290.4</v>
      </c>
      <c r="CP55" s="100">
        <v>10</v>
      </c>
      <c r="CQ55" s="100">
        <v>6636</v>
      </c>
      <c r="CR55" s="100">
        <v>9</v>
      </c>
      <c r="CS55" s="100">
        <v>5972.4000000000005</v>
      </c>
      <c r="CT55" s="100">
        <v>14</v>
      </c>
      <c r="CU55" s="100">
        <v>9290.4</v>
      </c>
    </row>
    <row r="56" spans="2:99">
      <c r="C56" s="99" t="s">
        <v>222</v>
      </c>
      <c r="D56" s="100">
        <v>9.5000000000000018</v>
      </c>
      <c r="E56" s="100">
        <v>9325.2000000000007</v>
      </c>
      <c r="F56" s="100">
        <v>9.7021276595744688</v>
      </c>
      <c r="G56" s="100">
        <v>9523.608510638298</v>
      </c>
      <c r="H56" s="100">
        <v>14.516853932584272</v>
      </c>
      <c r="I56" s="100">
        <v>14249.743820224719</v>
      </c>
      <c r="J56" s="100">
        <v>10.693467336683419</v>
      </c>
      <c r="K56" s="100">
        <v>10496.707537688442</v>
      </c>
      <c r="L56" s="100">
        <v>15</v>
      </c>
      <c r="M56" s="100">
        <v>14723.999999999998</v>
      </c>
      <c r="N56" s="100">
        <v>10</v>
      </c>
      <c r="O56" s="100">
        <v>9816</v>
      </c>
      <c r="P56" s="100">
        <v>13</v>
      </c>
      <c r="Q56" s="100">
        <v>12760.8</v>
      </c>
      <c r="R56" s="100">
        <v>10</v>
      </c>
      <c r="S56" s="100">
        <v>9816</v>
      </c>
      <c r="T56" s="100">
        <v>8</v>
      </c>
      <c r="U56" s="100">
        <v>7852.7999999999993</v>
      </c>
      <c r="V56" s="100">
        <v>15</v>
      </c>
      <c r="W56" s="100">
        <v>14723.999999999998</v>
      </c>
      <c r="X56" s="100">
        <v>13</v>
      </c>
      <c r="Y56" s="100">
        <v>12760.8</v>
      </c>
      <c r="Z56" s="100">
        <v>14</v>
      </c>
      <c r="AA56" s="100">
        <v>13742.399999999998</v>
      </c>
      <c r="AB56" s="100">
        <v>10</v>
      </c>
      <c r="AC56" s="100">
        <v>9816</v>
      </c>
      <c r="AD56" s="100">
        <v>8</v>
      </c>
      <c r="AE56" s="100">
        <v>7852.7999999999993</v>
      </c>
      <c r="AF56" s="100">
        <v>18</v>
      </c>
      <c r="AG56" s="100">
        <v>17668.8</v>
      </c>
      <c r="AH56" s="100">
        <v>15</v>
      </c>
      <c r="AI56" s="100">
        <v>14723.999999999998</v>
      </c>
      <c r="AJ56" s="100">
        <v>9</v>
      </c>
      <c r="AK56" s="100">
        <v>8834.4</v>
      </c>
      <c r="AL56" s="100">
        <v>11</v>
      </c>
      <c r="AM56" s="100">
        <v>10797.599999999999</v>
      </c>
      <c r="AN56" s="100">
        <v>14</v>
      </c>
      <c r="AO56" s="100">
        <v>13742.399999999998</v>
      </c>
      <c r="AP56" s="100">
        <v>13</v>
      </c>
      <c r="AQ56" s="100">
        <v>12760.8</v>
      </c>
      <c r="AR56" s="100">
        <v>14</v>
      </c>
      <c r="AS56" s="100">
        <v>13742.399999999998</v>
      </c>
      <c r="AT56" s="100">
        <v>11.078838174273862</v>
      </c>
      <c r="AU56" s="100">
        <v>10874.987551867222</v>
      </c>
      <c r="AV56" s="100">
        <v>8.1560975609756117</v>
      </c>
      <c r="AW56" s="100">
        <v>8006.0253658536594</v>
      </c>
      <c r="AX56" s="100">
        <v>5.639231783292014</v>
      </c>
      <c r="AY56" s="100">
        <v>5535.4699184794408</v>
      </c>
      <c r="AZ56" s="100">
        <v>10</v>
      </c>
      <c r="BA56" s="100">
        <v>9816</v>
      </c>
      <c r="BB56" s="100">
        <v>11.605150214592275</v>
      </c>
      <c r="BC56" s="100">
        <v>11391.615450643776</v>
      </c>
      <c r="BD56" s="100">
        <v>5.2833084160083494</v>
      </c>
      <c r="BE56" s="100">
        <v>5186.0955411537952</v>
      </c>
      <c r="BF56" s="100">
        <v>12</v>
      </c>
      <c r="BG56" s="100">
        <v>11779.199999999999</v>
      </c>
      <c r="BH56" s="100">
        <v>13</v>
      </c>
      <c r="BI56" s="100">
        <v>12760.8</v>
      </c>
      <c r="BJ56" s="100">
        <v>10.350210970464136</v>
      </c>
      <c r="BK56" s="100">
        <v>10159.767088607596</v>
      </c>
      <c r="BL56" s="100">
        <v>12</v>
      </c>
      <c r="BM56" s="100">
        <v>11779.199999999999</v>
      </c>
      <c r="BN56" s="100">
        <v>14</v>
      </c>
      <c r="BO56" s="100">
        <v>13742.399999999998</v>
      </c>
      <c r="BP56" s="100">
        <v>9.9465240641711237</v>
      </c>
      <c r="BQ56" s="100">
        <v>9763.5080213903748</v>
      </c>
      <c r="BR56" s="100">
        <v>4.5725587194858202</v>
      </c>
      <c r="BS56" s="100">
        <v>4488.4236390472806</v>
      </c>
      <c r="BT56" s="100">
        <v>4.9664077036426333</v>
      </c>
      <c r="BU56" s="100">
        <v>4875.0258018956083</v>
      </c>
      <c r="BV56" s="100">
        <v>8.5393258426966305</v>
      </c>
      <c r="BW56" s="100">
        <v>8382.2022471910113</v>
      </c>
      <c r="BX56" s="100">
        <v>9</v>
      </c>
      <c r="BY56" s="100">
        <v>8834.4</v>
      </c>
      <c r="BZ56" s="100">
        <v>11.864754098360656</v>
      </c>
      <c r="CA56" s="100">
        <v>11646.442622950819</v>
      </c>
      <c r="CB56" s="100">
        <v>7.6000000000000005</v>
      </c>
      <c r="CC56" s="100">
        <v>7460.16</v>
      </c>
      <c r="CD56" s="100">
        <v>14.205607476635514</v>
      </c>
      <c r="CE56" s="100">
        <v>13944.224299065419</v>
      </c>
      <c r="CF56" s="100">
        <v>9.6759259259259256</v>
      </c>
      <c r="CG56" s="100">
        <v>9497.8888888888869</v>
      </c>
      <c r="CH56" s="100">
        <v>9.5871559633027523</v>
      </c>
      <c r="CI56" s="100">
        <v>9410.7522935779816</v>
      </c>
      <c r="CJ56" s="100">
        <v>13.755656108597286</v>
      </c>
      <c r="CK56" s="100">
        <v>13502.552036199095</v>
      </c>
      <c r="CL56" s="100">
        <v>8.1042654028436019</v>
      </c>
      <c r="CM56" s="100">
        <v>7955.1469194312785</v>
      </c>
      <c r="CN56" s="100">
        <v>10.291666666666668</v>
      </c>
      <c r="CO56" s="100">
        <v>10102.300000000001</v>
      </c>
      <c r="CP56" s="100">
        <v>10</v>
      </c>
      <c r="CQ56" s="100">
        <v>9816</v>
      </c>
      <c r="CR56" s="100">
        <v>9.7448979591836729</v>
      </c>
      <c r="CS56" s="100">
        <v>9565.5918367346931</v>
      </c>
      <c r="CT56" s="100">
        <v>11.875</v>
      </c>
      <c r="CU56" s="100">
        <v>11656.499999999998</v>
      </c>
    </row>
    <row r="57" spans="2:99">
      <c r="C57" s="99" t="s">
        <v>223</v>
      </c>
      <c r="D57" s="100">
        <v>11.169072268660329</v>
      </c>
      <c r="E57" s="100">
        <v>15761.794785533457</v>
      </c>
      <c r="F57" s="100">
        <v>15</v>
      </c>
      <c r="G57" s="100">
        <v>21168</v>
      </c>
      <c r="H57" s="100">
        <v>15</v>
      </c>
      <c r="I57" s="100">
        <v>21168</v>
      </c>
      <c r="J57" s="100">
        <v>11.82936080010573</v>
      </c>
      <c r="K57" s="100">
        <v>16693.593961109207</v>
      </c>
      <c r="L57" s="100">
        <v>14</v>
      </c>
      <c r="M57" s="100">
        <v>19756.8</v>
      </c>
      <c r="N57" s="100">
        <v>10</v>
      </c>
      <c r="O57" s="100">
        <v>14112</v>
      </c>
      <c r="P57" s="100">
        <v>12</v>
      </c>
      <c r="Q57" s="100">
        <v>16934.400000000001</v>
      </c>
      <c r="R57" s="100">
        <v>8</v>
      </c>
      <c r="S57" s="100">
        <v>11289.6</v>
      </c>
      <c r="T57" s="100">
        <v>8</v>
      </c>
      <c r="U57" s="100">
        <v>11289.6</v>
      </c>
      <c r="V57" s="100">
        <v>16</v>
      </c>
      <c r="W57" s="100">
        <v>22579.200000000001</v>
      </c>
      <c r="X57" s="100">
        <v>13</v>
      </c>
      <c r="Y57" s="100">
        <v>18345.600000000002</v>
      </c>
      <c r="Z57" s="100">
        <v>14</v>
      </c>
      <c r="AA57" s="100">
        <v>19756.8</v>
      </c>
      <c r="AB57" s="100">
        <v>2.8002556804821088</v>
      </c>
      <c r="AC57" s="100">
        <v>3951.720816296352</v>
      </c>
      <c r="AD57" s="100">
        <v>2.7985901089234294E-4</v>
      </c>
      <c r="AE57" s="100">
        <v>0.39493703617127435</v>
      </c>
      <c r="AF57" s="100">
        <v>3.6156648167589976E-4</v>
      </c>
      <c r="AG57" s="100">
        <v>0.51024261894102974</v>
      </c>
      <c r="AH57" s="100">
        <v>3.5273383827467834E-4</v>
      </c>
      <c r="AI57" s="100">
        <v>0.49777799257322608</v>
      </c>
      <c r="AJ57" s="100">
        <v>9</v>
      </c>
      <c r="AK57" s="100">
        <v>12700.800000000001</v>
      </c>
      <c r="AL57" s="100">
        <v>10.426907356676329</v>
      </c>
      <c r="AM57" s="100">
        <v>14714.451661741636</v>
      </c>
      <c r="AN57" s="100">
        <v>13.746550484505022</v>
      </c>
      <c r="AO57" s="100">
        <v>19399.132043733487</v>
      </c>
      <c r="AP57" s="100">
        <v>10.480889859454699</v>
      </c>
      <c r="AQ57" s="100">
        <v>14790.631769662472</v>
      </c>
      <c r="AR57" s="100">
        <v>11.407899973377587</v>
      </c>
      <c r="AS57" s="100">
        <v>16098.828442430451</v>
      </c>
      <c r="AT57" s="100">
        <v>12.444398339453805</v>
      </c>
      <c r="AU57" s="100">
        <v>17561.53493663721</v>
      </c>
      <c r="AV57" s="100">
        <v>10</v>
      </c>
      <c r="AW57" s="100">
        <v>14112</v>
      </c>
      <c r="AX57" s="100">
        <v>11.866421773156075</v>
      </c>
      <c r="AY57" s="100">
        <v>16745.894406277854</v>
      </c>
      <c r="AZ57" s="100">
        <v>8</v>
      </c>
      <c r="BA57" s="100">
        <v>11289.6</v>
      </c>
      <c r="BB57" s="100">
        <v>12</v>
      </c>
      <c r="BC57" s="100">
        <v>16934.400000000001</v>
      </c>
      <c r="BD57" s="100">
        <v>12</v>
      </c>
      <c r="BE57" s="100">
        <v>16934.400000000001</v>
      </c>
      <c r="BF57" s="100">
        <v>11</v>
      </c>
      <c r="BG57" s="100">
        <v>15523.2</v>
      </c>
      <c r="BH57" s="100">
        <v>13</v>
      </c>
      <c r="BI57" s="100">
        <v>18345.600000000002</v>
      </c>
      <c r="BJ57" s="100">
        <v>9.756545813073723</v>
      </c>
      <c r="BK57" s="100">
        <v>13768.437451409638</v>
      </c>
      <c r="BL57" s="100">
        <v>9.5206439931201068</v>
      </c>
      <c r="BM57" s="100">
        <v>13435.532803091095</v>
      </c>
      <c r="BN57" s="100">
        <v>13.297215538550731</v>
      </c>
      <c r="BO57" s="100">
        <v>18765.030568002792</v>
      </c>
      <c r="BP57" s="100">
        <v>8.9349339094031812</v>
      </c>
      <c r="BQ57" s="100">
        <v>12608.97873294977</v>
      </c>
      <c r="BR57" s="100">
        <v>10.405229940256508</v>
      </c>
      <c r="BS57" s="100">
        <v>14683.860491689984</v>
      </c>
      <c r="BT57" s="100">
        <v>14</v>
      </c>
      <c r="BU57" s="100">
        <v>19756.8</v>
      </c>
      <c r="BV57" s="100">
        <v>8</v>
      </c>
      <c r="BW57" s="100">
        <v>11289.6</v>
      </c>
      <c r="BX57" s="100">
        <v>8</v>
      </c>
      <c r="BY57" s="100">
        <v>11289.6</v>
      </c>
      <c r="BZ57" s="100">
        <v>15</v>
      </c>
      <c r="CA57" s="100">
        <v>21168</v>
      </c>
      <c r="CB57" s="100">
        <v>9</v>
      </c>
      <c r="CC57" s="100">
        <v>12700.800000000001</v>
      </c>
      <c r="CD57" s="100">
        <v>10.727629461509148</v>
      </c>
      <c r="CE57" s="100">
        <v>15138.83069608171</v>
      </c>
      <c r="CF57" s="100">
        <v>10</v>
      </c>
      <c r="CG57" s="100">
        <v>14112</v>
      </c>
      <c r="CH57" s="100">
        <v>10.290761040116513</v>
      </c>
      <c r="CI57" s="100">
        <v>14522.321979812423</v>
      </c>
      <c r="CJ57" s="100">
        <v>16</v>
      </c>
      <c r="CK57" s="100">
        <v>22579.200000000001</v>
      </c>
      <c r="CL57" s="100">
        <v>9</v>
      </c>
      <c r="CM57" s="100">
        <v>12700.800000000001</v>
      </c>
      <c r="CN57" s="100">
        <v>14</v>
      </c>
      <c r="CO57" s="100">
        <v>19756.8</v>
      </c>
      <c r="CP57" s="100">
        <v>10</v>
      </c>
      <c r="CQ57" s="100">
        <v>14112</v>
      </c>
      <c r="CR57" s="100">
        <v>9</v>
      </c>
      <c r="CS57" s="100">
        <v>12700.800000000001</v>
      </c>
      <c r="CT57" s="100">
        <v>14</v>
      </c>
      <c r="CU57" s="100">
        <v>19756.8</v>
      </c>
    </row>
    <row r="58" spans="2:99">
      <c r="C58" s="99" t="s">
        <v>224</v>
      </c>
      <c r="D58" s="100">
        <v>13</v>
      </c>
      <c r="E58" s="100">
        <v>15303.6</v>
      </c>
      <c r="F58" s="100">
        <v>13.343558282208589</v>
      </c>
      <c r="G58" s="100">
        <v>15708.036809815951</v>
      </c>
      <c r="H58" s="100">
        <v>11.538461538461538</v>
      </c>
      <c r="I58" s="100">
        <v>13583.076923076924</v>
      </c>
      <c r="J58" s="100">
        <v>11.597633136094675</v>
      </c>
      <c r="K58" s="100">
        <v>13652.733727810652</v>
      </c>
      <c r="L58" s="100">
        <v>11.614814814814814</v>
      </c>
      <c r="M58" s="100">
        <v>13672.96</v>
      </c>
      <c r="N58" s="100">
        <v>8.7375886524822697</v>
      </c>
      <c r="O58" s="100">
        <v>10285.889361702128</v>
      </c>
      <c r="P58" s="100">
        <v>11.04225352112676</v>
      </c>
      <c r="Q58" s="100">
        <v>12998.940845070423</v>
      </c>
      <c r="R58" s="100">
        <v>7.2517985611510793</v>
      </c>
      <c r="S58" s="100">
        <v>8536.8172661870503</v>
      </c>
      <c r="T58" s="100">
        <v>6.4367816091954024</v>
      </c>
      <c r="U58" s="100">
        <v>7577.3793103448279</v>
      </c>
      <c r="V58" s="100">
        <v>16</v>
      </c>
      <c r="W58" s="100">
        <v>18835.2</v>
      </c>
      <c r="X58" s="100">
        <v>14</v>
      </c>
      <c r="Y58" s="100">
        <v>16480.8</v>
      </c>
      <c r="Z58" s="100">
        <v>12.672413793103448</v>
      </c>
      <c r="AA58" s="100">
        <v>14917.96551724138</v>
      </c>
      <c r="AB58" s="100">
        <v>10</v>
      </c>
      <c r="AC58" s="100">
        <v>11772</v>
      </c>
      <c r="AD58" s="100">
        <v>8</v>
      </c>
      <c r="AE58" s="100">
        <v>9417.6</v>
      </c>
      <c r="AF58" s="100">
        <v>15</v>
      </c>
      <c r="AG58" s="100">
        <v>17658</v>
      </c>
      <c r="AH58" s="100">
        <v>15</v>
      </c>
      <c r="AI58" s="100">
        <v>17658</v>
      </c>
      <c r="AJ58" s="100">
        <v>10</v>
      </c>
      <c r="AK58" s="100">
        <v>11772</v>
      </c>
      <c r="AL58" s="100">
        <v>12</v>
      </c>
      <c r="AM58" s="100">
        <v>14126.400000000001</v>
      </c>
      <c r="AN58" s="100">
        <v>15</v>
      </c>
      <c r="AO58" s="100">
        <v>17658</v>
      </c>
      <c r="AP58" s="100">
        <v>11.479532163742689</v>
      </c>
      <c r="AQ58" s="100">
        <v>13513.705263157895</v>
      </c>
      <c r="AR58" s="100">
        <v>9.112426035502958</v>
      </c>
      <c r="AS58" s="100">
        <v>10727.147928994083</v>
      </c>
      <c r="AT58" s="100">
        <v>11.973684210526317</v>
      </c>
      <c r="AU58" s="100">
        <v>14095.42105263158</v>
      </c>
      <c r="AV58" s="100">
        <v>8.1818181818181817</v>
      </c>
      <c r="AW58" s="100">
        <v>9631.636363636364</v>
      </c>
      <c r="AX58" s="100">
        <v>13</v>
      </c>
      <c r="AY58" s="100">
        <v>15303.6</v>
      </c>
      <c r="AZ58" s="100">
        <v>7.8509316770186333</v>
      </c>
      <c r="BA58" s="100">
        <v>9242.116770186336</v>
      </c>
      <c r="BB58" s="100">
        <v>10.282485875706215</v>
      </c>
      <c r="BC58" s="100">
        <v>12104.542372881357</v>
      </c>
      <c r="BD58" s="100">
        <v>11</v>
      </c>
      <c r="BE58" s="100">
        <v>12949.2</v>
      </c>
      <c r="BF58" s="100">
        <v>12</v>
      </c>
      <c r="BG58" s="100">
        <v>14126.400000000001</v>
      </c>
      <c r="BH58" s="100">
        <v>12</v>
      </c>
      <c r="BI58" s="100">
        <v>14126.400000000001</v>
      </c>
      <c r="BJ58" s="100">
        <v>12</v>
      </c>
      <c r="BK58" s="100">
        <v>14126.400000000001</v>
      </c>
      <c r="BL58" s="100">
        <v>13</v>
      </c>
      <c r="BM58" s="100">
        <v>15303.6</v>
      </c>
      <c r="BN58" s="100">
        <v>14</v>
      </c>
      <c r="BO58" s="100">
        <v>16480.8</v>
      </c>
      <c r="BP58" s="100">
        <v>10</v>
      </c>
      <c r="BQ58" s="100">
        <v>11772</v>
      </c>
      <c r="BR58" s="100">
        <v>14</v>
      </c>
      <c r="BS58" s="100">
        <v>16480.8</v>
      </c>
      <c r="BT58" s="100">
        <v>12</v>
      </c>
      <c r="BU58" s="100">
        <v>14126.400000000001</v>
      </c>
      <c r="BV58" s="100">
        <v>9</v>
      </c>
      <c r="BW58" s="100">
        <v>10594.800000000001</v>
      </c>
      <c r="BX58" s="100">
        <v>8</v>
      </c>
      <c r="BY58" s="100">
        <v>9417.6</v>
      </c>
      <c r="BZ58" s="100">
        <v>15</v>
      </c>
      <c r="CA58" s="100">
        <v>17658</v>
      </c>
      <c r="CB58" s="100">
        <v>10</v>
      </c>
      <c r="CC58" s="100">
        <v>11772</v>
      </c>
      <c r="CD58" s="100">
        <v>15</v>
      </c>
      <c r="CE58" s="100">
        <v>17658</v>
      </c>
      <c r="CF58" s="100">
        <v>11</v>
      </c>
      <c r="CG58" s="100">
        <v>12949.2</v>
      </c>
      <c r="CH58" s="100">
        <v>11</v>
      </c>
      <c r="CI58" s="100">
        <v>12949.2</v>
      </c>
      <c r="CJ58" s="100">
        <v>16</v>
      </c>
      <c r="CK58" s="100">
        <v>18835.2</v>
      </c>
      <c r="CL58" s="100">
        <v>10</v>
      </c>
      <c r="CM58" s="100">
        <v>11772</v>
      </c>
      <c r="CN58" s="100">
        <v>14</v>
      </c>
      <c r="CO58" s="100">
        <v>16480.8</v>
      </c>
      <c r="CP58" s="100">
        <v>10</v>
      </c>
      <c r="CQ58" s="100">
        <v>11772</v>
      </c>
      <c r="CR58" s="100">
        <v>10</v>
      </c>
      <c r="CS58" s="100">
        <v>11772</v>
      </c>
      <c r="CT58" s="100">
        <v>13</v>
      </c>
      <c r="CU58" s="100">
        <v>15303.6</v>
      </c>
    </row>
    <row r="59" spans="2:99">
      <c r="C59" s="99" t="s">
        <v>225</v>
      </c>
      <c r="D59" s="100">
        <v>12.887391079223457</v>
      </c>
      <c r="E59" s="100">
        <v>3912.6119316522413</v>
      </c>
      <c r="F59" s="100">
        <v>15</v>
      </c>
      <c r="G59" s="100">
        <v>4553.9999999999991</v>
      </c>
      <c r="H59" s="100">
        <v>15</v>
      </c>
      <c r="I59" s="100">
        <v>4553.9999999999991</v>
      </c>
      <c r="J59" s="100">
        <v>13.649262461660458</v>
      </c>
      <c r="K59" s="100">
        <v>4143.9160833601145</v>
      </c>
      <c r="L59" s="100">
        <v>15</v>
      </c>
      <c r="M59" s="100">
        <v>4553.9999999999991</v>
      </c>
      <c r="N59" s="100">
        <v>11</v>
      </c>
      <c r="O59" s="100">
        <v>3339.5999999999995</v>
      </c>
      <c r="P59" s="100">
        <v>15</v>
      </c>
      <c r="Q59" s="100">
        <v>4553.9999999999991</v>
      </c>
      <c r="R59" s="100">
        <v>9</v>
      </c>
      <c r="S59" s="100">
        <v>2732.3999999999996</v>
      </c>
      <c r="T59" s="100">
        <v>10</v>
      </c>
      <c r="U59" s="100">
        <v>3035.9999999999995</v>
      </c>
      <c r="V59" s="100">
        <v>17</v>
      </c>
      <c r="W59" s="100">
        <v>5161.2</v>
      </c>
      <c r="X59" s="100">
        <v>14</v>
      </c>
      <c r="Y59" s="100">
        <v>4250.3999999999996</v>
      </c>
      <c r="Z59" s="100">
        <v>15</v>
      </c>
      <c r="AA59" s="100">
        <v>4553.9999999999991</v>
      </c>
      <c r="AB59" s="100">
        <v>3.7336742406428116</v>
      </c>
      <c r="AC59" s="100">
        <v>1133.5434994591574</v>
      </c>
      <c r="AD59" s="100">
        <v>2.4876356523763815E-4</v>
      </c>
      <c r="AE59" s="100">
        <v>7.5524618406146937E-2</v>
      </c>
      <c r="AF59" s="100">
        <v>4.3387977801107968E-4</v>
      </c>
      <c r="AG59" s="100">
        <v>0.13172590060416378</v>
      </c>
      <c r="AH59" s="100">
        <v>4.6126732697457932E-4</v>
      </c>
      <c r="AI59" s="100">
        <v>0.14004076046948227</v>
      </c>
      <c r="AJ59" s="100">
        <v>10</v>
      </c>
      <c r="AK59" s="100">
        <v>3035.9999999999995</v>
      </c>
      <c r="AL59" s="100">
        <v>12.322708694253842</v>
      </c>
      <c r="AM59" s="100">
        <v>3741.174359575466</v>
      </c>
      <c r="AN59" s="100">
        <v>12.887391079223457</v>
      </c>
      <c r="AO59" s="100">
        <v>3912.6119316522413</v>
      </c>
      <c r="AP59" s="100">
        <v>12.227704836030481</v>
      </c>
      <c r="AQ59" s="100">
        <v>3712.3311882188536</v>
      </c>
      <c r="AR59" s="100">
        <v>12.358558304492385</v>
      </c>
      <c r="AS59" s="100">
        <v>3752.0583012438879</v>
      </c>
      <c r="AT59" s="100">
        <v>13.333283935129078</v>
      </c>
      <c r="AU59" s="100">
        <v>4047.9850027051875</v>
      </c>
      <c r="AV59" s="100">
        <v>10</v>
      </c>
      <c r="AW59" s="100">
        <v>3035.9999999999995</v>
      </c>
      <c r="AX59" s="100">
        <v>13.692025122872392</v>
      </c>
      <c r="AY59" s="100">
        <v>4156.8988273040577</v>
      </c>
      <c r="AZ59" s="100">
        <v>10</v>
      </c>
      <c r="BA59" s="100">
        <v>3035.9999999999995</v>
      </c>
      <c r="BB59" s="100">
        <v>14</v>
      </c>
      <c r="BC59" s="100">
        <v>4250.3999999999996</v>
      </c>
      <c r="BD59" s="100">
        <v>13</v>
      </c>
      <c r="BE59" s="100">
        <v>3946.7999999999997</v>
      </c>
      <c r="BF59" s="100">
        <v>14</v>
      </c>
      <c r="BG59" s="100">
        <v>4250.3999999999996</v>
      </c>
      <c r="BH59" s="100">
        <v>15</v>
      </c>
      <c r="BI59" s="100">
        <v>4553.9999999999991</v>
      </c>
      <c r="BJ59" s="100">
        <v>11.530463233632581</v>
      </c>
      <c r="BK59" s="100">
        <v>3500.6486377308511</v>
      </c>
      <c r="BL59" s="100">
        <v>12.117183263971045</v>
      </c>
      <c r="BM59" s="100">
        <v>3678.7768389416087</v>
      </c>
      <c r="BN59" s="100">
        <v>17.096419978136655</v>
      </c>
      <c r="BO59" s="100">
        <v>5190.4731053622882</v>
      </c>
      <c r="BP59" s="100">
        <v>10.920474778159445</v>
      </c>
      <c r="BQ59" s="100">
        <v>3315.4561426492073</v>
      </c>
      <c r="BR59" s="100">
        <v>12.006034546449817</v>
      </c>
      <c r="BS59" s="100">
        <v>3645.0320883021641</v>
      </c>
      <c r="BT59" s="100">
        <v>15</v>
      </c>
      <c r="BU59" s="100">
        <v>4553.9999999999991</v>
      </c>
      <c r="BV59" s="100">
        <v>11</v>
      </c>
      <c r="BW59" s="100">
        <v>3339.5999999999995</v>
      </c>
      <c r="BX59" s="100">
        <v>8</v>
      </c>
      <c r="BY59" s="100">
        <v>2428.7999999999997</v>
      </c>
      <c r="BZ59" s="100">
        <v>16</v>
      </c>
      <c r="CA59" s="100">
        <v>4857.5999999999995</v>
      </c>
      <c r="CB59" s="100">
        <v>9</v>
      </c>
      <c r="CC59" s="100">
        <v>2732.3999999999996</v>
      </c>
      <c r="CD59" s="100">
        <v>12.378033994049018</v>
      </c>
      <c r="CE59" s="100">
        <v>3757.9711205932813</v>
      </c>
      <c r="CF59" s="100">
        <v>11</v>
      </c>
      <c r="CG59" s="100">
        <v>3339.5999999999995</v>
      </c>
      <c r="CH59" s="100">
        <v>12.161808501955877</v>
      </c>
      <c r="CI59" s="100">
        <v>3692.3250611938038</v>
      </c>
      <c r="CJ59" s="100">
        <v>17</v>
      </c>
      <c r="CK59" s="100">
        <v>5161.2</v>
      </c>
      <c r="CL59" s="100">
        <v>10</v>
      </c>
      <c r="CM59" s="100">
        <v>3035.9999999999995</v>
      </c>
      <c r="CN59" s="100">
        <v>14</v>
      </c>
      <c r="CO59" s="100">
        <v>4250.3999999999996</v>
      </c>
      <c r="CP59" s="100">
        <v>11</v>
      </c>
      <c r="CQ59" s="100">
        <v>3339.5999999999995</v>
      </c>
      <c r="CR59" s="100">
        <v>11</v>
      </c>
      <c r="CS59" s="100">
        <v>3339.5999999999995</v>
      </c>
      <c r="CT59" s="100">
        <v>15</v>
      </c>
      <c r="CU59" s="100">
        <v>4553.9999999999991</v>
      </c>
    </row>
    <row r="60" spans="2:99">
      <c r="C60" s="99" t="s">
        <v>226</v>
      </c>
      <c r="D60" s="100">
        <v>10.309912863378765</v>
      </c>
      <c r="E60" s="100">
        <v>6717.9392217776031</v>
      </c>
      <c r="F60" s="100">
        <v>14</v>
      </c>
      <c r="G60" s="100">
        <v>9122.4</v>
      </c>
      <c r="H60" s="100">
        <v>16</v>
      </c>
      <c r="I60" s="100">
        <v>10425.6</v>
      </c>
      <c r="J60" s="100">
        <v>14.559213292437821</v>
      </c>
      <c r="K60" s="100">
        <v>9486.7833813524849</v>
      </c>
      <c r="L60" s="100">
        <v>16</v>
      </c>
      <c r="M60" s="100">
        <v>10425.6</v>
      </c>
      <c r="N60" s="100">
        <v>11</v>
      </c>
      <c r="O60" s="100">
        <v>7167.6</v>
      </c>
      <c r="P60" s="100">
        <v>14</v>
      </c>
      <c r="Q60" s="100">
        <v>9122.4</v>
      </c>
      <c r="R60" s="100">
        <v>10</v>
      </c>
      <c r="S60" s="100">
        <v>6516</v>
      </c>
      <c r="T60" s="100">
        <v>9</v>
      </c>
      <c r="U60" s="100">
        <v>5864.4000000000005</v>
      </c>
      <c r="V60" s="100">
        <v>16</v>
      </c>
      <c r="W60" s="100">
        <v>10425.6</v>
      </c>
      <c r="X60" s="100">
        <v>14</v>
      </c>
      <c r="Y60" s="100">
        <v>9122.4</v>
      </c>
      <c r="Z60" s="100">
        <v>15</v>
      </c>
      <c r="AA60" s="100">
        <v>9774</v>
      </c>
      <c r="AB60" s="100">
        <v>3.7336742406428116</v>
      </c>
      <c r="AC60" s="100">
        <v>2432.8621352028563</v>
      </c>
      <c r="AD60" s="100">
        <v>2.4876356523763815E-4</v>
      </c>
      <c r="AE60" s="100">
        <v>0.16209433910884502</v>
      </c>
      <c r="AF60" s="100">
        <v>3.8567091378762636E-4</v>
      </c>
      <c r="AG60" s="100">
        <v>0.25130316742401737</v>
      </c>
      <c r="AH60" s="100">
        <v>4.070005826246288E-4</v>
      </c>
      <c r="AI60" s="100">
        <v>0.26520157963820812</v>
      </c>
      <c r="AJ60" s="100">
        <v>9</v>
      </c>
      <c r="AK60" s="100">
        <v>5864.4000000000005</v>
      </c>
      <c r="AL60" s="100">
        <v>12.322708694253842</v>
      </c>
      <c r="AM60" s="100">
        <v>8029.4769851758037</v>
      </c>
      <c r="AN60" s="100">
        <v>14.605709889786585</v>
      </c>
      <c r="AO60" s="100">
        <v>9517.0805641849383</v>
      </c>
      <c r="AP60" s="100">
        <v>13.974519812606266</v>
      </c>
      <c r="AQ60" s="100">
        <v>9105.7971098942435</v>
      </c>
      <c r="AR60" s="100">
        <v>11.407899973377587</v>
      </c>
      <c r="AS60" s="100">
        <v>7433.3876226528355</v>
      </c>
      <c r="AT60" s="100">
        <v>12.444398339453805</v>
      </c>
      <c r="AU60" s="100">
        <v>8108.7699579881</v>
      </c>
      <c r="AV60" s="100">
        <v>11</v>
      </c>
      <c r="AW60" s="100">
        <v>7167.6</v>
      </c>
      <c r="AX60" s="100">
        <v>10.953620098297915</v>
      </c>
      <c r="AY60" s="100">
        <v>7137.3788560509211</v>
      </c>
      <c r="AZ60" s="100">
        <v>10</v>
      </c>
      <c r="BA60" s="100">
        <v>6516</v>
      </c>
      <c r="BB60" s="100">
        <v>14</v>
      </c>
      <c r="BC60" s="100">
        <v>9122.4</v>
      </c>
      <c r="BD60" s="100">
        <v>13</v>
      </c>
      <c r="BE60" s="100">
        <v>8470.8000000000011</v>
      </c>
      <c r="BF60" s="100">
        <v>14</v>
      </c>
      <c r="BG60" s="100">
        <v>9122.4</v>
      </c>
      <c r="BH60" s="100">
        <v>13</v>
      </c>
      <c r="BI60" s="100">
        <v>8470.8000000000011</v>
      </c>
      <c r="BJ60" s="100">
        <v>9.756545813073723</v>
      </c>
      <c r="BK60" s="100">
        <v>6357.3652517988385</v>
      </c>
      <c r="BL60" s="100">
        <v>12.117183263971045</v>
      </c>
      <c r="BM60" s="100">
        <v>7895.5566148035332</v>
      </c>
      <c r="BN60" s="100">
        <v>16.146618868240175</v>
      </c>
      <c r="BO60" s="100">
        <v>10521.136854545299</v>
      </c>
      <c r="BP60" s="100">
        <v>8.9349339094031812</v>
      </c>
      <c r="BQ60" s="100">
        <v>5822.0029353671134</v>
      </c>
      <c r="BR60" s="100">
        <v>11.205632243353161</v>
      </c>
      <c r="BS60" s="100">
        <v>7301.5899697689201</v>
      </c>
      <c r="BT60" s="100">
        <v>15</v>
      </c>
      <c r="BU60" s="100">
        <v>9774</v>
      </c>
      <c r="BV60" s="100">
        <v>10</v>
      </c>
      <c r="BW60" s="100">
        <v>6516</v>
      </c>
      <c r="BX60" s="100">
        <v>8</v>
      </c>
      <c r="BY60" s="100">
        <v>5212.8</v>
      </c>
      <c r="BZ60" s="100">
        <v>14</v>
      </c>
      <c r="CA60" s="100">
        <v>9122.4</v>
      </c>
      <c r="CB60" s="100">
        <v>10</v>
      </c>
      <c r="CC60" s="100">
        <v>6516</v>
      </c>
      <c r="CD60" s="100">
        <v>14.028438526588886</v>
      </c>
      <c r="CE60" s="100">
        <v>9140.9305439253185</v>
      </c>
      <c r="CF60" s="100">
        <v>10</v>
      </c>
      <c r="CG60" s="100">
        <v>6516</v>
      </c>
      <c r="CH60" s="100">
        <v>12.161808501955877</v>
      </c>
      <c r="CI60" s="100">
        <v>7924.6344198744491</v>
      </c>
      <c r="CJ60" s="100">
        <v>17</v>
      </c>
      <c r="CK60" s="100">
        <v>11077.2</v>
      </c>
      <c r="CL60" s="100">
        <v>10</v>
      </c>
      <c r="CM60" s="100">
        <v>6516</v>
      </c>
      <c r="CN60" s="100">
        <v>15</v>
      </c>
      <c r="CO60" s="100">
        <v>9774</v>
      </c>
      <c r="CP60" s="100">
        <v>10</v>
      </c>
      <c r="CQ60" s="100">
        <v>6516</v>
      </c>
      <c r="CR60" s="100">
        <v>9</v>
      </c>
      <c r="CS60" s="100">
        <v>5864.4000000000005</v>
      </c>
      <c r="CT60" s="100">
        <v>13</v>
      </c>
      <c r="CU60" s="100">
        <v>8470.8000000000011</v>
      </c>
    </row>
    <row r="61" spans="2:99">
      <c r="C61" s="99" t="s">
        <v>227</v>
      </c>
      <c r="D61" s="100">
        <v>10.309912863378765</v>
      </c>
      <c r="E61" s="100">
        <v>9810.9130807912316</v>
      </c>
      <c r="F61" s="100">
        <v>16</v>
      </c>
      <c r="G61" s="100">
        <v>15225.599999999999</v>
      </c>
      <c r="H61" s="100">
        <v>15</v>
      </c>
      <c r="I61" s="100">
        <v>14273.999999999998</v>
      </c>
      <c r="J61" s="100">
        <v>14.559213292437821</v>
      </c>
      <c r="K61" s="100">
        <v>13854.54736908383</v>
      </c>
      <c r="L61" s="100">
        <v>15</v>
      </c>
      <c r="M61" s="100">
        <v>14273.999999999998</v>
      </c>
      <c r="N61" s="100">
        <v>9</v>
      </c>
      <c r="O61" s="100">
        <v>8564.4</v>
      </c>
      <c r="P61" s="100">
        <v>14</v>
      </c>
      <c r="Q61" s="100">
        <v>13322.399999999998</v>
      </c>
      <c r="R61" s="100">
        <v>9</v>
      </c>
      <c r="S61" s="100">
        <v>8564.4</v>
      </c>
      <c r="T61" s="100">
        <v>9</v>
      </c>
      <c r="U61" s="100">
        <v>8564.4</v>
      </c>
      <c r="V61" s="100">
        <v>15</v>
      </c>
      <c r="W61" s="100">
        <v>14273.999999999998</v>
      </c>
      <c r="X61" s="100">
        <v>14</v>
      </c>
      <c r="Y61" s="100">
        <v>13322.399999999998</v>
      </c>
      <c r="Z61" s="100">
        <v>16</v>
      </c>
      <c r="AA61" s="100">
        <v>15225.599999999999</v>
      </c>
      <c r="AB61" s="100">
        <v>3.1113952005356769</v>
      </c>
      <c r="AC61" s="100">
        <v>2960.8036728297498</v>
      </c>
      <c r="AD61" s="100">
        <v>2.4876356523763815E-4</v>
      </c>
      <c r="AE61" s="100">
        <v>0.23672340868013644</v>
      </c>
      <c r="AF61" s="100">
        <v>4.3387977801107968E-4</v>
      </c>
      <c r="AG61" s="100">
        <v>0.41287999675534337</v>
      </c>
      <c r="AH61" s="100">
        <v>3.7986721044965351E-4</v>
      </c>
      <c r="AI61" s="100">
        <v>0.36148163746389023</v>
      </c>
      <c r="AJ61" s="100">
        <v>9</v>
      </c>
      <c r="AK61" s="100">
        <v>8564.4</v>
      </c>
      <c r="AL61" s="100">
        <v>11.374808025465086</v>
      </c>
      <c r="AM61" s="100">
        <v>10824.267317032574</v>
      </c>
      <c r="AN61" s="100">
        <v>14.605709889786585</v>
      </c>
      <c r="AO61" s="100">
        <v>13898.793531120913</v>
      </c>
      <c r="AP61" s="100">
        <v>11.354297347742589</v>
      </c>
      <c r="AQ61" s="100">
        <v>10804.749356111846</v>
      </c>
      <c r="AR61" s="100">
        <v>12.358558304492385</v>
      </c>
      <c r="AS61" s="100">
        <v>11760.404082554953</v>
      </c>
      <c r="AT61" s="100">
        <v>13.333283935129078</v>
      </c>
      <c r="AU61" s="100">
        <v>12687.95299266883</v>
      </c>
      <c r="AV61" s="100">
        <v>10</v>
      </c>
      <c r="AW61" s="100">
        <v>9516</v>
      </c>
      <c r="AX61" s="100">
        <v>12.779223448014234</v>
      </c>
      <c r="AY61" s="100">
        <v>12160.709033130344</v>
      </c>
      <c r="AZ61" s="100">
        <v>9</v>
      </c>
      <c r="BA61" s="100">
        <v>8564.4</v>
      </c>
      <c r="BB61" s="100">
        <v>14</v>
      </c>
      <c r="BC61" s="100">
        <v>13322.399999999998</v>
      </c>
      <c r="BD61" s="100">
        <v>12</v>
      </c>
      <c r="BE61" s="100">
        <v>11419.199999999999</v>
      </c>
      <c r="BF61" s="100">
        <v>12</v>
      </c>
      <c r="BG61" s="100">
        <v>11419.199999999999</v>
      </c>
      <c r="BH61" s="100">
        <v>12</v>
      </c>
      <c r="BI61" s="100">
        <v>11419.199999999999</v>
      </c>
      <c r="BJ61" s="100">
        <v>8.8695871027942932</v>
      </c>
      <c r="BK61" s="100">
        <v>8440.2990870190479</v>
      </c>
      <c r="BL61" s="100">
        <v>10.386157083403752</v>
      </c>
      <c r="BM61" s="100">
        <v>9883.4670805670103</v>
      </c>
      <c r="BN61" s="100">
        <v>15.196817758343691</v>
      </c>
      <c r="BO61" s="100">
        <v>14461.291778839855</v>
      </c>
      <c r="BP61" s="100">
        <v>9.9277043437813113</v>
      </c>
      <c r="BQ61" s="100">
        <v>9447.2034535422954</v>
      </c>
      <c r="BR61" s="100">
        <v>10.405229940256508</v>
      </c>
      <c r="BS61" s="100">
        <v>9901.6168111480911</v>
      </c>
      <c r="BT61" s="100">
        <v>15</v>
      </c>
      <c r="BU61" s="100">
        <v>14273.999999999998</v>
      </c>
      <c r="BV61" s="100">
        <v>10</v>
      </c>
      <c r="BW61" s="100">
        <v>9516</v>
      </c>
      <c r="BX61" s="100">
        <v>8</v>
      </c>
      <c r="BY61" s="100">
        <v>7612.7999999999993</v>
      </c>
      <c r="BZ61" s="100">
        <v>15</v>
      </c>
      <c r="CA61" s="100">
        <v>14273.999999999998</v>
      </c>
      <c r="CB61" s="100">
        <v>9</v>
      </c>
      <c r="CC61" s="100">
        <v>8564.4</v>
      </c>
      <c r="CD61" s="100">
        <v>13.203236260318951</v>
      </c>
      <c r="CE61" s="100">
        <v>12564.199625319512</v>
      </c>
      <c r="CF61" s="100">
        <v>11</v>
      </c>
      <c r="CG61" s="100">
        <v>10467.599999999999</v>
      </c>
      <c r="CH61" s="100">
        <v>12.161808501955877</v>
      </c>
      <c r="CI61" s="100">
        <v>11573.176970461211</v>
      </c>
      <c r="CJ61" s="100">
        <v>14</v>
      </c>
      <c r="CK61" s="100">
        <v>13322.399999999998</v>
      </c>
      <c r="CL61" s="100">
        <v>9</v>
      </c>
      <c r="CM61" s="100">
        <v>8564.4</v>
      </c>
      <c r="CN61" s="100">
        <v>15</v>
      </c>
      <c r="CO61" s="100">
        <v>14273.999999999998</v>
      </c>
      <c r="CP61" s="100">
        <v>9</v>
      </c>
      <c r="CQ61" s="100">
        <v>8564.4</v>
      </c>
      <c r="CR61" s="100">
        <v>10</v>
      </c>
      <c r="CS61" s="100">
        <v>9516</v>
      </c>
      <c r="CT61" s="100">
        <v>13</v>
      </c>
      <c r="CU61" s="100">
        <v>12370.8</v>
      </c>
    </row>
    <row r="62" spans="2:99">
      <c r="C62" s="99" t="s">
        <v>228</v>
      </c>
      <c r="D62" s="100">
        <v>8.7083333333333339</v>
      </c>
      <c r="E62" s="100">
        <v>14535.95</v>
      </c>
      <c r="F62" s="100">
        <v>8.4085106382978729</v>
      </c>
      <c r="G62" s="100">
        <v>14035.48595744681</v>
      </c>
      <c r="H62" s="100">
        <v>11.955056179775283</v>
      </c>
      <c r="I62" s="100">
        <v>19955.379775280904</v>
      </c>
      <c r="J62" s="100">
        <v>9.9296482412060332</v>
      </c>
      <c r="K62" s="100">
        <v>16574.56884422111</v>
      </c>
      <c r="L62" s="100">
        <v>13</v>
      </c>
      <c r="M62" s="100">
        <v>21699.600000000002</v>
      </c>
      <c r="N62" s="100">
        <v>9</v>
      </c>
      <c r="O62" s="100">
        <v>15022.800000000001</v>
      </c>
      <c r="P62" s="100">
        <v>13</v>
      </c>
      <c r="Q62" s="100">
        <v>21699.600000000002</v>
      </c>
      <c r="R62" s="100">
        <v>8</v>
      </c>
      <c r="S62" s="100">
        <v>13353.6</v>
      </c>
      <c r="T62" s="100">
        <v>8</v>
      </c>
      <c r="U62" s="100">
        <v>13353.6</v>
      </c>
      <c r="V62" s="100">
        <v>15</v>
      </c>
      <c r="W62" s="100">
        <v>25038</v>
      </c>
      <c r="X62" s="100">
        <v>12</v>
      </c>
      <c r="Y62" s="100">
        <v>20030.400000000001</v>
      </c>
      <c r="Z62" s="100">
        <v>15</v>
      </c>
      <c r="AA62" s="100">
        <v>25038</v>
      </c>
      <c r="AB62" s="100">
        <v>10</v>
      </c>
      <c r="AC62" s="100">
        <v>16692</v>
      </c>
      <c r="AD62" s="100">
        <v>8</v>
      </c>
      <c r="AE62" s="100">
        <v>13353.6</v>
      </c>
      <c r="AF62" s="100">
        <v>14</v>
      </c>
      <c r="AG62" s="100">
        <v>23368.799999999999</v>
      </c>
      <c r="AH62" s="100">
        <v>13</v>
      </c>
      <c r="AI62" s="100">
        <v>21699.600000000002</v>
      </c>
      <c r="AJ62" s="100">
        <v>10</v>
      </c>
      <c r="AK62" s="100">
        <v>16692</v>
      </c>
      <c r="AL62" s="100">
        <v>11</v>
      </c>
      <c r="AM62" s="100">
        <v>18361.2</v>
      </c>
      <c r="AN62" s="100">
        <v>14</v>
      </c>
      <c r="AO62" s="100">
        <v>23368.799999999999</v>
      </c>
      <c r="AP62" s="100">
        <v>12</v>
      </c>
      <c r="AQ62" s="100">
        <v>20030.400000000001</v>
      </c>
      <c r="AR62" s="100">
        <v>11</v>
      </c>
      <c r="AS62" s="100">
        <v>18361.2</v>
      </c>
      <c r="AT62" s="100">
        <v>11.078838174273862</v>
      </c>
      <c r="AU62" s="100">
        <v>18492.79668049793</v>
      </c>
      <c r="AV62" s="100">
        <v>6.6731707317073177</v>
      </c>
      <c r="AW62" s="100">
        <v>11138.856585365855</v>
      </c>
      <c r="AX62" s="100">
        <v>5.639231783292014</v>
      </c>
      <c r="AY62" s="100">
        <v>9413.0056926710295</v>
      </c>
      <c r="AZ62" s="100">
        <v>8</v>
      </c>
      <c r="BA62" s="100">
        <v>13353.6</v>
      </c>
      <c r="BB62" s="100">
        <v>9.8197424892703875</v>
      </c>
      <c r="BC62" s="100">
        <v>16391.114163090133</v>
      </c>
      <c r="BD62" s="100">
        <v>5.2833084160083494</v>
      </c>
      <c r="BE62" s="100">
        <v>8818.8984080011378</v>
      </c>
      <c r="BF62" s="100">
        <v>11</v>
      </c>
      <c r="BG62" s="100">
        <v>18361.2</v>
      </c>
      <c r="BH62" s="100">
        <v>13</v>
      </c>
      <c r="BI62" s="100">
        <v>21699.600000000002</v>
      </c>
      <c r="BJ62" s="100">
        <v>10.350210970464136</v>
      </c>
      <c r="BK62" s="100">
        <v>17276.572151898738</v>
      </c>
      <c r="BL62" s="100">
        <v>11</v>
      </c>
      <c r="BM62" s="100">
        <v>18361.2</v>
      </c>
      <c r="BN62" s="100">
        <v>16</v>
      </c>
      <c r="BO62" s="100">
        <v>26707.200000000001</v>
      </c>
      <c r="BP62" s="100">
        <v>8.9518716577540118</v>
      </c>
      <c r="BQ62" s="100">
        <v>14942.464171122998</v>
      </c>
      <c r="BR62" s="100">
        <v>4.2459473823796907</v>
      </c>
      <c r="BS62" s="100">
        <v>7087.3353706681801</v>
      </c>
      <c r="BT62" s="100">
        <v>4.9664077036426333</v>
      </c>
      <c r="BU62" s="100">
        <v>8289.9277389202834</v>
      </c>
      <c r="BV62" s="100">
        <v>7.6853932584269673</v>
      </c>
      <c r="BW62" s="100">
        <v>12828.458426966294</v>
      </c>
      <c r="BX62" s="100">
        <v>9</v>
      </c>
      <c r="BY62" s="100">
        <v>15022.800000000001</v>
      </c>
      <c r="BZ62" s="100">
        <v>11.073770491803279</v>
      </c>
      <c r="CA62" s="100">
        <v>18484.337704918034</v>
      </c>
      <c r="CB62" s="100">
        <v>6.7555555555555555</v>
      </c>
      <c r="CC62" s="100">
        <v>11276.373333333333</v>
      </c>
      <c r="CD62" s="100">
        <v>12.429906542056074</v>
      </c>
      <c r="CE62" s="100">
        <v>20748</v>
      </c>
      <c r="CF62" s="100">
        <v>8.7962962962962958</v>
      </c>
      <c r="CG62" s="100">
        <v>14682.777777777777</v>
      </c>
      <c r="CH62" s="100">
        <v>10.458715596330276</v>
      </c>
      <c r="CI62" s="100">
        <v>17457.688073394496</v>
      </c>
      <c r="CJ62" s="100">
        <v>12.036199095022624</v>
      </c>
      <c r="CK62" s="100">
        <v>20090.823529411766</v>
      </c>
      <c r="CL62" s="100">
        <v>8.1042654028436019</v>
      </c>
      <c r="CM62" s="100">
        <v>13527.639810426541</v>
      </c>
      <c r="CN62" s="100">
        <v>9.5</v>
      </c>
      <c r="CO62" s="100">
        <v>15857.4</v>
      </c>
      <c r="CP62" s="100">
        <v>9</v>
      </c>
      <c r="CQ62" s="100">
        <v>15022.800000000001</v>
      </c>
      <c r="CR62" s="100">
        <v>7.7959183673469381</v>
      </c>
      <c r="CS62" s="100">
        <v>13012.946938775509</v>
      </c>
      <c r="CT62" s="100">
        <v>11.875</v>
      </c>
      <c r="CU62" s="100">
        <v>19821.75</v>
      </c>
    </row>
    <row r="63" spans="2:99">
      <c r="C63" s="99" t="s">
        <v>229</v>
      </c>
      <c r="D63" s="100">
        <v>12.028231673941894</v>
      </c>
      <c r="E63" s="100">
        <v>9569.6611197881721</v>
      </c>
      <c r="F63" s="100">
        <v>14</v>
      </c>
      <c r="G63" s="100">
        <v>11138.4</v>
      </c>
      <c r="H63" s="100">
        <v>18</v>
      </c>
      <c r="I63" s="100">
        <v>14320.800000000001</v>
      </c>
      <c r="J63" s="100">
        <v>14.559213292437821</v>
      </c>
      <c r="K63" s="100">
        <v>11583.31009546353</v>
      </c>
      <c r="L63" s="100">
        <v>16</v>
      </c>
      <c r="M63" s="100">
        <v>12729.6</v>
      </c>
      <c r="N63" s="100">
        <v>11</v>
      </c>
      <c r="O63" s="100">
        <v>8751.6</v>
      </c>
      <c r="P63" s="100">
        <v>14</v>
      </c>
      <c r="Q63" s="100">
        <v>11138.4</v>
      </c>
      <c r="R63" s="100">
        <v>9</v>
      </c>
      <c r="S63" s="100">
        <v>7160.4000000000005</v>
      </c>
      <c r="T63" s="100">
        <v>8</v>
      </c>
      <c r="U63" s="100">
        <v>6364.8</v>
      </c>
      <c r="V63" s="100">
        <v>17</v>
      </c>
      <c r="W63" s="100">
        <v>13525.2</v>
      </c>
      <c r="X63" s="100">
        <v>14</v>
      </c>
      <c r="Y63" s="100">
        <v>11138.4</v>
      </c>
      <c r="Z63" s="100">
        <v>16</v>
      </c>
      <c r="AA63" s="100">
        <v>12729.6</v>
      </c>
      <c r="AB63" s="100">
        <v>3.1113952005356769</v>
      </c>
      <c r="AC63" s="100">
        <v>2475.4260215461845</v>
      </c>
      <c r="AD63" s="100">
        <v>2.7985901089234294E-4</v>
      </c>
      <c r="AE63" s="100">
        <v>0.22265582906594805</v>
      </c>
      <c r="AF63" s="100">
        <v>4.3387977801107968E-4</v>
      </c>
      <c r="AG63" s="100">
        <v>0.34519475138561501</v>
      </c>
      <c r="AH63" s="100">
        <v>3.7986721044965351E-4</v>
      </c>
      <c r="AI63" s="100">
        <v>0.30222235263374436</v>
      </c>
      <c r="AJ63" s="100">
        <v>9</v>
      </c>
      <c r="AK63" s="100">
        <v>7160.4000000000005</v>
      </c>
      <c r="AL63" s="100">
        <v>12.322708694253842</v>
      </c>
      <c r="AM63" s="100">
        <v>9803.9470371483567</v>
      </c>
      <c r="AN63" s="100">
        <v>12.887391079223457</v>
      </c>
      <c r="AO63" s="100">
        <v>10253.208342630183</v>
      </c>
      <c r="AP63" s="100">
        <v>12.227704836030481</v>
      </c>
      <c r="AQ63" s="100">
        <v>9728.3619675458522</v>
      </c>
      <c r="AR63" s="100">
        <v>13.309216635607184</v>
      </c>
      <c r="AS63" s="100">
        <v>10588.812755289076</v>
      </c>
      <c r="AT63" s="100">
        <v>14.222169530804351</v>
      </c>
      <c r="AU63" s="100">
        <v>11315.158078707942</v>
      </c>
      <c r="AV63" s="100">
        <v>11</v>
      </c>
      <c r="AW63" s="100">
        <v>8751.6</v>
      </c>
      <c r="AX63" s="100">
        <v>11.866421773156075</v>
      </c>
      <c r="AY63" s="100">
        <v>9440.9251627229733</v>
      </c>
      <c r="AZ63" s="100">
        <v>9</v>
      </c>
      <c r="BA63" s="100">
        <v>7160.4000000000005</v>
      </c>
      <c r="BB63" s="100">
        <v>14</v>
      </c>
      <c r="BC63" s="100">
        <v>11138.4</v>
      </c>
      <c r="BD63" s="100">
        <v>11</v>
      </c>
      <c r="BE63" s="100">
        <v>8751.6</v>
      </c>
      <c r="BF63" s="100">
        <v>13</v>
      </c>
      <c r="BG63" s="100">
        <v>10342.800000000001</v>
      </c>
      <c r="BH63" s="100">
        <v>13</v>
      </c>
      <c r="BI63" s="100">
        <v>10342.800000000001</v>
      </c>
      <c r="BJ63" s="100">
        <v>11.530463233632581</v>
      </c>
      <c r="BK63" s="100">
        <v>9173.6365486780815</v>
      </c>
      <c r="BL63" s="100">
        <v>10.386157083403752</v>
      </c>
      <c r="BM63" s="100">
        <v>8263.2265755560256</v>
      </c>
      <c r="BN63" s="100">
        <v>16.146618868240175</v>
      </c>
      <c r="BO63" s="100">
        <v>12846.249971571884</v>
      </c>
      <c r="BP63" s="100">
        <v>8.9349339094031812</v>
      </c>
      <c r="BQ63" s="100">
        <v>7108.6334183211711</v>
      </c>
      <c r="BR63" s="100">
        <v>10.405229940256508</v>
      </c>
      <c r="BS63" s="100">
        <v>8278.4009404680783</v>
      </c>
      <c r="BT63" s="100">
        <v>13</v>
      </c>
      <c r="BU63" s="100">
        <v>10342.800000000001</v>
      </c>
      <c r="BV63" s="100">
        <v>10</v>
      </c>
      <c r="BW63" s="100">
        <v>7956</v>
      </c>
      <c r="BX63" s="100">
        <v>9</v>
      </c>
      <c r="BY63" s="100">
        <v>7160.4000000000005</v>
      </c>
      <c r="BZ63" s="100">
        <v>14</v>
      </c>
      <c r="CA63" s="100">
        <v>11138.4</v>
      </c>
      <c r="CB63" s="100">
        <v>10</v>
      </c>
      <c r="CC63" s="100">
        <v>7956</v>
      </c>
      <c r="CD63" s="100">
        <v>13.203236260318951</v>
      </c>
      <c r="CE63" s="100">
        <v>10504.494768709757</v>
      </c>
      <c r="CF63" s="100">
        <v>9</v>
      </c>
      <c r="CG63" s="100">
        <v>7160.4000000000005</v>
      </c>
      <c r="CH63" s="100">
        <v>11.226284771036195</v>
      </c>
      <c r="CI63" s="100">
        <v>8931.632163836397</v>
      </c>
      <c r="CJ63" s="100">
        <v>15</v>
      </c>
      <c r="CK63" s="100">
        <v>11934</v>
      </c>
      <c r="CL63" s="100">
        <v>10</v>
      </c>
      <c r="CM63" s="100">
        <v>7956</v>
      </c>
      <c r="CN63" s="100">
        <v>14</v>
      </c>
      <c r="CO63" s="100">
        <v>11138.4</v>
      </c>
      <c r="CP63" s="100">
        <v>9</v>
      </c>
      <c r="CQ63" s="100">
        <v>7160.4000000000005</v>
      </c>
      <c r="CR63" s="100">
        <v>10</v>
      </c>
      <c r="CS63" s="100">
        <v>7956</v>
      </c>
      <c r="CT63" s="100">
        <v>14</v>
      </c>
      <c r="CU63" s="100">
        <v>11138.4</v>
      </c>
    </row>
    <row r="64" spans="2:99">
      <c r="C64" s="99" t="s">
        <v>230</v>
      </c>
      <c r="D64" s="100">
        <v>11.169072268660329</v>
      </c>
      <c r="E64" s="100">
        <v>11271.827733532002</v>
      </c>
      <c r="F64" s="100">
        <v>16</v>
      </c>
      <c r="G64" s="100">
        <v>16147.199999999997</v>
      </c>
      <c r="H64" s="100">
        <v>15</v>
      </c>
      <c r="I64" s="100">
        <v>15137.999999999996</v>
      </c>
      <c r="J64" s="100">
        <v>12.739311630883094</v>
      </c>
      <c r="K64" s="100">
        <v>12856.513297887217</v>
      </c>
      <c r="L64" s="100">
        <v>15</v>
      </c>
      <c r="M64" s="100">
        <v>15137.999999999996</v>
      </c>
      <c r="N64" s="100">
        <v>10</v>
      </c>
      <c r="O64" s="100">
        <v>10091.999999999998</v>
      </c>
      <c r="P64" s="100">
        <v>14</v>
      </c>
      <c r="Q64" s="100">
        <v>14128.799999999997</v>
      </c>
      <c r="R64" s="100">
        <v>10</v>
      </c>
      <c r="S64" s="100">
        <v>10091.999999999998</v>
      </c>
      <c r="T64" s="100">
        <v>9</v>
      </c>
      <c r="U64" s="100">
        <v>9082.7999999999993</v>
      </c>
      <c r="V64" s="100">
        <v>14</v>
      </c>
      <c r="W64" s="100">
        <v>14128.799999999997</v>
      </c>
      <c r="X64" s="100">
        <v>13</v>
      </c>
      <c r="Y64" s="100">
        <v>13119.599999999999</v>
      </c>
      <c r="Z64" s="100">
        <v>16</v>
      </c>
      <c r="AA64" s="100">
        <v>16147.199999999997</v>
      </c>
      <c r="AB64" s="100">
        <v>3.1113952005356769</v>
      </c>
      <c r="AC64" s="100">
        <v>3140.0200363806043</v>
      </c>
      <c r="AD64" s="100">
        <v>2.7985901089234294E-4</v>
      </c>
      <c r="AE64" s="100">
        <v>0.28243371379255244</v>
      </c>
      <c r="AF64" s="100">
        <v>3.8567091378762636E-4</v>
      </c>
      <c r="AG64" s="100">
        <v>0.38921908619447243</v>
      </c>
      <c r="AH64" s="100">
        <v>4.070005826246288E-4</v>
      </c>
      <c r="AI64" s="100">
        <v>0.41074498798477532</v>
      </c>
      <c r="AJ64" s="100">
        <v>9</v>
      </c>
      <c r="AK64" s="100">
        <v>9082.7999999999993</v>
      </c>
      <c r="AL64" s="100">
        <v>11.374808025465086</v>
      </c>
      <c r="AM64" s="100">
        <v>11479.456259299363</v>
      </c>
      <c r="AN64" s="100">
        <v>13.746550484505022</v>
      </c>
      <c r="AO64" s="100">
        <v>13873.018748962466</v>
      </c>
      <c r="AP64" s="100">
        <v>13.101112324318374</v>
      </c>
      <c r="AQ64" s="100">
        <v>13221.6425577021</v>
      </c>
      <c r="AR64" s="100">
        <v>11.407899973377587</v>
      </c>
      <c r="AS64" s="100">
        <v>11512.852653132659</v>
      </c>
      <c r="AT64" s="100">
        <v>12.444398339453805</v>
      </c>
      <c r="AU64" s="100">
        <v>12558.886804176778</v>
      </c>
      <c r="AV64" s="100">
        <v>10</v>
      </c>
      <c r="AW64" s="100">
        <v>10091.999999999998</v>
      </c>
      <c r="AX64" s="100">
        <v>11.866421773156075</v>
      </c>
      <c r="AY64" s="100">
        <v>11975.592853469108</v>
      </c>
      <c r="AZ64" s="100">
        <v>8</v>
      </c>
      <c r="BA64" s="100">
        <v>8073.5999999999985</v>
      </c>
      <c r="BB64" s="100">
        <v>14</v>
      </c>
      <c r="BC64" s="100">
        <v>14128.799999999997</v>
      </c>
      <c r="BD64" s="100">
        <v>12</v>
      </c>
      <c r="BE64" s="100">
        <v>12110.399999999998</v>
      </c>
      <c r="BF64" s="100">
        <v>13</v>
      </c>
      <c r="BG64" s="100">
        <v>13119.599999999999</v>
      </c>
      <c r="BH64" s="100">
        <v>12</v>
      </c>
      <c r="BI64" s="100">
        <v>12110.399999999998</v>
      </c>
      <c r="BJ64" s="100">
        <v>10.643504523353151</v>
      </c>
      <c r="BK64" s="100">
        <v>10741.424764967998</v>
      </c>
      <c r="BL64" s="100">
        <v>10.386157083403752</v>
      </c>
      <c r="BM64" s="100">
        <v>10481.709728571064</v>
      </c>
      <c r="BN64" s="100">
        <v>14.247016648447211</v>
      </c>
      <c r="BO64" s="100">
        <v>14378.089201612922</v>
      </c>
      <c r="BP64" s="100">
        <v>9.9277043437813113</v>
      </c>
      <c r="BQ64" s="100">
        <v>10019.039223744097</v>
      </c>
      <c r="BR64" s="100">
        <v>12.006034546449817</v>
      </c>
      <c r="BS64" s="100">
        <v>12116.490064277154</v>
      </c>
      <c r="BT64" s="100">
        <v>14</v>
      </c>
      <c r="BU64" s="100">
        <v>14128.799999999997</v>
      </c>
      <c r="BV64" s="100">
        <v>10</v>
      </c>
      <c r="BW64" s="100">
        <v>10091.999999999998</v>
      </c>
      <c r="BX64" s="100">
        <v>9</v>
      </c>
      <c r="BY64" s="100">
        <v>9082.7999999999993</v>
      </c>
      <c r="BZ64" s="100">
        <v>16</v>
      </c>
      <c r="CA64" s="100">
        <v>16147.199999999997</v>
      </c>
      <c r="CB64" s="100">
        <v>9</v>
      </c>
      <c r="CC64" s="100">
        <v>9082.7999999999993</v>
      </c>
      <c r="CD64" s="100">
        <v>11.552831727779083</v>
      </c>
      <c r="CE64" s="100">
        <v>11659.117779674649</v>
      </c>
      <c r="CF64" s="100">
        <v>10</v>
      </c>
      <c r="CG64" s="100">
        <v>10091.999999999998</v>
      </c>
      <c r="CH64" s="100">
        <v>11.226284771036195</v>
      </c>
      <c r="CI64" s="100">
        <v>11329.566590929726</v>
      </c>
      <c r="CJ64" s="100">
        <v>14</v>
      </c>
      <c r="CK64" s="100">
        <v>14128.799999999997</v>
      </c>
      <c r="CL64" s="100">
        <v>10</v>
      </c>
      <c r="CM64" s="100">
        <v>10091.999999999998</v>
      </c>
      <c r="CN64" s="100">
        <v>14</v>
      </c>
      <c r="CO64" s="100">
        <v>14128.799999999997</v>
      </c>
      <c r="CP64" s="100">
        <v>10</v>
      </c>
      <c r="CQ64" s="100">
        <v>10091.999999999998</v>
      </c>
      <c r="CR64" s="100">
        <v>10</v>
      </c>
      <c r="CS64" s="100">
        <v>10091.999999999998</v>
      </c>
      <c r="CT64" s="100">
        <v>14</v>
      </c>
      <c r="CU64" s="100">
        <v>14128.799999999997</v>
      </c>
    </row>
    <row r="65" spans="2:99">
      <c r="C65" s="99" t="s">
        <v>231</v>
      </c>
      <c r="D65" s="100">
        <v>10.309912863378765</v>
      </c>
      <c r="E65" s="100">
        <v>10577.970597826612</v>
      </c>
      <c r="F65" s="100">
        <v>15</v>
      </c>
      <c r="G65" s="100">
        <v>15390</v>
      </c>
      <c r="H65" s="100">
        <v>16</v>
      </c>
      <c r="I65" s="100">
        <v>16416</v>
      </c>
      <c r="J65" s="100">
        <v>11.82936080010573</v>
      </c>
      <c r="K65" s="100">
        <v>12136.92418090848</v>
      </c>
      <c r="L65" s="100">
        <v>17</v>
      </c>
      <c r="M65" s="100">
        <v>17442</v>
      </c>
      <c r="N65" s="100">
        <v>10</v>
      </c>
      <c r="O65" s="100">
        <v>10260</v>
      </c>
      <c r="P65" s="100">
        <v>13</v>
      </c>
      <c r="Q65" s="100">
        <v>13338</v>
      </c>
      <c r="R65" s="100">
        <v>9</v>
      </c>
      <c r="S65" s="100">
        <v>9234</v>
      </c>
      <c r="T65" s="100">
        <v>8</v>
      </c>
      <c r="U65" s="100">
        <v>8208</v>
      </c>
      <c r="V65" s="100">
        <v>14</v>
      </c>
      <c r="W65" s="100">
        <v>14364</v>
      </c>
      <c r="X65" s="100">
        <v>13</v>
      </c>
      <c r="Y65" s="100">
        <v>13338</v>
      </c>
      <c r="Z65" s="100">
        <v>16</v>
      </c>
      <c r="AA65" s="100">
        <v>16416</v>
      </c>
      <c r="AB65" s="100">
        <v>3.1113952005356769</v>
      </c>
      <c r="AC65" s="100">
        <v>3192.2914757496046</v>
      </c>
      <c r="AD65" s="100">
        <v>2.4876356523763815E-4</v>
      </c>
      <c r="AE65" s="100">
        <v>0.25523141793381676</v>
      </c>
      <c r="AF65" s="100">
        <v>4.3387977801107968E-4</v>
      </c>
      <c r="AG65" s="100">
        <v>0.44516065223936774</v>
      </c>
      <c r="AH65" s="100">
        <v>3.5273383827467834E-4</v>
      </c>
      <c r="AI65" s="100">
        <v>0.36190491806981995</v>
      </c>
      <c r="AJ65" s="100">
        <v>9</v>
      </c>
      <c r="AK65" s="100">
        <v>9234</v>
      </c>
      <c r="AL65" s="100">
        <v>10.426907356676329</v>
      </c>
      <c r="AM65" s="100">
        <v>10698.006947949914</v>
      </c>
      <c r="AN65" s="100">
        <v>13.746550484505022</v>
      </c>
      <c r="AO65" s="100">
        <v>14103.960797102152</v>
      </c>
      <c r="AP65" s="100">
        <v>12.227704836030481</v>
      </c>
      <c r="AQ65" s="100">
        <v>12545.625161767273</v>
      </c>
      <c r="AR65" s="100">
        <v>12.358558304492385</v>
      </c>
      <c r="AS65" s="100">
        <v>12679.880820409187</v>
      </c>
      <c r="AT65" s="100">
        <v>11.555512743778536</v>
      </c>
      <c r="AU65" s="100">
        <v>11855.956075116777</v>
      </c>
      <c r="AV65" s="100">
        <v>10</v>
      </c>
      <c r="AW65" s="100">
        <v>10260</v>
      </c>
      <c r="AX65" s="100">
        <v>10.953620098297915</v>
      </c>
      <c r="AY65" s="100">
        <v>11238.41422085366</v>
      </c>
      <c r="AZ65" s="100">
        <v>8</v>
      </c>
      <c r="BA65" s="100">
        <v>8208</v>
      </c>
      <c r="BB65" s="100">
        <v>12</v>
      </c>
      <c r="BC65" s="100">
        <v>12312</v>
      </c>
      <c r="BD65" s="100">
        <v>11</v>
      </c>
      <c r="BE65" s="100">
        <v>11286</v>
      </c>
      <c r="BF65" s="100">
        <v>12</v>
      </c>
      <c r="BG65" s="100">
        <v>12312</v>
      </c>
      <c r="BH65" s="100">
        <v>14</v>
      </c>
      <c r="BI65" s="100">
        <v>14364</v>
      </c>
      <c r="BJ65" s="100">
        <v>10.643504523353151</v>
      </c>
      <c r="BK65" s="100">
        <v>10920.235640960333</v>
      </c>
      <c r="BL65" s="100">
        <v>10.386157083403752</v>
      </c>
      <c r="BM65" s="100">
        <v>10656.197167572249</v>
      </c>
      <c r="BN65" s="100">
        <v>15.196817758343691</v>
      </c>
      <c r="BO65" s="100">
        <v>15591.935020060628</v>
      </c>
      <c r="BP65" s="100">
        <v>9.9277043437813113</v>
      </c>
      <c r="BQ65" s="100">
        <v>10185.824656719626</v>
      </c>
      <c r="BR65" s="100">
        <v>11.205632243353161</v>
      </c>
      <c r="BS65" s="100">
        <v>11496.978681680343</v>
      </c>
      <c r="BT65" s="100">
        <v>13</v>
      </c>
      <c r="BU65" s="100">
        <v>13338</v>
      </c>
      <c r="BV65" s="100">
        <v>10</v>
      </c>
      <c r="BW65" s="100">
        <v>10260</v>
      </c>
      <c r="BX65" s="100">
        <v>8</v>
      </c>
      <c r="BY65" s="100">
        <v>8208</v>
      </c>
      <c r="BZ65" s="100">
        <v>15</v>
      </c>
      <c r="CA65" s="100">
        <v>15390</v>
      </c>
      <c r="CB65" s="100">
        <v>8</v>
      </c>
      <c r="CC65" s="100">
        <v>8208</v>
      </c>
      <c r="CD65" s="100">
        <v>12.378033994049018</v>
      </c>
      <c r="CE65" s="100">
        <v>12699.862877894291</v>
      </c>
      <c r="CF65" s="100">
        <v>11</v>
      </c>
      <c r="CG65" s="100">
        <v>11286</v>
      </c>
      <c r="CH65" s="100">
        <v>12.161808501955877</v>
      </c>
      <c r="CI65" s="100">
        <v>12478.01552300673</v>
      </c>
      <c r="CJ65" s="100">
        <v>14</v>
      </c>
      <c r="CK65" s="100">
        <v>14364</v>
      </c>
      <c r="CL65" s="100">
        <v>10</v>
      </c>
      <c r="CM65" s="100">
        <v>10260</v>
      </c>
      <c r="CN65" s="100">
        <v>14</v>
      </c>
      <c r="CO65" s="100">
        <v>14364</v>
      </c>
      <c r="CP65" s="100">
        <v>9</v>
      </c>
      <c r="CQ65" s="100">
        <v>9234</v>
      </c>
      <c r="CR65" s="100">
        <v>9</v>
      </c>
      <c r="CS65" s="100">
        <v>9234</v>
      </c>
      <c r="CT65" s="100">
        <v>14</v>
      </c>
      <c r="CU65" s="100">
        <v>14364</v>
      </c>
    </row>
    <row r="66" spans="2:99">
      <c r="C66" s="99" t="s">
        <v>232</v>
      </c>
      <c r="D66" s="100">
        <v>9.4507534580972017</v>
      </c>
      <c r="E66" s="100">
        <v>11250.176916518907</v>
      </c>
      <c r="F66" s="100">
        <v>14</v>
      </c>
      <c r="G66" s="100">
        <v>16665.599999999999</v>
      </c>
      <c r="H66" s="100">
        <v>16</v>
      </c>
      <c r="I66" s="100">
        <v>19046.399999999998</v>
      </c>
      <c r="J66" s="100">
        <v>11.82936080010573</v>
      </c>
      <c r="K66" s="100">
        <v>14081.67109644586</v>
      </c>
      <c r="L66" s="100">
        <v>17</v>
      </c>
      <c r="M66" s="100">
        <v>20236.8</v>
      </c>
      <c r="N66" s="100">
        <v>11</v>
      </c>
      <c r="O66" s="100">
        <v>13094.399999999998</v>
      </c>
      <c r="P66" s="100">
        <v>13</v>
      </c>
      <c r="Q66" s="100">
        <v>15475.199999999999</v>
      </c>
      <c r="R66" s="100">
        <v>8</v>
      </c>
      <c r="S66" s="100">
        <v>9523.1999999999989</v>
      </c>
      <c r="T66" s="100">
        <v>9</v>
      </c>
      <c r="U66" s="100">
        <v>10713.599999999999</v>
      </c>
      <c r="V66" s="100">
        <v>14</v>
      </c>
      <c r="W66" s="100">
        <v>16665.599999999999</v>
      </c>
      <c r="X66" s="100">
        <v>13</v>
      </c>
      <c r="Y66" s="100">
        <v>15475.199999999999</v>
      </c>
      <c r="Z66" s="100">
        <v>14</v>
      </c>
      <c r="AA66" s="100">
        <v>16665.599999999999</v>
      </c>
      <c r="AB66" s="100">
        <v>3.1113952005356769</v>
      </c>
      <c r="AC66" s="100">
        <v>3703.8048467176695</v>
      </c>
      <c r="AD66" s="100">
        <v>2.7985901089234294E-4</v>
      </c>
      <c r="AE66" s="100">
        <v>0.33314416656624501</v>
      </c>
      <c r="AF66" s="100">
        <v>4.0977534589935308E-4</v>
      </c>
      <c r="AG66" s="100">
        <v>0.48779657175858987</v>
      </c>
      <c r="AH66" s="100">
        <v>3.7986721044965351E-4</v>
      </c>
      <c r="AI66" s="100">
        <v>0.4521939273192675</v>
      </c>
      <c r="AJ66" s="100">
        <v>10</v>
      </c>
      <c r="AK66" s="100">
        <v>11903.999999999998</v>
      </c>
      <c r="AL66" s="100">
        <v>11.374808025465086</v>
      </c>
      <c r="AM66" s="100">
        <v>13540.571473513637</v>
      </c>
      <c r="AN66" s="100">
        <v>12.887391079223457</v>
      </c>
      <c r="AO66" s="100">
        <v>15341.150340707602</v>
      </c>
      <c r="AP66" s="100">
        <v>11.354297347742589</v>
      </c>
      <c r="AQ66" s="100">
        <v>13516.155562752776</v>
      </c>
      <c r="AR66" s="100">
        <v>11.407899973377587</v>
      </c>
      <c r="AS66" s="100">
        <v>13579.964128308678</v>
      </c>
      <c r="AT66" s="100">
        <v>13.333283935129078</v>
      </c>
      <c r="AU66" s="100">
        <v>15871.941196377653</v>
      </c>
      <c r="AV66" s="100">
        <v>11</v>
      </c>
      <c r="AW66" s="100">
        <v>13094.399999999998</v>
      </c>
      <c r="AX66" s="100">
        <v>10.953620098297915</v>
      </c>
      <c r="AY66" s="100">
        <v>13039.189365013835</v>
      </c>
      <c r="AZ66" s="100">
        <v>8</v>
      </c>
      <c r="BA66" s="100">
        <v>9523.1999999999989</v>
      </c>
      <c r="BB66" s="100">
        <v>13</v>
      </c>
      <c r="BC66" s="100">
        <v>15475.199999999999</v>
      </c>
      <c r="BD66" s="100">
        <v>12</v>
      </c>
      <c r="BE66" s="100">
        <v>14284.8</v>
      </c>
      <c r="BF66" s="100">
        <v>13</v>
      </c>
      <c r="BG66" s="100">
        <v>15475.199999999999</v>
      </c>
      <c r="BH66" s="100">
        <v>13</v>
      </c>
      <c r="BI66" s="100">
        <v>15475.199999999999</v>
      </c>
      <c r="BJ66" s="100">
        <v>8.8695871027942932</v>
      </c>
      <c r="BK66" s="100">
        <v>10558.356487166326</v>
      </c>
      <c r="BL66" s="100">
        <v>9.5206439931201068</v>
      </c>
      <c r="BM66" s="100">
        <v>11333.374609410173</v>
      </c>
      <c r="BN66" s="100">
        <v>13.297215538550731</v>
      </c>
      <c r="BO66" s="100">
        <v>15829.005377090789</v>
      </c>
      <c r="BP66" s="100">
        <v>9.9277043437813113</v>
      </c>
      <c r="BQ66" s="100">
        <v>11817.939250837271</v>
      </c>
      <c r="BR66" s="100">
        <v>11.205632243353161</v>
      </c>
      <c r="BS66" s="100">
        <v>13339.184622487601</v>
      </c>
      <c r="BT66" s="100">
        <v>12</v>
      </c>
      <c r="BU66" s="100">
        <v>14284.8</v>
      </c>
      <c r="BV66" s="100">
        <v>8</v>
      </c>
      <c r="BW66" s="100">
        <v>9523.1999999999989</v>
      </c>
      <c r="BX66" s="100">
        <v>9</v>
      </c>
      <c r="BY66" s="100">
        <v>10713.599999999999</v>
      </c>
      <c r="BZ66" s="100">
        <v>13</v>
      </c>
      <c r="CA66" s="100">
        <v>15475.199999999999</v>
      </c>
      <c r="CB66" s="100">
        <v>9</v>
      </c>
      <c r="CC66" s="100">
        <v>10713.599999999999</v>
      </c>
      <c r="CD66" s="100">
        <v>13.203236260318951</v>
      </c>
      <c r="CE66" s="100">
        <v>15717.132444283678</v>
      </c>
      <c r="CF66" s="100">
        <v>10</v>
      </c>
      <c r="CG66" s="100">
        <v>11903.999999999998</v>
      </c>
      <c r="CH66" s="100">
        <v>12.161808501955877</v>
      </c>
      <c r="CI66" s="100">
        <v>14477.416840728274</v>
      </c>
      <c r="CJ66" s="100">
        <v>15</v>
      </c>
      <c r="CK66" s="100">
        <v>17855.999999999996</v>
      </c>
      <c r="CL66" s="100">
        <v>9</v>
      </c>
      <c r="CM66" s="100">
        <v>10713.599999999999</v>
      </c>
      <c r="CN66" s="100">
        <v>14</v>
      </c>
      <c r="CO66" s="100">
        <v>16665.599999999999</v>
      </c>
      <c r="CP66" s="100">
        <v>9</v>
      </c>
      <c r="CQ66" s="100">
        <v>10713.599999999999</v>
      </c>
      <c r="CR66" s="100">
        <v>9</v>
      </c>
      <c r="CS66" s="100">
        <v>10713.599999999999</v>
      </c>
      <c r="CT66" s="100">
        <v>12</v>
      </c>
      <c r="CU66" s="100">
        <v>14284.8</v>
      </c>
    </row>
    <row r="67" spans="2:99">
      <c r="C67" s="99" t="s">
        <v>233</v>
      </c>
      <c r="D67" s="100">
        <v>10.309912863378765</v>
      </c>
      <c r="E67" s="100">
        <v>11580.09412814703</v>
      </c>
      <c r="F67" s="100">
        <v>15</v>
      </c>
      <c r="G67" s="100">
        <v>16848</v>
      </c>
      <c r="H67" s="100">
        <v>17</v>
      </c>
      <c r="I67" s="100">
        <v>19094.400000000001</v>
      </c>
      <c r="J67" s="100">
        <v>12.739311630883094</v>
      </c>
      <c r="K67" s="100">
        <v>14308.794823807892</v>
      </c>
      <c r="L67" s="100">
        <v>14</v>
      </c>
      <c r="M67" s="100">
        <v>15724.800000000001</v>
      </c>
      <c r="N67" s="100">
        <v>11</v>
      </c>
      <c r="O67" s="100">
        <v>12355.2</v>
      </c>
      <c r="P67" s="100">
        <v>13</v>
      </c>
      <c r="Q67" s="100">
        <v>14601.6</v>
      </c>
      <c r="R67" s="100">
        <v>10</v>
      </c>
      <c r="S67" s="100">
        <v>11232</v>
      </c>
      <c r="T67" s="100">
        <v>9</v>
      </c>
      <c r="U67" s="100">
        <v>10108.800000000001</v>
      </c>
      <c r="V67" s="100">
        <v>15</v>
      </c>
      <c r="W67" s="100">
        <v>16848</v>
      </c>
      <c r="X67" s="100">
        <v>14</v>
      </c>
      <c r="Y67" s="100">
        <v>15724.800000000001</v>
      </c>
      <c r="Z67" s="100">
        <v>14</v>
      </c>
      <c r="AA67" s="100">
        <v>15724.800000000001</v>
      </c>
      <c r="AB67" s="100">
        <v>3.1113952005356769</v>
      </c>
      <c r="AC67" s="100">
        <v>3494.7190892416725</v>
      </c>
      <c r="AD67" s="100">
        <v>2.4876356523763815E-4</v>
      </c>
      <c r="AE67" s="100">
        <v>0.27941123647491517</v>
      </c>
      <c r="AF67" s="100">
        <v>3.8567091378762636E-4</v>
      </c>
      <c r="AG67" s="100">
        <v>0.43318557036626193</v>
      </c>
      <c r="AH67" s="100">
        <v>3.5273383827467834E-4</v>
      </c>
      <c r="AI67" s="100">
        <v>0.3961906471501187</v>
      </c>
      <c r="AJ67" s="100">
        <v>9</v>
      </c>
      <c r="AK67" s="100">
        <v>10108.800000000001</v>
      </c>
      <c r="AL67" s="100">
        <v>10.426907356676329</v>
      </c>
      <c r="AM67" s="100">
        <v>11711.502343018854</v>
      </c>
      <c r="AN67" s="100">
        <v>13.746550484505022</v>
      </c>
      <c r="AO67" s="100">
        <v>15440.125504196041</v>
      </c>
      <c r="AP67" s="100">
        <v>12.227704836030481</v>
      </c>
      <c r="AQ67" s="100">
        <v>13734.158071829437</v>
      </c>
      <c r="AR67" s="100">
        <v>11.407899973377587</v>
      </c>
      <c r="AS67" s="100">
        <v>12813.353250097707</v>
      </c>
      <c r="AT67" s="100">
        <v>13.333283935129078</v>
      </c>
      <c r="AU67" s="100">
        <v>14975.944515936981</v>
      </c>
      <c r="AV67" s="100">
        <v>11</v>
      </c>
      <c r="AW67" s="100">
        <v>12355.2</v>
      </c>
      <c r="AX67" s="100">
        <v>11.866421773156075</v>
      </c>
      <c r="AY67" s="100">
        <v>13328.364935608904</v>
      </c>
      <c r="AZ67" s="100">
        <v>8</v>
      </c>
      <c r="BA67" s="100">
        <v>8985.6</v>
      </c>
      <c r="BB67" s="100">
        <v>12</v>
      </c>
      <c r="BC67" s="100">
        <v>13478.400000000001</v>
      </c>
      <c r="BD67" s="100">
        <v>12</v>
      </c>
      <c r="BE67" s="100">
        <v>13478.400000000001</v>
      </c>
      <c r="BF67" s="100">
        <v>13</v>
      </c>
      <c r="BG67" s="100">
        <v>14601.6</v>
      </c>
      <c r="BH67" s="100">
        <v>12</v>
      </c>
      <c r="BI67" s="100">
        <v>13478.400000000001</v>
      </c>
      <c r="BJ67" s="100">
        <v>8.8695871027942932</v>
      </c>
      <c r="BK67" s="100">
        <v>9962.3202338585506</v>
      </c>
      <c r="BL67" s="100">
        <v>11.251670173687399</v>
      </c>
      <c r="BM67" s="100">
        <v>12637.875939085687</v>
      </c>
      <c r="BN67" s="100">
        <v>15.196817758343691</v>
      </c>
      <c r="BO67" s="100">
        <v>17069.065706171634</v>
      </c>
      <c r="BP67" s="100">
        <v>9.9277043437813113</v>
      </c>
      <c r="BQ67" s="100">
        <v>11150.797518935169</v>
      </c>
      <c r="BR67" s="100">
        <v>10.405229940256508</v>
      </c>
      <c r="BS67" s="100">
        <v>11687.154268896109</v>
      </c>
      <c r="BT67" s="100">
        <v>13</v>
      </c>
      <c r="BU67" s="100">
        <v>14601.6</v>
      </c>
      <c r="BV67" s="100">
        <v>9</v>
      </c>
      <c r="BW67" s="100">
        <v>10108.800000000001</v>
      </c>
      <c r="BX67" s="100">
        <v>8</v>
      </c>
      <c r="BY67" s="100">
        <v>8985.6</v>
      </c>
      <c r="BZ67" s="100">
        <v>14</v>
      </c>
      <c r="CA67" s="100">
        <v>15724.800000000001</v>
      </c>
      <c r="CB67" s="100">
        <v>10</v>
      </c>
      <c r="CC67" s="100">
        <v>11232</v>
      </c>
      <c r="CD67" s="100">
        <v>12.378033994049018</v>
      </c>
      <c r="CE67" s="100">
        <v>13903.007782115857</v>
      </c>
      <c r="CF67" s="100">
        <v>10</v>
      </c>
      <c r="CG67" s="100">
        <v>11232</v>
      </c>
      <c r="CH67" s="100">
        <v>12.161808501955877</v>
      </c>
      <c r="CI67" s="100">
        <v>13660.143309396841</v>
      </c>
      <c r="CJ67" s="100">
        <v>15</v>
      </c>
      <c r="CK67" s="100">
        <v>16848</v>
      </c>
      <c r="CL67" s="100">
        <v>9</v>
      </c>
      <c r="CM67" s="100">
        <v>10108.800000000001</v>
      </c>
      <c r="CN67" s="100">
        <v>14</v>
      </c>
      <c r="CO67" s="100">
        <v>15724.800000000001</v>
      </c>
      <c r="CP67" s="100">
        <v>8</v>
      </c>
      <c r="CQ67" s="100">
        <v>8985.6</v>
      </c>
      <c r="CR67" s="100">
        <v>9</v>
      </c>
      <c r="CS67" s="100">
        <v>10108.800000000001</v>
      </c>
      <c r="CT67" s="100">
        <v>14</v>
      </c>
      <c r="CU67" s="100">
        <v>15724.800000000001</v>
      </c>
    </row>
    <row r="68" spans="2:99">
      <c r="C68" s="99" t="s">
        <v>234</v>
      </c>
      <c r="D68" s="100">
        <v>10.309912863378765</v>
      </c>
      <c r="E68" s="100">
        <v>10652.20197044294</v>
      </c>
      <c r="F68" s="100">
        <v>14</v>
      </c>
      <c r="G68" s="100">
        <v>14464.800000000001</v>
      </c>
      <c r="H68" s="100">
        <v>17</v>
      </c>
      <c r="I68" s="100">
        <v>17564.400000000001</v>
      </c>
      <c r="J68" s="100">
        <v>11.82936080010573</v>
      </c>
      <c r="K68" s="100">
        <v>12222.095578669241</v>
      </c>
      <c r="L68" s="100">
        <v>16</v>
      </c>
      <c r="M68" s="100">
        <v>16531.2</v>
      </c>
      <c r="N68" s="100">
        <v>11</v>
      </c>
      <c r="O68" s="100">
        <v>11365.2</v>
      </c>
      <c r="P68" s="100">
        <v>14</v>
      </c>
      <c r="Q68" s="100">
        <v>14464.800000000001</v>
      </c>
      <c r="R68" s="100">
        <v>9</v>
      </c>
      <c r="S68" s="100">
        <v>9298.8000000000011</v>
      </c>
      <c r="T68" s="100">
        <v>8</v>
      </c>
      <c r="U68" s="100">
        <v>8265.6</v>
      </c>
      <c r="V68" s="100">
        <v>17</v>
      </c>
      <c r="W68" s="100">
        <v>17564.400000000001</v>
      </c>
      <c r="X68" s="100">
        <v>14</v>
      </c>
      <c r="Y68" s="100">
        <v>14464.800000000001</v>
      </c>
      <c r="Z68" s="100">
        <v>14</v>
      </c>
      <c r="AA68" s="100">
        <v>14464.800000000001</v>
      </c>
      <c r="AB68" s="100">
        <v>3.422534720589244</v>
      </c>
      <c r="AC68" s="100">
        <v>3536.1628733128073</v>
      </c>
      <c r="AD68" s="100">
        <v>2.7985901089234294E-4</v>
      </c>
      <c r="AE68" s="100">
        <v>0.28915033005396873</v>
      </c>
      <c r="AF68" s="100">
        <v>4.3387977801107968E-4</v>
      </c>
      <c r="AG68" s="100">
        <v>0.44828458664104753</v>
      </c>
      <c r="AH68" s="100">
        <v>3.7986721044965351E-4</v>
      </c>
      <c r="AI68" s="100">
        <v>0.39247880183658201</v>
      </c>
      <c r="AJ68" s="100">
        <v>10</v>
      </c>
      <c r="AK68" s="100">
        <v>10332</v>
      </c>
      <c r="AL68" s="100">
        <v>11.374808025465086</v>
      </c>
      <c r="AM68" s="100">
        <v>11752.451651910527</v>
      </c>
      <c r="AN68" s="100">
        <v>12.887391079223457</v>
      </c>
      <c r="AO68" s="100">
        <v>13315.252463053677</v>
      </c>
      <c r="AP68" s="100">
        <v>11.354297347742589</v>
      </c>
      <c r="AQ68" s="100">
        <v>11731.260019687643</v>
      </c>
      <c r="AR68" s="100">
        <v>12.358558304492385</v>
      </c>
      <c r="AS68" s="100">
        <v>12768.862440201534</v>
      </c>
      <c r="AT68" s="100">
        <v>13.333283935129078</v>
      </c>
      <c r="AU68" s="100">
        <v>13775.948961775364</v>
      </c>
      <c r="AV68" s="100">
        <v>11</v>
      </c>
      <c r="AW68" s="100">
        <v>11365.2</v>
      </c>
      <c r="AX68" s="100">
        <v>11.866421773156075</v>
      </c>
      <c r="AY68" s="100">
        <v>12260.386976024858</v>
      </c>
      <c r="AZ68" s="100">
        <v>9</v>
      </c>
      <c r="BA68" s="100">
        <v>9298.8000000000011</v>
      </c>
      <c r="BB68" s="100">
        <v>13</v>
      </c>
      <c r="BC68" s="100">
        <v>13431.6</v>
      </c>
      <c r="BD68" s="100">
        <v>12</v>
      </c>
      <c r="BE68" s="100">
        <v>12398.400000000001</v>
      </c>
      <c r="BF68" s="100">
        <v>13</v>
      </c>
      <c r="BG68" s="100">
        <v>13431.6</v>
      </c>
      <c r="BH68" s="100">
        <v>13</v>
      </c>
      <c r="BI68" s="100">
        <v>13431.6</v>
      </c>
      <c r="BJ68" s="100">
        <v>10.643504523353151</v>
      </c>
      <c r="BK68" s="100">
        <v>10996.868873528476</v>
      </c>
      <c r="BL68" s="100">
        <v>10.386157083403752</v>
      </c>
      <c r="BM68" s="100">
        <v>10730.977498572758</v>
      </c>
      <c r="BN68" s="100">
        <v>13.297215538550731</v>
      </c>
      <c r="BO68" s="100">
        <v>13738.683094430615</v>
      </c>
      <c r="BP68" s="100">
        <v>9.9277043437813113</v>
      </c>
      <c r="BQ68" s="100">
        <v>10257.304127994852</v>
      </c>
      <c r="BR68" s="100">
        <v>10.405229940256508</v>
      </c>
      <c r="BS68" s="100">
        <v>10750.683574273024</v>
      </c>
      <c r="BT68" s="100">
        <v>13</v>
      </c>
      <c r="BU68" s="100">
        <v>13431.6</v>
      </c>
      <c r="BV68" s="100">
        <v>8</v>
      </c>
      <c r="BW68" s="100">
        <v>8265.6</v>
      </c>
      <c r="BX68" s="100">
        <v>9</v>
      </c>
      <c r="BY68" s="100">
        <v>9298.8000000000011</v>
      </c>
      <c r="BZ68" s="100">
        <v>15</v>
      </c>
      <c r="CA68" s="100">
        <v>15498</v>
      </c>
      <c r="CB68" s="100">
        <v>10</v>
      </c>
      <c r="CC68" s="100">
        <v>10332</v>
      </c>
      <c r="CD68" s="100">
        <v>13.203236260318951</v>
      </c>
      <c r="CE68" s="100">
        <v>13641.583704161541</v>
      </c>
      <c r="CF68" s="100">
        <v>10</v>
      </c>
      <c r="CG68" s="100">
        <v>10332</v>
      </c>
      <c r="CH68" s="100">
        <v>10.290761040116513</v>
      </c>
      <c r="CI68" s="100">
        <v>10632.414306648381</v>
      </c>
      <c r="CJ68" s="100">
        <v>14</v>
      </c>
      <c r="CK68" s="100">
        <v>14464.800000000001</v>
      </c>
      <c r="CL68" s="100">
        <v>10</v>
      </c>
      <c r="CM68" s="100">
        <v>10332</v>
      </c>
      <c r="CN68" s="100">
        <v>13</v>
      </c>
      <c r="CO68" s="100">
        <v>13431.6</v>
      </c>
      <c r="CP68" s="100">
        <v>10</v>
      </c>
      <c r="CQ68" s="100">
        <v>10332</v>
      </c>
      <c r="CR68" s="100">
        <v>9</v>
      </c>
      <c r="CS68" s="100">
        <v>9298.8000000000011</v>
      </c>
      <c r="CT68" s="100">
        <v>12</v>
      </c>
      <c r="CU68" s="100">
        <v>12398.400000000001</v>
      </c>
    </row>
    <row r="69" spans="2:99">
      <c r="C69" s="99" t="s">
        <v>235</v>
      </c>
      <c r="D69" s="100">
        <v>10.309912863378765</v>
      </c>
      <c r="E69" s="100">
        <v>7819.0379155864548</v>
      </c>
      <c r="F69" s="100">
        <v>14</v>
      </c>
      <c r="G69" s="100">
        <v>10617.6</v>
      </c>
      <c r="H69" s="100">
        <v>16</v>
      </c>
      <c r="I69" s="100">
        <v>12134.4</v>
      </c>
      <c r="J69" s="100">
        <v>13.649262461660458</v>
      </c>
      <c r="K69" s="100">
        <v>10351.60065092329</v>
      </c>
      <c r="L69" s="100">
        <v>16</v>
      </c>
      <c r="M69" s="100">
        <v>12134.4</v>
      </c>
      <c r="N69" s="100">
        <v>11</v>
      </c>
      <c r="O69" s="100">
        <v>8342.4</v>
      </c>
      <c r="P69" s="100">
        <v>14</v>
      </c>
      <c r="Q69" s="100">
        <v>10617.6</v>
      </c>
      <c r="R69" s="100">
        <v>9</v>
      </c>
      <c r="S69" s="100">
        <v>6825.5999999999995</v>
      </c>
      <c r="T69" s="100">
        <v>8</v>
      </c>
      <c r="U69" s="100">
        <v>6067.2</v>
      </c>
      <c r="V69" s="100">
        <v>15</v>
      </c>
      <c r="W69" s="100">
        <v>11376</v>
      </c>
      <c r="X69" s="100">
        <v>15</v>
      </c>
      <c r="Y69" s="100">
        <v>11376</v>
      </c>
      <c r="Z69" s="100">
        <v>16</v>
      </c>
      <c r="AA69" s="100">
        <v>12134.4</v>
      </c>
      <c r="AB69" s="100">
        <v>3.1113952005356769</v>
      </c>
      <c r="AC69" s="100">
        <v>2359.6821200862573</v>
      </c>
      <c r="AD69" s="100">
        <v>2.7985901089234294E-4</v>
      </c>
      <c r="AE69" s="100">
        <v>0.21224507386075289</v>
      </c>
      <c r="AF69" s="100">
        <v>4.0977534589935308E-4</v>
      </c>
      <c r="AG69" s="100">
        <v>0.31077362233006939</v>
      </c>
      <c r="AH69" s="100">
        <v>4.070005826246288E-4</v>
      </c>
      <c r="AI69" s="100">
        <v>0.30866924186251848</v>
      </c>
      <c r="AJ69" s="100">
        <v>9</v>
      </c>
      <c r="AK69" s="100">
        <v>6825.5999999999995</v>
      </c>
      <c r="AL69" s="100">
        <v>12.322708694253842</v>
      </c>
      <c r="AM69" s="100">
        <v>9345.5422737221143</v>
      </c>
      <c r="AN69" s="100">
        <v>13.746550484505022</v>
      </c>
      <c r="AO69" s="100">
        <v>10425.383887448608</v>
      </c>
      <c r="AP69" s="100">
        <v>12.227704836030481</v>
      </c>
      <c r="AQ69" s="100">
        <v>9273.4913476455167</v>
      </c>
      <c r="AR69" s="100">
        <v>11.407899973377587</v>
      </c>
      <c r="AS69" s="100">
        <v>8651.7513398095616</v>
      </c>
      <c r="AT69" s="100">
        <v>14.222169530804351</v>
      </c>
      <c r="AU69" s="100">
        <v>10786.093372162019</v>
      </c>
      <c r="AV69" s="100">
        <v>11</v>
      </c>
      <c r="AW69" s="100">
        <v>8342.4</v>
      </c>
      <c r="AX69" s="100">
        <v>10.953620098297915</v>
      </c>
      <c r="AY69" s="100">
        <v>8307.2254825491382</v>
      </c>
      <c r="AZ69" s="100">
        <v>9</v>
      </c>
      <c r="BA69" s="100">
        <v>6825.5999999999995</v>
      </c>
      <c r="BB69" s="100">
        <v>14</v>
      </c>
      <c r="BC69" s="100">
        <v>10617.6</v>
      </c>
      <c r="BD69" s="100">
        <v>12</v>
      </c>
      <c r="BE69" s="100">
        <v>9100.7999999999993</v>
      </c>
      <c r="BF69" s="100">
        <v>13</v>
      </c>
      <c r="BG69" s="100">
        <v>9859.1999999999989</v>
      </c>
      <c r="BH69" s="100">
        <v>13</v>
      </c>
      <c r="BI69" s="100">
        <v>9859.1999999999989</v>
      </c>
      <c r="BJ69" s="100">
        <v>9.756545813073723</v>
      </c>
      <c r="BK69" s="100">
        <v>7399.3643446351116</v>
      </c>
      <c r="BL69" s="100">
        <v>12.117183263971045</v>
      </c>
      <c r="BM69" s="100">
        <v>9189.6717873956404</v>
      </c>
      <c r="BN69" s="100">
        <v>14.247016648447211</v>
      </c>
      <c r="BO69" s="100">
        <v>10804.937426182365</v>
      </c>
      <c r="BP69" s="100">
        <v>9.9277043437813113</v>
      </c>
      <c r="BQ69" s="100">
        <v>7529.1709743237461</v>
      </c>
      <c r="BR69" s="100">
        <v>10.405229940256508</v>
      </c>
      <c r="BS69" s="100">
        <v>7891.3263866905354</v>
      </c>
      <c r="BT69" s="100">
        <v>14</v>
      </c>
      <c r="BU69" s="100">
        <v>10617.6</v>
      </c>
      <c r="BV69" s="100">
        <v>10</v>
      </c>
      <c r="BW69" s="100">
        <v>7584</v>
      </c>
      <c r="BX69" s="100">
        <v>9</v>
      </c>
      <c r="BY69" s="100">
        <v>6825.5999999999995</v>
      </c>
      <c r="BZ69" s="100">
        <v>15</v>
      </c>
      <c r="CA69" s="100">
        <v>11376</v>
      </c>
      <c r="CB69" s="100">
        <v>9</v>
      </c>
      <c r="CC69" s="100">
        <v>6825.5999999999995</v>
      </c>
      <c r="CD69" s="100">
        <v>12.378033994049018</v>
      </c>
      <c r="CE69" s="100">
        <v>9387.5009810867741</v>
      </c>
      <c r="CF69" s="100">
        <v>11</v>
      </c>
      <c r="CG69" s="100">
        <v>8342.4</v>
      </c>
      <c r="CH69" s="100">
        <v>13.097332232875562</v>
      </c>
      <c r="CI69" s="100">
        <v>9933.0167654128254</v>
      </c>
      <c r="CJ69" s="100">
        <v>16</v>
      </c>
      <c r="CK69" s="100">
        <v>12134.4</v>
      </c>
      <c r="CL69" s="100">
        <v>10</v>
      </c>
      <c r="CM69" s="100">
        <v>7584</v>
      </c>
      <c r="CN69" s="100">
        <v>15</v>
      </c>
      <c r="CO69" s="100">
        <v>11376</v>
      </c>
      <c r="CP69" s="100">
        <v>10</v>
      </c>
      <c r="CQ69" s="100">
        <v>7584</v>
      </c>
      <c r="CR69" s="100">
        <v>8</v>
      </c>
      <c r="CS69" s="100">
        <v>6067.2</v>
      </c>
      <c r="CT69" s="100">
        <v>13</v>
      </c>
      <c r="CU69" s="100">
        <v>9859.1999999999989</v>
      </c>
    </row>
    <row r="70" spans="2:99">
      <c r="C70" s="99" t="s">
        <v>236</v>
      </c>
      <c r="D70" s="100">
        <v>10.309912863378765</v>
      </c>
      <c r="E70" s="100">
        <v>5517.8653644803144</v>
      </c>
      <c r="F70" s="100">
        <v>14</v>
      </c>
      <c r="G70" s="100">
        <v>7492.7999999999993</v>
      </c>
      <c r="H70" s="100">
        <v>18</v>
      </c>
      <c r="I70" s="100">
        <v>9633.5999999999985</v>
      </c>
      <c r="J70" s="100">
        <v>12.739311630883094</v>
      </c>
      <c r="K70" s="100">
        <v>6818.0795848486314</v>
      </c>
      <c r="L70" s="100">
        <v>18</v>
      </c>
      <c r="M70" s="100">
        <v>9633.5999999999985</v>
      </c>
      <c r="N70" s="100">
        <v>10</v>
      </c>
      <c r="O70" s="100">
        <v>5351.9999999999991</v>
      </c>
      <c r="P70" s="100">
        <v>15</v>
      </c>
      <c r="Q70" s="100">
        <v>8027.9999999999991</v>
      </c>
      <c r="R70" s="100">
        <v>9</v>
      </c>
      <c r="S70" s="100">
        <v>4816.7999999999993</v>
      </c>
      <c r="T70" s="100">
        <v>9</v>
      </c>
      <c r="U70" s="100">
        <v>4816.7999999999993</v>
      </c>
      <c r="V70" s="100">
        <v>15</v>
      </c>
      <c r="W70" s="100">
        <v>8027.9999999999991</v>
      </c>
      <c r="X70" s="100">
        <v>16</v>
      </c>
      <c r="Y70" s="100">
        <v>8563.1999999999989</v>
      </c>
      <c r="Z70" s="100">
        <v>15</v>
      </c>
      <c r="AA70" s="100">
        <v>8027.9999999999991</v>
      </c>
      <c r="AB70" s="100">
        <v>3.1113952005356769</v>
      </c>
      <c r="AC70" s="100">
        <v>1665.2187113266941</v>
      </c>
      <c r="AD70" s="100">
        <v>2.4876356523763815E-4</v>
      </c>
      <c r="AE70" s="100">
        <v>0.13313826011518393</v>
      </c>
      <c r="AF70" s="100">
        <v>3.8567091378762636E-4</v>
      </c>
      <c r="AG70" s="100">
        <v>0.20641107305913761</v>
      </c>
      <c r="AH70" s="100">
        <v>3.7986721044965351E-4</v>
      </c>
      <c r="AI70" s="100">
        <v>0.20330493103265454</v>
      </c>
      <c r="AJ70" s="100">
        <v>9</v>
      </c>
      <c r="AK70" s="100">
        <v>4816.7999999999993</v>
      </c>
      <c r="AL70" s="100">
        <v>11.374808025465086</v>
      </c>
      <c r="AM70" s="100">
        <v>6087.7972552289129</v>
      </c>
      <c r="AN70" s="100">
        <v>14.605709889786585</v>
      </c>
      <c r="AO70" s="100">
        <v>7816.9759330137795</v>
      </c>
      <c r="AP70" s="100">
        <v>12.227704836030481</v>
      </c>
      <c r="AQ70" s="100">
        <v>6544.2676282435132</v>
      </c>
      <c r="AR70" s="100">
        <v>11.407899973377587</v>
      </c>
      <c r="AS70" s="100">
        <v>6105.5080657516837</v>
      </c>
      <c r="AT70" s="100">
        <v>12.444398339453805</v>
      </c>
      <c r="AU70" s="100">
        <v>6660.2419912756759</v>
      </c>
      <c r="AV70" s="100">
        <v>10</v>
      </c>
      <c r="AW70" s="100">
        <v>5351.9999999999991</v>
      </c>
      <c r="AX70" s="100">
        <v>11.866421773156075</v>
      </c>
      <c r="AY70" s="100">
        <v>6350.9089329931303</v>
      </c>
      <c r="AZ70" s="100">
        <v>9</v>
      </c>
      <c r="BA70" s="100">
        <v>4816.7999999999993</v>
      </c>
      <c r="BB70" s="100">
        <v>14</v>
      </c>
      <c r="BC70" s="100">
        <v>7492.7999999999993</v>
      </c>
      <c r="BD70" s="100">
        <v>12</v>
      </c>
      <c r="BE70" s="100">
        <v>6422.4</v>
      </c>
      <c r="BF70" s="100">
        <v>13</v>
      </c>
      <c r="BG70" s="100">
        <v>6957.5999999999995</v>
      </c>
      <c r="BH70" s="100">
        <v>13</v>
      </c>
      <c r="BI70" s="100">
        <v>6957.5999999999995</v>
      </c>
      <c r="BJ70" s="100">
        <v>10.643504523353151</v>
      </c>
      <c r="BK70" s="100">
        <v>5696.4036208986054</v>
      </c>
      <c r="BL70" s="100">
        <v>10.386157083403752</v>
      </c>
      <c r="BM70" s="100">
        <v>5558.6712710376878</v>
      </c>
      <c r="BN70" s="100">
        <v>15.196817758343691</v>
      </c>
      <c r="BO70" s="100">
        <v>8133.3368642655423</v>
      </c>
      <c r="BP70" s="100">
        <v>9.9277043437813113</v>
      </c>
      <c r="BQ70" s="100">
        <v>5313.3073647917572</v>
      </c>
      <c r="BR70" s="100">
        <v>12.006034546449817</v>
      </c>
      <c r="BS70" s="100">
        <v>6425.6296892599412</v>
      </c>
      <c r="BT70" s="100">
        <v>15</v>
      </c>
      <c r="BU70" s="100">
        <v>8027.9999999999991</v>
      </c>
      <c r="BV70" s="100">
        <v>10</v>
      </c>
      <c r="BW70" s="100">
        <v>5351.9999999999991</v>
      </c>
      <c r="BX70" s="100">
        <v>10</v>
      </c>
      <c r="BY70" s="100">
        <v>5351.9999999999991</v>
      </c>
      <c r="BZ70" s="100">
        <v>16</v>
      </c>
      <c r="CA70" s="100">
        <v>8563.1999999999989</v>
      </c>
      <c r="CB70" s="100">
        <v>9</v>
      </c>
      <c r="CC70" s="100">
        <v>4816.7999999999993</v>
      </c>
      <c r="CD70" s="100">
        <v>13.203236260318951</v>
      </c>
      <c r="CE70" s="100">
        <v>7066.3720465227016</v>
      </c>
      <c r="CF70" s="100">
        <v>11</v>
      </c>
      <c r="CG70" s="100">
        <v>5887.1999999999989</v>
      </c>
      <c r="CH70" s="100">
        <v>11.226284771036195</v>
      </c>
      <c r="CI70" s="100">
        <v>6008.3076094585704</v>
      </c>
      <c r="CJ70" s="100">
        <v>17</v>
      </c>
      <c r="CK70" s="100">
        <v>9098.4</v>
      </c>
      <c r="CL70" s="100">
        <v>10</v>
      </c>
      <c r="CM70" s="100">
        <v>5351.9999999999991</v>
      </c>
      <c r="CN70" s="100">
        <v>16</v>
      </c>
      <c r="CO70" s="100">
        <v>8563.1999999999989</v>
      </c>
      <c r="CP70" s="100">
        <v>9</v>
      </c>
      <c r="CQ70" s="100">
        <v>4816.7999999999993</v>
      </c>
      <c r="CR70" s="100">
        <v>9</v>
      </c>
      <c r="CS70" s="100">
        <v>4816.7999999999993</v>
      </c>
      <c r="CT70" s="100">
        <v>14</v>
      </c>
      <c r="CU70" s="100">
        <v>7492.7999999999993</v>
      </c>
    </row>
    <row r="71" spans="2:99">
      <c r="B71" s="99" t="s">
        <v>130</v>
      </c>
      <c r="C71" s="99" t="s">
        <v>237</v>
      </c>
      <c r="D71" s="100">
        <v>7</v>
      </c>
      <c r="E71" s="100">
        <v>3948</v>
      </c>
      <c r="F71" s="100">
        <v>7.1165644171779139</v>
      </c>
      <c r="G71" s="100">
        <v>4013.7423312883434</v>
      </c>
      <c r="H71" s="100">
        <v>7.6923076923076925</v>
      </c>
      <c r="I71" s="100">
        <v>4338.461538461539</v>
      </c>
      <c r="J71" s="100">
        <v>6.6272189349112427</v>
      </c>
      <c r="K71" s="100">
        <v>3737.751479289941</v>
      </c>
      <c r="L71" s="100">
        <v>4.9777777777777779</v>
      </c>
      <c r="M71" s="100">
        <v>2807.4666666666667</v>
      </c>
      <c r="N71" s="100">
        <v>5.5602836879432624</v>
      </c>
      <c r="O71" s="100">
        <v>3136</v>
      </c>
      <c r="P71" s="100">
        <v>5.52112676056338</v>
      </c>
      <c r="Q71" s="100">
        <v>3113.9154929577462</v>
      </c>
      <c r="R71" s="100">
        <v>6.4460431654676267</v>
      </c>
      <c r="S71" s="100">
        <v>3635.5683453237416</v>
      </c>
      <c r="T71" s="100">
        <v>7.2413793103448274</v>
      </c>
      <c r="U71" s="100">
        <v>4084.1379310344828</v>
      </c>
      <c r="V71" s="100">
        <v>6</v>
      </c>
      <c r="W71" s="100">
        <v>3384</v>
      </c>
      <c r="X71" s="100">
        <v>6</v>
      </c>
      <c r="Y71" s="100">
        <v>3384</v>
      </c>
      <c r="Z71" s="100">
        <v>6.7586206896551726</v>
      </c>
      <c r="AA71" s="100">
        <v>3811.8620689655172</v>
      </c>
      <c r="AB71" s="100">
        <v>7</v>
      </c>
      <c r="AC71" s="100">
        <v>3948</v>
      </c>
      <c r="AD71" s="100">
        <v>5</v>
      </c>
      <c r="AE71" s="100">
        <v>2820</v>
      </c>
      <c r="AF71" s="100">
        <v>8</v>
      </c>
      <c r="AG71" s="100">
        <v>4512</v>
      </c>
      <c r="AH71" s="100">
        <v>6</v>
      </c>
      <c r="AI71" s="100">
        <v>3384</v>
      </c>
      <c r="AJ71" s="100">
        <v>7</v>
      </c>
      <c r="AK71" s="100">
        <v>3948</v>
      </c>
      <c r="AL71" s="100">
        <v>9</v>
      </c>
      <c r="AM71" s="100">
        <v>5076</v>
      </c>
      <c r="AN71" s="100">
        <v>7</v>
      </c>
      <c r="AO71" s="100">
        <v>3948</v>
      </c>
      <c r="AP71" s="100">
        <v>7.947368421052631</v>
      </c>
      <c r="AQ71" s="100">
        <v>4482.3157894736842</v>
      </c>
      <c r="AR71" s="100">
        <v>7.4556213017751478</v>
      </c>
      <c r="AS71" s="100">
        <v>4204.9704142011833</v>
      </c>
      <c r="AT71" s="100">
        <v>7.3684210526315788</v>
      </c>
      <c r="AU71" s="100">
        <v>4155.7894736842109</v>
      </c>
      <c r="AV71" s="100">
        <v>8.1818181818181817</v>
      </c>
      <c r="AW71" s="100">
        <v>4614.545454545454</v>
      </c>
      <c r="AX71" s="100">
        <v>7</v>
      </c>
      <c r="AY71" s="100">
        <v>3948</v>
      </c>
      <c r="AZ71" s="100">
        <v>7.8509316770186333</v>
      </c>
      <c r="BA71" s="100">
        <v>4427.9254658385089</v>
      </c>
      <c r="BB71" s="100">
        <v>7.1186440677966107</v>
      </c>
      <c r="BC71" s="100">
        <v>4014.9152542372885</v>
      </c>
      <c r="BD71" s="100">
        <v>6</v>
      </c>
      <c r="BE71" s="100">
        <v>3384</v>
      </c>
      <c r="BF71" s="100">
        <v>6</v>
      </c>
      <c r="BG71" s="100">
        <v>3384</v>
      </c>
      <c r="BH71" s="100">
        <v>7</v>
      </c>
      <c r="BI71" s="100">
        <v>3948</v>
      </c>
      <c r="BJ71" s="100">
        <v>5</v>
      </c>
      <c r="BK71" s="100">
        <v>2820</v>
      </c>
      <c r="BL71" s="100">
        <v>5</v>
      </c>
      <c r="BM71" s="100">
        <v>2820</v>
      </c>
      <c r="BN71" s="100">
        <v>6</v>
      </c>
      <c r="BO71" s="100">
        <v>3384</v>
      </c>
      <c r="BP71" s="100">
        <v>9</v>
      </c>
      <c r="BQ71" s="100">
        <v>5076</v>
      </c>
      <c r="BR71" s="100">
        <v>6</v>
      </c>
      <c r="BS71" s="100">
        <v>3384</v>
      </c>
      <c r="BT71" s="100">
        <v>9</v>
      </c>
      <c r="BU71" s="100">
        <v>5076</v>
      </c>
      <c r="BV71" s="100">
        <v>6</v>
      </c>
      <c r="BW71" s="100">
        <v>3384</v>
      </c>
      <c r="BX71" s="100">
        <v>6</v>
      </c>
      <c r="BY71" s="100">
        <v>3384</v>
      </c>
      <c r="BZ71" s="100">
        <v>9</v>
      </c>
      <c r="CA71" s="100">
        <v>5076</v>
      </c>
      <c r="CB71" s="100">
        <v>9</v>
      </c>
      <c r="CC71" s="100">
        <v>5076</v>
      </c>
      <c r="CD71" s="100">
        <v>6</v>
      </c>
      <c r="CE71" s="100">
        <v>3384</v>
      </c>
      <c r="CF71" s="100">
        <v>10</v>
      </c>
      <c r="CG71" s="100">
        <v>5640</v>
      </c>
      <c r="CH71" s="100">
        <v>10</v>
      </c>
      <c r="CI71" s="100">
        <v>5640</v>
      </c>
      <c r="CJ71" s="100">
        <v>7</v>
      </c>
      <c r="CK71" s="100">
        <v>3948</v>
      </c>
      <c r="CL71" s="100">
        <v>8</v>
      </c>
      <c r="CM71" s="100">
        <v>4512</v>
      </c>
      <c r="CN71" s="100">
        <v>6</v>
      </c>
      <c r="CO71" s="100">
        <v>3384</v>
      </c>
      <c r="CP71" s="100">
        <v>8</v>
      </c>
      <c r="CQ71" s="100">
        <v>4512</v>
      </c>
      <c r="CR71" s="100">
        <v>10</v>
      </c>
      <c r="CS71" s="100">
        <v>5640</v>
      </c>
      <c r="CT71" s="100">
        <v>8</v>
      </c>
      <c r="CU71" s="100">
        <v>4512</v>
      </c>
    </row>
    <row r="72" spans="2:99">
      <c r="C72" s="99" t="s">
        <v>238</v>
      </c>
      <c r="D72" s="100">
        <v>7</v>
      </c>
      <c r="E72" s="100">
        <v>520.79999999999995</v>
      </c>
      <c r="F72" s="100">
        <v>8.0061349693251529</v>
      </c>
      <c r="G72" s="100">
        <v>595.65644171779127</v>
      </c>
      <c r="H72" s="100">
        <v>6.9230769230769225</v>
      </c>
      <c r="I72" s="100">
        <v>515.07692307692298</v>
      </c>
      <c r="J72" s="100">
        <v>8.2840236686390529</v>
      </c>
      <c r="K72" s="100">
        <v>616.33136094674546</v>
      </c>
      <c r="L72" s="100">
        <v>5.8074074074074069</v>
      </c>
      <c r="M72" s="100">
        <v>432.07111111111101</v>
      </c>
      <c r="N72" s="100">
        <v>5.5602836879432624</v>
      </c>
      <c r="O72" s="100">
        <v>413.68510638297869</v>
      </c>
      <c r="P72" s="100">
        <v>5.52112676056338</v>
      </c>
      <c r="Q72" s="100">
        <v>410.77183098591541</v>
      </c>
      <c r="R72" s="100">
        <v>6.4460431654676267</v>
      </c>
      <c r="S72" s="100">
        <v>479.58561151079135</v>
      </c>
      <c r="T72" s="100">
        <v>8.0459770114942533</v>
      </c>
      <c r="U72" s="100">
        <v>598.62068965517233</v>
      </c>
      <c r="V72" s="100">
        <v>7</v>
      </c>
      <c r="W72" s="100">
        <v>520.79999999999995</v>
      </c>
      <c r="X72" s="100">
        <v>8</v>
      </c>
      <c r="Y72" s="100">
        <v>595.19999999999993</v>
      </c>
      <c r="Z72" s="100">
        <v>8.4482758620689662</v>
      </c>
      <c r="AA72" s="100">
        <v>628.55172413793105</v>
      </c>
      <c r="AB72" s="100">
        <v>7</v>
      </c>
      <c r="AC72" s="100">
        <v>520.79999999999995</v>
      </c>
      <c r="AD72" s="100">
        <v>6</v>
      </c>
      <c r="AE72" s="100">
        <v>446.4</v>
      </c>
      <c r="AF72" s="100">
        <v>9</v>
      </c>
      <c r="AG72" s="100">
        <v>669.59999999999991</v>
      </c>
      <c r="AH72" s="100">
        <v>6</v>
      </c>
      <c r="AI72" s="100">
        <v>446.4</v>
      </c>
      <c r="AJ72" s="100">
        <v>8</v>
      </c>
      <c r="AK72" s="100">
        <v>595.19999999999993</v>
      </c>
      <c r="AL72" s="100">
        <v>9</v>
      </c>
      <c r="AM72" s="100">
        <v>669.59999999999991</v>
      </c>
      <c r="AN72" s="100">
        <v>7</v>
      </c>
      <c r="AO72" s="100">
        <v>520.79999999999995</v>
      </c>
      <c r="AP72" s="100">
        <v>8.8304093567251449</v>
      </c>
      <c r="AQ72" s="100">
        <v>656.98245614035068</v>
      </c>
      <c r="AR72" s="100">
        <v>8.2840236686390529</v>
      </c>
      <c r="AS72" s="100">
        <v>616.33136094674546</v>
      </c>
      <c r="AT72" s="100">
        <v>7.3684210526315788</v>
      </c>
      <c r="AU72" s="100">
        <v>548.21052631578937</v>
      </c>
      <c r="AV72" s="100">
        <v>8.1818181818181817</v>
      </c>
      <c r="AW72" s="100">
        <v>608.72727272727263</v>
      </c>
      <c r="AX72" s="100">
        <v>7</v>
      </c>
      <c r="AY72" s="100">
        <v>520.79999999999995</v>
      </c>
      <c r="AZ72" s="100">
        <v>8.8322981366459636</v>
      </c>
      <c r="BA72" s="100">
        <v>657.12298136645961</v>
      </c>
      <c r="BB72" s="100">
        <v>7.9096045197740112</v>
      </c>
      <c r="BC72" s="100">
        <v>588.47457627118638</v>
      </c>
      <c r="BD72" s="100">
        <v>6</v>
      </c>
      <c r="BE72" s="100">
        <v>446.4</v>
      </c>
      <c r="BF72" s="100">
        <v>5</v>
      </c>
      <c r="BG72" s="100">
        <v>371.99999999999994</v>
      </c>
      <c r="BH72" s="100">
        <v>8</v>
      </c>
      <c r="BI72" s="100">
        <v>595.19999999999993</v>
      </c>
      <c r="BJ72" s="100">
        <v>6</v>
      </c>
      <c r="BK72" s="100">
        <v>446.4</v>
      </c>
      <c r="BL72" s="100">
        <v>6</v>
      </c>
      <c r="BM72" s="100">
        <v>446.4</v>
      </c>
      <c r="BN72" s="100">
        <v>6</v>
      </c>
      <c r="BO72" s="100">
        <v>446.4</v>
      </c>
      <c r="BP72" s="100">
        <v>9</v>
      </c>
      <c r="BQ72" s="100">
        <v>669.59999999999991</v>
      </c>
      <c r="BR72" s="100">
        <v>6</v>
      </c>
      <c r="BS72" s="100">
        <v>446.4</v>
      </c>
      <c r="BT72" s="100">
        <v>9</v>
      </c>
      <c r="BU72" s="100">
        <v>669.59999999999991</v>
      </c>
      <c r="BV72" s="100">
        <v>7</v>
      </c>
      <c r="BW72" s="100">
        <v>520.79999999999995</v>
      </c>
      <c r="BX72" s="100">
        <v>7</v>
      </c>
      <c r="BY72" s="100">
        <v>520.79999999999995</v>
      </c>
      <c r="BZ72" s="100">
        <v>9</v>
      </c>
      <c r="CA72" s="100">
        <v>669.59999999999991</v>
      </c>
      <c r="CB72" s="100">
        <v>8</v>
      </c>
      <c r="CC72" s="100">
        <v>595.19999999999993</v>
      </c>
      <c r="CD72" s="100">
        <v>5</v>
      </c>
      <c r="CE72" s="100">
        <v>371.99999999999994</v>
      </c>
      <c r="CF72" s="100">
        <v>9</v>
      </c>
      <c r="CG72" s="100">
        <v>669.59999999999991</v>
      </c>
      <c r="CH72" s="100">
        <v>9</v>
      </c>
      <c r="CI72" s="100">
        <v>669.59999999999991</v>
      </c>
      <c r="CJ72" s="100">
        <v>6</v>
      </c>
      <c r="CK72" s="100">
        <v>446.4</v>
      </c>
      <c r="CL72" s="100">
        <v>9</v>
      </c>
      <c r="CM72" s="100">
        <v>669.59999999999991</v>
      </c>
      <c r="CN72" s="100">
        <v>6</v>
      </c>
      <c r="CO72" s="100">
        <v>446.4</v>
      </c>
      <c r="CP72" s="100">
        <v>8</v>
      </c>
      <c r="CQ72" s="100">
        <v>595.19999999999993</v>
      </c>
      <c r="CR72" s="100">
        <v>10</v>
      </c>
      <c r="CS72" s="100">
        <v>743.99999999999989</v>
      </c>
      <c r="CT72" s="100">
        <v>8</v>
      </c>
      <c r="CU72" s="100">
        <v>595.19999999999993</v>
      </c>
    </row>
    <row r="73" spans="2:99">
      <c r="C73" s="99" t="s">
        <v>239</v>
      </c>
      <c r="D73" s="100">
        <v>7</v>
      </c>
      <c r="E73" s="100">
        <v>3914.3999999999996</v>
      </c>
      <c r="F73" s="100">
        <v>7.1165644171779139</v>
      </c>
      <c r="G73" s="100">
        <v>3979.5828220858889</v>
      </c>
      <c r="H73" s="100">
        <v>7.6923076923076925</v>
      </c>
      <c r="I73" s="100">
        <v>4301.538461538461</v>
      </c>
      <c r="J73" s="100">
        <v>7.4556213017751478</v>
      </c>
      <c r="K73" s="100">
        <v>4169.1834319526624</v>
      </c>
      <c r="L73" s="100">
        <v>5.8074074074074069</v>
      </c>
      <c r="M73" s="100">
        <v>3247.5022222222215</v>
      </c>
      <c r="N73" s="100">
        <v>6.3546099290780145</v>
      </c>
      <c r="O73" s="100">
        <v>3553.4978723404251</v>
      </c>
      <c r="P73" s="100">
        <v>4.732394366197183</v>
      </c>
      <c r="Q73" s="100">
        <v>2646.3549295774642</v>
      </c>
      <c r="R73" s="100">
        <v>6.4460431654676267</v>
      </c>
      <c r="S73" s="100">
        <v>3604.6273381294964</v>
      </c>
      <c r="T73" s="100">
        <v>7.2413793103448274</v>
      </c>
      <c r="U73" s="100">
        <v>4049.379310344827</v>
      </c>
      <c r="V73" s="100">
        <v>7</v>
      </c>
      <c r="W73" s="100">
        <v>3914.3999999999996</v>
      </c>
      <c r="X73" s="100">
        <v>7</v>
      </c>
      <c r="Y73" s="100">
        <v>3914.3999999999996</v>
      </c>
      <c r="Z73" s="100">
        <v>7.6034482758620685</v>
      </c>
      <c r="AA73" s="100">
        <v>4251.8482758620685</v>
      </c>
      <c r="AB73" s="100">
        <v>8</v>
      </c>
      <c r="AC73" s="100">
        <v>4473.5999999999995</v>
      </c>
      <c r="AD73" s="100">
        <v>6</v>
      </c>
      <c r="AE73" s="100">
        <v>3355.2</v>
      </c>
      <c r="AF73" s="100">
        <v>9</v>
      </c>
      <c r="AG73" s="100">
        <v>5032.7999999999993</v>
      </c>
      <c r="AH73" s="100">
        <v>5</v>
      </c>
      <c r="AI73" s="100">
        <v>2795.9999999999995</v>
      </c>
      <c r="AJ73" s="100">
        <v>8</v>
      </c>
      <c r="AK73" s="100">
        <v>4473.5999999999995</v>
      </c>
      <c r="AL73" s="100">
        <v>9</v>
      </c>
      <c r="AM73" s="100">
        <v>5032.7999999999993</v>
      </c>
      <c r="AN73" s="100">
        <v>7</v>
      </c>
      <c r="AO73" s="100">
        <v>3914.3999999999996</v>
      </c>
      <c r="AP73" s="100">
        <v>8.8304093567251449</v>
      </c>
      <c r="AQ73" s="100">
        <v>4937.9649122807004</v>
      </c>
      <c r="AR73" s="100">
        <v>7.4556213017751478</v>
      </c>
      <c r="AS73" s="100">
        <v>4169.1834319526624</v>
      </c>
      <c r="AT73" s="100">
        <v>7.3684210526315788</v>
      </c>
      <c r="AU73" s="100">
        <v>4120.4210526315783</v>
      </c>
      <c r="AV73" s="100">
        <v>7.2727272727272734</v>
      </c>
      <c r="AW73" s="100">
        <v>4066.909090909091</v>
      </c>
      <c r="AX73" s="100">
        <v>7</v>
      </c>
      <c r="AY73" s="100">
        <v>3914.3999999999996</v>
      </c>
      <c r="AZ73" s="100">
        <v>8.8322981366459636</v>
      </c>
      <c r="BA73" s="100">
        <v>4939.0211180124224</v>
      </c>
      <c r="BB73" s="100">
        <v>7.9096045197740112</v>
      </c>
      <c r="BC73" s="100">
        <v>4423.0508474576263</v>
      </c>
      <c r="BD73" s="100">
        <v>6</v>
      </c>
      <c r="BE73" s="100">
        <v>3355.2</v>
      </c>
      <c r="BF73" s="100">
        <v>6</v>
      </c>
      <c r="BG73" s="100">
        <v>3355.2</v>
      </c>
      <c r="BH73" s="100">
        <v>7</v>
      </c>
      <c r="BI73" s="100">
        <v>3914.3999999999996</v>
      </c>
      <c r="BJ73" s="100">
        <v>5</v>
      </c>
      <c r="BK73" s="100">
        <v>2795.9999999999995</v>
      </c>
      <c r="BL73" s="100">
        <v>6</v>
      </c>
      <c r="BM73" s="100">
        <v>3355.2</v>
      </c>
      <c r="BN73" s="100">
        <v>6</v>
      </c>
      <c r="BO73" s="100">
        <v>3355.2</v>
      </c>
      <c r="BP73" s="100">
        <v>9</v>
      </c>
      <c r="BQ73" s="100">
        <v>5032.7999999999993</v>
      </c>
      <c r="BR73" s="100">
        <v>6</v>
      </c>
      <c r="BS73" s="100">
        <v>3355.2</v>
      </c>
      <c r="BT73" s="100">
        <v>8</v>
      </c>
      <c r="BU73" s="100">
        <v>4473.5999999999995</v>
      </c>
      <c r="BV73" s="100">
        <v>7</v>
      </c>
      <c r="BW73" s="100">
        <v>3914.3999999999996</v>
      </c>
      <c r="BX73" s="100">
        <v>6</v>
      </c>
      <c r="BY73" s="100">
        <v>3355.2</v>
      </c>
      <c r="BZ73" s="100">
        <v>9</v>
      </c>
      <c r="CA73" s="100">
        <v>5032.7999999999993</v>
      </c>
      <c r="CB73" s="100">
        <v>9</v>
      </c>
      <c r="CC73" s="100">
        <v>5032.7999999999993</v>
      </c>
      <c r="CD73" s="100">
        <v>5</v>
      </c>
      <c r="CE73" s="100">
        <v>2795.9999999999995</v>
      </c>
      <c r="CF73" s="100">
        <v>10</v>
      </c>
      <c r="CG73" s="100">
        <v>5591.9999999999991</v>
      </c>
      <c r="CH73" s="100">
        <v>8</v>
      </c>
      <c r="CI73" s="100">
        <v>4473.5999999999995</v>
      </c>
      <c r="CJ73" s="100">
        <v>6</v>
      </c>
      <c r="CK73" s="100">
        <v>3355.2</v>
      </c>
      <c r="CL73" s="100">
        <v>8</v>
      </c>
      <c r="CM73" s="100">
        <v>4473.5999999999995</v>
      </c>
      <c r="CN73" s="100">
        <v>6</v>
      </c>
      <c r="CO73" s="100">
        <v>3355.2</v>
      </c>
      <c r="CP73" s="100">
        <v>7</v>
      </c>
      <c r="CQ73" s="100">
        <v>3914.3999999999996</v>
      </c>
      <c r="CR73" s="100">
        <v>10</v>
      </c>
      <c r="CS73" s="100">
        <v>5591.9999999999991</v>
      </c>
      <c r="CT73" s="100">
        <v>8</v>
      </c>
      <c r="CU73" s="100">
        <v>4473.5999999999995</v>
      </c>
    </row>
    <row r="74" spans="2:99">
      <c r="C74" s="99" t="s">
        <v>240</v>
      </c>
      <c r="D74" s="100">
        <v>7</v>
      </c>
      <c r="E74" s="100">
        <v>2822.4</v>
      </c>
      <c r="F74" s="100">
        <v>7.1165644171779139</v>
      </c>
      <c r="G74" s="100">
        <v>2869.3987730061349</v>
      </c>
      <c r="H74" s="100">
        <v>7.6923076923076925</v>
      </c>
      <c r="I74" s="100">
        <v>3101.5384615384614</v>
      </c>
      <c r="J74" s="100">
        <v>7.4556213017751478</v>
      </c>
      <c r="K74" s="100">
        <v>3006.1065088757396</v>
      </c>
      <c r="L74" s="100">
        <v>4.9777777777777779</v>
      </c>
      <c r="M74" s="100">
        <v>2007.04</v>
      </c>
      <c r="N74" s="100">
        <v>6.3546099290780145</v>
      </c>
      <c r="O74" s="100">
        <v>2562.1787234042554</v>
      </c>
      <c r="P74" s="100">
        <v>5.52112676056338</v>
      </c>
      <c r="Q74" s="100">
        <v>2226.1183098591546</v>
      </c>
      <c r="R74" s="100">
        <v>6.4460431654676267</v>
      </c>
      <c r="S74" s="100">
        <v>2599.0446043165471</v>
      </c>
      <c r="T74" s="100">
        <v>8.0459770114942533</v>
      </c>
      <c r="U74" s="100">
        <v>3244.1379310344828</v>
      </c>
      <c r="V74" s="100">
        <v>6</v>
      </c>
      <c r="W74" s="100">
        <v>2419.1999999999998</v>
      </c>
      <c r="X74" s="100">
        <v>8</v>
      </c>
      <c r="Y74" s="100">
        <v>3225.6</v>
      </c>
      <c r="Z74" s="100">
        <v>7.6034482758620685</v>
      </c>
      <c r="AA74" s="100">
        <v>3065.7103448275861</v>
      </c>
      <c r="AB74" s="100">
        <v>8</v>
      </c>
      <c r="AC74" s="100">
        <v>3225.6</v>
      </c>
      <c r="AD74" s="100">
        <v>6</v>
      </c>
      <c r="AE74" s="100">
        <v>2419.1999999999998</v>
      </c>
      <c r="AF74" s="100">
        <v>8</v>
      </c>
      <c r="AG74" s="100">
        <v>3225.6</v>
      </c>
      <c r="AH74" s="100">
        <v>6</v>
      </c>
      <c r="AI74" s="100">
        <v>2419.1999999999998</v>
      </c>
      <c r="AJ74" s="100">
        <v>8</v>
      </c>
      <c r="AK74" s="100">
        <v>3225.6</v>
      </c>
      <c r="AL74" s="100">
        <v>9</v>
      </c>
      <c r="AM74" s="100">
        <v>3628.7999999999997</v>
      </c>
      <c r="AN74" s="100">
        <v>7</v>
      </c>
      <c r="AO74" s="100">
        <v>2822.4</v>
      </c>
      <c r="AP74" s="100">
        <v>7.947368421052631</v>
      </c>
      <c r="AQ74" s="100">
        <v>3204.3789473684205</v>
      </c>
      <c r="AR74" s="100">
        <v>7.4556213017751478</v>
      </c>
      <c r="AS74" s="100">
        <v>3006.1065088757396</v>
      </c>
      <c r="AT74" s="100">
        <v>8.2894736842105257</v>
      </c>
      <c r="AU74" s="100">
        <v>3342.3157894736837</v>
      </c>
      <c r="AV74" s="100">
        <v>8.1818181818181817</v>
      </c>
      <c r="AW74" s="100">
        <v>3298.9090909090905</v>
      </c>
      <c r="AX74" s="100">
        <v>7</v>
      </c>
      <c r="AY74" s="100">
        <v>2822.4</v>
      </c>
      <c r="AZ74" s="100">
        <v>8.8322981366459636</v>
      </c>
      <c r="BA74" s="100">
        <v>3561.1826086956526</v>
      </c>
      <c r="BB74" s="100">
        <v>7.9096045197740112</v>
      </c>
      <c r="BC74" s="100">
        <v>3189.1525423728813</v>
      </c>
      <c r="BD74" s="100">
        <v>6</v>
      </c>
      <c r="BE74" s="100">
        <v>2419.1999999999998</v>
      </c>
      <c r="BF74" s="100">
        <v>5</v>
      </c>
      <c r="BG74" s="100">
        <v>2016</v>
      </c>
      <c r="BH74" s="100">
        <v>7</v>
      </c>
      <c r="BI74" s="100">
        <v>2822.4</v>
      </c>
      <c r="BJ74" s="100">
        <v>5</v>
      </c>
      <c r="BK74" s="100">
        <v>2016</v>
      </c>
      <c r="BL74" s="100">
        <v>5</v>
      </c>
      <c r="BM74" s="100">
        <v>2016</v>
      </c>
      <c r="BN74" s="100">
        <v>7</v>
      </c>
      <c r="BO74" s="100">
        <v>2822.4</v>
      </c>
      <c r="BP74" s="100">
        <v>9</v>
      </c>
      <c r="BQ74" s="100">
        <v>3628.7999999999997</v>
      </c>
      <c r="BR74" s="100">
        <v>6</v>
      </c>
      <c r="BS74" s="100">
        <v>2419.1999999999998</v>
      </c>
      <c r="BT74" s="100">
        <v>9</v>
      </c>
      <c r="BU74" s="100">
        <v>3628.7999999999997</v>
      </c>
      <c r="BV74" s="100">
        <v>7</v>
      </c>
      <c r="BW74" s="100">
        <v>2822.4</v>
      </c>
      <c r="BX74" s="100">
        <v>6</v>
      </c>
      <c r="BY74" s="100">
        <v>2419.1999999999998</v>
      </c>
      <c r="BZ74" s="100">
        <v>9</v>
      </c>
      <c r="CA74" s="100">
        <v>3628.7999999999997</v>
      </c>
      <c r="CB74" s="100">
        <v>9</v>
      </c>
      <c r="CC74" s="100">
        <v>3628.7999999999997</v>
      </c>
      <c r="CD74" s="100">
        <v>6</v>
      </c>
      <c r="CE74" s="100">
        <v>2419.1999999999998</v>
      </c>
      <c r="CF74" s="100">
        <v>9</v>
      </c>
      <c r="CG74" s="100">
        <v>3628.7999999999997</v>
      </c>
      <c r="CH74" s="100">
        <v>9</v>
      </c>
      <c r="CI74" s="100">
        <v>3628.7999999999997</v>
      </c>
      <c r="CJ74" s="100">
        <v>6</v>
      </c>
      <c r="CK74" s="100">
        <v>2419.1999999999998</v>
      </c>
      <c r="CL74" s="100">
        <v>7</v>
      </c>
      <c r="CM74" s="100">
        <v>2822.4</v>
      </c>
      <c r="CN74" s="100">
        <v>6</v>
      </c>
      <c r="CO74" s="100">
        <v>2419.1999999999998</v>
      </c>
      <c r="CP74" s="100">
        <v>7</v>
      </c>
      <c r="CQ74" s="100">
        <v>2822.4</v>
      </c>
      <c r="CR74" s="100">
        <v>10</v>
      </c>
      <c r="CS74" s="100">
        <v>4032</v>
      </c>
      <c r="CT74" s="100">
        <v>8</v>
      </c>
      <c r="CU74" s="100">
        <v>3225.6</v>
      </c>
    </row>
    <row r="75" spans="2:99">
      <c r="C75" s="99" t="s">
        <v>241</v>
      </c>
      <c r="D75" s="100">
        <v>7</v>
      </c>
      <c r="E75" s="100">
        <v>4502.3999999999996</v>
      </c>
      <c r="F75" s="100">
        <v>7.1165644171779139</v>
      </c>
      <c r="G75" s="100">
        <v>4577.374233128834</v>
      </c>
      <c r="H75" s="100">
        <v>6.9230769230769225</v>
      </c>
      <c r="I75" s="100">
        <v>4452.9230769230762</v>
      </c>
      <c r="J75" s="100">
        <v>7.4556213017751478</v>
      </c>
      <c r="K75" s="100">
        <v>4795.455621301775</v>
      </c>
      <c r="L75" s="100">
        <v>4.9777777777777779</v>
      </c>
      <c r="M75" s="100">
        <v>3201.7066666666665</v>
      </c>
      <c r="N75" s="100">
        <v>5.5602836879432624</v>
      </c>
      <c r="O75" s="100">
        <v>3576.3744680851059</v>
      </c>
      <c r="P75" s="100">
        <v>5.52112676056338</v>
      </c>
      <c r="Q75" s="100">
        <v>3551.1887323943656</v>
      </c>
      <c r="R75" s="100">
        <v>6.4460431654676267</v>
      </c>
      <c r="S75" s="100">
        <v>4146.0949640287772</v>
      </c>
      <c r="T75" s="100">
        <v>8.0459770114942533</v>
      </c>
      <c r="U75" s="100">
        <v>5175.1724137931033</v>
      </c>
      <c r="V75" s="100">
        <v>6</v>
      </c>
      <c r="W75" s="100">
        <v>3859.2</v>
      </c>
      <c r="X75" s="100">
        <v>7</v>
      </c>
      <c r="Y75" s="100">
        <v>4502.3999999999996</v>
      </c>
      <c r="Z75" s="100">
        <v>7.6034482758620685</v>
      </c>
      <c r="AA75" s="100">
        <v>4890.5379310344815</v>
      </c>
      <c r="AB75" s="100">
        <v>7</v>
      </c>
      <c r="AC75" s="100">
        <v>4502.3999999999996</v>
      </c>
      <c r="AD75" s="100">
        <v>6</v>
      </c>
      <c r="AE75" s="100">
        <v>3859.2</v>
      </c>
      <c r="AF75" s="100">
        <v>9</v>
      </c>
      <c r="AG75" s="100">
        <v>5788.7999999999993</v>
      </c>
      <c r="AH75" s="100">
        <v>5</v>
      </c>
      <c r="AI75" s="100">
        <v>3215.9999999999995</v>
      </c>
      <c r="AJ75" s="100">
        <v>8</v>
      </c>
      <c r="AK75" s="100">
        <v>5145.5999999999995</v>
      </c>
      <c r="AL75" s="100">
        <v>8</v>
      </c>
      <c r="AM75" s="100">
        <v>5145.5999999999995</v>
      </c>
      <c r="AN75" s="100">
        <v>7</v>
      </c>
      <c r="AO75" s="100">
        <v>4502.3999999999996</v>
      </c>
      <c r="AP75" s="100">
        <v>8.8304093567251449</v>
      </c>
      <c r="AQ75" s="100">
        <v>5679.7192982456127</v>
      </c>
      <c r="AR75" s="100">
        <v>7.4556213017751478</v>
      </c>
      <c r="AS75" s="100">
        <v>4795.455621301775</v>
      </c>
      <c r="AT75" s="100">
        <v>7.3684210526315788</v>
      </c>
      <c r="AU75" s="100">
        <v>4739.3684210526308</v>
      </c>
      <c r="AV75" s="100">
        <v>8.1818181818181817</v>
      </c>
      <c r="AW75" s="100">
        <v>5262.545454545454</v>
      </c>
      <c r="AX75" s="100">
        <v>6</v>
      </c>
      <c r="AY75" s="100">
        <v>3859.2</v>
      </c>
      <c r="AZ75" s="100">
        <v>8.8322981366459636</v>
      </c>
      <c r="BA75" s="100">
        <v>5680.9341614906834</v>
      </c>
      <c r="BB75" s="100">
        <v>7.1186440677966107</v>
      </c>
      <c r="BC75" s="100">
        <v>4578.7118644067796</v>
      </c>
      <c r="BD75" s="100">
        <v>5</v>
      </c>
      <c r="BE75" s="100">
        <v>3215.9999999999995</v>
      </c>
      <c r="BF75" s="100">
        <v>5</v>
      </c>
      <c r="BG75" s="100">
        <v>3215.9999999999995</v>
      </c>
      <c r="BH75" s="100">
        <v>8</v>
      </c>
      <c r="BI75" s="100">
        <v>5145.5999999999995</v>
      </c>
      <c r="BJ75" s="100">
        <v>5</v>
      </c>
      <c r="BK75" s="100">
        <v>3215.9999999999995</v>
      </c>
      <c r="BL75" s="100">
        <v>5</v>
      </c>
      <c r="BM75" s="100">
        <v>3215.9999999999995</v>
      </c>
      <c r="BN75" s="100">
        <v>6</v>
      </c>
      <c r="BO75" s="100">
        <v>3859.2</v>
      </c>
      <c r="BP75" s="100">
        <v>10</v>
      </c>
      <c r="BQ75" s="100">
        <v>6431.9999999999991</v>
      </c>
      <c r="BR75" s="100">
        <v>6</v>
      </c>
      <c r="BS75" s="100">
        <v>3859.2</v>
      </c>
      <c r="BT75" s="100">
        <v>8</v>
      </c>
      <c r="BU75" s="100">
        <v>5145.5999999999995</v>
      </c>
      <c r="BV75" s="100">
        <v>7</v>
      </c>
      <c r="BW75" s="100">
        <v>4502.3999999999996</v>
      </c>
      <c r="BX75" s="100">
        <v>6</v>
      </c>
      <c r="BY75" s="100">
        <v>3859.2</v>
      </c>
      <c r="BZ75" s="100">
        <v>10</v>
      </c>
      <c r="CA75" s="100">
        <v>6431.9999999999991</v>
      </c>
      <c r="CB75" s="100">
        <v>9</v>
      </c>
      <c r="CC75" s="100">
        <v>5788.7999999999993</v>
      </c>
      <c r="CD75" s="100">
        <v>5</v>
      </c>
      <c r="CE75" s="100">
        <v>3215.9999999999995</v>
      </c>
      <c r="CF75" s="100">
        <v>9</v>
      </c>
      <c r="CG75" s="100">
        <v>5788.7999999999993</v>
      </c>
      <c r="CH75" s="100">
        <v>8</v>
      </c>
      <c r="CI75" s="100">
        <v>5145.5999999999995</v>
      </c>
      <c r="CJ75" s="100">
        <v>6</v>
      </c>
      <c r="CK75" s="100">
        <v>3859.2</v>
      </c>
      <c r="CL75" s="100">
        <v>7</v>
      </c>
      <c r="CM75" s="100">
        <v>4502.3999999999996</v>
      </c>
      <c r="CN75" s="100">
        <v>6</v>
      </c>
      <c r="CO75" s="100">
        <v>3859.2</v>
      </c>
      <c r="CP75" s="100">
        <v>7</v>
      </c>
      <c r="CQ75" s="100">
        <v>4502.3999999999996</v>
      </c>
      <c r="CR75" s="100">
        <v>10</v>
      </c>
      <c r="CS75" s="100">
        <v>6431.9999999999991</v>
      </c>
      <c r="CT75" s="100">
        <v>8</v>
      </c>
      <c r="CU75" s="100">
        <v>5145.5999999999995</v>
      </c>
    </row>
    <row r="76" spans="2:99">
      <c r="C76" s="99" t="s">
        <v>242</v>
      </c>
      <c r="D76" s="100">
        <v>7</v>
      </c>
      <c r="E76" s="100">
        <v>5451.5999999999995</v>
      </c>
      <c r="F76" s="100">
        <v>8.0061349693251529</v>
      </c>
      <c r="G76" s="100">
        <v>6235.1779141104289</v>
      </c>
      <c r="H76" s="100">
        <v>6.9230769230769225</v>
      </c>
      <c r="I76" s="100">
        <v>5391.6923076923067</v>
      </c>
      <c r="J76" s="100">
        <v>6.6272189349112427</v>
      </c>
      <c r="K76" s="100">
        <v>5161.2781065088757</v>
      </c>
      <c r="L76" s="100">
        <v>5.8074074074074069</v>
      </c>
      <c r="M76" s="100">
        <v>4522.8088888888879</v>
      </c>
      <c r="N76" s="100">
        <v>5.5602836879432624</v>
      </c>
      <c r="O76" s="100">
        <v>4330.3489361702123</v>
      </c>
      <c r="P76" s="100">
        <v>5.52112676056338</v>
      </c>
      <c r="Q76" s="100">
        <v>4299.8535211267599</v>
      </c>
      <c r="R76" s="100">
        <v>5.6402877697841722</v>
      </c>
      <c r="S76" s="100">
        <v>4392.6561151079131</v>
      </c>
      <c r="T76" s="100">
        <v>7.2413793103448274</v>
      </c>
      <c r="U76" s="100">
        <v>5639.5862068965516</v>
      </c>
      <c r="V76" s="100">
        <v>6</v>
      </c>
      <c r="W76" s="100">
        <v>4672.7999999999993</v>
      </c>
      <c r="X76" s="100">
        <v>7</v>
      </c>
      <c r="Y76" s="100">
        <v>5451.5999999999995</v>
      </c>
      <c r="Z76" s="100">
        <v>7.6034482758620685</v>
      </c>
      <c r="AA76" s="100">
        <v>5921.565517241379</v>
      </c>
      <c r="AB76" s="100">
        <v>7</v>
      </c>
      <c r="AC76" s="100">
        <v>5451.5999999999995</v>
      </c>
      <c r="AD76" s="100">
        <v>6</v>
      </c>
      <c r="AE76" s="100">
        <v>4672.7999999999993</v>
      </c>
      <c r="AF76" s="100">
        <v>9</v>
      </c>
      <c r="AG76" s="100">
        <v>7009.2</v>
      </c>
      <c r="AH76" s="100">
        <v>6</v>
      </c>
      <c r="AI76" s="100">
        <v>4672.7999999999993</v>
      </c>
      <c r="AJ76" s="100">
        <v>7</v>
      </c>
      <c r="AK76" s="100">
        <v>5451.5999999999995</v>
      </c>
      <c r="AL76" s="100">
        <v>9</v>
      </c>
      <c r="AM76" s="100">
        <v>7009.2</v>
      </c>
      <c r="AN76" s="100">
        <v>7</v>
      </c>
      <c r="AO76" s="100">
        <v>5451.5999999999995</v>
      </c>
      <c r="AP76" s="100">
        <v>8.8304093567251449</v>
      </c>
      <c r="AQ76" s="100">
        <v>6877.1228070175421</v>
      </c>
      <c r="AR76" s="100">
        <v>7.4556213017751478</v>
      </c>
      <c r="AS76" s="100">
        <v>5806.4378698224846</v>
      </c>
      <c r="AT76" s="100">
        <v>7.3684210526315788</v>
      </c>
      <c r="AU76" s="100">
        <v>5738.5263157894733</v>
      </c>
      <c r="AV76" s="100">
        <v>6.3636363636363642</v>
      </c>
      <c r="AW76" s="100">
        <v>4956</v>
      </c>
      <c r="AX76" s="100">
        <v>5</v>
      </c>
      <c r="AY76" s="100">
        <v>3894</v>
      </c>
      <c r="AZ76" s="100">
        <v>8.8322981366459636</v>
      </c>
      <c r="BA76" s="100">
        <v>6878.593788819876</v>
      </c>
      <c r="BB76" s="100">
        <v>7.9096045197740112</v>
      </c>
      <c r="BC76" s="100">
        <v>6160</v>
      </c>
      <c r="BD76" s="100">
        <v>5</v>
      </c>
      <c r="BE76" s="100">
        <v>3894</v>
      </c>
      <c r="BF76" s="100">
        <v>6</v>
      </c>
      <c r="BG76" s="100">
        <v>4672.7999999999993</v>
      </c>
      <c r="BH76" s="100">
        <v>7</v>
      </c>
      <c r="BI76" s="100">
        <v>5451.5999999999995</v>
      </c>
      <c r="BJ76" s="100">
        <v>5</v>
      </c>
      <c r="BK76" s="100">
        <v>3894</v>
      </c>
      <c r="BL76" s="100">
        <v>5</v>
      </c>
      <c r="BM76" s="100">
        <v>3894</v>
      </c>
      <c r="BN76" s="100">
        <v>5</v>
      </c>
      <c r="BO76" s="100">
        <v>3894</v>
      </c>
      <c r="BP76" s="100">
        <v>10</v>
      </c>
      <c r="BQ76" s="100">
        <v>7788</v>
      </c>
      <c r="BR76" s="100">
        <v>6</v>
      </c>
      <c r="BS76" s="100">
        <v>4672.7999999999993</v>
      </c>
      <c r="BT76" s="100">
        <v>8</v>
      </c>
      <c r="BU76" s="100">
        <v>6230.4</v>
      </c>
      <c r="BV76" s="100">
        <v>6</v>
      </c>
      <c r="BW76" s="100">
        <v>4672.7999999999993</v>
      </c>
      <c r="BX76" s="100">
        <v>6</v>
      </c>
      <c r="BY76" s="100">
        <v>4672.7999999999993</v>
      </c>
      <c r="BZ76" s="100">
        <v>9</v>
      </c>
      <c r="CA76" s="100">
        <v>7009.2</v>
      </c>
      <c r="CB76" s="100">
        <v>8</v>
      </c>
      <c r="CC76" s="100">
        <v>6230.4</v>
      </c>
      <c r="CD76" s="100">
        <v>5</v>
      </c>
      <c r="CE76" s="100">
        <v>3894</v>
      </c>
      <c r="CF76" s="100">
        <v>9</v>
      </c>
      <c r="CG76" s="100">
        <v>7009.2</v>
      </c>
      <c r="CH76" s="100">
        <v>9</v>
      </c>
      <c r="CI76" s="100">
        <v>7009.2</v>
      </c>
      <c r="CJ76" s="100">
        <v>6</v>
      </c>
      <c r="CK76" s="100">
        <v>4672.7999999999993</v>
      </c>
      <c r="CL76" s="100">
        <v>7</v>
      </c>
      <c r="CM76" s="100">
        <v>5451.5999999999995</v>
      </c>
      <c r="CN76" s="100">
        <v>6</v>
      </c>
      <c r="CO76" s="100">
        <v>4672.7999999999993</v>
      </c>
      <c r="CP76" s="100">
        <v>7</v>
      </c>
      <c r="CQ76" s="100">
        <v>5451.5999999999995</v>
      </c>
      <c r="CR76" s="100">
        <v>9</v>
      </c>
      <c r="CS76" s="100">
        <v>7009.2</v>
      </c>
      <c r="CT76" s="100">
        <v>7</v>
      </c>
      <c r="CU76" s="100">
        <v>5451.5999999999995</v>
      </c>
    </row>
    <row r="77" spans="2:99">
      <c r="C77" s="99" t="s">
        <v>243</v>
      </c>
      <c r="D77" s="100">
        <v>7</v>
      </c>
      <c r="E77" s="100">
        <v>1948.7999999999997</v>
      </c>
      <c r="F77" s="100">
        <v>7.1165644171779139</v>
      </c>
      <c r="G77" s="100">
        <v>1981.251533742331</v>
      </c>
      <c r="H77" s="100">
        <v>6.9230769230769225</v>
      </c>
      <c r="I77" s="100">
        <v>1927.384615384615</v>
      </c>
      <c r="J77" s="100">
        <v>7.4556213017751478</v>
      </c>
      <c r="K77" s="100">
        <v>2075.644970414201</v>
      </c>
      <c r="L77" s="100">
        <v>5.8074074074074069</v>
      </c>
      <c r="M77" s="100">
        <v>1616.7822222222219</v>
      </c>
      <c r="N77" s="100">
        <v>6.3546099290780145</v>
      </c>
      <c r="O77" s="100">
        <v>1769.123404255319</v>
      </c>
      <c r="P77" s="100">
        <v>5.52112676056338</v>
      </c>
      <c r="Q77" s="100">
        <v>1537.0816901408448</v>
      </c>
      <c r="R77" s="100">
        <v>5.6402877697841722</v>
      </c>
      <c r="S77" s="100">
        <v>1570.2561151079135</v>
      </c>
      <c r="T77" s="100">
        <v>8.0459770114942533</v>
      </c>
      <c r="U77" s="100">
        <v>2240</v>
      </c>
      <c r="V77" s="100">
        <v>7</v>
      </c>
      <c r="W77" s="100">
        <v>1948.7999999999997</v>
      </c>
      <c r="X77" s="100">
        <v>7</v>
      </c>
      <c r="Y77" s="100">
        <v>1948.7999999999997</v>
      </c>
      <c r="Z77" s="100">
        <v>8.4482758620689662</v>
      </c>
      <c r="AA77" s="100">
        <v>2352</v>
      </c>
      <c r="AB77" s="100">
        <v>7</v>
      </c>
      <c r="AC77" s="100">
        <v>1948.7999999999997</v>
      </c>
      <c r="AD77" s="100">
        <v>6</v>
      </c>
      <c r="AE77" s="100">
        <v>1670.3999999999999</v>
      </c>
      <c r="AF77" s="100">
        <v>9</v>
      </c>
      <c r="AG77" s="100">
        <v>2505.6</v>
      </c>
      <c r="AH77" s="100">
        <v>6</v>
      </c>
      <c r="AI77" s="100">
        <v>1670.3999999999999</v>
      </c>
      <c r="AJ77" s="100">
        <v>7</v>
      </c>
      <c r="AK77" s="100">
        <v>1948.7999999999997</v>
      </c>
      <c r="AL77" s="100">
        <v>8</v>
      </c>
      <c r="AM77" s="100">
        <v>2227.1999999999998</v>
      </c>
      <c r="AN77" s="100">
        <v>7</v>
      </c>
      <c r="AO77" s="100">
        <v>1948.7999999999997</v>
      </c>
      <c r="AP77" s="100">
        <v>7.947368421052631</v>
      </c>
      <c r="AQ77" s="100">
        <v>2212.5473684210524</v>
      </c>
      <c r="AR77" s="100">
        <v>7.4556213017751478</v>
      </c>
      <c r="AS77" s="100">
        <v>2075.644970414201</v>
      </c>
      <c r="AT77" s="100">
        <v>7.3684210526315788</v>
      </c>
      <c r="AU77" s="100">
        <v>2051.3684210526312</v>
      </c>
      <c r="AV77" s="100">
        <v>8.1818181818181817</v>
      </c>
      <c r="AW77" s="100">
        <v>2277.8181818181815</v>
      </c>
      <c r="AX77" s="100">
        <v>6</v>
      </c>
      <c r="AY77" s="100">
        <v>1670.3999999999999</v>
      </c>
      <c r="AZ77" s="100">
        <v>7.8509316770186333</v>
      </c>
      <c r="BA77" s="100">
        <v>2185.6993788819873</v>
      </c>
      <c r="BB77" s="100">
        <v>7.9096045197740112</v>
      </c>
      <c r="BC77" s="100">
        <v>2202.0338983050847</v>
      </c>
      <c r="BD77" s="100">
        <v>6</v>
      </c>
      <c r="BE77" s="100">
        <v>1670.3999999999999</v>
      </c>
      <c r="BF77" s="100">
        <v>6</v>
      </c>
      <c r="BG77" s="100">
        <v>1670.3999999999999</v>
      </c>
      <c r="BH77" s="100">
        <v>7</v>
      </c>
      <c r="BI77" s="100">
        <v>1948.7999999999997</v>
      </c>
      <c r="BJ77" s="100">
        <v>5</v>
      </c>
      <c r="BK77" s="100">
        <v>1392</v>
      </c>
      <c r="BL77" s="100">
        <v>5</v>
      </c>
      <c r="BM77" s="100">
        <v>1392</v>
      </c>
      <c r="BN77" s="100">
        <v>6</v>
      </c>
      <c r="BO77" s="100">
        <v>1670.3999999999999</v>
      </c>
      <c r="BP77" s="100">
        <v>11</v>
      </c>
      <c r="BQ77" s="100">
        <v>3062.3999999999996</v>
      </c>
      <c r="BR77" s="100">
        <v>6</v>
      </c>
      <c r="BS77" s="100">
        <v>1670.3999999999999</v>
      </c>
      <c r="BT77" s="100">
        <v>9</v>
      </c>
      <c r="BU77" s="100">
        <v>2505.6</v>
      </c>
      <c r="BV77" s="100">
        <v>7</v>
      </c>
      <c r="BW77" s="100">
        <v>1948.7999999999997</v>
      </c>
      <c r="BX77" s="100">
        <v>6</v>
      </c>
      <c r="BY77" s="100">
        <v>1670.3999999999999</v>
      </c>
      <c r="BZ77" s="100">
        <v>9</v>
      </c>
      <c r="CA77" s="100">
        <v>2505.6</v>
      </c>
      <c r="CB77" s="100">
        <v>9</v>
      </c>
      <c r="CC77" s="100">
        <v>2505.6</v>
      </c>
      <c r="CD77" s="100">
        <v>5</v>
      </c>
      <c r="CE77" s="100">
        <v>1392</v>
      </c>
      <c r="CF77" s="100">
        <v>11</v>
      </c>
      <c r="CG77" s="100">
        <v>3062.3999999999996</v>
      </c>
      <c r="CH77" s="100">
        <v>9</v>
      </c>
      <c r="CI77" s="100">
        <v>2505.6</v>
      </c>
      <c r="CJ77" s="100">
        <v>6</v>
      </c>
      <c r="CK77" s="100">
        <v>1670.3999999999999</v>
      </c>
      <c r="CL77" s="100">
        <v>8</v>
      </c>
      <c r="CM77" s="100">
        <v>2227.1999999999998</v>
      </c>
      <c r="CN77" s="100">
        <v>7</v>
      </c>
      <c r="CO77" s="100">
        <v>1948.7999999999997</v>
      </c>
      <c r="CP77" s="100">
        <v>7</v>
      </c>
      <c r="CQ77" s="100">
        <v>1948.7999999999997</v>
      </c>
      <c r="CR77" s="100">
        <v>9</v>
      </c>
      <c r="CS77" s="100">
        <v>2505.6</v>
      </c>
      <c r="CT77" s="100">
        <v>8</v>
      </c>
      <c r="CU77" s="100">
        <v>2227.1999999999998</v>
      </c>
    </row>
    <row r="78" spans="2:99">
      <c r="C78" s="99" t="s">
        <v>244</v>
      </c>
      <c r="D78" s="100">
        <v>6</v>
      </c>
      <c r="E78" s="100">
        <v>3312</v>
      </c>
      <c r="F78" s="100">
        <v>7.1165644171779139</v>
      </c>
      <c r="G78" s="100">
        <v>3928.3435582822085</v>
      </c>
      <c r="H78" s="100">
        <v>7.6923076923076925</v>
      </c>
      <c r="I78" s="100">
        <v>4246.1538461538466</v>
      </c>
      <c r="J78" s="100">
        <v>7.4556213017751478</v>
      </c>
      <c r="K78" s="100">
        <v>4115.502958579882</v>
      </c>
      <c r="L78" s="100">
        <v>4.9777777777777779</v>
      </c>
      <c r="M78" s="100">
        <v>2747.7333333333336</v>
      </c>
      <c r="N78" s="100">
        <v>6.3546099290780145</v>
      </c>
      <c r="O78" s="100">
        <v>3507.744680851064</v>
      </c>
      <c r="P78" s="100">
        <v>6.3098591549295779</v>
      </c>
      <c r="Q78" s="100">
        <v>3483.0422535211269</v>
      </c>
      <c r="R78" s="100">
        <v>5.6402877697841722</v>
      </c>
      <c r="S78" s="100">
        <v>3113.4388489208632</v>
      </c>
      <c r="T78" s="100">
        <v>8.0459770114942533</v>
      </c>
      <c r="U78" s="100">
        <v>4441.3793103448279</v>
      </c>
      <c r="V78" s="100">
        <v>6</v>
      </c>
      <c r="W78" s="100">
        <v>3312</v>
      </c>
      <c r="X78" s="100">
        <v>6</v>
      </c>
      <c r="Y78" s="100">
        <v>3312</v>
      </c>
      <c r="Z78" s="100">
        <v>7.6034482758620685</v>
      </c>
      <c r="AA78" s="100">
        <v>4197.1034482758614</v>
      </c>
      <c r="AB78" s="100">
        <v>7</v>
      </c>
      <c r="AC78" s="100">
        <v>3864</v>
      </c>
      <c r="AD78" s="100">
        <v>6</v>
      </c>
      <c r="AE78" s="100">
        <v>3312</v>
      </c>
      <c r="AF78" s="100">
        <v>8</v>
      </c>
      <c r="AG78" s="100">
        <v>4416</v>
      </c>
      <c r="AH78" s="100">
        <v>5</v>
      </c>
      <c r="AI78" s="100">
        <v>2760</v>
      </c>
      <c r="AJ78" s="100">
        <v>7</v>
      </c>
      <c r="AK78" s="100">
        <v>3864</v>
      </c>
      <c r="AL78" s="100">
        <v>9</v>
      </c>
      <c r="AM78" s="100">
        <v>4968</v>
      </c>
      <c r="AN78" s="100">
        <v>7</v>
      </c>
      <c r="AO78" s="100">
        <v>3864</v>
      </c>
      <c r="AP78" s="100">
        <v>7.064327485380117</v>
      </c>
      <c r="AQ78" s="100">
        <v>3899.5087719298244</v>
      </c>
      <c r="AR78" s="100">
        <v>7.4556213017751478</v>
      </c>
      <c r="AS78" s="100">
        <v>4115.502958579882</v>
      </c>
      <c r="AT78" s="100">
        <v>7.3684210526315788</v>
      </c>
      <c r="AU78" s="100">
        <v>4067.3684210526317</v>
      </c>
      <c r="AV78" s="100">
        <v>8.1818181818181817</v>
      </c>
      <c r="AW78" s="100">
        <v>4516.363636363636</v>
      </c>
      <c r="AX78" s="100">
        <v>6</v>
      </c>
      <c r="AY78" s="100">
        <v>3312</v>
      </c>
      <c r="AZ78" s="100">
        <v>8.8322981366459636</v>
      </c>
      <c r="BA78" s="100">
        <v>4875.4285714285716</v>
      </c>
      <c r="BB78" s="100">
        <v>7.9096045197740112</v>
      </c>
      <c r="BC78" s="100">
        <v>4366.1016949152545</v>
      </c>
      <c r="BD78" s="100">
        <v>5</v>
      </c>
      <c r="BE78" s="100">
        <v>2760</v>
      </c>
      <c r="BF78" s="100">
        <v>5</v>
      </c>
      <c r="BG78" s="100">
        <v>2760</v>
      </c>
      <c r="BH78" s="100">
        <v>8</v>
      </c>
      <c r="BI78" s="100">
        <v>4416</v>
      </c>
      <c r="BJ78" s="100">
        <v>5</v>
      </c>
      <c r="BK78" s="100">
        <v>2760</v>
      </c>
      <c r="BL78" s="100">
        <v>5</v>
      </c>
      <c r="BM78" s="100">
        <v>2760</v>
      </c>
      <c r="BN78" s="100">
        <v>6</v>
      </c>
      <c r="BO78" s="100">
        <v>3312</v>
      </c>
      <c r="BP78" s="100">
        <v>10</v>
      </c>
      <c r="BQ78" s="100">
        <v>5520</v>
      </c>
      <c r="BR78" s="100">
        <v>6</v>
      </c>
      <c r="BS78" s="100">
        <v>3312</v>
      </c>
      <c r="BT78" s="100">
        <v>8</v>
      </c>
      <c r="BU78" s="100">
        <v>4416</v>
      </c>
      <c r="BV78" s="100">
        <v>7</v>
      </c>
      <c r="BW78" s="100">
        <v>3864</v>
      </c>
      <c r="BX78" s="100">
        <v>7</v>
      </c>
      <c r="BY78" s="100">
        <v>3864</v>
      </c>
      <c r="BZ78" s="100">
        <v>9</v>
      </c>
      <c r="CA78" s="100">
        <v>4968</v>
      </c>
      <c r="CB78" s="100">
        <v>8</v>
      </c>
      <c r="CC78" s="100">
        <v>4416</v>
      </c>
      <c r="CD78" s="100">
        <v>5</v>
      </c>
      <c r="CE78" s="100">
        <v>2760</v>
      </c>
      <c r="CF78" s="100">
        <v>9</v>
      </c>
      <c r="CG78" s="100">
        <v>4968</v>
      </c>
      <c r="CH78" s="100">
        <v>9</v>
      </c>
      <c r="CI78" s="100">
        <v>4968</v>
      </c>
      <c r="CJ78" s="100">
        <v>6</v>
      </c>
      <c r="CK78" s="100">
        <v>3312</v>
      </c>
      <c r="CL78" s="100">
        <v>7</v>
      </c>
      <c r="CM78" s="100">
        <v>3864</v>
      </c>
      <c r="CN78" s="100">
        <v>6</v>
      </c>
      <c r="CO78" s="100">
        <v>3312</v>
      </c>
      <c r="CP78" s="100">
        <v>8</v>
      </c>
      <c r="CQ78" s="100">
        <v>4416</v>
      </c>
      <c r="CR78" s="100">
        <v>9</v>
      </c>
      <c r="CS78" s="100">
        <v>4968</v>
      </c>
      <c r="CT78" s="100">
        <v>8</v>
      </c>
      <c r="CU78" s="100">
        <v>4416</v>
      </c>
    </row>
    <row r="79" spans="2:99">
      <c r="C79" s="99" t="s">
        <v>245</v>
      </c>
      <c r="D79" s="100">
        <v>7</v>
      </c>
      <c r="E79" s="100">
        <v>5300.4</v>
      </c>
      <c r="F79" s="100">
        <v>8.0061349693251529</v>
      </c>
      <c r="G79" s="100">
        <v>6062.245398773005</v>
      </c>
      <c r="H79" s="100">
        <v>6.9230769230769225</v>
      </c>
      <c r="I79" s="100">
        <v>5242.1538461538448</v>
      </c>
      <c r="J79" s="100">
        <v>6.6272189349112427</v>
      </c>
      <c r="K79" s="100">
        <v>5018.1301775147922</v>
      </c>
      <c r="L79" s="100">
        <v>4.9777777777777779</v>
      </c>
      <c r="M79" s="100">
        <v>3769.1733333333332</v>
      </c>
      <c r="N79" s="100">
        <v>5.5602836879432624</v>
      </c>
      <c r="O79" s="100">
        <v>4210.2468085106375</v>
      </c>
      <c r="P79" s="100">
        <v>6.3098591549295779</v>
      </c>
      <c r="Q79" s="100">
        <v>4777.8253521126762</v>
      </c>
      <c r="R79" s="100">
        <v>5.6402877697841722</v>
      </c>
      <c r="S79" s="100">
        <v>4270.825899280575</v>
      </c>
      <c r="T79" s="100">
        <v>8.0459770114942533</v>
      </c>
      <c r="U79" s="100">
        <v>6092.4137931034484</v>
      </c>
      <c r="V79" s="100">
        <v>7</v>
      </c>
      <c r="W79" s="100">
        <v>5300.4</v>
      </c>
      <c r="X79" s="100">
        <v>6</v>
      </c>
      <c r="Y79" s="100">
        <v>4543.2</v>
      </c>
      <c r="Z79" s="100">
        <v>6.7586206896551726</v>
      </c>
      <c r="AA79" s="100">
        <v>5117.627586206896</v>
      </c>
      <c r="AB79" s="100">
        <v>8</v>
      </c>
      <c r="AC79" s="100">
        <v>6057.5999999999995</v>
      </c>
      <c r="AD79" s="100">
        <v>5</v>
      </c>
      <c r="AE79" s="100">
        <v>3785.9999999999995</v>
      </c>
      <c r="AF79" s="100">
        <v>9</v>
      </c>
      <c r="AG79" s="100">
        <v>6814.7999999999993</v>
      </c>
      <c r="AH79" s="100">
        <v>5</v>
      </c>
      <c r="AI79" s="100">
        <v>3785.9999999999995</v>
      </c>
      <c r="AJ79" s="100">
        <v>7</v>
      </c>
      <c r="AK79" s="100">
        <v>5300.4</v>
      </c>
      <c r="AL79" s="100">
        <v>8</v>
      </c>
      <c r="AM79" s="100">
        <v>6057.5999999999995</v>
      </c>
      <c r="AN79" s="100">
        <v>6</v>
      </c>
      <c r="AO79" s="100">
        <v>4543.2</v>
      </c>
      <c r="AP79" s="100">
        <v>8.8304093567251449</v>
      </c>
      <c r="AQ79" s="100">
        <v>6686.3859649122787</v>
      </c>
      <c r="AR79" s="100">
        <v>7.4556213017751478</v>
      </c>
      <c r="AS79" s="100">
        <v>5645.3964497041416</v>
      </c>
      <c r="AT79" s="100">
        <v>6.447368421052631</v>
      </c>
      <c r="AU79" s="100">
        <v>4881.9473684210516</v>
      </c>
      <c r="AV79" s="100">
        <v>7.2727272727272734</v>
      </c>
      <c r="AW79" s="100">
        <v>5506.909090909091</v>
      </c>
      <c r="AX79" s="100">
        <v>5</v>
      </c>
      <c r="AY79" s="100">
        <v>3785.9999999999995</v>
      </c>
      <c r="AZ79" s="100">
        <v>8.8322981366459636</v>
      </c>
      <c r="BA79" s="100">
        <v>6687.8161490683233</v>
      </c>
      <c r="BB79" s="100">
        <v>7.1186440677966107</v>
      </c>
      <c r="BC79" s="100">
        <v>5390.2372881355932</v>
      </c>
      <c r="BD79" s="100">
        <v>5</v>
      </c>
      <c r="BE79" s="100">
        <v>3785.9999999999995</v>
      </c>
      <c r="BF79" s="100">
        <v>5</v>
      </c>
      <c r="BG79" s="100">
        <v>3785.9999999999995</v>
      </c>
      <c r="BH79" s="100">
        <v>7</v>
      </c>
      <c r="BI79" s="100">
        <v>5300.4</v>
      </c>
      <c r="BJ79" s="100">
        <v>5</v>
      </c>
      <c r="BK79" s="100">
        <v>3785.9999999999995</v>
      </c>
      <c r="BL79" s="100">
        <v>5</v>
      </c>
      <c r="BM79" s="100">
        <v>3785.9999999999995</v>
      </c>
      <c r="BN79" s="100">
        <v>7</v>
      </c>
      <c r="BO79" s="100">
        <v>5300.4</v>
      </c>
      <c r="BP79" s="100">
        <v>9</v>
      </c>
      <c r="BQ79" s="100">
        <v>6814.7999999999993</v>
      </c>
      <c r="BR79" s="100">
        <v>6</v>
      </c>
      <c r="BS79" s="100">
        <v>4543.2</v>
      </c>
      <c r="BT79" s="100">
        <v>8</v>
      </c>
      <c r="BU79" s="100">
        <v>6057.5999999999995</v>
      </c>
      <c r="BV79" s="100">
        <v>7</v>
      </c>
      <c r="BW79" s="100">
        <v>5300.4</v>
      </c>
      <c r="BX79" s="100">
        <v>6</v>
      </c>
      <c r="BY79" s="100">
        <v>4543.2</v>
      </c>
      <c r="BZ79" s="100">
        <v>8</v>
      </c>
      <c r="CA79" s="100">
        <v>6057.5999999999995</v>
      </c>
      <c r="CB79" s="100">
        <v>8</v>
      </c>
      <c r="CC79" s="100">
        <v>6057.5999999999995</v>
      </c>
      <c r="CD79" s="100">
        <v>5</v>
      </c>
      <c r="CE79" s="100">
        <v>3785.9999999999995</v>
      </c>
      <c r="CF79" s="100">
        <v>10</v>
      </c>
      <c r="CG79" s="100">
        <v>7571.9999999999991</v>
      </c>
      <c r="CH79" s="100">
        <v>9</v>
      </c>
      <c r="CI79" s="100">
        <v>6814.7999999999993</v>
      </c>
      <c r="CJ79" s="100">
        <v>6</v>
      </c>
      <c r="CK79" s="100">
        <v>4543.2</v>
      </c>
      <c r="CL79" s="100">
        <v>7</v>
      </c>
      <c r="CM79" s="100">
        <v>5300.4</v>
      </c>
      <c r="CN79" s="100">
        <v>6</v>
      </c>
      <c r="CO79" s="100">
        <v>4543.2</v>
      </c>
      <c r="CP79" s="100">
        <v>7</v>
      </c>
      <c r="CQ79" s="100">
        <v>5300.4</v>
      </c>
      <c r="CR79" s="100">
        <v>9</v>
      </c>
      <c r="CS79" s="100">
        <v>6814.7999999999993</v>
      </c>
      <c r="CT79" s="100">
        <v>7</v>
      </c>
      <c r="CU79" s="100">
        <v>5300.4</v>
      </c>
    </row>
    <row r="80" spans="2:99">
      <c r="C80" s="99" t="s">
        <v>246</v>
      </c>
      <c r="D80" s="100">
        <v>7</v>
      </c>
      <c r="E80" s="100">
        <v>5636.4</v>
      </c>
      <c r="F80" s="100">
        <v>7.1165644171779139</v>
      </c>
      <c r="G80" s="100">
        <v>5730.2576687116562</v>
      </c>
      <c r="H80" s="100">
        <v>7.6923076923076925</v>
      </c>
      <c r="I80" s="100">
        <v>6193.8461538461534</v>
      </c>
      <c r="J80" s="100">
        <v>6.6272189349112427</v>
      </c>
      <c r="K80" s="100">
        <v>5336.2366863905318</v>
      </c>
      <c r="L80" s="100">
        <v>4.9777777777777779</v>
      </c>
      <c r="M80" s="100">
        <v>4008.1066666666666</v>
      </c>
      <c r="N80" s="100">
        <v>6.3546099290780145</v>
      </c>
      <c r="O80" s="100">
        <v>5116.7319148936167</v>
      </c>
      <c r="P80" s="100">
        <v>5.52112676056338</v>
      </c>
      <c r="Q80" s="100">
        <v>4445.6112676056337</v>
      </c>
      <c r="R80" s="100">
        <v>6.4460431654676267</v>
      </c>
      <c r="S80" s="100">
        <v>5190.3539568345323</v>
      </c>
      <c r="T80" s="100">
        <v>8.0459770114942533</v>
      </c>
      <c r="U80" s="100">
        <v>6478.6206896551721</v>
      </c>
      <c r="V80" s="100">
        <v>6</v>
      </c>
      <c r="W80" s="100">
        <v>4831.2</v>
      </c>
      <c r="X80" s="100">
        <v>7</v>
      </c>
      <c r="Y80" s="100">
        <v>5636.4</v>
      </c>
      <c r="Z80" s="100">
        <v>7.6034482758620685</v>
      </c>
      <c r="AA80" s="100">
        <v>6122.2965517241373</v>
      </c>
      <c r="AB80" s="100">
        <v>7</v>
      </c>
      <c r="AC80" s="100">
        <v>5636.4</v>
      </c>
      <c r="AD80" s="100">
        <v>5</v>
      </c>
      <c r="AE80" s="100">
        <v>4025.9999999999995</v>
      </c>
      <c r="AF80" s="100">
        <v>9</v>
      </c>
      <c r="AG80" s="100">
        <v>7246.7999999999993</v>
      </c>
      <c r="AH80" s="100">
        <v>6</v>
      </c>
      <c r="AI80" s="100">
        <v>4831.2</v>
      </c>
      <c r="AJ80" s="100">
        <v>7</v>
      </c>
      <c r="AK80" s="100">
        <v>5636.4</v>
      </c>
      <c r="AL80" s="100">
        <v>8</v>
      </c>
      <c r="AM80" s="100">
        <v>6441.5999999999995</v>
      </c>
      <c r="AN80" s="100">
        <v>7</v>
      </c>
      <c r="AO80" s="100">
        <v>5636.4</v>
      </c>
      <c r="AP80" s="100">
        <v>7.947368421052631</v>
      </c>
      <c r="AQ80" s="100">
        <v>6399.2210526315775</v>
      </c>
      <c r="AR80" s="100">
        <v>6.6272189349112427</v>
      </c>
      <c r="AS80" s="100">
        <v>5336.2366863905318</v>
      </c>
      <c r="AT80" s="100">
        <v>7.3684210526315788</v>
      </c>
      <c r="AU80" s="100">
        <v>5933.0526315789466</v>
      </c>
      <c r="AV80" s="100">
        <v>8.1818181818181817</v>
      </c>
      <c r="AW80" s="100">
        <v>6587.9999999999991</v>
      </c>
      <c r="AX80" s="100">
        <v>6</v>
      </c>
      <c r="AY80" s="100">
        <v>4831.2</v>
      </c>
      <c r="AZ80" s="100">
        <v>8.8322981366459636</v>
      </c>
      <c r="BA80" s="100">
        <v>7111.7664596273289</v>
      </c>
      <c r="BB80" s="100">
        <v>6.3276836158192094</v>
      </c>
      <c r="BC80" s="100">
        <v>5095.0508474576272</v>
      </c>
      <c r="BD80" s="100">
        <v>6</v>
      </c>
      <c r="BE80" s="100">
        <v>4831.2</v>
      </c>
      <c r="BF80" s="100">
        <v>5</v>
      </c>
      <c r="BG80" s="100">
        <v>4025.9999999999995</v>
      </c>
      <c r="BH80" s="100">
        <v>6</v>
      </c>
      <c r="BI80" s="100">
        <v>4831.2</v>
      </c>
      <c r="BJ80" s="100">
        <v>6</v>
      </c>
      <c r="BK80" s="100">
        <v>4831.2</v>
      </c>
      <c r="BL80" s="100">
        <v>6</v>
      </c>
      <c r="BM80" s="100">
        <v>4831.2</v>
      </c>
      <c r="BN80" s="100">
        <v>6</v>
      </c>
      <c r="BO80" s="100">
        <v>4831.2</v>
      </c>
      <c r="BP80" s="100">
        <v>10</v>
      </c>
      <c r="BQ80" s="100">
        <v>8051.9999999999991</v>
      </c>
      <c r="BR80" s="100">
        <v>6</v>
      </c>
      <c r="BS80" s="100">
        <v>4831.2</v>
      </c>
      <c r="BT80" s="100">
        <v>8</v>
      </c>
      <c r="BU80" s="100">
        <v>6441.5999999999995</v>
      </c>
      <c r="BV80" s="100">
        <v>6</v>
      </c>
      <c r="BW80" s="100">
        <v>4831.2</v>
      </c>
      <c r="BX80" s="100">
        <v>6</v>
      </c>
      <c r="BY80" s="100">
        <v>4831.2</v>
      </c>
      <c r="BZ80" s="100">
        <v>10</v>
      </c>
      <c r="CA80" s="100">
        <v>8051.9999999999991</v>
      </c>
      <c r="CB80" s="100">
        <v>9</v>
      </c>
      <c r="CC80" s="100">
        <v>7246.7999999999993</v>
      </c>
      <c r="CD80" s="100">
        <v>5</v>
      </c>
      <c r="CE80" s="100">
        <v>4025.9999999999995</v>
      </c>
      <c r="CF80" s="100">
        <v>10</v>
      </c>
      <c r="CG80" s="100">
        <v>8051.9999999999991</v>
      </c>
      <c r="CH80" s="100">
        <v>9</v>
      </c>
      <c r="CI80" s="100">
        <v>7246.7999999999993</v>
      </c>
      <c r="CJ80" s="100">
        <v>5</v>
      </c>
      <c r="CK80" s="100">
        <v>4025.9999999999995</v>
      </c>
      <c r="CL80" s="100">
        <v>7</v>
      </c>
      <c r="CM80" s="100">
        <v>5636.4</v>
      </c>
      <c r="CN80" s="100">
        <v>6</v>
      </c>
      <c r="CO80" s="100">
        <v>4831.2</v>
      </c>
      <c r="CP80" s="100">
        <v>7</v>
      </c>
      <c r="CQ80" s="100">
        <v>5636.4</v>
      </c>
      <c r="CR80" s="100">
        <v>10</v>
      </c>
      <c r="CS80" s="100">
        <v>8051.9999999999991</v>
      </c>
      <c r="CT80" s="100">
        <v>7</v>
      </c>
      <c r="CU80" s="100">
        <v>5636.4</v>
      </c>
    </row>
    <row r="81" spans="2:99">
      <c r="C81" s="99" t="s">
        <v>247</v>
      </c>
      <c r="D81" s="100">
        <v>6</v>
      </c>
      <c r="E81" s="100">
        <v>4521.6000000000004</v>
      </c>
      <c r="F81" s="100">
        <v>8.0061349693251529</v>
      </c>
      <c r="G81" s="100">
        <v>6033.4233128834358</v>
      </c>
      <c r="H81" s="100">
        <v>6.9230769230769225</v>
      </c>
      <c r="I81" s="100">
        <v>5217.2307692307686</v>
      </c>
      <c r="J81" s="100">
        <v>6.6272189349112427</v>
      </c>
      <c r="K81" s="100">
        <v>4994.2721893491125</v>
      </c>
      <c r="L81" s="100">
        <v>4.9777777777777779</v>
      </c>
      <c r="M81" s="100">
        <v>3751.2533333333336</v>
      </c>
      <c r="N81" s="100">
        <v>5.5602836879432624</v>
      </c>
      <c r="O81" s="100">
        <v>4190.2297872340423</v>
      </c>
      <c r="P81" s="100">
        <v>6.3098591549295779</v>
      </c>
      <c r="Q81" s="100">
        <v>4755.1098591549298</v>
      </c>
      <c r="R81" s="100">
        <v>6.4460431654676267</v>
      </c>
      <c r="S81" s="100">
        <v>4857.7381294964034</v>
      </c>
      <c r="T81" s="100">
        <v>8.0459770114942533</v>
      </c>
      <c r="U81" s="100">
        <v>6063.4482758620697</v>
      </c>
      <c r="V81" s="100">
        <v>6</v>
      </c>
      <c r="W81" s="100">
        <v>4521.6000000000004</v>
      </c>
      <c r="X81" s="100">
        <v>7</v>
      </c>
      <c r="Y81" s="100">
        <v>5275.2</v>
      </c>
      <c r="Z81" s="100">
        <v>7.6034482758620685</v>
      </c>
      <c r="AA81" s="100">
        <v>5729.9586206896547</v>
      </c>
      <c r="AB81" s="100">
        <v>7</v>
      </c>
      <c r="AC81" s="100">
        <v>5275.2</v>
      </c>
      <c r="AD81" s="100">
        <v>6</v>
      </c>
      <c r="AE81" s="100">
        <v>4521.6000000000004</v>
      </c>
      <c r="AF81" s="100">
        <v>9</v>
      </c>
      <c r="AG81" s="100">
        <v>6782.4000000000005</v>
      </c>
      <c r="AH81" s="100">
        <v>6</v>
      </c>
      <c r="AI81" s="100">
        <v>4521.6000000000004</v>
      </c>
      <c r="AJ81" s="100">
        <v>7</v>
      </c>
      <c r="AK81" s="100">
        <v>5275.2</v>
      </c>
      <c r="AL81" s="100">
        <v>8</v>
      </c>
      <c r="AM81" s="100">
        <v>6028.8</v>
      </c>
      <c r="AN81" s="100">
        <v>7</v>
      </c>
      <c r="AO81" s="100">
        <v>5275.2</v>
      </c>
      <c r="AP81" s="100">
        <v>7.064327485380117</v>
      </c>
      <c r="AQ81" s="100">
        <v>5323.6771929824563</v>
      </c>
      <c r="AR81" s="100">
        <v>7.4556213017751478</v>
      </c>
      <c r="AS81" s="100">
        <v>5618.5562130177514</v>
      </c>
      <c r="AT81" s="100">
        <v>7.3684210526315788</v>
      </c>
      <c r="AU81" s="100">
        <v>5552.8421052631584</v>
      </c>
      <c r="AV81" s="100">
        <v>6.3636363636363642</v>
      </c>
      <c r="AW81" s="100">
        <v>4795.636363636364</v>
      </c>
      <c r="AX81" s="100">
        <v>6</v>
      </c>
      <c r="AY81" s="100">
        <v>4521.6000000000004</v>
      </c>
      <c r="AZ81" s="100">
        <v>9.8136645962732914</v>
      </c>
      <c r="BA81" s="100">
        <v>7395.5776397515529</v>
      </c>
      <c r="BB81" s="100">
        <v>7.1186440677966107</v>
      </c>
      <c r="BC81" s="100">
        <v>5364.610169491526</v>
      </c>
      <c r="BD81" s="100">
        <v>5</v>
      </c>
      <c r="BE81" s="100">
        <v>3768</v>
      </c>
      <c r="BF81" s="100">
        <v>6</v>
      </c>
      <c r="BG81" s="100">
        <v>4521.6000000000004</v>
      </c>
      <c r="BH81" s="100">
        <v>7</v>
      </c>
      <c r="BI81" s="100">
        <v>5275.2</v>
      </c>
      <c r="BJ81" s="100">
        <v>5</v>
      </c>
      <c r="BK81" s="100">
        <v>3768</v>
      </c>
      <c r="BL81" s="100">
        <v>6</v>
      </c>
      <c r="BM81" s="100">
        <v>4521.6000000000004</v>
      </c>
      <c r="BN81" s="100">
        <v>6</v>
      </c>
      <c r="BO81" s="100">
        <v>4521.6000000000004</v>
      </c>
      <c r="BP81" s="100">
        <v>10</v>
      </c>
      <c r="BQ81" s="100">
        <v>7536</v>
      </c>
      <c r="BR81" s="100">
        <v>6</v>
      </c>
      <c r="BS81" s="100">
        <v>4521.6000000000004</v>
      </c>
      <c r="BT81" s="100">
        <v>8</v>
      </c>
      <c r="BU81" s="100">
        <v>6028.8</v>
      </c>
      <c r="BV81" s="100">
        <v>7</v>
      </c>
      <c r="BW81" s="100">
        <v>5275.2</v>
      </c>
      <c r="BX81" s="100">
        <v>6</v>
      </c>
      <c r="BY81" s="100">
        <v>4521.6000000000004</v>
      </c>
      <c r="BZ81" s="100">
        <v>9</v>
      </c>
      <c r="CA81" s="100">
        <v>6782.4000000000005</v>
      </c>
      <c r="CB81" s="100">
        <v>9</v>
      </c>
      <c r="CC81" s="100">
        <v>6782.4000000000005</v>
      </c>
      <c r="CD81" s="100">
        <v>5</v>
      </c>
      <c r="CE81" s="100">
        <v>3768</v>
      </c>
      <c r="CF81" s="100">
        <v>9</v>
      </c>
      <c r="CG81" s="100">
        <v>6782.4000000000005</v>
      </c>
      <c r="CH81" s="100">
        <v>8</v>
      </c>
      <c r="CI81" s="100">
        <v>6028.8</v>
      </c>
      <c r="CJ81" s="100">
        <v>6</v>
      </c>
      <c r="CK81" s="100">
        <v>4521.6000000000004</v>
      </c>
      <c r="CL81" s="100">
        <v>7</v>
      </c>
      <c r="CM81" s="100">
        <v>5275.2</v>
      </c>
      <c r="CN81" s="100">
        <v>7</v>
      </c>
      <c r="CO81" s="100">
        <v>5275.2</v>
      </c>
      <c r="CP81" s="100">
        <v>8</v>
      </c>
      <c r="CQ81" s="100">
        <v>6028.8</v>
      </c>
      <c r="CR81" s="100">
        <v>9</v>
      </c>
      <c r="CS81" s="100">
        <v>6782.4000000000005</v>
      </c>
      <c r="CT81" s="100">
        <v>7</v>
      </c>
      <c r="CU81" s="100">
        <v>5275.2</v>
      </c>
    </row>
    <row r="82" spans="2:99">
      <c r="C82" s="99" t="s">
        <v>248</v>
      </c>
      <c r="D82" s="100">
        <v>7</v>
      </c>
      <c r="E82" s="100">
        <v>3561.5999999999995</v>
      </c>
      <c r="F82" s="100">
        <v>7.1165644171779139</v>
      </c>
      <c r="G82" s="100">
        <v>3620.9079754601216</v>
      </c>
      <c r="H82" s="100">
        <v>6.9230769230769225</v>
      </c>
      <c r="I82" s="100">
        <v>3522.4615384615377</v>
      </c>
      <c r="J82" s="100">
        <v>7.4556213017751478</v>
      </c>
      <c r="K82" s="100">
        <v>3793.4201183431946</v>
      </c>
      <c r="L82" s="100">
        <v>5.8074074074074069</v>
      </c>
      <c r="M82" s="100">
        <v>2954.8088888888879</v>
      </c>
      <c r="N82" s="100">
        <v>6.3546099290780145</v>
      </c>
      <c r="O82" s="100">
        <v>3233.2255319148931</v>
      </c>
      <c r="P82" s="100">
        <v>6.3098591549295779</v>
      </c>
      <c r="Q82" s="100">
        <v>3210.4563380281688</v>
      </c>
      <c r="R82" s="100">
        <v>6.4460431654676267</v>
      </c>
      <c r="S82" s="100">
        <v>3279.7467625899276</v>
      </c>
      <c r="T82" s="100">
        <v>8.0459770114942533</v>
      </c>
      <c r="U82" s="100">
        <v>4093.7931034482754</v>
      </c>
      <c r="V82" s="100">
        <v>7</v>
      </c>
      <c r="W82" s="100">
        <v>3561.5999999999995</v>
      </c>
      <c r="X82" s="100">
        <v>7</v>
      </c>
      <c r="Y82" s="100">
        <v>3561.5999999999995</v>
      </c>
      <c r="Z82" s="100">
        <v>6.7586206896551726</v>
      </c>
      <c r="AA82" s="100">
        <v>3438.786206896551</v>
      </c>
      <c r="AB82" s="100">
        <v>7</v>
      </c>
      <c r="AC82" s="100">
        <v>3561.5999999999995</v>
      </c>
      <c r="AD82" s="100">
        <v>6</v>
      </c>
      <c r="AE82" s="100">
        <v>3052.7999999999993</v>
      </c>
      <c r="AF82" s="100">
        <v>8</v>
      </c>
      <c r="AG82" s="100">
        <v>4070.3999999999992</v>
      </c>
      <c r="AH82" s="100">
        <v>6</v>
      </c>
      <c r="AI82" s="100">
        <v>3052.7999999999993</v>
      </c>
      <c r="AJ82" s="100">
        <v>7</v>
      </c>
      <c r="AK82" s="100">
        <v>3561.5999999999995</v>
      </c>
      <c r="AL82" s="100">
        <v>7</v>
      </c>
      <c r="AM82" s="100">
        <v>3561.5999999999995</v>
      </c>
      <c r="AN82" s="100">
        <v>7</v>
      </c>
      <c r="AO82" s="100">
        <v>3561.5999999999995</v>
      </c>
      <c r="AP82" s="100">
        <v>7.064327485380117</v>
      </c>
      <c r="AQ82" s="100">
        <v>3594.3298245614028</v>
      </c>
      <c r="AR82" s="100">
        <v>8.2840236686390529</v>
      </c>
      <c r="AS82" s="100">
        <v>4214.911242603549</v>
      </c>
      <c r="AT82" s="100">
        <v>6.447368421052631</v>
      </c>
      <c r="AU82" s="100">
        <v>3280.4210526315778</v>
      </c>
      <c r="AV82" s="100">
        <v>7.2727272727272734</v>
      </c>
      <c r="AW82" s="100">
        <v>3700.363636363636</v>
      </c>
      <c r="AX82" s="100">
        <v>6</v>
      </c>
      <c r="AY82" s="100">
        <v>3052.7999999999993</v>
      </c>
      <c r="AZ82" s="100">
        <v>9.8136645962732914</v>
      </c>
      <c r="BA82" s="100">
        <v>4993.1925465838494</v>
      </c>
      <c r="BB82" s="100">
        <v>7.9096045197740112</v>
      </c>
      <c r="BC82" s="100">
        <v>4024.4067796610161</v>
      </c>
      <c r="BD82" s="100">
        <v>5</v>
      </c>
      <c r="BE82" s="100">
        <v>2543.9999999999995</v>
      </c>
      <c r="BF82" s="100">
        <v>5</v>
      </c>
      <c r="BG82" s="100">
        <v>2543.9999999999995</v>
      </c>
      <c r="BH82" s="100">
        <v>7</v>
      </c>
      <c r="BI82" s="100">
        <v>3561.5999999999995</v>
      </c>
      <c r="BJ82" s="100">
        <v>5</v>
      </c>
      <c r="BK82" s="100">
        <v>2543.9999999999995</v>
      </c>
      <c r="BL82" s="100">
        <v>6</v>
      </c>
      <c r="BM82" s="100">
        <v>3052.7999999999993</v>
      </c>
      <c r="BN82" s="100">
        <v>6</v>
      </c>
      <c r="BO82" s="100">
        <v>3052.7999999999993</v>
      </c>
      <c r="BP82" s="100">
        <v>10</v>
      </c>
      <c r="BQ82" s="100">
        <v>5087.9999999999991</v>
      </c>
      <c r="BR82" s="100">
        <v>6</v>
      </c>
      <c r="BS82" s="100">
        <v>3052.7999999999993</v>
      </c>
      <c r="BT82" s="100">
        <v>8</v>
      </c>
      <c r="BU82" s="100">
        <v>4070.3999999999992</v>
      </c>
      <c r="BV82" s="100">
        <v>7</v>
      </c>
      <c r="BW82" s="100">
        <v>3561.5999999999995</v>
      </c>
      <c r="BX82" s="100">
        <v>6</v>
      </c>
      <c r="BY82" s="100">
        <v>3052.7999999999993</v>
      </c>
      <c r="BZ82" s="100">
        <v>9</v>
      </c>
      <c r="CA82" s="100">
        <v>4579.1999999999989</v>
      </c>
      <c r="CB82" s="100">
        <v>8</v>
      </c>
      <c r="CC82" s="100">
        <v>4070.3999999999992</v>
      </c>
      <c r="CD82" s="100">
        <v>6</v>
      </c>
      <c r="CE82" s="100">
        <v>3052.7999999999993</v>
      </c>
      <c r="CF82" s="100">
        <v>10</v>
      </c>
      <c r="CG82" s="100">
        <v>5087.9999999999991</v>
      </c>
      <c r="CH82" s="100">
        <v>9</v>
      </c>
      <c r="CI82" s="100">
        <v>4579.1999999999989</v>
      </c>
      <c r="CJ82" s="100">
        <v>6</v>
      </c>
      <c r="CK82" s="100">
        <v>3052.7999999999993</v>
      </c>
      <c r="CL82" s="100">
        <v>8</v>
      </c>
      <c r="CM82" s="100">
        <v>4070.3999999999992</v>
      </c>
      <c r="CN82" s="100">
        <v>7</v>
      </c>
      <c r="CO82" s="100">
        <v>3561.5999999999995</v>
      </c>
      <c r="CP82" s="100">
        <v>7</v>
      </c>
      <c r="CQ82" s="100">
        <v>3561.5999999999995</v>
      </c>
      <c r="CR82" s="100">
        <v>9</v>
      </c>
      <c r="CS82" s="100">
        <v>4579.1999999999989</v>
      </c>
      <c r="CT82" s="100">
        <v>8</v>
      </c>
      <c r="CU82" s="100">
        <v>4070.3999999999992</v>
      </c>
    </row>
    <row r="83" spans="2:99">
      <c r="C83" s="99" t="s">
        <v>249</v>
      </c>
      <c r="D83" s="100">
        <v>7</v>
      </c>
      <c r="E83" s="100">
        <v>6022.8</v>
      </c>
      <c r="F83" s="100">
        <v>7.1165644171779139</v>
      </c>
      <c r="G83" s="100">
        <v>6123.0920245398765</v>
      </c>
      <c r="H83" s="100">
        <v>7.6923076923076925</v>
      </c>
      <c r="I83" s="100">
        <v>6618.4615384615381</v>
      </c>
      <c r="J83" s="100">
        <v>7.4556213017751478</v>
      </c>
      <c r="K83" s="100">
        <v>6414.8165680473367</v>
      </c>
      <c r="L83" s="100">
        <v>5.8074074074074069</v>
      </c>
      <c r="M83" s="100">
        <v>4996.6933333333327</v>
      </c>
      <c r="N83" s="100">
        <v>5.5602836879432624</v>
      </c>
      <c r="O83" s="100">
        <v>4784.0680851063826</v>
      </c>
      <c r="P83" s="100">
        <v>5.52112676056338</v>
      </c>
      <c r="Q83" s="100">
        <v>4750.3774647887321</v>
      </c>
      <c r="R83" s="100">
        <v>5.6402877697841722</v>
      </c>
      <c r="S83" s="100">
        <v>4852.903597122302</v>
      </c>
      <c r="T83" s="100">
        <v>7.2413793103448274</v>
      </c>
      <c r="U83" s="100">
        <v>6230.4827586206893</v>
      </c>
      <c r="V83" s="100">
        <v>6</v>
      </c>
      <c r="W83" s="100">
        <v>5162.3999999999996</v>
      </c>
      <c r="X83" s="100">
        <v>6</v>
      </c>
      <c r="Y83" s="100">
        <v>5162.3999999999996</v>
      </c>
      <c r="Z83" s="100">
        <v>7.6034482758620685</v>
      </c>
      <c r="AA83" s="100">
        <v>6542.0068965517239</v>
      </c>
      <c r="AB83" s="100">
        <v>7</v>
      </c>
      <c r="AC83" s="100">
        <v>6022.8</v>
      </c>
      <c r="AD83" s="100">
        <v>5</v>
      </c>
      <c r="AE83" s="100">
        <v>4302</v>
      </c>
      <c r="AF83" s="100">
        <v>9</v>
      </c>
      <c r="AG83" s="100">
        <v>7743.5999999999995</v>
      </c>
      <c r="AH83" s="100">
        <v>6</v>
      </c>
      <c r="AI83" s="100">
        <v>5162.3999999999996</v>
      </c>
      <c r="AJ83" s="100">
        <v>8</v>
      </c>
      <c r="AK83" s="100">
        <v>6883.2</v>
      </c>
      <c r="AL83" s="100">
        <v>9</v>
      </c>
      <c r="AM83" s="100">
        <v>7743.5999999999995</v>
      </c>
      <c r="AN83" s="100">
        <v>7</v>
      </c>
      <c r="AO83" s="100">
        <v>6022.8</v>
      </c>
      <c r="AP83" s="100">
        <v>7.947368421052631</v>
      </c>
      <c r="AQ83" s="100">
        <v>6837.9157894736836</v>
      </c>
      <c r="AR83" s="100">
        <v>7.4556213017751478</v>
      </c>
      <c r="AS83" s="100">
        <v>6414.8165680473367</v>
      </c>
      <c r="AT83" s="100">
        <v>7.3684210526315788</v>
      </c>
      <c r="AU83" s="100">
        <v>6339.78947368421</v>
      </c>
      <c r="AV83" s="100">
        <v>7.2727272727272734</v>
      </c>
      <c r="AW83" s="100">
        <v>6257.454545454546</v>
      </c>
      <c r="AX83" s="100">
        <v>5</v>
      </c>
      <c r="AY83" s="100">
        <v>4302</v>
      </c>
      <c r="AZ83" s="100">
        <v>8.8322981366459636</v>
      </c>
      <c r="BA83" s="100">
        <v>7599.3093167701873</v>
      </c>
      <c r="BB83" s="100">
        <v>7.9096045197740112</v>
      </c>
      <c r="BC83" s="100">
        <v>6805.4237288135591</v>
      </c>
      <c r="BD83" s="100">
        <v>5</v>
      </c>
      <c r="BE83" s="100">
        <v>4302</v>
      </c>
      <c r="BF83" s="100">
        <v>5</v>
      </c>
      <c r="BG83" s="100">
        <v>4302</v>
      </c>
      <c r="BH83" s="100">
        <v>7</v>
      </c>
      <c r="BI83" s="100">
        <v>6022.8</v>
      </c>
      <c r="BJ83" s="100">
        <v>6</v>
      </c>
      <c r="BK83" s="100">
        <v>5162.3999999999996</v>
      </c>
      <c r="BL83" s="100">
        <v>5</v>
      </c>
      <c r="BM83" s="100">
        <v>4302</v>
      </c>
      <c r="BN83" s="100">
        <v>6</v>
      </c>
      <c r="BO83" s="100">
        <v>5162.3999999999996</v>
      </c>
      <c r="BP83" s="100">
        <v>9</v>
      </c>
      <c r="BQ83" s="100">
        <v>7743.5999999999995</v>
      </c>
      <c r="BR83" s="100">
        <v>6</v>
      </c>
      <c r="BS83" s="100">
        <v>5162.3999999999996</v>
      </c>
      <c r="BT83" s="100">
        <v>9</v>
      </c>
      <c r="BU83" s="100">
        <v>7743.5999999999995</v>
      </c>
      <c r="BV83" s="100">
        <v>6</v>
      </c>
      <c r="BW83" s="100">
        <v>5162.3999999999996</v>
      </c>
      <c r="BX83" s="100">
        <v>6</v>
      </c>
      <c r="BY83" s="100">
        <v>5162.3999999999996</v>
      </c>
      <c r="BZ83" s="100">
        <v>8</v>
      </c>
      <c r="CA83" s="100">
        <v>6883.2</v>
      </c>
      <c r="CB83" s="100">
        <v>9</v>
      </c>
      <c r="CC83" s="100">
        <v>7743.5999999999995</v>
      </c>
      <c r="CD83" s="100">
        <v>5</v>
      </c>
      <c r="CE83" s="100">
        <v>4302</v>
      </c>
      <c r="CF83" s="100">
        <v>9</v>
      </c>
      <c r="CG83" s="100">
        <v>7743.5999999999995</v>
      </c>
      <c r="CH83" s="100">
        <v>10</v>
      </c>
      <c r="CI83" s="100">
        <v>8604</v>
      </c>
      <c r="CJ83" s="100">
        <v>6</v>
      </c>
      <c r="CK83" s="100">
        <v>5162.3999999999996</v>
      </c>
      <c r="CL83" s="100">
        <v>7</v>
      </c>
      <c r="CM83" s="100">
        <v>6022.8</v>
      </c>
      <c r="CN83" s="100">
        <v>6</v>
      </c>
      <c r="CO83" s="100">
        <v>5162.3999999999996</v>
      </c>
      <c r="CP83" s="100">
        <v>7</v>
      </c>
      <c r="CQ83" s="100">
        <v>6022.8</v>
      </c>
      <c r="CR83" s="100">
        <v>9</v>
      </c>
      <c r="CS83" s="100">
        <v>7743.5999999999995</v>
      </c>
      <c r="CT83" s="100">
        <v>8</v>
      </c>
      <c r="CU83" s="100">
        <v>6883.2</v>
      </c>
    </row>
    <row r="84" spans="2:99">
      <c r="C84" s="99" t="s">
        <v>250</v>
      </c>
      <c r="D84" s="100">
        <v>7</v>
      </c>
      <c r="E84" s="100">
        <v>5468.4</v>
      </c>
      <c r="F84" s="100">
        <v>7.1165644171779139</v>
      </c>
      <c r="G84" s="100">
        <v>5559.4601226993855</v>
      </c>
      <c r="H84" s="100">
        <v>6.9230769230769225</v>
      </c>
      <c r="I84" s="100">
        <v>5408.3076923076915</v>
      </c>
      <c r="J84" s="100">
        <v>7.4556213017751478</v>
      </c>
      <c r="K84" s="100">
        <v>5824.331360946745</v>
      </c>
      <c r="L84" s="100">
        <v>5.8074074074074069</v>
      </c>
      <c r="M84" s="100">
        <v>4536.746666666666</v>
      </c>
      <c r="N84" s="100">
        <v>5.5602836879432624</v>
      </c>
      <c r="O84" s="100">
        <v>4343.6936170212766</v>
      </c>
      <c r="P84" s="100">
        <v>4.732394366197183</v>
      </c>
      <c r="Q84" s="100">
        <v>3696.9464788732389</v>
      </c>
      <c r="R84" s="100">
        <v>5.6402877697841722</v>
      </c>
      <c r="S84" s="100">
        <v>4406.1928057553951</v>
      </c>
      <c r="T84" s="100">
        <v>8.0459770114942533</v>
      </c>
      <c r="U84" s="100">
        <v>6285.5172413793098</v>
      </c>
      <c r="V84" s="100">
        <v>6</v>
      </c>
      <c r="W84" s="100">
        <v>4687.2</v>
      </c>
      <c r="X84" s="100">
        <v>7</v>
      </c>
      <c r="Y84" s="100">
        <v>5468.4</v>
      </c>
      <c r="Z84" s="100">
        <v>7.6034482758620685</v>
      </c>
      <c r="AA84" s="100">
        <v>5939.8137931034471</v>
      </c>
      <c r="AB84" s="100">
        <v>6</v>
      </c>
      <c r="AC84" s="100">
        <v>4687.2</v>
      </c>
      <c r="AD84" s="100">
        <v>6</v>
      </c>
      <c r="AE84" s="100">
        <v>4687.2</v>
      </c>
      <c r="AF84" s="100">
        <v>9</v>
      </c>
      <c r="AG84" s="100">
        <v>7030.7999999999993</v>
      </c>
      <c r="AH84" s="100">
        <v>5</v>
      </c>
      <c r="AI84" s="100">
        <v>3905.9999999999995</v>
      </c>
      <c r="AJ84" s="100">
        <v>7</v>
      </c>
      <c r="AK84" s="100">
        <v>5468.4</v>
      </c>
      <c r="AL84" s="100">
        <v>8</v>
      </c>
      <c r="AM84" s="100">
        <v>6249.5999999999995</v>
      </c>
      <c r="AN84" s="100">
        <v>6</v>
      </c>
      <c r="AO84" s="100">
        <v>4687.2</v>
      </c>
      <c r="AP84" s="100">
        <v>7.064327485380117</v>
      </c>
      <c r="AQ84" s="100">
        <v>5518.652631578947</v>
      </c>
      <c r="AR84" s="100">
        <v>7.4556213017751478</v>
      </c>
      <c r="AS84" s="100">
        <v>5824.331360946745</v>
      </c>
      <c r="AT84" s="100">
        <v>6.447368421052631</v>
      </c>
      <c r="AU84" s="100">
        <v>5036.6842105263149</v>
      </c>
      <c r="AV84" s="100">
        <v>7.2727272727272734</v>
      </c>
      <c r="AW84" s="100">
        <v>5681.454545454545</v>
      </c>
      <c r="AX84" s="100">
        <v>6</v>
      </c>
      <c r="AY84" s="100">
        <v>4687.2</v>
      </c>
      <c r="AZ84" s="100">
        <v>8.8322981366459636</v>
      </c>
      <c r="BA84" s="100">
        <v>6899.7913043478266</v>
      </c>
      <c r="BB84" s="100">
        <v>7.1186440677966107</v>
      </c>
      <c r="BC84" s="100">
        <v>5561.0847457627115</v>
      </c>
      <c r="BD84" s="100">
        <v>5</v>
      </c>
      <c r="BE84" s="100">
        <v>3905.9999999999995</v>
      </c>
      <c r="BF84" s="100">
        <v>5</v>
      </c>
      <c r="BG84" s="100">
        <v>3905.9999999999995</v>
      </c>
      <c r="BH84" s="100">
        <v>6</v>
      </c>
      <c r="BI84" s="100">
        <v>4687.2</v>
      </c>
      <c r="BJ84" s="100">
        <v>5</v>
      </c>
      <c r="BK84" s="100">
        <v>3905.9999999999995</v>
      </c>
      <c r="BL84" s="100">
        <v>6</v>
      </c>
      <c r="BM84" s="100">
        <v>4687.2</v>
      </c>
      <c r="BN84" s="100">
        <v>5</v>
      </c>
      <c r="BO84" s="100">
        <v>3905.9999999999995</v>
      </c>
      <c r="BP84" s="100">
        <v>10</v>
      </c>
      <c r="BQ84" s="100">
        <v>7811.9999999999991</v>
      </c>
      <c r="BR84" s="100">
        <v>5</v>
      </c>
      <c r="BS84" s="100">
        <v>3905.9999999999995</v>
      </c>
      <c r="BT84" s="100">
        <v>9</v>
      </c>
      <c r="BU84" s="100">
        <v>7030.7999999999993</v>
      </c>
      <c r="BV84" s="100">
        <v>7</v>
      </c>
      <c r="BW84" s="100">
        <v>5468.4</v>
      </c>
      <c r="BX84" s="100">
        <v>7</v>
      </c>
      <c r="BY84" s="100">
        <v>5468.4</v>
      </c>
      <c r="BZ84" s="100">
        <v>9</v>
      </c>
      <c r="CA84" s="100">
        <v>7030.7999999999993</v>
      </c>
      <c r="CB84" s="100">
        <v>9</v>
      </c>
      <c r="CC84" s="100">
        <v>7030.7999999999993</v>
      </c>
      <c r="CD84" s="100">
        <v>6</v>
      </c>
      <c r="CE84" s="100">
        <v>4687.2</v>
      </c>
      <c r="CF84" s="100">
        <v>10</v>
      </c>
      <c r="CG84" s="100">
        <v>7811.9999999999991</v>
      </c>
      <c r="CH84" s="100">
        <v>10</v>
      </c>
      <c r="CI84" s="100">
        <v>7811.9999999999991</v>
      </c>
      <c r="CJ84" s="100">
        <v>6</v>
      </c>
      <c r="CK84" s="100">
        <v>4687.2</v>
      </c>
      <c r="CL84" s="100">
        <v>8</v>
      </c>
      <c r="CM84" s="100">
        <v>6249.5999999999995</v>
      </c>
      <c r="CN84" s="100">
        <v>6</v>
      </c>
      <c r="CO84" s="100">
        <v>4687.2</v>
      </c>
      <c r="CP84" s="100">
        <v>7</v>
      </c>
      <c r="CQ84" s="100">
        <v>5468.4</v>
      </c>
      <c r="CR84" s="100">
        <v>9</v>
      </c>
      <c r="CS84" s="100">
        <v>7030.7999999999993</v>
      </c>
      <c r="CT84" s="100">
        <v>7</v>
      </c>
      <c r="CU84" s="100">
        <v>5468.4</v>
      </c>
    </row>
    <row r="85" spans="2:99">
      <c r="C85" s="99" t="s">
        <v>251</v>
      </c>
      <c r="D85" s="100">
        <v>7</v>
      </c>
      <c r="E85" s="100">
        <v>1050</v>
      </c>
      <c r="F85" s="100">
        <v>7.1165644171779139</v>
      </c>
      <c r="G85" s="100">
        <v>1067.484662576687</v>
      </c>
      <c r="H85" s="100">
        <v>7.6923076923076925</v>
      </c>
      <c r="I85" s="100">
        <v>1153.8461538461538</v>
      </c>
      <c r="J85" s="100">
        <v>7.4556213017751478</v>
      </c>
      <c r="K85" s="100">
        <v>1118.3431952662722</v>
      </c>
      <c r="L85" s="100">
        <v>5.8074074074074069</v>
      </c>
      <c r="M85" s="100">
        <v>871.11111111111109</v>
      </c>
      <c r="N85" s="100">
        <v>6.3546099290780145</v>
      </c>
      <c r="O85" s="100">
        <v>953.19148936170222</v>
      </c>
      <c r="P85" s="100">
        <v>6.3098591549295779</v>
      </c>
      <c r="Q85" s="100">
        <v>946.47887323943667</v>
      </c>
      <c r="R85" s="100">
        <v>6.4460431654676267</v>
      </c>
      <c r="S85" s="100">
        <v>966.90647482014401</v>
      </c>
      <c r="T85" s="100">
        <v>8.0459770114942533</v>
      </c>
      <c r="U85" s="100">
        <v>1206.8965517241379</v>
      </c>
      <c r="V85" s="100">
        <v>7</v>
      </c>
      <c r="W85" s="100">
        <v>1050</v>
      </c>
      <c r="X85" s="100">
        <v>7</v>
      </c>
      <c r="Y85" s="100">
        <v>1050</v>
      </c>
      <c r="Z85" s="100">
        <v>7.6034482758620685</v>
      </c>
      <c r="AA85" s="100">
        <v>1140.5172413793102</v>
      </c>
      <c r="AB85" s="100">
        <v>7</v>
      </c>
      <c r="AC85" s="100">
        <v>1050</v>
      </c>
      <c r="AD85" s="100">
        <v>6</v>
      </c>
      <c r="AE85" s="100">
        <v>900</v>
      </c>
      <c r="AF85" s="100">
        <v>8</v>
      </c>
      <c r="AG85" s="100">
        <v>1200</v>
      </c>
      <c r="AH85" s="100">
        <v>7</v>
      </c>
      <c r="AI85" s="100">
        <v>1050</v>
      </c>
      <c r="AJ85" s="100">
        <v>7</v>
      </c>
      <c r="AK85" s="100">
        <v>1050</v>
      </c>
      <c r="AL85" s="100">
        <v>9</v>
      </c>
      <c r="AM85" s="100">
        <v>1350</v>
      </c>
      <c r="AN85" s="100">
        <v>7</v>
      </c>
      <c r="AO85" s="100">
        <v>1050</v>
      </c>
      <c r="AP85" s="100">
        <v>7.947368421052631</v>
      </c>
      <c r="AQ85" s="100">
        <v>1192.1052631578946</v>
      </c>
      <c r="AR85" s="100">
        <v>7.4556213017751478</v>
      </c>
      <c r="AS85" s="100">
        <v>1118.3431952662722</v>
      </c>
      <c r="AT85" s="100">
        <v>7.3684210526315788</v>
      </c>
      <c r="AU85" s="100">
        <v>1105.2631578947369</v>
      </c>
      <c r="AV85" s="100">
        <v>7.2727272727272734</v>
      </c>
      <c r="AW85" s="100">
        <v>1090.909090909091</v>
      </c>
      <c r="AX85" s="100">
        <v>6</v>
      </c>
      <c r="AY85" s="100">
        <v>900</v>
      </c>
      <c r="AZ85" s="100">
        <v>8.8322981366459636</v>
      </c>
      <c r="BA85" s="100">
        <v>1324.8447204968945</v>
      </c>
      <c r="BB85" s="100">
        <v>7.9096045197740112</v>
      </c>
      <c r="BC85" s="100">
        <v>1186.4406779661017</v>
      </c>
      <c r="BD85" s="100">
        <v>6</v>
      </c>
      <c r="BE85" s="100">
        <v>900</v>
      </c>
      <c r="BF85" s="100">
        <v>6</v>
      </c>
      <c r="BG85" s="100">
        <v>900</v>
      </c>
      <c r="BH85" s="100">
        <v>7</v>
      </c>
      <c r="BI85" s="100">
        <v>1050</v>
      </c>
      <c r="BJ85" s="100">
        <v>5</v>
      </c>
      <c r="BK85" s="100">
        <v>750</v>
      </c>
      <c r="BL85" s="100">
        <v>6</v>
      </c>
      <c r="BM85" s="100">
        <v>900</v>
      </c>
      <c r="BN85" s="100">
        <v>6</v>
      </c>
      <c r="BO85" s="100">
        <v>900</v>
      </c>
      <c r="BP85" s="100">
        <v>9</v>
      </c>
      <c r="BQ85" s="100">
        <v>1350</v>
      </c>
      <c r="BR85" s="100">
        <v>6</v>
      </c>
      <c r="BS85" s="100">
        <v>900</v>
      </c>
      <c r="BT85" s="100">
        <v>9</v>
      </c>
      <c r="BU85" s="100">
        <v>1350</v>
      </c>
      <c r="BV85" s="100">
        <v>7</v>
      </c>
      <c r="BW85" s="100">
        <v>1050</v>
      </c>
      <c r="BX85" s="100">
        <v>6</v>
      </c>
      <c r="BY85" s="100">
        <v>900</v>
      </c>
      <c r="BZ85" s="100">
        <v>10</v>
      </c>
      <c r="CA85" s="100">
        <v>1500</v>
      </c>
      <c r="CB85" s="100">
        <v>9</v>
      </c>
      <c r="CC85" s="100">
        <v>1350</v>
      </c>
      <c r="CD85" s="100">
        <v>5</v>
      </c>
      <c r="CE85" s="100">
        <v>750</v>
      </c>
      <c r="CF85" s="100">
        <v>9</v>
      </c>
      <c r="CG85" s="100">
        <v>1350</v>
      </c>
      <c r="CH85" s="100">
        <v>10</v>
      </c>
      <c r="CI85" s="100">
        <v>1500</v>
      </c>
      <c r="CJ85" s="100">
        <v>6</v>
      </c>
      <c r="CK85" s="100">
        <v>900</v>
      </c>
      <c r="CL85" s="100">
        <v>9</v>
      </c>
      <c r="CM85" s="100">
        <v>1350</v>
      </c>
      <c r="CN85" s="100">
        <v>7</v>
      </c>
      <c r="CO85" s="100">
        <v>1050</v>
      </c>
      <c r="CP85" s="100">
        <v>7</v>
      </c>
      <c r="CQ85" s="100">
        <v>1050</v>
      </c>
      <c r="CR85" s="100">
        <v>11</v>
      </c>
      <c r="CS85" s="100">
        <v>1650</v>
      </c>
      <c r="CT85" s="100">
        <v>8</v>
      </c>
      <c r="CU85" s="100">
        <v>1200</v>
      </c>
    </row>
    <row r="86" spans="2:99">
      <c r="C86" s="99" t="s">
        <v>252</v>
      </c>
      <c r="D86" s="100">
        <v>7</v>
      </c>
      <c r="E86" s="100">
        <v>3780</v>
      </c>
      <c r="F86" s="100">
        <v>7.1165644171779139</v>
      </c>
      <c r="G86" s="100">
        <v>3842.9447852760736</v>
      </c>
      <c r="H86" s="100">
        <v>6.9230769230769225</v>
      </c>
      <c r="I86" s="100">
        <v>3738.4615384615381</v>
      </c>
      <c r="J86" s="100">
        <v>6.6272189349112427</v>
      </c>
      <c r="K86" s="100">
        <v>3578.6982248520712</v>
      </c>
      <c r="L86" s="100">
        <v>4.9777777777777779</v>
      </c>
      <c r="M86" s="100">
        <v>2688</v>
      </c>
      <c r="N86" s="100">
        <v>5.5602836879432624</v>
      </c>
      <c r="O86" s="100">
        <v>3002.5531914893618</v>
      </c>
      <c r="P86" s="100">
        <v>5.52112676056338</v>
      </c>
      <c r="Q86" s="100">
        <v>2981.4084507042253</v>
      </c>
      <c r="R86" s="100">
        <v>5.6402877697841722</v>
      </c>
      <c r="S86" s="100">
        <v>3045.7553956834531</v>
      </c>
      <c r="T86" s="100">
        <v>8.8505747126436791</v>
      </c>
      <c r="U86" s="100">
        <v>4779.310344827587</v>
      </c>
      <c r="V86" s="100">
        <v>6</v>
      </c>
      <c r="W86" s="100">
        <v>3240</v>
      </c>
      <c r="X86" s="100">
        <v>7</v>
      </c>
      <c r="Y86" s="100">
        <v>3780</v>
      </c>
      <c r="Z86" s="100">
        <v>7.6034482758620685</v>
      </c>
      <c r="AA86" s="100">
        <v>4105.8620689655172</v>
      </c>
      <c r="AB86" s="100">
        <v>7</v>
      </c>
      <c r="AC86" s="100">
        <v>3780</v>
      </c>
      <c r="AD86" s="100">
        <v>5</v>
      </c>
      <c r="AE86" s="100">
        <v>2700</v>
      </c>
      <c r="AF86" s="100">
        <v>9</v>
      </c>
      <c r="AG86" s="100">
        <v>4860</v>
      </c>
      <c r="AH86" s="100">
        <v>6</v>
      </c>
      <c r="AI86" s="100">
        <v>3240</v>
      </c>
      <c r="AJ86" s="100">
        <v>7</v>
      </c>
      <c r="AK86" s="100">
        <v>3780</v>
      </c>
      <c r="AL86" s="100">
        <v>8</v>
      </c>
      <c r="AM86" s="100">
        <v>4320</v>
      </c>
      <c r="AN86" s="100">
        <v>7</v>
      </c>
      <c r="AO86" s="100">
        <v>3780</v>
      </c>
      <c r="AP86" s="100">
        <v>7.947368421052631</v>
      </c>
      <c r="AQ86" s="100">
        <v>4291.5789473684208</v>
      </c>
      <c r="AR86" s="100">
        <v>7.4556213017751478</v>
      </c>
      <c r="AS86" s="100">
        <v>4026.0355029585799</v>
      </c>
      <c r="AT86" s="100">
        <v>7.3684210526315788</v>
      </c>
      <c r="AU86" s="100">
        <v>3978.9473684210525</v>
      </c>
      <c r="AV86" s="100">
        <v>8.1818181818181817</v>
      </c>
      <c r="AW86" s="100">
        <v>4418.181818181818</v>
      </c>
      <c r="AX86" s="100">
        <v>6</v>
      </c>
      <c r="AY86" s="100">
        <v>3240</v>
      </c>
      <c r="AZ86" s="100">
        <v>9.8136645962732914</v>
      </c>
      <c r="BA86" s="100">
        <v>5299.3788819875772</v>
      </c>
      <c r="BB86" s="100">
        <v>7.1186440677966107</v>
      </c>
      <c r="BC86" s="100">
        <v>3844.0677966101698</v>
      </c>
      <c r="BD86" s="100">
        <v>5</v>
      </c>
      <c r="BE86" s="100">
        <v>2700</v>
      </c>
      <c r="BF86" s="100">
        <v>5</v>
      </c>
      <c r="BG86" s="100">
        <v>2700</v>
      </c>
      <c r="BH86" s="100">
        <v>8</v>
      </c>
      <c r="BI86" s="100">
        <v>4320</v>
      </c>
      <c r="BJ86" s="100">
        <v>6</v>
      </c>
      <c r="BK86" s="100">
        <v>3240</v>
      </c>
      <c r="BL86" s="100">
        <v>5</v>
      </c>
      <c r="BM86" s="100">
        <v>2700</v>
      </c>
      <c r="BN86" s="100">
        <v>6</v>
      </c>
      <c r="BO86" s="100">
        <v>3240</v>
      </c>
      <c r="BP86" s="100">
        <v>10</v>
      </c>
      <c r="BQ86" s="100">
        <v>5400</v>
      </c>
      <c r="BR86" s="100">
        <v>6</v>
      </c>
      <c r="BS86" s="100">
        <v>3240</v>
      </c>
      <c r="BT86" s="100">
        <v>8</v>
      </c>
      <c r="BU86" s="100">
        <v>4320</v>
      </c>
      <c r="BV86" s="100">
        <v>7</v>
      </c>
      <c r="BW86" s="100">
        <v>3780</v>
      </c>
      <c r="BX86" s="100">
        <v>6</v>
      </c>
      <c r="BY86" s="100">
        <v>3240</v>
      </c>
      <c r="BZ86" s="100">
        <v>8</v>
      </c>
      <c r="CA86" s="100">
        <v>4320</v>
      </c>
      <c r="CB86" s="100">
        <v>10</v>
      </c>
      <c r="CC86" s="100">
        <v>5400</v>
      </c>
      <c r="CD86" s="100">
        <v>6</v>
      </c>
      <c r="CE86" s="100">
        <v>3240</v>
      </c>
      <c r="CF86" s="100">
        <v>11</v>
      </c>
      <c r="CG86" s="100">
        <v>5940</v>
      </c>
      <c r="CH86" s="100">
        <v>9</v>
      </c>
      <c r="CI86" s="100">
        <v>4860</v>
      </c>
      <c r="CJ86" s="100">
        <v>7</v>
      </c>
      <c r="CK86" s="100">
        <v>3780</v>
      </c>
      <c r="CL86" s="100">
        <v>8</v>
      </c>
      <c r="CM86" s="100">
        <v>4320</v>
      </c>
      <c r="CN86" s="100">
        <v>6</v>
      </c>
      <c r="CO86" s="100">
        <v>3240</v>
      </c>
      <c r="CP86" s="100">
        <v>7</v>
      </c>
      <c r="CQ86" s="100">
        <v>3780</v>
      </c>
      <c r="CR86" s="100">
        <v>10</v>
      </c>
      <c r="CS86" s="100">
        <v>5400</v>
      </c>
      <c r="CT86" s="100">
        <v>7</v>
      </c>
      <c r="CU86" s="100">
        <v>3780</v>
      </c>
    </row>
    <row r="87" spans="2:99">
      <c r="B87" s="99" t="s">
        <v>131</v>
      </c>
      <c r="C87" s="99" t="s">
        <v>253</v>
      </c>
      <c r="D87" s="100">
        <v>6.3333333333333339</v>
      </c>
      <c r="E87" s="100">
        <v>6802.0000000000009</v>
      </c>
      <c r="F87" s="100">
        <v>7.114893617021278</v>
      </c>
      <c r="G87" s="100">
        <v>7641.3957446808527</v>
      </c>
      <c r="H87" s="100">
        <v>5.9775280898876417</v>
      </c>
      <c r="I87" s="100">
        <v>6419.865168539327</v>
      </c>
      <c r="J87" s="100">
        <v>6.8743718592964838</v>
      </c>
      <c r="K87" s="100">
        <v>7383.0753768844233</v>
      </c>
      <c r="L87" s="100">
        <v>6</v>
      </c>
      <c r="M87" s="100">
        <v>6444</v>
      </c>
      <c r="N87" s="100">
        <v>7</v>
      </c>
      <c r="O87" s="100">
        <v>7518</v>
      </c>
      <c r="P87" s="100">
        <v>8</v>
      </c>
      <c r="Q87" s="100">
        <v>8592</v>
      </c>
      <c r="R87" s="100">
        <v>9</v>
      </c>
      <c r="S87" s="100">
        <v>9666</v>
      </c>
      <c r="T87" s="100">
        <v>9</v>
      </c>
      <c r="U87" s="100">
        <v>9666</v>
      </c>
      <c r="V87" s="100">
        <v>7</v>
      </c>
      <c r="W87" s="100">
        <v>7518</v>
      </c>
      <c r="X87" s="100">
        <v>6</v>
      </c>
      <c r="Y87" s="100">
        <v>6444</v>
      </c>
      <c r="Z87" s="100">
        <v>10</v>
      </c>
      <c r="AA87" s="100">
        <v>10740</v>
      </c>
      <c r="AB87" s="100">
        <v>11</v>
      </c>
      <c r="AC87" s="100">
        <v>11814</v>
      </c>
      <c r="AD87" s="100">
        <v>6</v>
      </c>
      <c r="AE87" s="100">
        <v>6444</v>
      </c>
      <c r="AF87" s="100">
        <v>11</v>
      </c>
      <c r="AG87" s="100">
        <v>11814</v>
      </c>
      <c r="AH87" s="100">
        <v>11</v>
      </c>
      <c r="AI87" s="100">
        <v>11814</v>
      </c>
      <c r="AJ87" s="100">
        <v>10</v>
      </c>
      <c r="AK87" s="100">
        <v>10740</v>
      </c>
      <c r="AL87" s="100">
        <v>8</v>
      </c>
      <c r="AM87" s="100">
        <v>8592</v>
      </c>
      <c r="AN87" s="100">
        <v>10</v>
      </c>
      <c r="AO87" s="100">
        <v>10740</v>
      </c>
      <c r="AP87" s="100">
        <v>7</v>
      </c>
      <c r="AQ87" s="100">
        <v>7518</v>
      </c>
      <c r="AR87" s="100">
        <v>7</v>
      </c>
      <c r="AS87" s="100">
        <v>7518</v>
      </c>
      <c r="AT87" s="100">
        <v>9.6016597510373476</v>
      </c>
      <c r="AU87" s="100">
        <v>10312.182572614111</v>
      </c>
      <c r="AV87" s="100">
        <v>6.6731707317073177</v>
      </c>
      <c r="AW87" s="100">
        <v>7166.9853658536595</v>
      </c>
      <c r="AX87" s="100">
        <v>3.4702964820258546</v>
      </c>
      <c r="AY87" s="100">
        <v>3727.0984216957677</v>
      </c>
      <c r="AZ87" s="100">
        <v>7</v>
      </c>
      <c r="BA87" s="100">
        <v>7518</v>
      </c>
      <c r="BB87" s="100">
        <v>8.9270386266094413</v>
      </c>
      <c r="BC87" s="100">
        <v>9587.6394849785393</v>
      </c>
      <c r="BD87" s="100">
        <v>3.8424061207333451</v>
      </c>
      <c r="BE87" s="100">
        <v>4126.7441736676128</v>
      </c>
      <c r="BF87" s="100">
        <v>9</v>
      </c>
      <c r="BG87" s="100">
        <v>9666</v>
      </c>
      <c r="BH87" s="100">
        <v>9</v>
      </c>
      <c r="BI87" s="100">
        <v>9666</v>
      </c>
      <c r="BJ87" s="100">
        <v>10.350210970464136</v>
      </c>
      <c r="BK87" s="100">
        <v>11116.126582278483</v>
      </c>
      <c r="BL87" s="100">
        <v>9</v>
      </c>
      <c r="BM87" s="100">
        <v>9666</v>
      </c>
      <c r="BN87" s="100">
        <v>9</v>
      </c>
      <c r="BO87" s="100">
        <v>9666</v>
      </c>
      <c r="BP87" s="100">
        <v>7.9572192513368991</v>
      </c>
      <c r="BQ87" s="100">
        <v>8546.0534759358288</v>
      </c>
      <c r="BR87" s="100">
        <v>4.2459473823796907</v>
      </c>
      <c r="BS87" s="100">
        <v>4560.1474886757878</v>
      </c>
      <c r="BT87" s="100">
        <v>3.8203136181866411</v>
      </c>
      <c r="BU87" s="100">
        <v>4103.0168259324528</v>
      </c>
      <c r="BV87" s="100">
        <v>5.9775280898876417</v>
      </c>
      <c r="BW87" s="100">
        <v>6419.865168539327</v>
      </c>
      <c r="BX87" s="100">
        <v>7</v>
      </c>
      <c r="BY87" s="100">
        <v>7518</v>
      </c>
      <c r="BZ87" s="100">
        <v>9.4918032786885238</v>
      </c>
      <c r="CA87" s="100">
        <v>10194.196721311475</v>
      </c>
      <c r="CB87" s="100">
        <v>8.4444444444444446</v>
      </c>
      <c r="CC87" s="100">
        <v>9069.3333333333339</v>
      </c>
      <c r="CD87" s="100">
        <v>9.7663551401869153</v>
      </c>
      <c r="CE87" s="100">
        <v>10489.065420560746</v>
      </c>
      <c r="CF87" s="100">
        <v>7.9166666666666661</v>
      </c>
      <c r="CG87" s="100">
        <v>8502.5</v>
      </c>
      <c r="CH87" s="100">
        <v>8.7155963302752291</v>
      </c>
      <c r="CI87" s="100">
        <v>9360.5504587155956</v>
      </c>
      <c r="CJ87" s="100">
        <v>7.7375565610859729</v>
      </c>
      <c r="CK87" s="100">
        <v>8310.1357466063346</v>
      </c>
      <c r="CL87" s="100">
        <v>9.9052132701421787</v>
      </c>
      <c r="CM87" s="100">
        <v>10638.199052132701</v>
      </c>
      <c r="CN87" s="100">
        <v>9.5</v>
      </c>
      <c r="CO87" s="100">
        <v>10203</v>
      </c>
      <c r="CP87" s="100">
        <v>9</v>
      </c>
      <c r="CQ87" s="100">
        <v>9666</v>
      </c>
      <c r="CR87" s="100">
        <v>7.7959183673469381</v>
      </c>
      <c r="CS87" s="100">
        <v>8372.8163265306121</v>
      </c>
      <c r="CT87" s="100">
        <v>6.3942307692307692</v>
      </c>
      <c r="CU87" s="100">
        <v>6867.4038461538457</v>
      </c>
    </row>
    <row r="88" spans="2:99">
      <c r="C88" s="99" t="s">
        <v>254</v>
      </c>
      <c r="D88" s="100">
        <v>6.3333333333333339</v>
      </c>
      <c r="E88" s="100">
        <v>6285.2000000000007</v>
      </c>
      <c r="F88" s="100">
        <v>7.7617021276595759</v>
      </c>
      <c r="G88" s="100">
        <v>7702.7131914893625</v>
      </c>
      <c r="H88" s="100">
        <v>5.9775280898876417</v>
      </c>
      <c r="I88" s="100">
        <v>5932.098876404496</v>
      </c>
      <c r="J88" s="100">
        <v>7.6381909547738713</v>
      </c>
      <c r="K88" s="100">
        <v>7580.1407035175898</v>
      </c>
      <c r="L88" s="100">
        <v>7</v>
      </c>
      <c r="M88" s="100">
        <v>6946.8</v>
      </c>
      <c r="N88" s="100">
        <v>6</v>
      </c>
      <c r="O88" s="100">
        <v>5954.4</v>
      </c>
      <c r="P88" s="100">
        <v>7</v>
      </c>
      <c r="Q88" s="100">
        <v>6946.8</v>
      </c>
      <c r="R88" s="100">
        <v>10</v>
      </c>
      <c r="S88" s="100">
        <v>9924</v>
      </c>
      <c r="T88" s="100">
        <v>10</v>
      </c>
      <c r="U88" s="100">
        <v>9924</v>
      </c>
      <c r="V88" s="100">
        <v>8</v>
      </c>
      <c r="W88" s="100">
        <v>7939.2</v>
      </c>
      <c r="X88" s="100">
        <v>6</v>
      </c>
      <c r="Y88" s="100">
        <v>5954.4</v>
      </c>
      <c r="Z88" s="100">
        <v>10</v>
      </c>
      <c r="AA88" s="100">
        <v>9924</v>
      </c>
      <c r="AB88" s="100">
        <v>12</v>
      </c>
      <c r="AC88" s="100">
        <v>11908.8</v>
      </c>
      <c r="AD88" s="100">
        <v>6</v>
      </c>
      <c r="AE88" s="100">
        <v>5954.4</v>
      </c>
      <c r="AF88" s="100">
        <v>11</v>
      </c>
      <c r="AG88" s="100">
        <v>10916.4</v>
      </c>
      <c r="AH88" s="100">
        <v>11</v>
      </c>
      <c r="AI88" s="100">
        <v>10916.4</v>
      </c>
      <c r="AJ88" s="100">
        <v>10</v>
      </c>
      <c r="AK88" s="100">
        <v>9924</v>
      </c>
      <c r="AL88" s="100">
        <v>9</v>
      </c>
      <c r="AM88" s="100">
        <v>8931.6</v>
      </c>
      <c r="AN88" s="100">
        <v>11</v>
      </c>
      <c r="AO88" s="100">
        <v>10916.4</v>
      </c>
      <c r="AP88" s="100">
        <v>7</v>
      </c>
      <c r="AQ88" s="100">
        <v>6946.8</v>
      </c>
      <c r="AR88" s="100">
        <v>7</v>
      </c>
      <c r="AS88" s="100">
        <v>6946.8</v>
      </c>
      <c r="AT88" s="100">
        <v>8.8630705394190894</v>
      </c>
      <c r="AU88" s="100">
        <v>8795.7112033195044</v>
      </c>
      <c r="AV88" s="100">
        <v>5.9317073170731716</v>
      </c>
      <c r="AW88" s="100">
        <v>5886.626341463415</v>
      </c>
      <c r="AX88" s="100">
        <v>3.4702964820258546</v>
      </c>
      <c r="AY88" s="100">
        <v>3443.922228762458</v>
      </c>
      <c r="AZ88" s="100">
        <v>8</v>
      </c>
      <c r="BA88" s="100">
        <v>7939.2</v>
      </c>
      <c r="BB88" s="100">
        <v>9.8197424892703875</v>
      </c>
      <c r="BC88" s="100">
        <v>9745.1124463519318</v>
      </c>
      <c r="BD88" s="100">
        <v>4.3227068858250135</v>
      </c>
      <c r="BE88" s="100">
        <v>4289.8543134927431</v>
      </c>
      <c r="BF88" s="100">
        <v>9</v>
      </c>
      <c r="BG88" s="100">
        <v>8931.6</v>
      </c>
      <c r="BH88" s="100">
        <v>9</v>
      </c>
      <c r="BI88" s="100">
        <v>8931.6</v>
      </c>
      <c r="BJ88" s="100">
        <v>12.232067510548523</v>
      </c>
      <c r="BK88" s="100">
        <v>12139.103797468355</v>
      </c>
      <c r="BL88" s="100">
        <v>9</v>
      </c>
      <c r="BM88" s="100">
        <v>8931.6</v>
      </c>
      <c r="BN88" s="100">
        <v>8</v>
      </c>
      <c r="BO88" s="100">
        <v>7939.2</v>
      </c>
      <c r="BP88" s="100">
        <v>7.9572192513368991</v>
      </c>
      <c r="BQ88" s="100">
        <v>7896.7443850267382</v>
      </c>
      <c r="BR88" s="100">
        <v>3.5927247081674305</v>
      </c>
      <c r="BS88" s="100">
        <v>3565.420000385358</v>
      </c>
      <c r="BT88" s="100">
        <v>3.4382822563679767</v>
      </c>
      <c r="BU88" s="100">
        <v>3412.1513112195798</v>
      </c>
      <c r="BV88" s="100">
        <v>6.8314606741573041</v>
      </c>
      <c r="BW88" s="100">
        <v>6779.5415730337081</v>
      </c>
      <c r="BX88" s="100">
        <v>6</v>
      </c>
      <c r="BY88" s="100">
        <v>5954.4</v>
      </c>
      <c r="BZ88" s="100">
        <v>11.073770491803279</v>
      </c>
      <c r="CA88" s="100">
        <v>10989.609836065574</v>
      </c>
      <c r="CB88" s="100">
        <v>9.2888888888888896</v>
      </c>
      <c r="CC88" s="100">
        <v>9218.2933333333331</v>
      </c>
      <c r="CD88" s="100">
        <v>9.7663551401869153</v>
      </c>
      <c r="CE88" s="100">
        <v>9692.1308411214941</v>
      </c>
      <c r="CF88" s="100">
        <v>8.7962962962962958</v>
      </c>
      <c r="CG88" s="100">
        <v>8729.4444444444434</v>
      </c>
      <c r="CH88" s="100">
        <v>8.7155963302752291</v>
      </c>
      <c r="CI88" s="100">
        <v>8649.3577981651379</v>
      </c>
      <c r="CJ88" s="100">
        <v>6.877828054298643</v>
      </c>
      <c r="CK88" s="100">
        <v>6825.556561085973</v>
      </c>
      <c r="CL88" s="100">
        <v>9.0047393364928912</v>
      </c>
      <c r="CM88" s="100">
        <v>8936.3033175355449</v>
      </c>
      <c r="CN88" s="100">
        <v>9.5</v>
      </c>
      <c r="CO88" s="100">
        <v>9427.7999999999993</v>
      </c>
      <c r="CP88" s="100">
        <v>9</v>
      </c>
      <c r="CQ88" s="100">
        <v>8931.6</v>
      </c>
      <c r="CR88" s="100">
        <v>7.7959183673469381</v>
      </c>
      <c r="CS88" s="100">
        <v>7736.6693877551015</v>
      </c>
      <c r="CT88" s="100">
        <v>6.3942307692307692</v>
      </c>
      <c r="CU88" s="100">
        <v>6345.6346153846152</v>
      </c>
    </row>
    <row r="89" spans="2:99">
      <c r="C89" s="99" t="s">
        <v>255</v>
      </c>
      <c r="D89" s="100">
        <v>7.1250000000000018</v>
      </c>
      <c r="E89" s="100">
        <v>7566.7500000000018</v>
      </c>
      <c r="F89" s="100">
        <v>6.4680851063829801</v>
      </c>
      <c r="G89" s="100">
        <v>6869.1063829787245</v>
      </c>
      <c r="H89" s="100">
        <v>5.9775280898876417</v>
      </c>
      <c r="I89" s="100">
        <v>6348.1348314606757</v>
      </c>
      <c r="J89" s="100">
        <v>7.6381909547738713</v>
      </c>
      <c r="K89" s="100">
        <v>8111.7587939698515</v>
      </c>
      <c r="L89" s="100">
        <v>7</v>
      </c>
      <c r="M89" s="100">
        <v>7434</v>
      </c>
      <c r="N89" s="100">
        <v>6</v>
      </c>
      <c r="O89" s="100">
        <v>6372</v>
      </c>
      <c r="P89" s="100">
        <v>7</v>
      </c>
      <c r="Q89" s="100">
        <v>7434</v>
      </c>
      <c r="R89" s="100">
        <v>10</v>
      </c>
      <c r="S89" s="100">
        <v>10620</v>
      </c>
      <c r="T89" s="100">
        <v>9</v>
      </c>
      <c r="U89" s="100">
        <v>9558</v>
      </c>
      <c r="V89" s="100">
        <v>8</v>
      </c>
      <c r="W89" s="100">
        <v>8496</v>
      </c>
      <c r="X89" s="100">
        <v>6</v>
      </c>
      <c r="Y89" s="100">
        <v>6372</v>
      </c>
      <c r="Z89" s="100">
        <v>9</v>
      </c>
      <c r="AA89" s="100">
        <v>9558</v>
      </c>
      <c r="AB89" s="100">
        <v>11</v>
      </c>
      <c r="AC89" s="100">
        <v>11682</v>
      </c>
      <c r="AD89" s="100">
        <v>7</v>
      </c>
      <c r="AE89" s="100">
        <v>7434</v>
      </c>
      <c r="AF89" s="100">
        <v>10</v>
      </c>
      <c r="AG89" s="100">
        <v>10620</v>
      </c>
      <c r="AH89" s="100">
        <v>11</v>
      </c>
      <c r="AI89" s="100">
        <v>11682</v>
      </c>
      <c r="AJ89" s="100">
        <v>11</v>
      </c>
      <c r="AK89" s="100">
        <v>11682</v>
      </c>
      <c r="AL89" s="100">
        <v>8</v>
      </c>
      <c r="AM89" s="100">
        <v>8496</v>
      </c>
      <c r="AN89" s="100">
        <v>11</v>
      </c>
      <c r="AO89" s="100">
        <v>11682</v>
      </c>
      <c r="AP89" s="100">
        <v>7</v>
      </c>
      <c r="AQ89" s="100">
        <v>7434</v>
      </c>
      <c r="AR89" s="100">
        <v>7</v>
      </c>
      <c r="AS89" s="100">
        <v>7434</v>
      </c>
      <c r="AT89" s="100">
        <v>8.1244813278008312</v>
      </c>
      <c r="AU89" s="100">
        <v>8628.1991701244824</v>
      </c>
      <c r="AV89" s="100">
        <v>5.9317073170731716</v>
      </c>
      <c r="AW89" s="100">
        <v>6299.4731707317078</v>
      </c>
      <c r="AX89" s="100">
        <v>3.904083542279086</v>
      </c>
      <c r="AY89" s="100">
        <v>4146.1367219003896</v>
      </c>
      <c r="AZ89" s="100">
        <v>7</v>
      </c>
      <c r="BA89" s="100">
        <v>7434</v>
      </c>
      <c r="BB89" s="100">
        <v>9.8197424892703875</v>
      </c>
      <c r="BC89" s="100">
        <v>10428.566523605152</v>
      </c>
      <c r="BD89" s="100">
        <v>4.8030076509166815</v>
      </c>
      <c r="BE89" s="100">
        <v>5100.7941252735154</v>
      </c>
      <c r="BF89" s="100">
        <v>9</v>
      </c>
      <c r="BG89" s="100">
        <v>9558</v>
      </c>
      <c r="BH89" s="100">
        <v>9</v>
      </c>
      <c r="BI89" s="100">
        <v>9558</v>
      </c>
      <c r="BJ89" s="100">
        <v>10.350210970464136</v>
      </c>
      <c r="BK89" s="100">
        <v>10991.924050632913</v>
      </c>
      <c r="BL89" s="100">
        <v>8</v>
      </c>
      <c r="BM89" s="100">
        <v>8496</v>
      </c>
      <c r="BN89" s="100">
        <v>8</v>
      </c>
      <c r="BO89" s="100">
        <v>8496</v>
      </c>
      <c r="BP89" s="100">
        <v>7.9572192513368991</v>
      </c>
      <c r="BQ89" s="100">
        <v>8450.5668449197874</v>
      </c>
      <c r="BR89" s="100">
        <v>4.2459473823796907</v>
      </c>
      <c r="BS89" s="100">
        <v>4509.196120087232</v>
      </c>
      <c r="BT89" s="100">
        <v>3.4382822563679767</v>
      </c>
      <c r="BU89" s="100">
        <v>3651.4557562627911</v>
      </c>
      <c r="BV89" s="100">
        <v>5.9775280898876417</v>
      </c>
      <c r="BW89" s="100">
        <v>6348.1348314606757</v>
      </c>
      <c r="BX89" s="100">
        <v>6</v>
      </c>
      <c r="BY89" s="100">
        <v>6372</v>
      </c>
      <c r="BZ89" s="100">
        <v>10.282786885245901</v>
      </c>
      <c r="CA89" s="100">
        <v>10920.319672131147</v>
      </c>
      <c r="CB89" s="100">
        <v>9.2888888888888896</v>
      </c>
      <c r="CC89" s="100">
        <v>9864.8000000000011</v>
      </c>
      <c r="CD89" s="100">
        <v>8.8785046728971952</v>
      </c>
      <c r="CE89" s="100">
        <v>9428.9719626168207</v>
      </c>
      <c r="CF89" s="100">
        <v>8.7962962962962958</v>
      </c>
      <c r="CG89" s="100">
        <v>9341.6666666666661</v>
      </c>
      <c r="CH89" s="100">
        <v>8.7155963302752291</v>
      </c>
      <c r="CI89" s="100">
        <v>9255.9633027522941</v>
      </c>
      <c r="CJ89" s="100">
        <v>7.7375565610859729</v>
      </c>
      <c r="CK89" s="100">
        <v>8217.285067873303</v>
      </c>
      <c r="CL89" s="100">
        <v>9.0047393364928912</v>
      </c>
      <c r="CM89" s="100">
        <v>9563.033175355451</v>
      </c>
      <c r="CN89" s="100">
        <v>8.7083333333333321</v>
      </c>
      <c r="CO89" s="100">
        <v>9248.2499999999982</v>
      </c>
      <c r="CP89" s="100">
        <v>9</v>
      </c>
      <c r="CQ89" s="100">
        <v>9558</v>
      </c>
      <c r="CR89" s="100">
        <v>7.7959183673469381</v>
      </c>
      <c r="CS89" s="100">
        <v>8279.2653061224482</v>
      </c>
      <c r="CT89" s="100">
        <v>7.3076923076923084</v>
      </c>
      <c r="CU89" s="100">
        <v>7760.7692307692314</v>
      </c>
    </row>
    <row r="90" spans="2:99">
      <c r="C90" s="99" t="s">
        <v>256</v>
      </c>
      <c r="D90" s="100">
        <v>6.3333333333333339</v>
      </c>
      <c r="E90" s="100">
        <v>7022.4000000000005</v>
      </c>
      <c r="F90" s="100">
        <v>7.114893617021278</v>
      </c>
      <c r="G90" s="100">
        <v>7888.9940425531931</v>
      </c>
      <c r="H90" s="100">
        <v>5.9775280898876417</v>
      </c>
      <c r="I90" s="100">
        <v>6627.8831460674173</v>
      </c>
      <c r="J90" s="100">
        <v>6.8743718592964838</v>
      </c>
      <c r="K90" s="100">
        <v>7622.3035175879413</v>
      </c>
      <c r="L90" s="100">
        <v>6</v>
      </c>
      <c r="M90" s="100">
        <v>6652.7999999999993</v>
      </c>
      <c r="N90" s="100">
        <v>7</v>
      </c>
      <c r="O90" s="100">
        <v>7761.5999999999995</v>
      </c>
      <c r="P90" s="100">
        <v>8</v>
      </c>
      <c r="Q90" s="100">
        <v>8870.4</v>
      </c>
      <c r="R90" s="100">
        <v>10</v>
      </c>
      <c r="S90" s="100">
        <v>11088</v>
      </c>
      <c r="T90" s="100">
        <v>9</v>
      </c>
      <c r="U90" s="100">
        <v>9979.1999999999989</v>
      </c>
      <c r="V90" s="100">
        <v>8</v>
      </c>
      <c r="W90" s="100">
        <v>8870.4</v>
      </c>
      <c r="X90" s="100">
        <v>6</v>
      </c>
      <c r="Y90" s="100">
        <v>6652.7999999999993</v>
      </c>
      <c r="Z90" s="100">
        <v>10</v>
      </c>
      <c r="AA90" s="100">
        <v>11088</v>
      </c>
      <c r="AB90" s="100">
        <v>11</v>
      </c>
      <c r="AC90" s="100">
        <v>12196.8</v>
      </c>
      <c r="AD90" s="100">
        <v>7</v>
      </c>
      <c r="AE90" s="100">
        <v>7761.5999999999995</v>
      </c>
      <c r="AF90" s="100">
        <v>10</v>
      </c>
      <c r="AG90" s="100">
        <v>11088</v>
      </c>
      <c r="AH90" s="100">
        <v>12</v>
      </c>
      <c r="AI90" s="100">
        <v>13305.599999999999</v>
      </c>
      <c r="AJ90" s="100">
        <v>11</v>
      </c>
      <c r="AK90" s="100">
        <v>12196.8</v>
      </c>
      <c r="AL90" s="100">
        <v>8</v>
      </c>
      <c r="AM90" s="100">
        <v>8870.4</v>
      </c>
      <c r="AN90" s="100">
        <v>10</v>
      </c>
      <c r="AO90" s="100">
        <v>11088</v>
      </c>
      <c r="AP90" s="100">
        <v>6</v>
      </c>
      <c r="AQ90" s="100">
        <v>6652.7999999999993</v>
      </c>
      <c r="AR90" s="100">
        <v>7</v>
      </c>
      <c r="AS90" s="100">
        <v>7761.5999999999995</v>
      </c>
      <c r="AT90" s="100">
        <v>9.6016597510373476</v>
      </c>
      <c r="AU90" s="100">
        <v>10646.32033195021</v>
      </c>
      <c r="AV90" s="100">
        <v>7.4146341463414647</v>
      </c>
      <c r="AW90" s="100">
        <v>8221.3463414634152</v>
      </c>
      <c r="AX90" s="100">
        <v>3.4702964820258546</v>
      </c>
      <c r="AY90" s="100">
        <v>3847.8647392702674</v>
      </c>
      <c r="AZ90" s="100">
        <v>7</v>
      </c>
      <c r="BA90" s="100">
        <v>7761.5999999999995</v>
      </c>
      <c r="BB90" s="100">
        <v>9.8197424892703875</v>
      </c>
      <c r="BC90" s="100">
        <v>10888.130472103005</v>
      </c>
      <c r="BD90" s="100">
        <v>4.8030076509166815</v>
      </c>
      <c r="BE90" s="100">
        <v>5325.574883336416</v>
      </c>
      <c r="BF90" s="100">
        <v>9</v>
      </c>
      <c r="BG90" s="100">
        <v>9979.1999999999989</v>
      </c>
      <c r="BH90" s="100">
        <v>10</v>
      </c>
      <c r="BI90" s="100">
        <v>11088</v>
      </c>
      <c r="BJ90" s="100">
        <v>11.291139240506329</v>
      </c>
      <c r="BK90" s="100">
        <v>12519.615189873417</v>
      </c>
      <c r="BL90" s="100">
        <v>8</v>
      </c>
      <c r="BM90" s="100">
        <v>8870.4</v>
      </c>
      <c r="BN90" s="100">
        <v>8</v>
      </c>
      <c r="BO90" s="100">
        <v>8870.4</v>
      </c>
      <c r="BP90" s="100">
        <v>7.9572192513368991</v>
      </c>
      <c r="BQ90" s="100">
        <v>8822.9647058823539</v>
      </c>
      <c r="BR90" s="100">
        <v>3.5927247081674305</v>
      </c>
      <c r="BS90" s="100">
        <v>3983.6131564160469</v>
      </c>
      <c r="BT90" s="100">
        <v>3.4382822563679767</v>
      </c>
      <c r="BU90" s="100">
        <v>3812.3673658608122</v>
      </c>
      <c r="BV90" s="100">
        <v>5.9775280898876417</v>
      </c>
      <c r="BW90" s="100">
        <v>6627.8831460674173</v>
      </c>
      <c r="BX90" s="100">
        <v>6</v>
      </c>
      <c r="BY90" s="100">
        <v>6652.7999999999993</v>
      </c>
      <c r="BZ90" s="100">
        <v>9.4918032786885238</v>
      </c>
      <c r="CA90" s="100">
        <v>10524.511475409834</v>
      </c>
      <c r="CB90" s="100">
        <v>9.2888888888888896</v>
      </c>
      <c r="CC90" s="100">
        <v>10299.52</v>
      </c>
      <c r="CD90" s="100">
        <v>9.7663551401869153</v>
      </c>
      <c r="CE90" s="100">
        <v>10828.934579439252</v>
      </c>
      <c r="CF90" s="100">
        <v>8.7962962962962958</v>
      </c>
      <c r="CG90" s="100">
        <v>9753.3333333333321</v>
      </c>
      <c r="CH90" s="100">
        <v>8.7155963302752291</v>
      </c>
      <c r="CI90" s="100">
        <v>9663.8532110091728</v>
      </c>
      <c r="CJ90" s="100">
        <v>6.877828054298643</v>
      </c>
      <c r="CK90" s="100">
        <v>7626.1357466063346</v>
      </c>
      <c r="CL90" s="100">
        <v>9.0047393364928912</v>
      </c>
      <c r="CM90" s="100">
        <v>9984.4549763033174</v>
      </c>
      <c r="CN90" s="100">
        <v>7.9166666666666661</v>
      </c>
      <c r="CO90" s="100">
        <v>8777.9999999999982</v>
      </c>
      <c r="CP90" s="100">
        <v>10</v>
      </c>
      <c r="CQ90" s="100">
        <v>11088</v>
      </c>
      <c r="CR90" s="100">
        <v>7.7959183673469381</v>
      </c>
      <c r="CS90" s="100">
        <v>8644.1142857142841</v>
      </c>
      <c r="CT90" s="100">
        <v>6.3942307692307692</v>
      </c>
      <c r="CU90" s="100">
        <v>7089.9230769230762</v>
      </c>
    </row>
    <row r="91" spans="2:99">
      <c r="C91" s="99" t="s">
        <v>257</v>
      </c>
      <c r="D91" s="100">
        <v>7.1250000000000018</v>
      </c>
      <c r="E91" s="100">
        <v>8096.8500000000013</v>
      </c>
      <c r="F91" s="100">
        <v>6.4680851063829801</v>
      </c>
      <c r="G91" s="100">
        <v>7350.331914893618</v>
      </c>
      <c r="H91" s="100">
        <v>5.1235955056179785</v>
      </c>
      <c r="I91" s="100">
        <v>5822.4539325842698</v>
      </c>
      <c r="J91" s="100">
        <v>7.6381909547738713</v>
      </c>
      <c r="K91" s="100">
        <v>8680.0402010050257</v>
      </c>
      <c r="L91" s="100">
        <v>6</v>
      </c>
      <c r="M91" s="100">
        <v>6818.4</v>
      </c>
      <c r="N91" s="100">
        <v>6</v>
      </c>
      <c r="O91" s="100">
        <v>6818.4</v>
      </c>
      <c r="P91" s="100">
        <v>8</v>
      </c>
      <c r="Q91" s="100">
        <v>9091.1999999999989</v>
      </c>
      <c r="R91" s="100">
        <v>10</v>
      </c>
      <c r="S91" s="100">
        <v>11363.999999999998</v>
      </c>
      <c r="T91" s="100">
        <v>9</v>
      </c>
      <c r="U91" s="100">
        <v>10227.599999999999</v>
      </c>
      <c r="V91" s="100">
        <v>8</v>
      </c>
      <c r="W91" s="100">
        <v>9091.1999999999989</v>
      </c>
      <c r="X91" s="100">
        <v>7</v>
      </c>
      <c r="Y91" s="100">
        <v>7954.7999999999993</v>
      </c>
      <c r="Z91" s="100">
        <v>10</v>
      </c>
      <c r="AA91" s="100">
        <v>11363.999999999998</v>
      </c>
      <c r="AB91" s="100">
        <v>11</v>
      </c>
      <c r="AC91" s="100">
        <v>12500.399999999998</v>
      </c>
      <c r="AD91" s="100">
        <v>7</v>
      </c>
      <c r="AE91" s="100">
        <v>7954.7999999999993</v>
      </c>
      <c r="AF91" s="100">
        <v>11</v>
      </c>
      <c r="AG91" s="100">
        <v>12500.399999999998</v>
      </c>
      <c r="AH91" s="100">
        <v>12</v>
      </c>
      <c r="AI91" s="100">
        <v>13636.8</v>
      </c>
      <c r="AJ91" s="100">
        <v>11</v>
      </c>
      <c r="AK91" s="100">
        <v>12500.399999999998</v>
      </c>
      <c r="AL91" s="100">
        <v>9</v>
      </c>
      <c r="AM91" s="100">
        <v>10227.599999999999</v>
      </c>
      <c r="AN91" s="100">
        <v>10</v>
      </c>
      <c r="AO91" s="100">
        <v>11363.999999999998</v>
      </c>
      <c r="AP91" s="100">
        <v>6</v>
      </c>
      <c r="AQ91" s="100">
        <v>6818.4</v>
      </c>
      <c r="AR91" s="100">
        <v>7</v>
      </c>
      <c r="AS91" s="100">
        <v>7954.7999999999993</v>
      </c>
      <c r="AT91" s="100">
        <v>9.6016597510373476</v>
      </c>
      <c r="AU91" s="100">
        <v>10911.32614107884</v>
      </c>
      <c r="AV91" s="100">
        <v>7.4146341463414647</v>
      </c>
      <c r="AW91" s="100">
        <v>8425.990243902439</v>
      </c>
      <c r="AX91" s="100">
        <v>3.4702964820258546</v>
      </c>
      <c r="AY91" s="100">
        <v>3943.6449221741809</v>
      </c>
      <c r="AZ91" s="100">
        <v>7</v>
      </c>
      <c r="BA91" s="100">
        <v>7954.7999999999993</v>
      </c>
      <c r="BB91" s="100">
        <v>9.8197424892703875</v>
      </c>
      <c r="BC91" s="100">
        <v>11159.155364806868</v>
      </c>
      <c r="BD91" s="100">
        <v>3.8424061207333451</v>
      </c>
      <c r="BE91" s="100">
        <v>4366.5103156013729</v>
      </c>
      <c r="BF91" s="100">
        <v>8</v>
      </c>
      <c r="BG91" s="100">
        <v>9091.1999999999989</v>
      </c>
      <c r="BH91" s="100">
        <v>8</v>
      </c>
      <c r="BI91" s="100">
        <v>9091.1999999999989</v>
      </c>
      <c r="BJ91" s="100">
        <v>11.291139240506329</v>
      </c>
      <c r="BK91" s="100">
        <v>12831.250632911391</v>
      </c>
      <c r="BL91" s="100">
        <v>9</v>
      </c>
      <c r="BM91" s="100">
        <v>10227.599999999999</v>
      </c>
      <c r="BN91" s="100">
        <v>9</v>
      </c>
      <c r="BO91" s="100">
        <v>10227.599999999999</v>
      </c>
      <c r="BP91" s="100">
        <v>6.9625668449197864</v>
      </c>
      <c r="BQ91" s="100">
        <v>7912.2609625668447</v>
      </c>
      <c r="BR91" s="100">
        <v>4.2459473823796907</v>
      </c>
      <c r="BS91" s="100">
        <v>4825.0946053362795</v>
      </c>
      <c r="BT91" s="100">
        <v>3.4382822563679767</v>
      </c>
      <c r="BU91" s="100">
        <v>3907.2639561365681</v>
      </c>
      <c r="BV91" s="100">
        <v>6.8314606741573041</v>
      </c>
      <c r="BW91" s="100">
        <v>7763.2719101123594</v>
      </c>
      <c r="BX91" s="100">
        <v>6</v>
      </c>
      <c r="BY91" s="100">
        <v>6818.4</v>
      </c>
      <c r="BZ91" s="100">
        <v>8.7008196721311482</v>
      </c>
      <c r="CA91" s="100">
        <v>9887.6114754098362</v>
      </c>
      <c r="CB91" s="100">
        <v>9.2888888888888896</v>
      </c>
      <c r="CC91" s="100">
        <v>10555.893333333333</v>
      </c>
      <c r="CD91" s="100">
        <v>8.8785046728971952</v>
      </c>
      <c r="CE91" s="100">
        <v>10089.532710280371</v>
      </c>
      <c r="CF91" s="100">
        <v>7.9166666666666661</v>
      </c>
      <c r="CG91" s="100">
        <v>8996.4999999999982</v>
      </c>
      <c r="CH91" s="100">
        <v>8.7155963302752291</v>
      </c>
      <c r="CI91" s="100">
        <v>9904.4036697247684</v>
      </c>
      <c r="CJ91" s="100">
        <v>6.877828054298643</v>
      </c>
      <c r="CK91" s="100">
        <v>7815.9638009049768</v>
      </c>
      <c r="CL91" s="100">
        <v>9.0047393364928912</v>
      </c>
      <c r="CM91" s="100">
        <v>10232.985781990521</v>
      </c>
      <c r="CN91" s="100">
        <v>9.5</v>
      </c>
      <c r="CO91" s="100">
        <v>10795.8</v>
      </c>
      <c r="CP91" s="100">
        <v>9</v>
      </c>
      <c r="CQ91" s="100">
        <v>10227.599999999999</v>
      </c>
      <c r="CR91" s="100">
        <v>7.7959183673469381</v>
      </c>
      <c r="CS91" s="100">
        <v>8859.2816326530592</v>
      </c>
      <c r="CT91" s="100">
        <v>7.3076923076923084</v>
      </c>
      <c r="CU91" s="100">
        <v>8304.461538461539</v>
      </c>
    </row>
    <row r="92" spans="2:99">
      <c r="C92" s="99" t="s">
        <v>258</v>
      </c>
      <c r="D92" s="100">
        <v>6.3333333333333339</v>
      </c>
      <c r="E92" s="100">
        <v>4970.4000000000005</v>
      </c>
      <c r="F92" s="100">
        <v>7.114893617021278</v>
      </c>
      <c r="G92" s="100">
        <v>5583.7685106382987</v>
      </c>
      <c r="H92" s="100">
        <v>5.9775280898876417</v>
      </c>
      <c r="I92" s="100">
        <v>4691.164044943821</v>
      </c>
      <c r="J92" s="100">
        <v>7.6381909547738713</v>
      </c>
      <c r="K92" s="100">
        <v>5994.4522613065337</v>
      </c>
      <c r="L92" s="100">
        <v>7</v>
      </c>
      <c r="M92" s="100">
        <v>5493.5999999999995</v>
      </c>
      <c r="N92" s="100">
        <v>7</v>
      </c>
      <c r="O92" s="100">
        <v>5493.5999999999995</v>
      </c>
      <c r="P92" s="100">
        <v>7</v>
      </c>
      <c r="Q92" s="100">
        <v>5493.5999999999995</v>
      </c>
      <c r="R92" s="100">
        <v>9</v>
      </c>
      <c r="S92" s="100">
        <v>7063.2</v>
      </c>
      <c r="T92" s="100">
        <v>9</v>
      </c>
      <c r="U92" s="100">
        <v>7063.2</v>
      </c>
      <c r="V92" s="100">
        <v>8</v>
      </c>
      <c r="W92" s="100">
        <v>6278.4</v>
      </c>
      <c r="X92" s="100">
        <v>6</v>
      </c>
      <c r="Y92" s="100">
        <v>4708.7999999999993</v>
      </c>
      <c r="Z92" s="100">
        <v>11</v>
      </c>
      <c r="AA92" s="100">
        <v>8632.7999999999993</v>
      </c>
      <c r="AB92" s="100">
        <v>11</v>
      </c>
      <c r="AC92" s="100">
        <v>8632.7999999999993</v>
      </c>
      <c r="AD92" s="100">
        <v>7</v>
      </c>
      <c r="AE92" s="100">
        <v>5493.5999999999995</v>
      </c>
      <c r="AF92" s="100">
        <v>10</v>
      </c>
      <c r="AG92" s="100">
        <v>7848</v>
      </c>
      <c r="AH92" s="100">
        <v>12</v>
      </c>
      <c r="AI92" s="100">
        <v>9417.5999999999985</v>
      </c>
      <c r="AJ92" s="100">
        <v>11</v>
      </c>
      <c r="AK92" s="100">
        <v>8632.7999999999993</v>
      </c>
      <c r="AL92" s="100">
        <v>8</v>
      </c>
      <c r="AM92" s="100">
        <v>6278.4</v>
      </c>
      <c r="AN92" s="100">
        <v>10</v>
      </c>
      <c r="AO92" s="100">
        <v>7848</v>
      </c>
      <c r="AP92" s="100">
        <v>7</v>
      </c>
      <c r="AQ92" s="100">
        <v>5493.5999999999995</v>
      </c>
      <c r="AR92" s="100">
        <v>6</v>
      </c>
      <c r="AS92" s="100">
        <v>4708.7999999999993</v>
      </c>
      <c r="AT92" s="100">
        <v>9.6016597510373476</v>
      </c>
      <c r="AU92" s="100">
        <v>7535.3825726141104</v>
      </c>
      <c r="AV92" s="100">
        <v>6.6731707317073177</v>
      </c>
      <c r="AW92" s="100">
        <v>5237.1043902439023</v>
      </c>
      <c r="AX92" s="100">
        <v>3.904083542279086</v>
      </c>
      <c r="AY92" s="100">
        <v>3063.9247639806267</v>
      </c>
      <c r="AZ92" s="100">
        <v>7</v>
      </c>
      <c r="BA92" s="100">
        <v>5493.5999999999995</v>
      </c>
      <c r="BB92" s="100">
        <v>9.8197424892703875</v>
      </c>
      <c r="BC92" s="100">
        <v>7706.5339055793993</v>
      </c>
      <c r="BD92" s="100">
        <v>4.8030076509166815</v>
      </c>
      <c r="BE92" s="100">
        <v>3769.4004044394114</v>
      </c>
      <c r="BF92" s="100">
        <v>9</v>
      </c>
      <c r="BG92" s="100">
        <v>7063.2</v>
      </c>
      <c r="BH92" s="100">
        <v>9</v>
      </c>
      <c r="BI92" s="100">
        <v>7063.2</v>
      </c>
      <c r="BJ92" s="100">
        <v>11.291139240506329</v>
      </c>
      <c r="BK92" s="100">
        <v>8861.2860759493669</v>
      </c>
      <c r="BL92" s="100">
        <v>9</v>
      </c>
      <c r="BM92" s="100">
        <v>7063.2</v>
      </c>
      <c r="BN92" s="100">
        <v>9</v>
      </c>
      <c r="BO92" s="100">
        <v>7063.2</v>
      </c>
      <c r="BP92" s="100">
        <v>7.9572192513368991</v>
      </c>
      <c r="BQ92" s="100">
        <v>6244.825668449198</v>
      </c>
      <c r="BR92" s="100">
        <v>4.2459473823796907</v>
      </c>
      <c r="BS92" s="100">
        <v>3332.2195056915812</v>
      </c>
      <c r="BT92" s="100">
        <v>3.8203136181866411</v>
      </c>
      <c r="BU92" s="100">
        <v>2998.182127552876</v>
      </c>
      <c r="BV92" s="100">
        <v>5.9775280898876417</v>
      </c>
      <c r="BW92" s="100">
        <v>4691.164044943821</v>
      </c>
      <c r="BX92" s="100">
        <v>7</v>
      </c>
      <c r="BY92" s="100">
        <v>5493.5999999999995</v>
      </c>
      <c r="BZ92" s="100">
        <v>9.4918032786885238</v>
      </c>
      <c r="CA92" s="100">
        <v>7449.1672131147534</v>
      </c>
      <c r="CB92" s="100">
        <v>9.2888888888888896</v>
      </c>
      <c r="CC92" s="100">
        <v>7289.92</v>
      </c>
      <c r="CD92" s="100">
        <v>7.9906542056074761</v>
      </c>
      <c r="CE92" s="100">
        <v>6271.065420560747</v>
      </c>
      <c r="CF92" s="100">
        <v>7.9166666666666661</v>
      </c>
      <c r="CG92" s="100">
        <v>6212.9999999999991</v>
      </c>
      <c r="CH92" s="100">
        <v>9.5871559633027523</v>
      </c>
      <c r="CI92" s="100">
        <v>7524</v>
      </c>
      <c r="CJ92" s="100">
        <v>6.877828054298643</v>
      </c>
      <c r="CK92" s="100">
        <v>5397.7194570135744</v>
      </c>
      <c r="CL92" s="100">
        <v>9.9052132701421787</v>
      </c>
      <c r="CM92" s="100">
        <v>7773.611374407581</v>
      </c>
      <c r="CN92" s="100">
        <v>9.5</v>
      </c>
      <c r="CO92" s="100">
        <v>7455.5999999999995</v>
      </c>
      <c r="CP92" s="100">
        <v>9</v>
      </c>
      <c r="CQ92" s="100">
        <v>7063.2</v>
      </c>
      <c r="CR92" s="100">
        <v>7.7959183673469381</v>
      </c>
      <c r="CS92" s="100">
        <v>6118.2367346938763</v>
      </c>
      <c r="CT92" s="100">
        <v>7.3076923076923084</v>
      </c>
      <c r="CU92" s="100">
        <v>5735.0769230769229</v>
      </c>
    </row>
    <row r="93" spans="2:99">
      <c r="C93" s="99" t="s">
        <v>259</v>
      </c>
      <c r="D93" s="100">
        <v>7.1250000000000018</v>
      </c>
      <c r="E93" s="100">
        <v>4941.9000000000015</v>
      </c>
      <c r="F93" s="100">
        <v>7.7617021276595759</v>
      </c>
      <c r="G93" s="100">
        <v>5383.5165957446816</v>
      </c>
      <c r="H93" s="100">
        <v>5.9775280898876417</v>
      </c>
      <c r="I93" s="100">
        <v>4146.0134831460682</v>
      </c>
      <c r="J93" s="100">
        <v>6.8743718592964838</v>
      </c>
      <c r="K93" s="100">
        <v>4768.0643216080416</v>
      </c>
      <c r="L93" s="100">
        <v>6</v>
      </c>
      <c r="M93" s="100">
        <v>4161.6000000000004</v>
      </c>
      <c r="N93" s="100">
        <v>7</v>
      </c>
      <c r="O93" s="100">
        <v>4855.2</v>
      </c>
      <c r="P93" s="100">
        <v>8</v>
      </c>
      <c r="Q93" s="100">
        <v>5548.8</v>
      </c>
      <c r="R93" s="100">
        <v>11</v>
      </c>
      <c r="S93" s="100">
        <v>7629.6</v>
      </c>
      <c r="T93" s="100">
        <v>10</v>
      </c>
      <c r="U93" s="100">
        <v>6936</v>
      </c>
      <c r="V93" s="100">
        <v>8</v>
      </c>
      <c r="W93" s="100">
        <v>5548.8</v>
      </c>
      <c r="X93" s="100">
        <v>6</v>
      </c>
      <c r="Y93" s="100">
        <v>4161.6000000000004</v>
      </c>
      <c r="Z93" s="100">
        <v>10</v>
      </c>
      <c r="AA93" s="100">
        <v>6936</v>
      </c>
      <c r="AB93" s="100">
        <v>13</v>
      </c>
      <c r="AC93" s="100">
        <v>9016.8000000000011</v>
      </c>
      <c r="AD93" s="100">
        <v>7</v>
      </c>
      <c r="AE93" s="100">
        <v>4855.2</v>
      </c>
      <c r="AF93" s="100">
        <v>10</v>
      </c>
      <c r="AG93" s="100">
        <v>6936</v>
      </c>
      <c r="AH93" s="100">
        <v>12</v>
      </c>
      <c r="AI93" s="100">
        <v>8323.2000000000007</v>
      </c>
      <c r="AJ93" s="100">
        <v>11</v>
      </c>
      <c r="AK93" s="100">
        <v>7629.6</v>
      </c>
      <c r="AL93" s="100">
        <v>9</v>
      </c>
      <c r="AM93" s="100">
        <v>6242.4000000000005</v>
      </c>
      <c r="AN93" s="100">
        <v>11</v>
      </c>
      <c r="AO93" s="100">
        <v>7629.6</v>
      </c>
      <c r="AP93" s="100">
        <v>7</v>
      </c>
      <c r="AQ93" s="100">
        <v>4855.2</v>
      </c>
      <c r="AR93" s="100">
        <v>7</v>
      </c>
      <c r="AS93" s="100">
        <v>4855.2</v>
      </c>
      <c r="AT93" s="100">
        <v>8.1244813278008312</v>
      </c>
      <c r="AU93" s="100">
        <v>5635.1402489626571</v>
      </c>
      <c r="AV93" s="100">
        <v>7.4146341463414647</v>
      </c>
      <c r="AW93" s="100">
        <v>5142.7902439024401</v>
      </c>
      <c r="AX93" s="100">
        <v>3.4702964820258546</v>
      </c>
      <c r="AY93" s="100">
        <v>2406.9976399331326</v>
      </c>
      <c r="AZ93" s="100">
        <v>8</v>
      </c>
      <c r="BA93" s="100">
        <v>5548.8</v>
      </c>
      <c r="BB93" s="100">
        <v>9.8197424892703875</v>
      </c>
      <c r="BC93" s="100">
        <v>6810.9733905579405</v>
      </c>
      <c r="BD93" s="100">
        <v>4.3227068858250135</v>
      </c>
      <c r="BE93" s="100">
        <v>2998.2294960082295</v>
      </c>
      <c r="BF93" s="100">
        <v>8</v>
      </c>
      <c r="BG93" s="100">
        <v>5548.8</v>
      </c>
      <c r="BH93" s="100">
        <v>9</v>
      </c>
      <c r="BI93" s="100">
        <v>6242.4000000000005</v>
      </c>
      <c r="BJ93" s="100">
        <v>11.291139240506329</v>
      </c>
      <c r="BK93" s="100">
        <v>7831.5341772151896</v>
      </c>
      <c r="BL93" s="100">
        <v>9</v>
      </c>
      <c r="BM93" s="100">
        <v>6242.4000000000005</v>
      </c>
      <c r="BN93" s="100">
        <v>9</v>
      </c>
      <c r="BO93" s="100">
        <v>6242.4000000000005</v>
      </c>
      <c r="BP93" s="100">
        <v>6.9625668449197864</v>
      </c>
      <c r="BQ93" s="100">
        <v>4829.2363636363643</v>
      </c>
      <c r="BR93" s="100">
        <v>4.5725587194858202</v>
      </c>
      <c r="BS93" s="100">
        <v>3171.5267278353649</v>
      </c>
      <c r="BT93" s="100">
        <v>3.4382822563679767</v>
      </c>
      <c r="BU93" s="100">
        <v>2384.7925730168286</v>
      </c>
      <c r="BV93" s="100">
        <v>6.8314606741573041</v>
      </c>
      <c r="BW93" s="100">
        <v>4738.3011235955064</v>
      </c>
      <c r="BX93" s="100">
        <v>6</v>
      </c>
      <c r="BY93" s="100">
        <v>4161.6000000000004</v>
      </c>
      <c r="BZ93" s="100">
        <v>9.4918032786885238</v>
      </c>
      <c r="CA93" s="100">
        <v>6583.5147540983608</v>
      </c>
      <c r="CB93" s="100">
        <v>9.2888888888888896</v>
      </c>
      <c r="CC93" s="100">
        <v>6442.7733333333344</v>
      </c>
      <c r="CD93" s="100">
        <v>8.8785046728971952</v>
      </c>
      <c r="CE93" s="100">
        <v>6158.130841121495</v>
      </c>
      <c r="CF93" s="100">
        <v>7.9166666666666661</v>
      </c>
      <c r="CG93" s="100">
        <v>5491</v>
      </c>
      <c r="CH93" s="100">
        <v>8.7155963302752291</v>
      </c>
      <c r="CI93" s="100">
        <v>6045.1376146788989</v>
      </c>
      <c r="CJ93" s="100">
        <v>6.877828054298643</v>
      </c>
      <c r="CK93" s="100">
        <v>4770.461538461539</v>
      </c>
      <c r="CL93" s="100">
        <v>10.805687203791468</v>
      </c>
      <c r="CM93" s="100">
        <v>7494.8246445497625</v>
      </c>
      <c r="CN93" s="100">
        <v>8.7083333333333321</v>
      </c>
      <c r="CO93" s="100">
        <v>6040.0999999999995</v>
      </c>
      <c r="CP93" s="100">
        <v>9</v>
      </c>
      <c r="CQ93" s="100">
        <v>6242.4000000000005</v>
      </c>
      <c r="CR93" s="100">
        <v>7.7959183673469381</v>
      </c>
      <c r="CS93" s="100">
        <v>5407.2489795918364</v>
      </c>
      <c r="CT93" s="100">
        <v>6.3942307692307692</v>
      </c>
      <c r="CU93" s="100">
        <v>4435.0384615384619</v>
      </c>
    </row>
    <row r="94" spans="2:99">
      <c r="C94" s="99" t="s">
        <v>260</v>
      </c>
      <c r="D94" s="100">
        <v>6.3333333333333339</v>
      </c>
      <c r="E94" s="100">
        <v>7554.4000000000005</v>
      </c>
      <c r="F94" s="100">
        <v>7.114893617021278</v>
      </c>
      <c r="G94" s="100">
        <v>8486.6451063829809</v>
      </c>
      <c r="H94" s="100">
        <v>5.9775280898876417</v>
      </c>
      <c r="I94" s="100">
        <v>7129.9955056179788</v>
      </c>
      <c r="J94" s="100">
        <v>6.8743718592964838</v>
      </c>
      <c r="K94" s="100">
        <v>8199.7507537688452</v>
      </c>
      <c r="L94" s="100">
        <v>6</v>
      </c>
      <c r="M94" s="100">
        <v>7156.7999999999993</v>
      </c>
      <c r="N94" s="100">
        <v>7</v>
      </c>
      <c r="O94" s="100">
        <v>8349.6</v>
      </c>
      <c r="P94" s="100">
        <v>8</v>
      </c>
      <c r="Q94" s="100">
        <v>9542.4</v>
      </c>
      <c r="R94" s="100">
        <v>9</v>
      </c>
      <c r="S94" s="100">
        <v>10735.199999999999</v>
      </c>
      <c r="T94" s="100">
        <v>8</v>
      </c>
      <c r="U94" s="100">
        <v>9542.4</v>
      </c>
      <c r="V94" s="100">
        <v>8</v>
      </c>
      <c r="W94" s="100">
        <v>9542.4</v>
      </c>
      <c r="X94" s="100">
        <v>6</v>
      </c>
      <c r="Y94" s="100">
        <v>7156.7999999999993</v>
      </c>
      <c r="Z94" s="100">
        <v>10</v>
      </c>
      <c r="AA94" s="100">
        <v>11928</v>
      </c>
      <c r="AB94" s="100">
        <v>10</v>
      </c>
      <c r="AC94" s="100">
        <v>11928</v>
      </c>
      <c r="AD94" s="100">
        <v>7</v>
      </c>
      <c r="AE94" s="100">
        <v>8349.6</v>
      </c>
      <c r="AF94" s="100">
        <v>9</v>
      </c>
      <c r="AG94" s="100">
        <v>10735.199999999999</v>
      </c>
      <c r="AH94" s="100">
        <v>11</v>
      </c>
      <c r="AI94" s="100">
        <v>13120.8</v>
      </c>
      <c r="AJ94" s="100">
        <v>11</v>
      </c>
      <c r="AK94" s="100">
        <v>13120.8</v>
      </c>
      <c r="AL94" s="100">
        <v>8</v>
      </c>
      <c r="AM94" s="100">
        <v>9542.4</v>
      </c>
      <c r="AN94" s="100">
        <v>11</v>
      </c>
      <c r="AO94" s="100">
        <v>13120.8</v>
      </c>
      <c r="AP94" s="100">
        <v>6</v>
      </c>
      <c r="AQ94" s="100">
        <v>7156.7999999999993</v>
      </c>
      <c r="AR94" s="100">
        <v>7</v>
      </c>
      <c r="AS94" s="100">
        <v>8349.6</v>
      </c>
      <c r="AT94" s="100">
        <v>8.1244813278008312</v>
      </c>
      <c r="AU94" s="100">
        <v>9690.8813278008311</v>
      </c>
      <c r="AV94" s="100">
        <v>6.6731707317073177</v>
      </c>
      <c r="AW94" s="100">
        <v>7959.758048780488</v>
      </c>
      <c r="AX94" s="100">
        <v>3.4702964820258546</v>
      </c>
      <c r="AY94" s="100">
        <v>4139.3696437604394</v>
      </c>
      <c r="AZ94" s="100">
        <v>7</v>
      </c>
      <c r="BA94" s="100">
        <v>8349.6</v>
      </c>
      <c r="BB94" s="100">
        <v>8.9270386266094413</v>
      </c>
      <c r="BC94" s="100">
        <v>10648.171673819741</v>
      </c>
      <c r="BD94" s="100">
        <v>3.8424061207333451</v>
      </c>
      <c r="BE94" s="100">
        <v>4583.2220208107337</v>
      </c>
      <c r="BF94" s="100">
        <v>9</v>
      </c>
      <c r="BG94" s="100">
        <v>10735.199999999999</v>
      </c>
      <c r="BH94" s="100">
        <v>8</v>
      </c>
      <c r="BI94" s="100">
        <v>9542.4</v>
      </c>
      <c r="BJ94" s="100">
        <v>11.291139240506329</v>
      </c>
      <c r="BK94" s="100">
        <v>13468.070886075948</v>
      </c>
      <c r="BL94" s="100">
        <v>8</v>
      </c>
      <c r="BM94" s="100">
        <v>9542.4</v>
      </c>
      <c r="BN94" s="100">
        <v>9</v>
      </c>
      <c r="BO94" s="100">
        <v>10735.199999999999</v>
      </c>
      <c r="BP94" s="100">
        <v>7.9572192513368991</v>
      </c>
      <c r="BQ94" s="100">
        <v>9491.371122994653</v>
      </c>
      <c r="BR94" s="100">
        <v>4.2459473823796907</v>
      </c>
      <c r="BS94" s="100">
        <v>5064.5660377024951</v>
      </c>
      <c r="BT94" s="100">
        <v>3.4382822563679767</v>
      </c>
      <c r="BU94" s="100">
        <v>4101.1830753957229</v>
      </c>
      <c r="BV94" s="100">
        <v>5.9775280898876417</v>
      </c>
      <c r="BW94" s="100">
        <v>7129.9955056179788</v>
      </c>
      <c r="BX94" s="100">
        <v>6</v>
      </c>
      <c r="BY94" s="100">
        <v>7156.7999999999993</v>
      </c>
      <c r="BZ94" s="100">
        <v>10.282786885245901</v>
      </c>
      <c r="CA94" s="100">
        <v>12265.308196721311</v>
      </c>
      <c r="CB94" s="100">
        <v>9.2888888888888896</v>
      </c>
      <c r="CC94" s="100">
        <v>11079.786666666667</v>
      </c>
      <c r="CD94" s="100">
        <v>9.7663551401869153</v>
      </c>
      <c r="CE94" s="100">
        <v>11649.308411214952</v>
      </c>
      <c r="CF94" s="100">
        <v>7.9166666666666661</v>
      </c>
      <c r="CG94" s="100">
        <v>9442.9999999999982</v>
      </c>
      <c r="CH94" s="100">
        <v>8.7155963302752291</v>
      </c>
      <c r="CI94" s="100">
        <v>10395.963302752292</v>
      </c>
      <c r="CJ94" s="100">
        <v>6.877828054298643</v>
      </c>
      <c r="CK94" s="100">
        <v>8203.8733031674219</v>
      </c>
      <c r="CL94" s="100">
        <v>9.0047393364928912</v>
      </c>
      <c r="CM94" s="100">
        <v>10740.853080568721</v>
      </c>
      <c r="CN94" s="100">
        <v>9.5</v>
      </c>
      <c r="CO94" s="100">
        <v>11331.6</v>
      </c>
      <c r="CP94" s="100">
        <v>9</v>
      </c>
      <c r="CQ94" s="100">
        <v>10735.199999999999</v>
      </c>
      <c r="CR94" s="100">
        <v>7.7959183673469381</v>
      </c>
      <c r="CS94" s="100">
        <v>9298.9714285714272</v>
      </c>
      <c r="CT94" s="100">
        <v>7.3076923076923084</v>
      </c>
      <c r="CU94" s="100">
        <v>8716.6153846153848</v>
      </c>
    </row>
    <row r="95" spans="2:99">
      <c r="B95" s="99" t="s">
        <v>132</v>
      </c>
      <c r="C95" s="99" t="s">
        <v>261</v>
      </c>
      <c r="D95" s="100">
        <v>7.9166666666666687</v>
      </c>
      <c r="E95" s="100">
        <v>2603.0000000000009</v>
      </c>
      <c r="F95" s="100">
        <v>7.114893617021278</v>
      </c>
      <c r="G95" s="100">
        <v>2339.3770212765962</v>
      </c>
      <c r="H95" s="100">
        <v>7.6853932584269673</v>
      </c>
      <c r="I95" s="100">
        <v>2526.957303370787</v>
      </c>
      <c r="J95" s="100">
        <v>6.8743718592964838</v>
      </c>
      <c r="K95" s="100">
        <v>2260.293467336684</v>
      </c>
      <c r="L95" s="100">
        <v>10</v>
      </c>
      <c r="M95" s="100">
        <v>3288</v>
      </c>
      <c r="N95" s="100">
        <v>7</v>
      </c>
      <c r="O95" s="100">
        <v>2301.6</v>
      </c>
      <c r="P95" s="100">
        <v>9</v>
      </c>
      <c r="Q95" s="100">
        <v>2959.2000000000003</v>
      </c>
      <c r="R95" s="100">
        <v>7</v>
      </c>
      <c r="S95" s="100">
        <v>2301.6</v>
      </c>
      <c r="T95" s="100">
        <v>11</v>
      </c>
      <c r="U95" s="100">
        <v>3616.8</v>
      </c>
      <c r="V95" s="100">
        <v>11</v>
      </c>
      <c r="W95" s="100">
        <v>3616.8</v>
      </c>
      <c r="X95" s="100">
        <v>10</v>
      </c>
      <c r="Y95" s="100">
        <v>3288</v>
      </c>
      <c r="Z95" s="100">
        <v>8</v>
      </c>
      <c r="AA95" s="100">
        <v>2630.4</v>
      </c>
      <c r="AB95" s="100">
        <v>8</v>
      </c>
      <c r="AC95" s="100">
        <v>2630.4</v>
      </c>
      <c r="AD95" s="100">
        <v>6</v>
      </c>
      <c r="AE95" s="100">
        <v>1972.8000000000002</v>
      </c>
      <c r="AF95" s="100">
        <v>11</v>
      </c>
      <c r="AG95" s="100">
        <v>3616.8</v>
      </c>
      <c r="AH95" s="100">
        <v>9</v>
      </c>
      <c r="AI95" s="100">
        <v>2959.2000000000003</v>
      </c>
      <c r="AJ95" s="100">
        <v>10</v>
      </c>
      <c r="AK95" s="100">
        <v>3288</v>
      </c>
      <c r="AL95" s="100">
        <v>7</v>
      </c>
      <c r="AM95" s="100">
        <v>2301.6</v>
      </c>
      <c r="AN95" s="100">
        <v>11</v>
      </c>
      <c r="AO95" s="100">
        <v>3616.8</v>
      </c>
      <c r="AP95" s="100">
        <v>7</v>
      </c>
      <c r="AQ95" s="100">
        <v>2301.6</v>
      </c>
      <c r="AR95" s="100">
        <v>10</v>
      </c>
      <c r="AS95" s="100">
        <v>3288</v>
      </c>
      <c r="AT95" s="100">
        <v>8.1244813278008312</v>
      </c>
      <c r="AU95" s="100">
        <v>2671.3294605809133</v>
      </c>
      <c r="AV95" s="100">
        <v>6.6731707317073177</v>
      </c>
      <c r="AW95" s="100">
        <v>2194.1385365853662</v>
      </c>
      <c r="AX95" s="100">
        <v>3.4702964820258546</v>
      </c>
      <c r="AY95" s="100">
        <v>1141.033483290101</v>
      </c>
      <c r="AZ95" s="100">
        <v>8</v>
      </c>
      <c r="BA95" s="100">
        <v>2630.4</v>
      </c>
      <c r="BB95" s="100">
        <v>9.8197424892703875</v>
      </c>
      <c r="BC95" s="100">
        <v>3228.7313304721033</v>
      </c>
      <c r="BD95" s="100">
        <v>2.8818045905500087</v>
      </c>
      <c r="BE95" s="100">
        <v>947.53734937284287</v>
      </c>
      <c r="BF95" s="100">
        <v>8</v>
      </c>
      <c r="BG95" s="100">
        <v>2630.4</v>
      </c>
      <c r="BH95" s="100">
        <v>7</v>
      </c>
      <c r="BI95" s="100">
        <v>2301.6</v>
      </c>
      <c r="BJ95" s="100">
        <v>11.291139240506329</v>
      </c>
      <c r="BK95" s="100">
        <v>3712.5265822784809</v>
      </c>
      <c r="BL95" s="100">
        <v>7</v>
      </c>
      <c r="BM95" s="100">
        <v>2301.6</v>
      </c>
      <c r="BN95" s="100">
        <v>7</v>
      </c>
      <c r="BO95" s="100">
        <v>2301.6</v>
      </c>
      <c r="BP95" s="100">
        <v>8.9518716577540118</v>
      </c>
      <c r="BQ95" s="100">
        <v>2943.3754010695193</v>
      </c>
      <c r="BR95" s="100">
        <v>3.2661133710613002</v>
      </c>
      <c r="BS95" s="100">
        <v>1073.8980764049556</v>
      </c>
      <c r="BT95" s="100">
        <v>3.8203136181866411</v>
      </c>
      <c r="BU95" s="100">
        <v>1256.1191176597677</v>
      </c>
      <c r="BV95" s="100">
        <v>7.6853932584269673</v>
      </c>
      <c r="BW95" s="100">
        <v>2526.957303370787</v>
      </c>
      <c r="BX95" s="100">
        <v>11</v>
      </c>
      <c r="BY95" s="100">
        <v>3616.8</v>
      </c>
      <c r="BZ95" s="100">
        <v>8.7008196721311482</v>
      </c>
      <c r="CA95" s="100">
        <v>2860.8295081967217</v>
      </c>
      <c r="CB95" s="100">
        <v>10.133333333333335</v>
      </c>
      <c r="CC95" s="100">
        <v>3331.8400000000006</v>
      </c>
      <c r="CD95" s="100">
        <v>8.8785046728971952</v>
      </c>
      <c r="CE95" s="100">
        <v>2919.2523364485978</v>
      </c>
      <c r="CF95" s="100">
        <v>9.6759259259259256</v>
      </c>
      <c r="CG95" s="100">
        <v>3181.4444444444443</v>
      </c>
      <c r="CH95" s="100">
        <v>10.458715596330276</v>
      </c>
      <c r="CI95" s="100">
        <v>3438.8256880733948</v>
      </c>
      <c r="CJ95" s="100">
        <v>10.316742081447964</v>
      </c>
      <c r="CK95" s="100">
        <v>3392.1447963800906</v>
      </c>
      <c r="CL95" s="100">
        <v>9.9052132701421787</v>
      </c>
      <c r="CM95" s="100">
        <v>3256.8341232227485</v>
      </c>
      <c r="CN95" s="100">
        <v>8.7083333333333321</v>
      </c>
      <c r="CO95" s="100">
        <v>2863.2999999999997</v>
      </c>
      <c r="CP95" s="100">
        <v>10</v>
      </c>
      <c r="CQ95" s="100">
        <v>3288</v>
      </c>
      <c r="CR95" s="100">
        <v>9.7448979591836729</v>
      </c>
      <c r="CS95" s="100">
        <v>3204.1224489795918</v>
      </c>
      <c r="CT95" s="100">
        <v>10.048076923076923</v>
      </c>
      <c r="CU95" s="100">
        <v>3303.8076923076924</v>
      </c>
    </row>
    <row r="96" spans="2:99">
      <c r="C96" s="99" t="s">
        <v>262</v>
      </c>
      <c r="D96" s="100">
        <v>7.1250000000000018</v>
      </c>
      <c r="E96" s="100">
        <v>4950.4500000000007</v>
      </c>
      <c r="F96" s="100">
        <v>7.7617021276595759</v>
      </c>
      <c r="G96" s="100">
        <v>5392.8306382978726</v>
      </c>
      <c r="H96" s="100">
        <v>6.8314606741573041</v>
      </c>
      <c r="I96" s="100">
        <v>4746.4988764044947</v>
      </c>
      <c r="J96" s="100">
        <v>6.8743718592964838</v>
      </c>
      <c r="K96" s="100">
        <v>4776.3135678391964</v>
      </c>
      <c r="L96" s="100">
        <v>10</v>
      </c>
      <c r="M96" s="100">
        <v>6948</v>
      </c>
      <c r="N96" s="100">
        <v>8</v>
      </c>
      <c r="O96" s="100">
        <v>5558.4</v>
      </c>
      <c r="P96" s="100">
        <v>9</v>
      </c>
      <c r="Q96" s="100">
        <v>6253.2</v>
      </c>
      <c r="R96" s="100">
        <v>6</v>
      </c>
      <c r="S96" s="100">
        <v>4168.7999999999993</v>
      </c>
      <c r="T96" s="100">
        <v>10</v>
      </c>
      <c r="U96" s="100">
        <v>6948</v>
      </c>
      <c r="V96" s="100">
        <v>9</v>
      </c>
      <c r="W96" s="100">
        <v>6253.2</v>
      </c>
      <c r="X96" s="100">
        <v>11</v>
      </c>
      <c r="Y96" s="100">
        <v>7642.7999999999993</v>
      </c>
      <c r="Z96" s="100">
        <v>8</v>
      </c>
      <c r="AA96" s="100">
        <v>5558.4</v>
      </c>
      <c r="AB96" s="100">
        <v>7</v>
      </c>
      <c r="AC96" s="100">
        <v>4863.5999999999995</v>
      </c>
      <c r="AD96" s="100">
        <v>6</v>
      </c>
      <c r="AE96" s="100">
        <v>4168.7999999999993</v>
      </c>
      <c r="AF96" s="100">
        <v>9</v>
      </c>
      <c r="AG96" s="100">
        <v>6253.2</v>
      </c>
      <c r="AH96" s="100">
        <v>8</v>
      </c>
      <c r="AI96" s="100">
        <v>5558.4</v>
      </c>
      <c r="AJ96" s="100">
        <v>10</v>
      </c>
      <c r="AK96" s="100">
        <v>6948</v>
      </c>
      <c r="AL96" s="100">
        <v>8</v>
      </c>
      <c r="AM96" s="100">
        <v>5558.4</v>
      </c>
      <c r="AN96" s="100">
        <v>10</v>
      </c>
      <c r="AO96" s="100">
        <v>6948</v>
      </c>
      <c r="AP96" s="100">
        <v>8</v>
      </c>
      <c r="AQ96" s="100">
        <v>5558.4</v>
      </c>
      <c r="AR96" s="100">
        <v>9</v>
      </c>
      <c r="AS96" s="100">
        <v>6253.2</v>
      </c>
      <c r="AT96" s="100">
        <v>7.3858921161825748</v>
      </c>
      <c r="AU96" s="100">
        <v>5131.7178423236528</v>
      </c>
      <c r="AV96" s="100">
        <v>8.1560975609756117</v>
      </c>
      <c r="AW96" s="100">
        <v>5666.8565853658547</v>
      </c>
      <c r="AX96" s="100">
        <v>3.0365094217726227</v>
      </c>
      <c r="AY96" s="100">
        <v>2109.7667462476184</v>
      </c>
      <c r="AZ96" s="100">
        <v>9</v>
      </c>
      <c r="BA96" s="100">
        <v>6253.2</v>
      </c>
      <c r="BB96" s="100">
        <v>9.8197424892703875</v>
      </c>
      <c r="BC96" s="100">
        <v>6822.7570815450645</v>
      </c>
      <c r="BD96" s="100">
        <v>2.8818045905500087</v>
      </c>
      <c r="BE96" s="100">
        <v>2002.2778295141459</v>
      </c>
      <c r="BF96" s="100">
        <v>9</v>
      </c>
      <c r="BG96" s="100">
        <v>6253.2</v>
      </c>
      <c r="BH96" s="100">
        <v>6</v>
      </c>
      <c r="BI96" s="100">
        <v>4168.7999999999993</v>
      </c>
      <c r="BJ96" s="100">
        <v>10.350210970464136</v>
      </c>
      <c r="BK96" s="100">
        <v>7191.3265822784815</v>
      </c>
      <c r="BL96" s="100">
        <v>8</v>
      </c>
      <c r="BM96" s="100">
        <v>5558.4</v>
      </c>
      <c r="BN96" s="100">
        <v>7</v>
      </c>
      <c r="BO96" s="100">
        <v>4863.5999999999995</v>
      </c>
      <c r="BP96" s="100">
        <v>10.941176470588237</v>
      </c>
      <c r="BQ96" s="100">
        <v>7601.9294117647069</v>
      </c>
      <c r="BR96" s="100">
        <v>3.5927247081674305</v>
      </c>
      <c r="BS96" s="100">
        <v>2496.2251272347307</v>
      </c>
      <c r="BT96" s="100">
        <v>3.4382822563679767</v>
      </c>
      <c r="BU96" s="100">
        <v>2388.9185117244701</v>
      </c>
      <c r="BV96" s="100">
        <v>8.5393258426966305</v>
      </c>
      <c r="BW96" s="100">
        <v>5933.1235955056181</v>
      </c>
      <c r="BX96" s="100">
        <v>10</v>
      </c>
      <c r="BY96" s="100">
        <v>6948</v>
      </c>
      <c r="BZ96" s="100">
        <v>7.9098360655737698</v>
      </c>
      <c r="CA96" s="100">
        <v>5495.754098360655</v>
      </c>
      <c r="CB96" s="100">
        <v>9.2888888888888896</v>
      </c>
      <c r="CC96" s="100">
        <v>6453.92</v>
      </c>
      <c r="CD96" s="100">
        <v>7.9906542056074761</v>
      </c>
      <c r="CE96" s="100">
        <v>5551.9065420560737</v>
      </c>
      <c r="CF96" s="100">
        <v>9.6759259259259256</v>
      </c>
      <c r="CG96" s="100">
        <v>6722.833333333333</v>
      </c>
      <c r="CH96" s="100">
        <v>9.5871559633027523</v>
      </c>
      <c r="CI96" s="100">
        <v>6661.1559633027518</v>
      </c>
      <c r="CJ96" s="100">
        <v>9.4570135746606336</v>
      </c>
      <c r="CK96" s="100">
        <v>6570.7330316742082</v>
      </c>
      <c r="CL96" s="100">
        <v>8.1042654028436019</v>
      </c>
      <c r="CM96" s="100">
        <v>5630.8436018957345</v>
      </c>
      <c r="CN96" s="100">
        <v>7.9166666666666661</v>
      </c>
      <c r="CO96" s="100">
        <v>5500.4999999999991</v>
      </c>
      <c r="CP96" s="100">
        <v>9</v>
      </c>
      <c r="CQ96" s="100">
        <v>6253.2</v>
      </c>
      <c r="CR96" s="100">
        <v>10.719387755102041</v>
      </c>
      <c r="CS96" s="100">
        <v>7447.8306122448976</v>
      </c>
      <c r="CT96" s="100">
        <v>10.048076923076923</v>
      </c>
      <c r="CU96" s="100">
        <v>6981.4038461538457</v>
      </c>
    </row>
    <row r="97" spans="2:99">
      <c r="C97" s="99" t="s">
        <v>263</v>
      </c>
      <c r="D97" s="100">
        <v>7.1250000000000018</v>
      </c>
      <c r="E97" s="100">
        <v>2795.8500000000004</v>
      </c>
      <c r="F97" s="100">
        <v>7.7617021276595759</v>
      </c>
      <c r="G97" s="100">
        <v>3045.6919148936172</v>
      </c>
      <c r="H97" s="100">
        <v>7.6853932584269673</v>
      </c>
      <c r="I97" s="100">
        <v>3015.7483146067416</v>
      </c>
      <c r="J97" s="100">
        <v>6.1105527638190971</v>
      </c>
      <c r="K97" s="100">
        <v>2397.7809045226136</v>
      </c>
      <c r="L97" s="100">
        <v>10</v>
      </c>
      <c r="M97" s="100">
        <v>3924</v>
      </c>
      <c r="N97" s="100">
        <v>8</v>
      </c>
      <c r="O97" s="100">
        <v>3139.2</v>
      </c>
      <c r="P97" s="100">
        <v>10</v>
      </c>
      <c r="Q97" s="100">
        <v>3924</v>
      </c>
      <c r="R97" s="100">
        <v>6</v>
      </c>
      <c r="S97" s="100">
        <v>2354.3999999999996</v>
      </c>
      <c r="T97" s="100">
        <v>11</v>
      </c>
      <c r="U97" s="100">
        <v>4316.3999999999996</v>
      </c>
      <c r="V97" s="100">
        <v>10</v>
      </c>
      <c r="W97" s="100">
        <v>3924</v>
      </c>
      <c r="X97" s="100">
        <v>12</v>
      </c>
      <c r="Y97" s="100">
        <v>4708.7999999999993</v>
      </c>
      <c r="Z97" s="100">
        <v>7</v>
      </c>
      <c r="AA97" s="100">
        <v>2746.7999999999997</v>
      </c>
      <c r="AB97" s="100">
        <v>8</v>
      </c>
      <c r="AC97" s="100">
        <v>3139.2</v>
      </c>
      <c r="AD97" s="100">
        <v>7</v>
      </c>
      <c r="AE97" s="100">
        <v>2746.7999999999997</v>
      </c>
      <c r="AF97" s="100">
        <v>9</v>
      </c>
      <c r="AG97" s="100">
        <v>3531.6</v>
      </c>
      <c r="AH97" s="100">
        <v>7</v>
      </c>
      <c r="AI97" s="100">
        <v>2746.7999999999997</v>
      </c>
      <c r="AJ97" s="100">
        <v>10</v>
      </c>
      <c r="AK97" s="100">
        <v>3924</v>
      </c>
      <c r="AL97" s="100">
        <v>8</v>
      </c>
      <c r="AM97" s="100">
        <v>3139.2</v>
      </c>
      <c r="AN97" s="100">
        <v>10</v>
      </c>
      <c r="AO97" s="100">
        <v>3924</v>
      </c>
      <c r="AP97" s="100">
        <v>8</v>
      </c>
      <c r="AQ97" s="100">
        <v>3139.2</v>
      </c>
      <c r="AR97" s="100">
        <v>8</v>
      </c>
      <c r="AS97" s="100">
        <v>3139.2</v>
      </c>
      <c r="AT97" s="100">
        <v>8.1244813278008312</v>
      </c>
      <c r="AU97" s="100">
        <v>3188.046473029046</v>
      </c>
      <c r="AV97" s="100">
        <v>7.4146341463414647</v>
      </c>
      <c r="AW97" s="100">
        <v>2909.5024390243907</v>
      </c>
      <c r="AX97" s="100">
        <v>3.4702964820258546</v>
      </c>
      <c r="AY97" s="100">
        <v>1361.7443395469452</v>
      </c>
      <c r="AZ97" s="100">
        <v>9</v>
      </c>
      <c r="BA97" s="100">
        <v>3531.6</v>
      </c>
      <c r="BB97" s="100">
        <v>9.8197424892703875</v>
      </c>
      <c r="BC97" s="100">
        <v>3853.2669527896996</v>
      </c>
      <c r="BD97" s="100">
        <v>2.8818045905500087</v>
      </c>
      <c r="BE97" s="100">
        <v>1130.8201213318234</v>
      </c>
      <c r="BF97" s="100">
        <v>9</v>
      </c>
      <c r="BG97" s="100">
        <v>3531.6</v>
      </c>
      <c r="BH97" s="100">
        <v>6</v>
      </c>
      <c r="BI97" s="100">
        <v>2354.3999999999996</v>
      </c>
      <c r="BJ97" s="100">
        <v>10.350210970464136</v>
      </c>
      <c r="BK97" s="100">
        <v>4061.4227848101268</v>
      </c>
      <c r="BL97" s="100">
        <v>8</v>
      </c>
      <c r="BM97" s="100">
        <v>3139.2</v>
      </c>
      <c r="BN97" s="100">
        <v>7</v>
      </c>
      <c r="BO97" s="100">
        <v>2746.7999999999997</v>
      </c>
      <c r="BP97" s="100">
        <v>9.9465240641711237</v>
      </c>
      <c r="BQ97" s="100">
        <v>3903.0160427807486</v>
      </c>
      <c r="BR97" s="100">
        <v>3.2661133710613002</v>
      </c>
      <c r="BS97" s="100">
        <v>1281.6228868044541</v>
      </c>
      <c r="BT97" s="100">
        <v>3.4382822563679767</v>
      </c>
      <c r="BU97" s="100">
        <v>1349.1819573987939</v>
      </c>
      <c r="BV97" s="100">
        <v>8.5393258426966305</v>
      </c>
      <c r="BW97" s="100">
        <v>3350.8314606741578</v>
      </c>
      <c r="BX97" s="100">
        <v>12</v>
      </c>
      <c r="BY97" s="100">
        <v>4708.7999999999993</v>
      </c>
      <c r="BZ97" s="100">
        <v>7.9098360655737698</v>
      </c>
      <c r="CA97" s="100">
        <v>3103.8196721311469</v>
      </c>
      <c r="CB97" s="100">
        <v>10.133333333333335</v>
      </c>
      <c r="CC97" s="100">
        <v>3976.32</v>
      </c>
      <c r="CD97" s="100">
        <v>8.8785046728971952</v>
      </c>
      <c r="CE97" s="100">
        <v>3483.9252336448594</v>
      </c>
      <c r="CF97" s="100">
        <v>9.6759259259259256</v>
      </c>
      <c r="CG97" s="100">
        <v>3796.833333333333</v>
      </c>
      <c r="CH97" s="100">
        <v>8.7155963302752291</v>
      </c>
      <c r="CI97" s="100">
        <v>3419.9999999999995</v>
      </c>
      <c r="CJ97" s="100">
        <v>10.316742081447964</v>
      </c>
      <c r="CK97" s="100">
        <v>4048.2895927601812</v>
      </c>
      <c r="CL97" s="100">
        <v>9.0047393364928912</v>
      </c>
      <c r="CM97" s="100">
        <v>3533.4597156398104</v>
      </c>
      <c r="CN97" s="100">
        <v>9.5</v>
      </c>
      <c r="CO97" s="100">
        <v>3727.7999999999997</v>
      </c>
      <c r="CP97" s="100">
        <v>10</v>
      </c>
      <c r="CQ97" s="100">
        <v>3924</v>
      </c>
      <c r="CR97" s="100">
        <v>10.719387755102041</v>
      </c>
      <c r="CS97" s="100">
        <v>4206.2877551020401</v>
      </c>
      <c r="CT97" s="100">
        <v>10.048076923076923</v>
      </c>
      <c r="CU97" s="100">
        <v>3942.8653846153843</v>
      </c>
    </row>
    <row r="98" spans="2:99">
      <c r="C98" s="99" t="s">
        <v>264</v>
      </c>
      <c r="D98" s="100">
        <v>7.9166666666666687</v>
      </c>
      <c r="E98" s="100">
        <v>4161.0000000000009</v>
      </c>
      <c r="F98" s="100">
        <v>6.4680851063829801</v>
      </c>
      <c r="G98" s="100">
        <v>3399.6255319148945</v>
      </c>
      <c r="H98" s="100">
        <v>6.8314606741573041</v>
      </c>
      <c r="I98" s="100">
        <v>3590.6157303370792</v>
      </c>
      <c r="J98" s="100">
        <v>6.8743718592964838</v>
      </c>
      <c r="K98" s="100">
        <v>3613.1698492462319</v>
      </c>
      <c r="L98" s="100">
        <v>10</v>
      </c>
      <c r="M98" s="100">
        <v>5256</v>
      </c>
      <c r="N98" s="100">
        <v>7</v>
      </c>
      <c r="O98" s="100">
        <v>3679.2000000000003</v>
      </c>
      <c r="P98" s="100">
        <v>8</v>
      </c>
      <c r="Q98" s="100">
        <v>4204.8</v>
      </c>
      <c r="R98" s="100">
        <v>6</v>
      </c>
      <c r="S98" s="100">
        <v>3153.6000000000004</v>
      </c>
      <c r="T98" s="100">
        <v>10</v>
      </c>
      <c r="U98" s="100">
        <v>5256</v>
      </c>
      <c r="V98" s="100">
        <v>11</v>
      </c>
      <c r="W98" s="100">
        <v>5781.6</v>
      </c>
      <c r="X98" s="100">
        <v>12</v>
      </c>
      <c r="Y98" s="100">
        <v>6307.2000000000007</v>
      </c>
      <c r="Z98" s="100">
        <v>7</v>
      </c>
      <c r="AA98" s="100">
        <v>3679.2000000000003</v>
      </c>
      <c r="AB98" s="100">
        <v>9</v>
      </c>
      <c r="AC98" s="100">
        <v>4730.4000000000005</v>
      </c>
      <c r="AD98" s="100">
        <v>6</v>
      </c>
      <c r="AE98" s="100">
        <v>3153.6000000000004</v>
      </c>
      <c r="AF98" s="100">
        <v>10</v>
      </c>
      <c r="AG98" s="100">
        <v>5256</v>
      </c>
      <c r="AH98" s="100">
        <v>8</v>
      </c>
      <c r="AI98" s="100">
        <v>4204.8</v>
      </c>
      <c r="AJ98" s="100">
        <v>10</v>
      </c>
      <c r="AK98" s="100">
        <v>5256</v>
      </c>
      <c r="AL98" s="100">
        <v>8</v>
      </c>
      <c r="AM98" s="100">
        <v>4204.8</v>
      </c>
      <c r="AN98" s="100">
        <v>9</v>
      </c>
      <c r="AO98" s="100">
        <v>4730.4000000000005</v>
      </c>
      <c r="AP98" s="100">
        <v>8</v>
      </c>
      <c r="AQ98" s="100">
        <v>4204.8</v>
      </c>
      <c r="AR98" s="100">
        <v>8</v>
      </c>
      <c r="AS98" s="100">
        <v>4204.8</v>
      </c>
      <c r="AT98" s="100">
        <v>7.3858921161825748</v>
      </c>
      <c r="AU98" s="100">
        <v>3882.0248962655614</v>
      </c>
      <c r="AV98" s="100">
        <v>8.1560975609756117</v>
      </c>
      <c r="AW98" s="100">
        <v>4286.8448780487815</v>
      </c>
      <c r="AX98" s="100">
        <v>3.0365094217726227</v>
      </c>
      <c r="AY98" s="100">
        <v>1595.9893520836906</v>
      </c>
      <c r="AZ98" s="100">
        <v>8</v>
      </c>
      <c r="BA98" s="100">
        <v>4204.8</v>
      </c>
      <c r="BB98" s="100">
        <v>10.71244635193133</v>
      </c>
      <c r="BC98" s="100">
        <v>5630.461802575107</v>
      </c>
      <c r="BD98" s="100">
        <v>2.8818045905500087</v>
      </c>
      <c r="BE98" s="100">
        <v>1514.6764927930847</v>
      </c>
      <c r="BF98" s="100">
        <v>8</v>
      </c>
      <c r="BG98" s="100">
        <v>4204.8</v>
      </c>
      <c r="BH98" s="100">
        <v>6</v>
      </c>
      <c r="BI98" s="100">
        <v>3153.6000000000004</v>
      </c>
      <c r="BJ98" s="100">
        <v>10.350210970464136</v>
      </c>
      <c r="BK98" s="100">
        <v>5440.0708860759505</v>
      </c>
      <c r="BL98" s="100">
        <v>8</v>
      </c>
      <c r="BM98" s="100">
        <v>4204.8</v>
      </c>
      <c r="BN98" s="100">
        <v>7</v>
      </c>
      <c r="BO98" s="100">
        <v>3679.2000000000003</v>
      </c>
      <c r="BP98" s="100">
        <v>9.9465240641711237</v>
      </c>
      <c r="BQ98" s="100">
        <v>5227.8930481283433</v>
      </c>
      <c r="BR98" s="100">
        <v>2.9395020339551703</v>
      </c>
      <c r="BS98" s="100">
        <v>1545.0022690468377</v>
      </c>
      <c r="BT98" s="100">
        <v>3.8203136181866411</v>
      </c>
      <c r="BU98" s="100">
        <v>2007.9568377188987</v>
      </c>
      <c r="BV98" s="100">
        <v>8.5393258426966305</v>
      </c>
      <c r="BW98" s="100">
        <v>4488.2696629213488</v>
      </c>
      <c r="BX98" s="100">
        <v>11</v>
      </c>
      <c r="BY98" s="100">
        <v>5781.6</v>
      </c>
      <c r="BZ98" s="100">
        <v>7.9098360655737698</v>
      </c>
      <c r="CA98" s="100">
        <v>4157.4098360655735</v>
      </c>
      <c r="CB98" s="100">
        <v>9.2888888888888896</v>
      </c>
      <c r="CC98" s="100">
        <v>4882.2400000000007</v>
      </c>
      <c r="CD98" s="100">
        <v>7.9906542056074761</v>
      </c>
      <c r="CE98" s="100">
        <v>4199.8878504672894</v>
      </c>
      <c r="CF98" s="100">
        <v>9.6759259259259256</v>
      </c>
      <c r="CG98" s="100">
        <v>5085.666666666667</v>
      </c>
      <c r="CH98" s="100">
        <v>9.5871559633027523</v>
      </c>
      <c r="CI98" s="100">
        <v>5039.0091743119265</v>
      </c>
      <c r="CJ98" s="100">
        <v>10.316742081447964</v>
      </c>
      <c r="CK98" s="100">
        <v>5422.4796380090502</v>
      </c>
      <c r="CL98" s="100">
        <v>9.9052132701421787</v>
      </c>
      <c r="CM98" s="100">
        <v>5206.1800947867296</v>
      </c>
      <c r="CN98" s="100">
        <v>10.291666666666668</v>
      </c>
      <c r="CO98" s="100">
        <v>5409.3000000000011</v>
      </c>
      <c r="CP98" s="100">
        <v>9</v>
      </c>
      <c r="CQ98" s="100">
        <v>4730.4000000000005</v>
      </c>
      <c r="CR98" s="100">
        <v>10.719387755102041</v>
      </c>
      <c r="CS98" s="100">
        <v>5634.1102040816331</v>
      </c>
      <c r="CT98" s="100">
        <v>10.048076923076923</v>
      </c>
      <c r="CU98" s="100">
        <v>5281.2692307692314</v>
      </c>
    </row>
    <row r="99" spans="2:99">
      <c r="C99" s="99" t="s">
        <v>265</v>
      </c>
      <c r="D99" s="100">
        <v>5.5416666666666679</v>
      </c>
      <c r="E99" s="100">
        <v>23321.550000000003</v>
      </c>
      <c r="F99" s="100">
        <v>5.1744680851063842</v>
      </c>
      <c r="G99" s="100">
        <v>21776.231489361704</v>
      </c>
      <c r="H99" s="100">
        <v>5.1235955056179785</v>
      </c>
      <c r="I99" s="100">
        <v>21562.139325842698</v>
      </c>
      <c r="J99" s="100">
        <v>5.3467336683417095</v>
      </c>
      <c r="K99" s="100">
        <v>22501.19396984925</v>
      </c>
      <c r="L99" s="100">
        <v>7</v>
      </c>
      <c r="M99" s="100">
        <v>29458.799999999996</v>
      </c>
      <c r="N99" s="100">
        <v>6</v>
      </c>
      <c r="O99" s="100">
        <v>25250.399999999998</v>
      </c>
      <c r="P99" s="100">
        <v>7</v>
      </c>
      <c r="Q99" s="100">
        <v>29458.799999999996</v>
      </c>
      <c r="R99" s="100">
        <v>5</v>
      </c>
      <c r="S99" s="100">
        <v>21042</v>
      </c>
      <c r="T99" s="100">
        <v>8</v>
      </c>
      <c r="U99" s="100">
        <v>33667.199999999997</v>
      </c>
      <c r="V99" s="100">
        <v>8</v>
      </c>
      <c r="W99" s="100">
        <v>33667.199999999997</v>
      </c>
      <c r="X99" s="100">
        <v>9</v>
      </c>
      <c r="Y99" s="100">
        <v>37875.599999999999</v>
      </c>
      <c r="Z99" s="100">
        <v>6</v>
      </c>
      <c r="AA99" s="100">
        <v>25250.399999999998</v>
      </c>
      <c r="AB99" s="100">
        <v>6</v>
      </c>
      <c r="AC99" s="100">
        <v>25250.399999999998</v>
      </c>
      <c r="AD99" s="100">
        <v>4</v>
      </c>
      <c r="AE99" s="100">
        <v>16833.599999999999</v>
      </c>
      <c r="AF99" s="100">
        <v>8</v>
      </c>
      <c r="AG99" s="100">
        <v>33667.199999999997</v>
      </c>
      <c r="AH99" s="100">
        <v>6</v>
      </c>
      <c r="AI99" s="100">
        <v>25250.399999999998</v>
      </c>
      <c r="AJ99" s="100">
        <v>7</v>
      </c>
      <c r="AK99" s="100">
        <v>29458.799999999996</v>
      </c>
      <c r="AL99" s="100">
        <v>6</v>
      </c>
      <c r="AM99" s="100">
        <v>25250.399999999998</v>
      </c>
      <c r="AN99" s="100">
        <v>8</v>
      </c>
      <c r="AO99" s="100">
        <v>33667.199999999997</v>
      </c>
      <c r="AP99" s="100">
        <v>6</v>
      </c>
      <c r="AQ99" s="100">
        <v>25250.399999999998</v>
      </c>
      <c r="AR99" s="100">
        <v>6</v>
      </c>
      <c r="AS99" s="100">
        <v>25250.399999999998</v>
      </c>
      <c r="AT99" s="100">
        <v>5.9087136929460602</v>
      </c>
      <c r="AU99" s="100">
        <v>24866.230705394199</v>
      </c>
      <c r="AV99" s="100">
        <v>5.9317073170731716</v>
      </c>
      <c r="AW99" s="100">
        <v>24962.997073170733</v>
      </c>
      <c r="AX99" s="100">
        <v>2.6027223615193908</v>
      </c>
      <c r="AY99" s="100">
        <v>10953.296786218203</v>
      </c>
      <c r="AZ99" s="100">
        <v>7</v>
      </c>
      <c r="BA99" s="100">
        <v>29458.799999999996</v>
      </c>
      <c r="BB99" s="100">
        <v>8.0343347639484985</v>
      </c>
      <c r="BC99" s="100">
        <v>33811.694420600856</v>
      </c>
      <c r="BD99" s="100">
        <v>2.4015038254583407</v>
      </c>
      <c r="BE99" s="100">
        <v>10106.48869905888</v>
      </c>
      <c r="BF99" s="100">
        <v>7</v>
      </c>
      <c r="BG99" s="100">
        <v>29458.799999999996</v>
      </c>
      <c r="BH99" s="100">
        <v>5</v>
      </c>
      <c r="BI99" s="100">
        <v>21042</v>
      </c>
      <c r="BJ99" s="100">
        <v>8.4683544303797476</v>
      </c>
      <c r="BK99" s="100">
        <v>35638.222784810125</v>
      </c>
      <c r="BL99" s="100">
        <v>6</v>
      </c>
      <c r="BM99" s="100">
        <v>25250.399999999998</v>
      </c>
      <c r="BN99" s="100">
        <v>5</v>
      </c>
      <c r="BO99" s="100">
        <v>21042</v>
      </c>
      <c r="BP99" s="100">
        <v>7.9572192513368991</v>
      </c>
      <c r="BQ99" s="100">
        <v>33487.161497326204</v>
      </c>
      <c r="BR99" s="100">
        <v>2.61289069684904</v>
      </c>
      <c r="BS99" s="100">
        <v>10996.089208619498</v>
      </c>
      <c r="BT99" s="100">
        <v>3.0562508945493128</v>
      </c>
      <c r="BU99" s="100">
        <v>12861.926264621326</v>
      </c>
      <c r="BV99" s="100">
        <v>5.9775280898876417</v>
      </c>
      <c r="BW99" s="100">
        <v>25155.82921348315</v>
      </c>
      <c r="BX99" s="100">
        <v>8</v>
      </c>
      <c r="BY99" s="100">
        <v>33667.199999999997</v>
      </c>
      <c r="BZ99" s="100">
        <v>6.3278688524590168</v>
      </c>
      <c r="CA99" s="100">
        <v>26630.203278688525</v>
      </c>
      <c r="CB99" s="100">
        <v>6.7555555555555555</v>
      </c>
      <c r="CC99" s="100">
        <v>28430.079999999998</v>
      </c>
      <c r="CD99" s="100">
        <v>6.2149532710280369</v>
      </c>
      <c r="CE99" s="100">
        <v>26155.009345794388</v>
      </c>
      <c r="CF99" s="100">
        <v>7.9166666666666661</v>
      </c>
      <c r="CG99" s="100">
        <v>33316.499999999993</v>
      </c>
      <c r="CH99" s="100">
        <v>6.9724770642201843</v>
      </c>
      <c r="CI99" s="100">
        <v>29342.972477064221</v>
      </c>
      <c r="CJ99" s="100">
        <v>7.7375565610859729</v>
      </c>
      <c r="CK99" s="100">
        <v>32562.733031674205</v>
      </c>
      <c r="CL99" s="100">
        <v>6.3033175355450242</v>
      </c>
      <c r="CM99" s="100">
        <v>26526.881516587677</v>
      </c>
      <c r="CN99" s="100">
        <v>7.125</v>
      </c>
      <c r="CO99" s="100">
        <v>29984.85</v>
      </c>
      <c r="CP99" s="100">
        <v>7</v>
      </c>
      <c r="CQ99" s="100">
        <v>29458.799999999996</v>
      </c>
      <c r="CR99" s="100">
        <v>7.7959183673469381</v>
      </c>
      <c r="CS99" s="100">
        <v>32808.342857142852</v>
      </c>
      <c r="CT99" s="100">
        <v>8.2211538461538467</v>
      </c>
      <c r="CU99" s="100">
        <v>34597.903846153844</v>
      </c>
    </row>
    <row r="100" spans="2:99">
      <c r="C100" s="99" t="s">
        <v>266</v>
      </c>
      <c r="D100" s="100">
        <v>7.9166666666666687</v>
      </c>
      <c r="E100" s="100">
        <v>2565.0000000000005</v>
      </c>
      <c r="F100" s="100">
        <v>7.114893617021278</v>
      </c>
      <c r="G100" s="100">
        <v>2305.225531914894</v>
      </c>
      <c r="H100" s="100">
        <v>7.6853932584269673</v>
      </c>
      <c r="I100" s="100">
        <v>2490.0674157303374</v>
      </c>
      <c r="J100" s="100">
        <v>6.8743718592964838</v>
      </c>
      <c r="K100" s="100">
        <v>2227.2964824120609</v>
      </c>
      <c r="L100" s="100">
        <v>10</v>
      </c>
      <c r="M100" s="100">
        <v>3240</v>
      </c>
      <c r="N100" s="100">
        <v>7</v>
      </c>
      <c r="O100" s="100">
        <v>2268</v>
      </c>
      <c r="P100" s="100">
        <v>9</v>
      </c>
      <c r="Q100" s="100">
        <v>2916</v>
      </c>
      <c r="R100" s="100">
        <v>7</v>
      </c>
      <c r="S100" s="100">
        <v>2268</v>
      </c>
      <c r="T100" s="100">
        <v>10</v>
      </c>
      <c r="U100" s="100">
        <v>3240</v>
      </c>
      <c r="V100" s="100">
        <v>11</v>
      </c>
      <c r="W100" s="100">
        <v>3564</v>
      </c>
      <c r="X100" s="100">
        <v>10</v>
      </c>
      <c r="Y100" s="100">
        <v>3240</v>
      </c>
      <c r="Z100" s="100">
        <v>8</v>
      </c>
      <c r="AA100" s="100">
        <v>2592</v>
      </c>
      <c r="AB100" s="100">
        <v>9</v>
      </c>
      <c r="AC100" s="100">
        <v>2916</v>
      </c>
      <c r="AD100" s="100">
        <v>6</v>
      </c>
      <c r="AE100" s="100">
        <v>1944</v>
      </c>
      <c r="AF100" s="100">
        <v>10</v>
      </c>
      <c r="AG100" s="100">
        <v>3240</v>
      </c>
      <c r="AH100" s="100">
        <v>7</v>
      </c>
      <c r="AI100" s="100">
        <v>2268</v>
      </c>
      <c r="AJ100" s="100">
        <v>10</v>
      </c>
      <c r="AK100" s="100">
        <v>3240</v>
      </c>
      <c r="AL100" s="100">
        <v>8</v>
      </c>
      <c r="AM100" s="100">
        <v>2592</v>
      </c>
      <c r="AN100" s="100">
        <v>11</v>
      </c>
      <c r="AO100" s="100">
        <v>3564</v>
      </c>
      <c r="AP100" s="100">
        <v>7</v>
      </c>
      <c r="AQ100" s="100">
        <v>2268</v>
      </c>
      <c r="AR100" s="100">
        <v>9</v>
      </c>
      <c r="AS100" s="100">
        <v>2916</v>
      </c>
      <c r="AT100" s="100">
        <v>8.1244813278008312</v>
      </c>
      <c r="AU100" s="100">
        <v>2632.3319502074692</v>
      </c>
      <c r="AV100" s="100">
        <v>8.1560975609756117</v>
      </c>
      <c r="AW100" s="100">
        <v>2642.5756097560984</v>
      </c>
      <c r="AX100" s="100">
        <v>3.4702964820258546</v>
      </c>
      <c r="AY100" s="100">
        <v>1124.376060176377</v>
      </c>
      <c r="AZ100" s="100">
        <v>9</v>
      </c>
      <c r="BA100" s="100">
        <v>2916</v>
      </c>
      <c r="BB100" s="100">
        <v>9.8197424892703875</v>
      </c>
      <c r="BC100" s="100">
        <v>3181.5965665236054</v>
      </c>
      <c r="BD100" s="100">
        <v>2.8818045905500087</v>
      </c>
      <c r="BE100" s="100">
        <v>933.7046873382028</v>
      </c>
      <c r="BF100" s="100">
        <v>9</v>
      </c>
      <c r="BG100" s="100">
        <v>2916</v>
      </c>
      <c r="BH100" s="100">
        <v>6</v>
      </c>
      <c r="BI100" s="100">
        <v>1944</v>
      </c>
      <c r="BJ100" s="100">
        <v>10.350210970464136</v>
      </c>
      <c r="BK100" s="100">
        <v>3353.4683544303803</v>
      </c>
      <c r="BL100" s="100">
        <v>7</v>
      </c>
      <c r="BM100" s="100">
        <v>2268</v>
      </c>
      <c r="BN100" s="100">
        <v>7</v>
      </c>
      <c r="BO100" s="100">
        <v>2268</v>
      </c>
      <c r="BP100" s="100">
        <v>8.9518716577540118</v>
      </c>
      <c r="BQ100" s="100">
        <v>2900.4064171123</v>
      </c>
      <c r="BR100" s="100">
        <v>3.2661133710613002</v>
      </c>
      <c r="BS100" s="100">
        <v>1058.2207322238612</v>
      </c>
      <c r="BT100" s="100">
        <v>3.4382822563679767</v>
      </c>
      <c r="BU100" s="100">
        <v>1114.0034510632245</v>
      </c>
      <c r="BV100" s="100">
        <v>7.6853932584269673</v>
      </c>
      <c r="BW100" s="100">
        <v>2490.0674157303374</v>
      </c>
      <c r="BX100" s="100">
        <v>11</v>
      </c>
      <c r="BY100" s="100">
        <v>3564</v>
      </c>
      <c r="BZ100" s="100">
        <v>8.7008196721311482</v>
      </c>
      <c r="CA100" s="100">
        <v>2819.0655737704919</v>
      </c>
      <c r="CB100" s="100">
        <v>10.133333333333335</v>
      </c>
      <c r="CC100" s="100">
        <v>3283.2000000000003</v>
      </c>
      <c r="CD100" s="100">
        <v>8.8785046728971952</v>
      </c>
      <c r="CE100" s="100">
        <v>2876.6355140186911</v>
      </c>
      <c r="CF100" s="100">
        <v>10.555555555555555</v>
      </c>
      <c r="CG100" s="100">
        <v>3420</v>
      </c>
      <c r="CH100" s="100">
        <v>8.7155963302752291</v>
      </c>
      <c r="CI100" s="100">
        <v>2823.8532110091742</v>
      </c>
      <c r="CJ100" s="100">
        <v>10.316742081447964</v>
      </c>
      <c r="CK100" s="100">
        <v>3342.6244343891403</v>
      </c>
      <c r="CL100" s="100">
        <v>9.9052132701421787</v>
      </c>
      <c r="CM100" s="100">
        <v>3209.2890995260659</v>
      </c>
      <c r="CN100" s="100">
        <v>9.5</v>
      </c>
      <c r="CO100" s="100">
        <v>3078</v>
      </c>
      <c r="CP100" s="100">
        <v>9</v>
      </c>
      <c r="CQ100" s="100">
        <v>2916</v>
      </c>
      <c r="CR100" s="100">
        <v>10.719387755102041</v>
      </c>
      <c r="CS100" s="100">
        <v>3473.0816326530612</v>
      </c>
      <c r="CT100" s="100">
        <v>10.961538461538462</v>
      </c>
      <c r="CU100" s="100">
        <v>3551.5384615384614</v>
      </c>
    </row>
    <row r="101" spans="2:99">
      <c r="C101" s="99" t="s">
        <v>267</v>
      </c>
      <c r="D101" s="100">
        <v>7.9166666666666687</v>
      </c>
      <c r="E101" s="100">
        <v>5728.5000000000018</v>
      </c>
      <c r="F101" s="100">
        <v>7.7617021276595759</v>
      </c>
      <c r="G101" s="100">
        <v>5616.3676595744691</v>
      </c>
      <c r="H101" s="100">
        <v>6.8314606741573041</v>
      </c>
      <c r="I101" s="100">
        <v>4943.2449438202257</v>
      </c>
      <c r="J101" s="100">
        <v>6.8743718592964838</v>
      </c>
      <c r="K101" s="100">
        <v>4974.295477386936</v>
      </c>
      <c r="L101" s="100">
        <v>10</v>
      </c>
      <c r="M101" s="100">
        <v>7236</v>
      </c>
      <c r="N101" s="100">
        <v>7</v>
      </c>
      <c r="O101" s="100">
        <v>5065.2</v>
      </c>
      <c r="P101" s="100">
        <v>9</v>
      </c>
      <c r="Q101" s="100">
        <v>6512.4000000000005</v>
      </c>
      <c r="R101" s="100">
        <v>6</v>
      </c>
      <c r="S101" s="100">
        <v>4341.6000000000004</v>
      </c>
      <c r="T101" s="100">
        <v>11</v>
      </c>
      <c r="U101" s="100">
        <v>7959.6</v>
      </c>
      <c r="V101" s="100">
        <v>10</v>
      </c>
      <c r="W101" s="100">
        <v>7236</v>
      </c>
      <c r="X101" s="100">
        <v>11</v>
      </c>
      <c r="Y101" s="100">
        <v>7959.6</v>
      </c>
      <c r="Z101" s="100">
        <v>9</v>
      </c>
      <c r="AA101" s="100">
        <v>6512.4000000000005</v>
      </c>
      <c r="AB101" s="100">
        <v>8</v>
      </c>
      <c r="AC101" s="100">
        <v>5788.8</v>
      </c>
      <c r="AD101" s="100">
        <v>6</v>
      </c>
      <c r="AE101" s="100">
        <v>4341.6000000000004</v>
      </c>
      <c r="AF101" s="100">
        <v>10</v>
      </c>
      <c r="AG101" s="100">
        <v>7236</v>
      </c>
      <c r="AH101" s="100">
        <v>7</v>
      </c>
      <c r="AI101" s="100">
        <v>5065.2</v>
      </c>
      <c r="AJ101" s="100">
        <v>10</v>
      </c>
      <c r="AK101" s="100">
        <v>7236</v>
      </c>
      <c r="AL101" s="100">
        <v>7</v>
      </c>
      <c r="AM101" s="100">
        <v>5065.2</v>
      </c>
      <c r="AN101" s="100">
        <v>9</v>
      </c>
      <c r="AO101" s="100">
        <v>6512.4000000000005</v>
      </c>
      <c r="AP101" s="100">
        <v>8</v>
      </c>
      <c r="AQ101" s="100">
        <v>5788.8</v>
      </c>
      <c r="AR101" s="100">
        <v>9</v>
      </c>
      <c r="AS101" s="100">
        <v>6512.4000000000005</v>
      </c>
      <c r="AT101" s="100">
        <v>7.3858921161825748</v>
      </c>
      <c r="AU101" s="100">
        <v>5344.4315352697113</v>
      </c>
      <c r="AV101" s="100">
        <v>7.4146341463414647</v>
      </c>
      <c r="AW101" s="100">
        <v>5365.2292682926836</v>
      </c>
      <c r="AX101" s="100">
        <v>3.4702964820258546</v>
      </c>
      <c r="AY101" s="100">
        <v>2511.1065343939085</v>
      </c>
      <c r="AZ101" s="100">
        <v>9</v>
      </c>
      <c r="BA101" s="100">
        <v>6512.4000000000005</v>
      </c>
      <c r="BB101" s="100">
        <v>9.8197424892703875</v>
      </c>
      <c r="BC101" s="100">
        <v>7105.5656652360531</v>
      </c>
      <c r="BD101" s="100">
        <v>2.8818045905500087</v>
      </c>
      <c r="BE101" s="100">
        <v>2085.2738017219863</v>
      </c>
      <c r="BF101" s="100">
        <v>8</v>
      </c>
      <c r="BG101" s="100">
        <v>5788.8</v>
      </c>
      <c r="BH101" s="100">
        <v>6</v>
      </c>
      <c r="BI101" s="100">
        <v>4341.6000000000004</v>
      </c>
      <c r="BJ101" s="100">
        <v>11.291139240506329</v>
      </c>
      <c r="BK101" s="100">
        <v>8170.26835443038</v>
      </c>
      <c r="BL101" s="100">
        <v>7</v>
      </c>
      <c r="BM101" s="100">
        <v>5065.2</v>
      </c>
      <c r="BN101" s="100">
        <v>6</v>
      </c>
      <c r="BO101" s="100">
        <v>4341.6000000000004</v>
      </c>
      <c r="BP101" s="100">
        <v>9.9465240641711237</v>
      </c>
      <c r="BQ101" s="100">
        <v>7197.3048128342252</v>
      </c>
      <c r="BR101" s="100">
        <v>3.5927247081674305</v>
      </c>
      <c r="BS101" s="100">
        <v>2599.6955988299528</v>
      </c>
      <c r="BT101" s="100">
        <v>3.4382822563679767</v>
      </c>
      <c r="BU101" s="100">
        <v>2487.9410407078681</v>
      </c>
      <c r="BV101" s="100">
        <v>7.6853932584269673</v>
      </c>
      <c r="BW101" s="100">
        <v>5561.1505617977537</v>
      </c>
      <c r="BX101" s="100">
        <v>11</v>
      </c>
      <c r="BY101" s="100">
        <v>7959.6</v>
      </c>
      <c r="BZ101" s="100">
        <v>8.7008196721311482</v>
      </c>
      <c r="CA101" s="100">
        <v>6295.9131147540993</v>
      </c>
      <c r="CB101" s="100">
        <v>9.2888888888888896</v>
      </c>
      <c r="CC101" s="100">
        <v>6721.4400000000005</v>
      </c>
      <c r="CD101" s="100">
        <v>7.1028037383177569</v>
      </c>
      <c r="CE101" s="100">
        <v>5139.5887850467288</v>
      </c>
      <c r="CF101" s="100">
        <v>9.6759259259259256</v>
      </c>
      <c r="CG101" s="100">
        <v>7001.5</v>
      </c>
      <c r="CH101" s="100">
        <v>8.7155963302752291</v>
      </c>
      <c r="CI101" s="100">
        <v>6306.6055045871562</v>
      </c>
      <c r="CJ101" s="100">
        <v>10.316742081447964</v>
      </c>
      <c r="CK101" s="100">
        <v>7465.1945701357472</v>
      </c>
      <c r="CL101" s="100">
        <v>9.9052132701421787</v>
      </c>
      <c r="CM101" s="100">
        <v>7167.4123222748804</v>
      </c>
      <c r="CN101" s="100">
        <v>8.7083333333333321</v>
      </c>
      <c r="CO101" s="100">
        <v>6301.3499999999995</v>
      </c>
      <c r="CP101" s="100">
        <v>9</v>
      </c>
      <c r="CQ101" s="100">
        <v>6512.4000000000005</v>
      </c>
      <c r="CR101" s="100">
        <v>10.719387755102041</v>
      </c>
      <c r="CS101" s="100">
        <v>7756.5489795918365</v>
      </c>
      <c r="CT101" s="100">
        <v>10.961538461538462</v>
      </c>
      <c r="CU101" s="100">
        <v>7931.7692307692314</v>
      </c>
    </row>
    <row r="102" spans="2:99">
      <c r="C102" s="99" t="s">
        <v>268</v>
      </c>
      <c r="D102" s="100">
        <v>7.1250000000000018</v>
      </c>
      <c r="E102" s="100">
        <v>3787.650000000001</v>
      </c>
      <c r="F102" s="100">
        <v>6.4680851063829801</v>
      </c>
      <c r="G102" s="100">
        <v>3438.4340425531923</v>
      </c>
      <c r="H102" s="100">
        <v>7.6853932584269673</v>
      </c>
      <c r="I102" s="100">
        <v>4085.5550561797759</v>
      </c>
      <c r="J102" s="100">
        <v>6.8743718592964838</v>
      </c>
      <c r="K102" s="100">
        <v>3654.4160804020107</v>
      </c>
      <c r="L102" s="100">
        <v>9</v>
      </c>
      <c r="M102" s="100">
        <v>4784.4000000000005</v>
      </c>
      <c r="N102" s="100">
        <v>7</v>
      </c>
      <c r="O102" s="100">
        <v>3721.2000000000003</v>
      </c>
      <c r="P102" s="100">
        <v>9</v>
      </c>
      <c r="Q102" s="100">
        <v>4784.4000000000005</v>
      </c>
      <c r="R102" s="100">
        <v>7</v>
      </c>
      <c r="S102" s="100">
        <v>3721.2000000000003</v>
      </c>
      <c r="T102" s="100">
        <v>11</v>
      </c>
      <c r="U102" s="100">
        <v>5847.6</v>
      </c>
      <c r="V102" s="100">
        <v>10</v>
      </c>
      <c r="W102" s="100">
        <v>5316</v>
      </c>
      <c r="X102" s="100">
        <v>11</v>
      </c>
      <c r="Y102" s="100">
        <v>5847.6</v>
      </c>
      <c r="Z102" s="100">
        <v>7</v>
      </c>
      <c r="AA102" s="100">
        <v>3721.2000000000003</v>
      </c>
      <c r="AB102" s="100">
        <v>8</v>
      </c>
      <c r="AC102" s="100">
        <v>4252.8</v>
      </c>
      <c r="AD102" s="100">
        <v>6</v>
      </c>
      <c r="AE102" s="100">
        <v>3189.6000000000004</v>
      </c>
      <c r="AF102" s="100">
        <v>9</v>
      </c>
      <c r="AG102" s="100">
        <v>4784.4000000000005</v>
      </c>
      <c r="AH102" s="100">
        <v>8</v>
      </c>
      <c r="AI102" s="100">
        <v>4252.8</v>
      </c>
      <c r="AJ102" s="100">
        <v>9</v>
      </c>
      <c r="AK102" s="100">
        <v>4784.4000000000005</v>
      </c>
      <c r="AL102" s="100">
        <v>8</v>
      </c>
      <c r="AM102" s="100">
        <v>4252.8</v>
      </c>
      <c r="AN102" s="100">
        <v>11</v>
      </c>
      <c r="AO102" s="100">
        <v>5847.6</v>
      </c>
      <c r="AP102" s="100">
        <v>8</v>
      </c>
      <c r="AQ102" s="100">
        <v>4252.8</v>
      </c>
      <c r="AR102" s="100">
        <v>8</v>
      </c>
      <c r="AS102" s="100">
        <v>4252.8</v>
      </c>
      <c r="AT102" s="100">
        <v>8.1244813278008312</v>
      </c>
      <c r="AU102" s="100">
        <v>4318.9742738589221</v>
      </c>
      <c r="AV102" s="100">
        <v>7.4146341463414647</v>
      </c>
      <c r="AW102" s="100">
        <v>3941.6195121951228</v>
      </c>
      <c r="AX102" s="100">
        <v>3.904083542279086</v>
      </c>
      <c r="AY102" s="100">
        <v>2075.4108110755624</v>
      </c>
      <c r="AZ102" s="100">
        <v>10</v>
      </c>
      <c r="BA102" s="100">
        <v>5316</v>
      </c>
      <c r="BB102" s="100">
        <v>9.8197424892703875</v>
      </c>
      <c r="BC102" s="100">
        <v>5220.1751072961379</v>
      </c>
      <c r="BD102" s="100">
        <v>2.8818045905500087</v>
      </c>
      <c r="BE102" s="100">
        <v>1531.9673203363848</v>
      </c>
      <c r="BF102" s="100">
        <v>8</v>
      </c>
      <c r="BG102" s="100">
        <v>4252.8</v>
      </c>
      <c r="BH102" s="100">
        <v>6</v>
      </c>
      <c r="BI102" s="100">
        <v>3189.6000000000004</v>
      </c>
      <c r="BJ102" s="100">
        <v>11.291139240506329</v>
      </c>
      <c r="BK102" s="100">
        <v>6002.3696202531646</v>
      </c>
      <c r="BL102" s="100">
        <v>8</v>
      </c>
      <c r="BM102" s="100">
        <v>4252.8</v>
      </c>
      <c r="BN102" s="100">
        <v>6</v>
      </c>
      <c r="BO102" s="100">
        <v>3189.6000000000004</v>
      </c>
      <c r="BP102" s="100">
        <v>8.9518716577540118</v>
      </c>
      <c r="BQ102" s="100">
        <v>4758.8149732620332</v>
      </c>
      <c r="BR102" s="100">
        <v>3.2661133710613002</v>
      </c>
      <c r="BS102" s="100">
        <v>1736.2658680561872</v>
      </c>
      <c r="BT102" s="100">
        <v>3.4382822563679767</v>
      </c>
      <c r="BU102" s="100">
        <v>1827.7908474852165</v>
      </c>
      <c r="BV102" s="100">
        <v>8.5393258426966305</v>
      </c>
      <c r="BW102" s="100">
        <v>4539.5056179775293</v>
      </c>
      <c r="BX102" s="100">
        <v>11</v>
      </c>
      <c r="BY102" s="100">
        <v>5847.6</v>
      </c>
      <c r="BZ102" s="100">
        <v>8.7008196721311482</v>
      </c>
      <c r="CA102" s="100">
        <v>4625.3557377049183</v>
      </c>
      <c r="CB102" s="100">
        <v>9.2888888888888896</v>
      </c>
      <c r="CC102" s="100">
        <v>4937.9733333333343</v>
      </c>
      <c r="CD102" s="100">
        <v>8.8785046728971952</v>
      </c>
      <c r="CE102" s="100">
        <v>4719.8130841121492</v>
      </c>
      <c r="CF102" s="100">
        <v>8.7962962962962958</v>
      </c>
      <c r="CG102" s="100">
        <v>4676.1111111111113</v>
      </c>
      <c r="CH102" s="100">
        <v>8.7155963302752291</v>
      </c>
      <c r="CI102" s="100">
        <v>4633.2110091743116</v>
      </c>
      <c r="CJ102" s="100">
        <v>10.316742081447964</v>
      </c>
      <c r="CK102" s="100">
        <v>5484.3800904977379</v>
      </c>
      <c r="CL102" s="100">
        <v>8.1042654028436019</v>
      </c>
      <c r="CM102" s="100">
        <v>4308.2274881516587</v>
      </c>
      <c r="CN102" s="100">
        <v>8.7083333333333321</v>
      </c>
      <c r="CO102" s="100">
        <v>4629.3499999999995</v>
      </c>
      <c r="CP102" s="100">
        <v>9</v>
      </c>
      <c r="CQ102" s="100">
        <v>4784.4000000000005</v>
      </c>
      <c r="CR102" s="100">
        <v>9.7448979591836729</v>
      </c>
      <c r="CS102" s="100">
        <v>5180.3877551020405</v>
      </c>
      <c r="CT102" s="100">
        <v>10.048076923076923</v>
      </c>
      <c r="CU102" s="100">
        <v>5341.5576923076924</v>
      </c>
    </row>
    <row r="103" spans="2:99">
      <c r="C103" s="99" t="s">
        <v>269</v>
      </c>
      <c r="D103" s="100">
        <v>7.9166666666666687</v>
      </c>
      <c r="E103" s="100">
        <v>4664.5000000000009</v>
      </c>
      <c r="F103" s="100">
        <v>7.114893617021278</v>
      </c>
      <c r="G103" s="100">
        <v>4192.0953191489361</v>
      </c>
      <c r="H103" s="100">
        <v>7.6853932584269673</v>
      </c>
      <c r="I103" s="100">
        <v>4528.233707865169</v>
      </c>
      <c r="J103" s="100">
        <v>6.8743718592964838</v>
      </c>
      <c r="K103" s="100">
        <v>4050.3798994974877</v>
      </c>
      <c r="L103" s="100">
        <v>10</v>
      </c>
      <c r="M103" s="100">
        <v>5891.9999999999991</v>
      </c>
      <c r="N103" s="100">
        <v>7</v>
      </c>
      <c r="O103" s="100">
        <v>4124.3999999999996</v>
      </c>
      <c r="P103" s="100">
        <v>9</v>
      </c>
      <c r="Q103" s="100">
        <v>5302.7999999999993</v>
      </c>
      <c r="R103" s="100">
        <v>6</v>
      </c>
      <c r="S103" s="100">
        <v>3535.2</v>
      </c>
      <c r="T103" s="100">
        <v>11</v>
      </c>
      <c r="U103" s="100">
        <v>6481.1999999999989</v>
      </c>
      <c r="V103" s="100">
        <v>11</v>
      </c>
      <c r="W103" s="100">
        <v>6481.1999999999989</v>
      </c>
      <c r="X103" s="100">
        <v>10</v>
      </c>
      <c r="Y103" s="100">
        <v>5891.9999999999991</v>
      </c>
      <c r="Z103" s="100">
        <v>8</v>
      </c>
      <c r="AA103" s="100">
        <v>4713.5999999999995</v>
      </c>
      <c r="AB103" s="100">
        <v>8</v>
      </c>
      <c r="AC103" s="100">
        <v>4713.5999999999995</v>
      </c>
      <c r="AD103" s="100">
        <v>6</v>
      </c>
      <c r="AE103" s="100">
        <v>3535.2</v>
      </c>
      <c r="AF103" s="100">
        <v>11</v>
      </c>
      <c r="AG103" s="100">
        <v>6481.1999999999989</v>
      </c>
      <c r="AH103" s="100">
        <v>7</v>
      </c>
      <c r="AI103" s="100">
        <v>4124.3999999999996</v>
      </c>
      <c r="AJ103" s="100">
        <v>10</v>
      </c>
      <c r="AK103" s="100">
        <v>5891.9999999999991</v>
      </c>
      <c r="AL103" s="100">
        <v>8</v>
      </c>
      <c r="AM103" s="100">
        <v>4713.5999999999995</v>
      </c>
      <c r="AN103" s="100">
        <v>11</v>
      </c>
      <c r="AO103" s="100">
        <v>6481.1999999999989</v>
      </c>
      <c r="AP103" s="100">
        <v>7</v>
      </c>
      <c r="AQ103" s="100">
        <v>4124.3999999999996</v>
      </c>
      <c r="AR103" s="100">
        <v>8</v>
      </c>
      <c r="AS103" s="100">
        <v>4713.5999999999995</v>
      </c>
      <c r="AT103" s="100">
        <v>8.1244813278008312</v>
      </c>
      <c r="AU103" s="100">
        <v>4786.9443983402489</v>
      </c>
      <c r="AV103" s="100">
        <v>8.1560975609756117</v>
      </c>
      <c r="AW103" s="100">
        <v>4805.5726829268297</v>
      </c>
      <c r="AX103" s="100">
        <v>3.4702964820258546</v>
      </c>
      <c r="AY103" s="100">
        <v>2044.6986872096334</v>
      </c>
      <c r="AZ103" s="100">
        <v>9</v>
      </c>
      <c r="BA103" s="100">
        <v>5302.7999999999993</v>
      </c>
      <c r="BB103" s="100">
        <v>9.8197424892703875</v>
      </c>
      <c r="BC103" s="100">
        <v>5785.7922746781114</v>
      </c>
      <c r="BD103" s="100">
        <v>2.8818045905500087</v>
      </c>
      <c r="BE103" s="100">
        <v>1697.9592647520649</v>
      </c>
      <c r="BF103" s="100">
        <v>8</v>
      </c>
      <c r="BG103" s="100">
        <v>4713.5999999999995</v>
      </c>
      <c r="BH103" s="100">
        <v>6</v>
      </c>
      <c r="BI103" s="100">
        <v>3535.2</v>
      </c>
      <c r="BJ103" s="100">
        <v>10.350210970464136</v>
      </c>
      <c r="BK103" s="100">
        <v>6098.3443037974685</v>
      </c>
      <c r="BL103" s="100">
        <v>8</v>
      </c>
      <c r="BM103" s="100">
        <v>4713.5999999999995</v>
      </c>
      <c r="BN103" s="100">
        <v>7</v>
      </c>
      <c r="BO103" s="100">
        <v>4124.3999999999996</v>
      </c>
      <c r="BP103" s="100">
        <v>9.9465240641711237</v>
      </c>
      <c r="BQ103" s="100">
        <v>5860.4919786096252</v>
      </c>
      <c r="BR103" s="100">
        <v>2.9395020339551703</v>
      </c>
      <c r="BS103" s="100">
        <v>1731.9545984063861</v>
      </c>
      <c r="BT103" s="100">
        <v>4.2023449800053054</v>
      </c>
      <c r="BU103" s="100">
        <v>2476.0216622191256</v>
      </c>
      <c r="BV103" s="100">
        <v>7.6853932584269673</v>
      </c>
      <c r="BW103" s="100">
        <v>4528.233707865169</v>
      </c>
      <c r="BX103" s="100">
        <v>11</v>
      </c>
      <c r="BY103" s="100">
        <v>6481.1999999999989</v>
      </c>
      <c r="BZ103" s="100">
        <v>8.7008196721311482</v>
      </c>
      <c r="CA103" s="100">
        <v>5126.5229508196717</v>
      </c>
      <c r="CB103" s="100">
        <v>8.4444444444444446</v>
      </c>
      <c r="CC103" s="100">
        <v>4975.4666666666662</v>
      </c>
      <c r="CD103" s="100">
        <v>8.8785046728971952</v>
      </c>
      <c r="CE103" s="100">
        <v>5231.2149532710264</v>
      </c>
      <c r="CF103" s="100">
        <v>9.6759259259259256</v>
      </c>
      <c r="CG103" s="100">
        <v>5701.0555555555547</v>
      </c>
      <c r="CH103" s="100">
        <v>8.7155963302752291</v>
      </c>
      <c r="CI103" s="100">
        <v>5135.2293577981645</v>
      </c>
      <c r="CJ103" s="100">
        <v>8.5972850678733028</v>
      </c>
      <c r="CK103" s="100">
        <v>5065.5203619909498</v>
      </c>
      <c r="CL103" s="100">
        <v>9.9052132701421787</v>
      </c>
      <c r="CM103" s="100">
        <v>5836.1516587677706</v>
      </c>
      <c r="CN103" s="100">
        <v>8.7083333333333321</v>
      </c>
      <c r="CO103" s="100">
        <v>5130.9499999999989</v>
      </c>
      <c r="CP103" s="100">
        <v>9</v>
      </c>
      <c r="CQ103" s="100">
        <v>5302.7999999999993</v>
      </c>
      <c r="CR103" s="100">
        <v>9.7448979591836729</v>
      </c>
      <c r="CS103" s="100">
        <v>5741.6938775510198</v>
      </c>
      <c r="CT103" s="100">
        <v>10.048076923076923</v>
      </c>
      <c r="CU103" s="100">
        <v>5920.3269230769229</v>
      </c>
    </row>
    <row r="104" spans="2:99">
      <c r="C104" s="99" t="s">
        <v>270</v>
      </c>
      <c r="D104" s="100">
        <v>7.1250000000000018</v>
      </c>
      <c r="E104" s="100">
        <v>4505.8500000000013</v>
      </c>
      <c r="F104" s="100">
        <v>7.7617021276595759</v>
      </c>
      <c r="G104" s="100">
        <v>4908.5004255319154</v>
      </c>
      <c r="H104" s="100">
        <v>6.8314606741573041</v>
      </c>
      <c r="I104" s="100">
        <v>4320.2157303370786</v>
      </c>
      <c r="J104" s="100">
        <v>7.6381909547738713</v>
      </c>
      <c r="K104" s="100">
        <v>4830.3919597989961</v>
      </c>
      <c r="L104" s="100">
        <v>10</v>
      </c>
      <c r="M104" s="100">
        <v>6324</v>
      </c>
      <c r="N104" s="100">
        <v>8</v>
      </c>
      <c r="O104" s="100">
        <v>5059.2</v>
      </c>
      <c r="P104" s="100">
        <v>10</v>
      </c>
      <c r="Q104" s="100">
        <v>6324</v>
      </c>
      <c r="R104" s="100">
        <v>6</v>
      </c>
      <c r="S104" s="100">
        <v>3794.3999999999996</v>
      </c>
      <c r="T104" s="100">
        <v>10</v>
      </c>
      <c r="U104" s="100">
        <v>6324</v>
      </c>
      <c r="V104" s="100">
        <v>9</v>
      </c>
      <c r="W104" s="100">
        <v>5691.5999999999995</v>
      </c>
      <c r="X104" s="100">
        <v>11</v>
      </c>
      <c r="Y104" s="100">
        <v>6956.4</v>
      </c>
      <c r="Z104" s="100">
        <v>8</v>
      </c>
      <c r="AA104" s="100">
        <v>5059.2</v>
      </c>
      <c r="AB104" s="100">
        <v>8</v>
      </c>
      <c r="AC104" s="100">
        <v>5059.2</v>
      </c>
      <c r="AD104" s="100">
        <v>6</v>
      </c>
      <c r="AE104" s="100">
        <v>3794.3999999999996</v>
      </c>
      <c r="AF104" s="100">
        <v>10</v>
      </c>
      <c r="AG104" s="100">
        <v>6324</v>
      </c>
      <c r="AH104" s="100">
        <v>7</v>
      </c>
      <c r="AI104" s="100">
        <v>4426.8</v>
      </c>
      <c r="AJ104" s="100">
        <v>10</v>
      </c>
      <c r="AK104" s="100">
        <v>6324</v>
      </c>
      <c r="AL104" s="100">
        <v>7</v>
      </c>
      <c r="AM104" s="100">
        <v>4426.8</v>
      </c>
      <c r="AN104" s="100">
        <v>9</v>
      </c>
      <c r="AO104" s="100">
        <v>5691.5999999999995</v>
      </c>
      <c r="AP104" s="100">
        <v>7</v>
      </c>
      <c r="AQ104" s="100">
        <v>4426.8</v>
      </c>
      <c r="AR104" s="100">
        <v>8</v>
      </c>
      <c r="AS104" s="100">
        <v>5059.2</v>
      </c>
      <c r="AT104" s="100">
        <v>8.1244813278008312</v>
      </c>
      <c r="AU104" s="100">
        <v>5137.9219917012451</v>
      </c>
      <c r="AV104" s="100">
        <v>7.4146341463414647</v>
      </c>
      <c r="AW104" s="100">
        <v>4689.0146341463424</v>
      </c>
      <c r="AX104" s="100">
        <v>3.0365094217726227</v>
      </c>
      <c r="AY104" s="100">
        <v>1920.2885583290065</v>
      </c>
      <c r="AZ104" s="100">
        <v>10</v>
      </c>
      <c r="BA104" s="100">
        <v>6324</v>
      </c>
      <c r="BB104" s="100">
        <v>10.71244635193133</v>
      </c>
      <c r="BC104" s="100">
        <v>6774.5510729613734</v>
      </c>
      <c r="BD104" s="100">
        <v>2.8818045905500087</v>
      </c>
      <c r="BE104" s="100">
        <v>1822.4532230638254</v>
      </c>
      <c r="BF104" s="100">
        <v>8</v>
      </c>
      <c r="BG104" s="100">
        <v>5059.2</v>
      </c>
      <c r="BH104" s="100">
        <v>6</v>
      </c>
      <c r="BI104" s="100">
        <v>3794.3999999999996</v>
      </c>
      <c r="BJ104" s="100">
        <v>9.4092827004219401</v>
      </c>
      <c r="BK104" s="100">
        <v>5950.4303797468347</v>
      </c>
      <c r="BL104" s="100">
        <v>8</v>
      </c>
      <c r="BM104" s="100">
        <v>5059.2</v>
      </c>
      <c r="BN104" s="100">
        <v>7</v>
      </c>
      <c r="BO104" s="100">
        <v>4426.8</v>
      </c>
      <c r="BP104" s="100">
        <v>9.9465240641711237</v>
      </c>
      <c r="BQ104" s="100">
        <v>6290.181818181818</v>
      </c>
      <c r="BR104" s="100">
        <v>3.2661133710613002</v>
      </c>
      <c r="BS104" s="100">
        <v>2065.4900958591661</v>
      </c>
      <c r="BT104" s="100">
        <v>3.8203136181866411</v>
      </c>
      <c r="BU104" s="100">
        <v>2415.9663321412318</v>
      </c>
      <c r="BV104" s="100">
        <v>6.8314606741573041</v>
      </c>
      <c r="BW104" s="100">
        <v>4320.2157303370786</v>
      </c>
      <c r="BX104" s="100">
        <v>12</v>
      </c>
      <c r="BY104" s="100">
        <v>7588.7999999999993</v>
      </c>
      <c r="BZ104" s="100">
        <v>9.4918032786885238</v>
      </c>
      <c r="CA104" s="100">
        <v>6002.6163934426222</v>
      </c>
      <c r="CB104" s="100">
        <v>9.2888888888888896</v>
      </c>
      <c r="CC104" s="100">
        <v>5874.293333333334</v>
      </c>
      <c r="CD104" s="100">
        <v>7.9906542056074761</v>
      </c>
      <c r="CE104" s="100">
        <v>5053.2897196261674</v>
      </c>
      <c r="CF104" s="100">
        <v>10.555555555555555</v>
      </c>
      <c r="CG104" s="100">
        <v>6675.333333333333</v>
      </c>
      <c r="CH104" s="100">
        <v>9.5871559633027523</v>
      </c>
      <c r="CI104" s="100">
        <v>6062.9174311926599</v>
      </c>
      <c r="CJ104" s="100">
        <v>10.316742081447964</v>
      </c>
      <c r="CK104" s="100">
        <v>6524.3076923076924</v>
      </c>
      <c r="CL104" s="100">
        <v>9.0047393364928912</v>
      </c>
      <c r="CM104" s="100">
        <v>5694.5971563981038</v>
      </c>
      <c r="CN104" s="100">
        <v>9.5</v>
      </c>
      <c r="CO104" s="100">
        <v>6007.8</v>
      </c>
      <c r="CP104" s="100">
        <v>8</v>
      </c>
      <c r="CQ104" s="100">
        <v>5059.2</v>
      </c>
      <c r="CR104" s="100">
        <v>9.7448979591836729</v>
      </c>
      <c r="CS104" s="100">
        <v>6162.6734693877543</v>
      </c>
      <c r="CT104" s="100">
        <v>10.048076923076923</v>
      </c>
      <c r="CU104" s="100">
        <v>6354.4038461538457</v>
      </c>
    </row>
    <row r="105" spans="2:99">
      <c r="C105" s="99" t="s">
        <v>271</v>
      </c>
      <c r="D105" s="100">
        <v>7.1250000000000018</v>
      </c>
      <c r="E105" s="100">
        <v>3967.2000000000007</v>
      </c>
      <c r="F105" s="100">
        <v>6.4680851063829801</v>
      </c>
      <c r="G105" s="100">
        <v>3601.429787234043</v>
      </c>
      <c r="H105" s="100">
        <v>7.6853932584269673</v>
      </c>
      <c r="I105" s="100">
        <v>4279.2269662921353</v>
      </c>
      <c r="J105" s="100">
        <v>6.1105527638190971</v>
      </c>
      <c r="K105" s="100">
        <v>3402.3557788944731</v>
      </c>
      <c r="L105" s="100">
        <v>9</v>
      </c>
      <c r="M105" s="100">
        <v>5011.2</v>
      </c>
      <c r="N105" s="100">
        <v>8</v>
      </c>
      <c r="O105" s="100">
        <v>4454.3999999999996</v>
      </c>
      <c r="P105" s="100">
        <v>8</v>
      </c>
      <c r="Q105" s="100">
        <v>4454.3999999999996</v>
      </c>
      <c r="R105" s="100">
        <v>7</v>
      </c>
      <c r="S105" s="100">
        <v>3897.5999999999995</v>
      </c>
      <c r="T105" s="100">
        <v>10</v>
      </c>
      <c r="U105" s="100">
        <v>5568</v>
      </c>
      <c r="V105" s="100">
        <v>10</v>
      </c>
      <c r="W105" s="100">
        <v>5568</v>
      </c>
      <c r="X105" s="100">
        <v>11</v>
      </c>
      <c r="Y105" s="100">
        <v>6124.7999999999993</v>
      </c>
      <c r="Z105" s="100">
        <v>9</v>
      </c>
      <c r="AA105" s="100">
        <v>5011.2</v>
      </c>
      <c r="AB105" s="100">
        <v>8</v>
      </c>
      <c r="AC105" s="100">
        <v>4454.3999999999996</v>
      </c>
      <c r="AD105" s="100">
        <v>6</v>
      </c>
      <c r="AE105" s="100">
        <v>3340.7999999999997</v>
      </c>
      <c r="AF105" s="100">
        <v>11</v>
      </c>
      <c r="AG105" s="100">
        <v>6124.7999999999993</v>
      </c>
      <c r="AH105" s="100">
        <v>8</v>
      </c>
      <c r="AI105" s="100">
        <v>4454.3999999999996</v>
      </c>
      <c r="AJ105" s="100">
        <v>9</v>
      </c>
      <c r="AK105" s="100">
        <v>5011.2</v>
      </c>
      <c r="AL105" s="100">
        <v>8</v>
      </c>
      <c r="AM105" s="100">
        <v>4454.3999999999996</v>
      </c>
      <c r="AN105" s="100">
        <v>10</v>
      </c>
      <c r="AO105" s="100">
        <v>5568</v>
      </c>
      <c r="AP105" s="100">
        <v>7</v>
      </c>
      <c r="AQ105" s="100">
        <v>3897.5999999999995</v>
      </c>
      <c r="AR105" s="100">
        <v>9</v>
      </c>
      <c r="AS105" s="100">
        <v>5011.2</v>
      </c>
      <c r="AT105" s="100">
        <v>7.3858921161825748</v>
      </c>
      <c r="AU105" s="100">
        <v>4112.4647302904577</v>
      </c>
      <c r="AV105" s="100">
        <v>8.1560975609756117</v>
      </c>
      <c r="AW105" s="100">
        <v>4541.3151219512201</v>
      </c>
      <c r="AX105" s="100">
        <v>3.0365094217726227</v>
      </c>
      <c r="AY105" s="100">
        <v>1690.7284460429962</v>
      </c>
      <c r="AZ105" s="100">
        <v>8</v>
      </c>
      <c r="BA105" s="100">
        <v>4454.3999999999996</v>
      </c>
      <c r="BB105" s="100">
        <v>11.605150214592275</v>
      </c>
      <c r="BC105" s="100">
        <v>6461.7476394849782</v>
      </c>
      <c r="BD105" s="100">
        <v>2.8818045905500087</v>
      </c>
      <c r="BE105" s="100">
        <v>1604.5887960182447</v>
      </c>
      <c r="BF105" s="100">
        <v>9</v>
      </c>
      <c r="BG105" s="100">
        <v>5011.2</v>
      </c>
      <c r="BH105" s="100">
        <v>6</v>
      </c>
      <c r="BI105" s="100">
        <v>3340.7999999999997</v>
      </c>
      <c r="BJ105" s="100">
        <v>9.4092827004219401</v>
      </c>
      <c r="BK105" s="100">
        <v>5239.0886075949356</v>
      </c>
      <c r="BL105" s="100">
        <v>7</v>
      </c>
      <c r="BM105" s="100">
        <v>3897.5999999999995</v>
      </c>
      <c r="BN105" s="100">
        <v>7</v>
      </c>
      <c r="BO105" s="100">
        <v>3897.5999999999995</v>
      </c>
      <c r="BP105" s="100">
        <v>9.9465240641711237</v>
      </c>
      <c r="BQ105" s="100">
        <v>5538.2245989304811</v>
      </c>
      <c r="BR105" s="100">
        <v>3.5927247081674305</v>
      </c>
      <c r="BS105" s="100">
        <v>2000.4291175076251</v>
      </c>
      <c r="BT105" s="100">
        <v>3.4382822563679767</v>
      </c>
      <c r="BU105" s="100">
        <v>1914.4355603456893</v>
      </c>
      <c r="BV105" s="100">
        <v>7.6853932584269673</v>
      </c>
      <c r="BW105" s="100">
        <v>4279.2269662921353</v>
      </c>
      <c r="BX105" s="100">
        <v>11</v>
      </c>
      <c r="BY105" s="100">
        <v>6124.7999999999993</v>
      </c>
      <c r="BZ105" s="100">
        <v>8.7008196721311482</v>
      </c>
      <c r="CA105" s="100">
        <v>4844.6163934426231</v>
      </c>
      <c r="CB105" s="100">
        <v>10.133333333333335</v>
      </c>
      <c r="CC105" s="100">
        <v>5642.2400000000007</v>
      </c>
      <c r="CD105" s="100">
        <v>7.9906542056074761</v>
      </c>
      <c r="CE105" s="100">
        <v>4449.196261682242</v>
      </c>
      <c r="CF105" s="100">
        <v>9.6759259259259256</v>
      </c>
      <c r="CG105" s="100">
        <v>5387.5555555555547</v>
      </c>
      <c r="CH105" s="100">
        <v>9.5871559633027523</v>
      </c>
      <c r="CI105" s="100">
        <v>5338.1284403669724</v>
      </c>
      <c r="CJ105" s="100">
        <v>9.4570135746606336</v>
      </c>
      <c r="CK105" s="100">
        <v>5265.66515837104</v>
      </c>
      <c r="CL105" s="100">
        <v>8.1042654028436019</v>
      </c>
      <c r="CM105" s="100">
        <v>4512.4549763033174</v>
      </c>
      <c r="CN105" s="100">
        <v>8.7083333333333321</v>
      </c>
      <c r="CO105" s="100">
        <v>4848.7999999999993</v>
      </c>
      <c r="CP105" s="100">
        <v>8</v>
      </c>
      <c r="CQ105" s="100">
        <v>4454.3999999999996</v>
      </c>
      <c r="CR105" s="100">
        <v>10.719387755102041</v>
      </c>
      <c r="CS105" s="100">
        <v>5968.5551020408157</v>
      </c>
      <c r="CT105" s="100">
        <v>10.961538461538462</v>
      </c>
      <c r="CU105" s="100">
        <v>6103.3846153846152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1087.4714688710224</v>
      </c>
      <c r="E109" s="100">
        <f>SUM(L$6:L$19)+SUM(N$6:N$19)+SUM(P$6:P$19)+SUM(R$6:R$19)</f>
        <v>1102</v>
      </c>
      <c r="F109" s="100">
        <f>SUM(T$6:T$19)+SUM(V$6:V$19)+SUM(X$6:X$19)+SUM(Z$6:Z$19)</f>
        <v>1054</v>
      </c>
      <c r="G109" s="100">
        <f>SUM(AB$6:AB$19)+SUM(AD$6:AD$19)+SUM(AF$6:AF$19)+SUM(AH$6:AH$19)</f>
        <v>106.1226968012418</v>
      </c>
      <c r="H109" s="100">
        <f>SUM(AJ$6:AJ$19)+SUM(AL$6:AL$19)+SUM(AN$6:AN$19)+SUM(AP$6:AP$19)</f>
        <v>1032.608580421303</v>
      </c>
      <c r="I109" s="100">
        <f>SUM(AR$6:AR$19)+SUM(AT$6:AT$19)+SUM(AV$6:AV$19)+SUM(AX$6:AX$19)</f>
        <v>1055.3695828709338</v>
      </c>
      <c r="J109" s="100">
        <f>SUM(AZ$6:AZ$19)+SUM(BB$6:BB$19)+SUM(BD$6:BD$19)+SUM(BF$6:BF$19)</f>
        <v>1232</v>
      </c>
      <c r="K109" s="100">
        <f>SUM(BH$6:BH$19)+SUM(BJ$6:BJ$19)+SUM(BL$6:BL$19)+SUM(BN$6:BN$19)</f>
        <v>1275.5131842975279</v>
      </c>
      <c r="L109" s="100">
        <f>SUM(BP$6:BP$19)+SUM(BR$6:BR$19)+SUM(BT$6:BT$19)+SUM(BV$6:BV$19)</f>
        <v>1313.8602842495704</v>
      </c>
      <c r="M109" s="100">
        <f>SUM(BX$6:BX$19)+SUM(BZ$6:BZ$19)+SUM(CB$6:CB$19)+SUM(CD$6:CD$19)</f>
        <v>1068.361367697262</v>
      </c>
      <c r="N109" s="100">
        <f>SUM(CF$6:CF$19)+SUM(CH$6:CH$19)+SUM(CJ$6:CJ$19)+SUM(CL$6:CL$19)</f>
        <v>1176.3675938942984</v>
      </c>
      <c r="O109" s="100">
        <f>SUM(CN$6:CN$19)+SUM(CP$6:CP$19)+SUM(CR$6:CR$19)+SUM(CT$6:CT$19)</f>
        <v>1013</v>
      </c>
    </row>
    <row r="110" spans="2:99">
      <c r="C110" s="99" t="s">
        <v>127</v>
      </c>
      <c r="D110" s="100">
        <f>SUM(D$20:D$36)+SUM(F$20:F$36)+SUM(H$20:H$36)+SUM(J$20:J$36)</f>
        <v>1475.3627310091251</v>
      </c>
      <c r="E110" s="100">
        <f>SUM(L$20:L$36)+SUM(N$20:N$36)+SUM(P$20:P$36)+SUM(R$20:R$36)</f>
        <v>1686</v>
      </c>
      <c r="F110" s="100">
        <f>SUM(T$20:T$36)+SUM(V$20:V$36)+SUM(X$20:X$36)+SUM(Z$20:Z$36)</f>
        <v>1559</v>
      </c>
      <c r="G110" s="100">
        <f>SUM(AB$20:AB$36)+SUM(AD$20:AD$36)+SUM(AF$20:AF$36)+SUM(AH$20:AH$36)</f>
        <v>127.91202742857485</v>
      </c>
      <c r="H110" s="100">
        <f>SUM(AJ$20:AJ$36)+SUM(AL$20:AL$36)+SUM(AN$20:AN$36)+SUM(AP$20:AP$36)</f>
        <v>1667.2701045522417</v>
      </c>
      <c r="I110" s="100">
        <f>SUM(AR$20:AR$36)+SUM(AT$20:AT$36)+SUM(AV$20:AV$36)+SUM(AX$20:AX$36)</f>
        <v>1566.5884157513383</v>
      </c>
      <c r="J110" s="100">
        <f>SUM(AZ$20:AZ$36)+SUM(BB$20:BB$36)+SUM(BD$20:BD$36)+SUM(BF$20:BF$36)</f>
        <v>1413</v>
      </c>
      <c r="K110" s="100">
        <f>SUM(BH$20:BH$36)+SUM(BJ$20:BJ$36)+SUM(BL$20:BL$36)+SUM(BN$20:BN$36)</f>
        <v>1508.5000864087842</v>
      </c>
      <c r="L110" s="100">
        <f>SUM(BP$20:BP$36)+SUM(BR$20:BR$36)+SUM(BT$20:BT$36)+SUM(BV$20:BV$36)</f>
        <v>1310.3582992663103</v>
      </c>
      <c r="M110" s="100">
        <f>SUM(BX$20:BX$36)+SUM(BZ$20:BZ$36)+SUM(CB$20:CB$36)+SUM(CD$20:CD$36)</f>
        <v>1788.5116509810039</v>
      </c>
      <c r="N110" s="100">
        <f>SUM(CF$20:CF$36)+SUM(CH$20:CH$36)+SUM(CJ$20:CJ$36)+SUM(CL$20:CL$36)</f>
        <v>1421.62797028764</v>
      </c>
      <c r="O110" s="100">
        <f>SUM(CN$20:CN$36)+SUM(CP$20:CP$36)+SUM(CR$20:CR$36)+SUM(CT$20:CT$36)</f>
        <v>1445</v>
      </c>
    </row>
    <row r="111" spans="2:99">
      <c r="C111" s="99" t="s">
        <v>128</v>
      </c>
      <c r="D111" s="100">
        <f>SUM(D$37:D$48)+SUM(F$37:F$48)+SUM(H$37:H$48)+SUM(J$37:J$48)</f>
        <v>649.16241203403524</v>
      </c>
      <c r="E111" s="100">
        <f>SUM(L$37:L$48)+SUM(N$37:N$48)+SUM(P$37:P$48)+SUM(R$37:R$48)</f>
        <v>680</v>
      </c>
      <c r="F111" s="100">
        <f>SUM(T$37:T$48)+SUM(V$37:V$48)+SUM(X$37:X$48)+SUM(Z$37:Z$48)</f>
        <v>764</v>
      </c>
      <c r="G111" s="100">
        <f>SUM(AB$37:AB$48)+SUM(AD$37:AD$48)+SUM(AF$37:AF$48)+SUM(AH$37:AH$48)</f>
        <v>60.998783124434929</v>
      </c>
      <c r="H111" s="100">
        <f>SUM(AJ$37:AJ$48)+SUM(AL$37:AL$48)+SUM(AN$37:AN$48)+SUM(AP$37:AP$48)</f>
        <v>666.93701308514449</v>
      </c>
      <c r="I111" s="100">
        <f>SUM(AR$37:AR$48)+SUM(AT$37:AT$48)+SUM(AV$37:AV$48)+SUM(AX$37:AX$48)</f>
        <v>730.81962892678212</v>
      </c>
      <c r="J111" s="100">
        <f>SUM(AZ$37:AZ$48)+SUM(BB$37:BB$48)+SUM(BD$37:BD$48)+SUM(BF$37:BF$48)</f>
        <v>566</v>
      </c>
      <c r="K111" s="100">
        <f>SUM(BH$37:BH$48)+SUM(BJ$37:BJ$48)+SUM(BL$37:BL$48)+SUM(BN$37:BN$48)</f>
        <v>685.04892890247083</v>
      </c>
      <c r="L111" s="100">
        <f>SUM(BP$37:BP$48)+SUM(BR$37:BR$48)+SUM(BT$37:BT$48)+SUM(BV$37:BV$48)</f>
        <v>640.84785153481153</v>
      </c>
      <c r="M111" s="100">
        <f>SUM(BX$37:BX$48)+SUM(BZ$37:BZ$48)+SUM(CB$37:CB$48)+SUM(CD$37:CD$48)</f>
        <v>614.56484645517708</v>
      </c>
      <c r="N111" s="100">
        <f>SUM(CF$37:CF$48)+SUM(CH$37:CH$48)+SUM(CJ$37:CJ$48)+SUM(CL$37:CL$48)</f>
        <v>755.363886918768</v>
      </c>
      <c r="O111" s="100">
        <f>SUM(CN$37:CN$48)+SUM(CP$37:CP$48)+SUM(CR$37:CR$48)+SUM(CT$37:CT$48)</f>
        <v>710</v>
      </c>
    </row>
    <row r="112" spans="2:99">
      <c r="C112" s="99" t="s">
        <v>129</v>
      </c>
      <c r="D112" s="100">
        <f>SUM(D$49:D$70)+SUM(F$49:F$70)+SUM(H$49:H$70)+SUM(J$49:J$70)</f>
        <v>1186.0100208766958</v>
      </c>
      <c r="E112" s="100">
        <f>SUM(L$49:L$70)+SUM(N$49:N$70)+SUM(P$49:P$70)+SUM(R$49:R$70)</f>
        <v>1062.9930675936725</v>
      </c>
      <c r="F112" s="100">
        <f>SUM(T$49:T$70)+SUM(V$49:V$70)+SUM(X$49:X$70)+SUM(Z$49:Z$70)</f>
        <v>1175.867816091954</v>
      </c>
      <c r="G112" s="100">
        <f>SUM(AB$49:AB$70)+SUM(AD$49:AD$70)+SUM(AF$49:AF$70)+SUM(AH$49:AH$70)</f>
        <v>252.82476027926029</v>
      </c>
      <c r="H112" s="100">
        <f>SUM(AJ$49:AJ$70)+SUM(AL$49:AL$70)+SUM(AN$49:AN$70)+SUM(AP$49:AP$70)</f>
        <v>1036.4610897695848</v>
      </c>
      <c r="I112" s="100">
        <f>SUM(AR$49:AR$70)+SUM(AT$49:AT$70)+SUM(AV$49:AV$70)+SUM(AX$49:AX$70)</f>
        <v>1020.816347567154</v>
      </c>
      <c r="J112" s="100">
        <f>SUM(AZ$49:AZ$70)+SUM(BB$49:BB$70)+SUM(BD$49:BD$70)+SUM(BF$49:BF$70)</f>
        <v>1007.4673841893517</v>
      </c>
      <c r="K112" s="100">
        <f>SUM(BH$49:BH$70)+SUM(BJ$49:BJ$70)+SUM(BL$49:BL$70)+SUM(BN$49:BN$70)</f>
        <v>1097.2736693337231</v>
      </c>
      <c r="L112" s="100">
        <f>SUM(BP$49:BP$70)+SUM(BR$49:BR$70)+SUM(BT$49:BT$70)+SUM(BV$49:BV$70)</f>
        <v>955.46686303190143</v>
      </c>
      <c r="M112" s="100">
        <f>SUM(BX$49:BX$70)+SUM(BZ$49:BZ$70)+SUM(CB$49:CB$70)+SUM(CD$49:CD$70)</f>
        <v>995.68541965491318</v>
      </c>
      <c r="N112" s="100">
        <f>SUM(CF$49:CF$70)+SUM(CH$49:CH$70)+SUM(CJ$49:CJ$70)+SUM(CL$49:CL$70)</f>
        <v>1027.8178904408501</v>
      </c>
      <c r="O112" s="100">
        <f>SUM(CN$49:CN$70)+SUM(CP$49:CP$70)+SUM(CR$49:CR$70)+SUM(CT$49:CT$70)</f>
        <v>1025.0824829931973</v>
      </c>
    </row>
    <row r="113" spans="2:15">
      <c r="C113" s="99" t="s">
        <v>130</v>
      </c>
      <c r="D113" s="100">
        <f>SUM(D$71:D$86)+SUM(F$71:F$86)+SUM(H$71:H$86)+SUM(J$71:J$86)</f>
        <v>458.72508803136458</v>
      </c>
      <c r="E113" s="100">
        <f>SUM(L$71:L$86)+SUM(N$71:N$86)+SUM(P$71:P$86)+SUM(R$71:R$86)</f>
        <v>369.00693240632745</v>
      </c>
      <c r="F113" s="100">
        <f>SUM(T$71:T$86)+SUM(V$71:V$86)+SUM(X$71:X$86)+SUM(Z$71:Z$86)</f>
        <v>459.13218390804593</v>
      </c>
      <c r="G113" s="100">
        <f>SUM(AB$71:AB$86)+SUM(AD$71:AD$86)+SUM(AF$71:AF$86)+SUM(AH$71:AH$86)</f>
        <v>436</v>
      </c>
      <c r="H113" s="100">
        <f>SUM(AJ$71:AJ$86)+SUM(AL$71:AL$86)+SUM(AN$71:AN$86)+SUM(AP$71:AP$86)</f>
        <v>490.04093567251459</v>
      </c>
      <c r="I113" s="100">
        <f>SUM(AR$71:AR$86)+SUM(AT$71:AT$86)+SUM(AV$71:AV$86)+SUM(AX$71:AX$86)</f>
        <v>454.98915659239549</v>
      </c>
      <c r="J113" s="100">
        <f>SUM(AZ$71:AZ$86)+SUM(BB$71:BB$86)+SUM(BD$71:BD$86)+SUM(BF$71:BF$86)</f>
        <v>435.52412534652768</v>
      </c>
      <c r="K113" s="100">
        <f>SUM(BH$71:BH$86)+SUM(BJ$71:BJ$86)+SUM(BL$71:BL$86)+SUM(BN$71:BN$86)</f>
        <v>381</v>
      </c>
      <c r="L113" s="100">
        <f>SUM(BP$71:BP$86)+SUM(BR$71:BR$86)+SUM(BT$71:BT$86)+SUM(BV$71:BV$86)</f>
        <v>492</v>
      </c>
      <c r="M113" s="100">
        <f>SUM(BX$71:BX$86)+SUM(BZ$71:BZ$86)+SUM(CB$71:CB$86)+SUM(CD$71:CD$86)</f>
        <v>468</v>
      </c>
      <c r="N113" s="100">
        <f>SUM(CF$71:CF$86)+SUM(CH$71:CH$86)+SUM(CJ$71:CJ$86)+SUM(CL$71:CL$86)</f>
        <v>518</v>
      </c>
      <c r="O113" s="100">
        <f>SUM(CN$71:CN$86)+SUM(CP$71:CP$86)+SUM(CR$71:CR$86)+SUM(CT$71:CT$86)</f>
        <v>491</v>
      </c>
    </row>
    <row r="114" spans="2:15">
      <c r="C114" s="99" t="s">
        <v>131</v>
      </c>
      <c r="D114" s="100">
        <f>SUM(D$87:D$94)+SUM(F$87:F$94)+SUM(H$87:H$94)+SUM(J$87:J$94)</f>
        <v>214.97735899394979</v>
      </c>
      <c r="E114" s="100">
        <f>SUM(L$87:L$94)+SUM(N$87:N$94)+SUM(P$87:P$94)+SUM(R$87:R$94)</f>
        <v>243</v>
      </c>
      <c r="F114" s="100">
        <f>SUM(T$87:T$94)+SUM(V$87:V$94)+SUM(X$87:X$94)+SUM(Z$87:Z$94)</f>
        <v>265</v>
      </c>
      <c r="G114" s="100">
        <f>SUM(AB$87:AB$94)+SUM(AD$87:AD$94)+SUM(AF$87:AF$94)+SUM(AH$87:AH$94)</f>
        <v>318</v>
      </c>
      <c r="H114" s="100">
        <f>SUM(AJ$87:AJ$94)+SUM(AL$87:AL$94)+SUM(AN$87:AN$94)+SUM(AP$87:AP$94)</f>
        <v>290</v>
      </c>
      <c r="I114" s="100">
        <f>SUM(AR$87:AR$94)+SUM(AT$87:AT$94)+SUM(AV$87:AV$94)+SUM(AX$87:AX$94)</f>
        <v>209.39992877197693</v>
      </c>
      <c r="J114" s="100">
        <f>SUM(AZ$87:AZ$94)+SUM(BB$87:BB$94)+SUM(BD$87:BD$94)+SUM(BF$87:BF$94)</f>
        <v>239.35418727544132</v>
      </c>
      <c r="K114" s="100">
        <f>SUM(BH$87:BH$94)+SUM(BJ$87:BJ$94)+SUM(BL$87:BL$94)+SUM(BN$87:BN$94)</f>
        <v>298.38818565400845</v>
      </c>
      <c r="L114" s="100">
        <f>SUM(BP$87:BP$94)+SUM(BR$87:BR$94)+SUM(BT$87:BT$94)+SUM(BV$87:BV$94)</f>
        <v>173.30853749207137</v>
      </c>
      <c r="M114" s="100">
        <f>SUM(BX$87:BX$94)+SUM(BZ$87:BZ$94)+SUM(CB$87:CB$94)+SUM(CD$87:CD$94)</f>
        <v>275.46563250089378</v>
      </c>
      <c r="N114" s="100">
        <f>SUM(CF$87:CF$94)+SUM(CH$87:CH$94)+SUM(CJ$87:CJ$94)+SUM(CL$87:CL$94)</f>
        <v>268.95044437195565</v>
      </c>
      <c r="O114" s="100">
        <f>SUM(CN$87:CN$94)+SUM(CP$87:CP$94)+SUM(CR$87:CR$94)+SUM(CT$87:CT$94)</f>
        <v>263.00837257980112</v>
      </c>
    </row>
    <row r="115" spans="2:15">
      <c r="C115" s="99" t="s">
        <v>132</v>
      </c>
      <c r="D115" s="100">
        <f>SUM(D$95:D$105)+SUM(F$95:F$105)+SUM(H$95:H$105)+SUM(J$95:J$105)</f>
        <v>309.60864368459562</v>
      </c>
      <c r="E115" s="100">
        <f>SUM(L$95:L$105)+SUM(N$95:N$105)+SUM(P$95:P$105)+SUM(R$95:R$105)</f>
        <v>351</v>
      </c>
      <c r="F115" s="100">
        <f>SUM(T$95:T$105)+SUM(V$95:V$105)+SUM(X$95:X$105)+SUM(Z$95:Z$105)</f>
        <v>426</v>
      </c>
      <c r="G115" s="100">
        <f>SUM(AB$95:AB$105)+SUM(AD$95:AD$105)+SUM(AF$95:AF$105)+SUM(AH$95:AH$105)</f>
        <v>342</v>
      </c>
      <c r="H115" s="100">
        <f>SUM(AJ$95:AJ$105)+SUM(AL$95:AL$105)+SUM(AN$95:AN$105)+SUM(AP$95:AP$105)</f>
        <v>378</v>
      </c>
      <c r="I115" s="100">
        <f>SUM(AR$95:AR$105)+SUM(AT$95:AT$105)+SUM(AV$95:AV$105)+SUM(AX$95:AX$105)</f>
        <v>295.24739856452396</v>
      </c>
      <c r="J115" s="100">
        <f>SUM(AZ$95:AZ$105)+SUM(BB$95:BB$105)+SUM(BD$95:BD$105)+SUM(BF$95:BF$105)</f>
        <v>328.02212483825457</v>
      </c>
      <c r="K115" s="100">
        <f>SUM(BH$95:BH$105)+SUM(BJ$95:BJ$105)+SUM(BL$95:BL$105)+SUM(BN$95:BN$105)</f>
        <v>333.91139240506328</v>
      </c>
      <c r="L115" s="100">
        <f>SUM(BP$95:BP$105)+SUM(BR$95:BR$105)+SUM(BT$95:BT$105)+SUM(BV$95:BV$105)</f>
        <v>265.77627951907084</v>
      </c>
      <c r="M115" s="100">
        <f>SUM(BX$95:BX$105)+SUM(BZ$95:BZ$105)+SUM(CB$95:CB$105)+SUM(CD$95:CD$105)</f>
        <v>402.60477333469521</v>
      </c>
      <c r="N115" s="100">
        <f>SUM(CF$95:CF$105)+SUM(CH$95:CH$105)+SUM(CJ$95:CJ$105)+SUM(CL$95:CL$105)</f>
        <v>410.531075836882</v>
      </c>
      <c r="O115" s="100">
        <f>SUM(CN$95:CN$105)+SUM(CP$95:CP$105)+SUM(CR$95:CR$105)+SUM(CT$95:CT$105)</f>
        <v>416.90914442700154</v>
      </c>
    </row>
    <row r="116" spans="2:15">
      <c r="C116" s="99" t="s">
        <v>278</v>
      </c>
      <c r="D116" s="100">
        <f t="shared" ref="D116:O116" si="0">SUM(D$109:D$115)</f>
        <v>5381.3177235007888</v>
      </c>
      <c r="E116" s="100">
        <f t="shared" si="0"/>
        <v>5494</v>
      </c>
      <c r="F116" s="100">
        <f t="shared" si="0"/>
        <v>5702.9999999999991</v>
      </c>
      <c r="G116" s="100">
        <f t="shared" si="0"/>
        <v>1643.8582676335118</v>
      </c>
      <c r="H116" s="100">
        <f t="shared" si="0"/>
        <v>5561.3177235007888</v>
      </c>
      <c r="I116" s="100">
        <f t="shared" si="0"/>
        <v>5333.230459045104</v>
      </c>
      <c r="J116" s="100">
        <f t="shared" si="0"/>
        <v>5221.3678216495755</v>
      </c>
      <c r="K116" s="100">
        <f t="shared" si="0"/>
        <v>5579.6354470015776</v>
      </c>
      <c r="L116" s="100">
        <f t="shared" si="0"/>
        <v>5151.6181150937355</v>
      </c>
      <c r="M116" s="100">
        <f t="shared" si="0"/>
        <v>5613.1936906239443</v>
      </c>
      <c r="N116" s="100">
        <f t="shared" si="0"/>
        <v>5578.658861750394</v>
      </c>
      <c r="O116" s="100">
        <f t="shared" si="0"/>
        <v>5364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3697402.9941614759</v>
      </c>
      <c r="E120" s="100">
        <f>E109*pricing!E6*2000</f>
        <v>3746799.9999999995</v>
      </c>
      <c r="F120" s="100">
        <f>F109*pricing!F6*2000</f>
        <v>3583600</v>
      </c>
      <c r="G120" s="100">
        <f>G109*pricing!G6*2000</f>
        <v>360817.16912422213</v>
      </c>
      <c r="H120" s="100">
        <f>H109*pricing!H6*2000</f>
        <v>3510869.1734324303</v>
      </c>
      <c r="I120" s="100">
        <f>I109*pricing!I6*2000</f>
        <v>3588256.5817611748</v>
      </c>
      <c r="J120" s="100">
        <f>J109*pricing!J6*2000</f>
        <v>4188800</v>
      </c>
      <c r="K120" s="100">
        <f>K109*pricing!K6*2000</f>
        <v>4336744.8266115943</v>
      </c>
      <c r="L120" s="100">
        <f>L109*pricing!L6*2000</f>
        <v>4467124.9664485399</v>
      </c>
      <c r="M120" s="100">
        <f>M109*pricing!M6*2000</f>
        <v>3632428.6501706908</v>
      </c>
      <c r="N120" s="100">
        <f>N109*pricing!N6*2000</f>
        <v>3999649.8192406143</v>
      </c>
      <c r="O120" s="100">
        <f>O109*pricing!O6*2000</f>
        <v>3444200</v>
      </c>
    </row>
    <row r="121" spans="2:15">
      <c r="C121" s="99" t="s">
        <v>127</v>
      </c>
      <c r="D121" s="100">
        <f>D110*pricing!D7*2000</f>
        <v>5901450.924036501</v>
      </c>
      <c r="E121" s="100">
        <f>E110*pricing!E7*2000</f>
        <v>6744000</v>
      </c>
      <c r="F121" s="100">
        <f>F110*pricing!F7*2000</f>
        <v>6236000</v>
      </c>
      <c r="G121" s="100">
        <f>G110*pricing!G7*2000</f>
        <v>511648.10971429938</v>
      </c>
      <c r="H121" s="100">
        <f>H110*pricing!H7*2000</f>
        <v>6669080.418208967</v>
      </c>
      <c r="I121" s="100">
        <f>I110*pricing!I7*2000</f>
        <v>6266353.663005353</v>
      </c>
      <c r="J121" s="100">
        <f>J110*pricing!J7*2000</f>
        <v>5652000</v>
      </c>
      <c r="K121" s="100">
        <f>K110*pricing!K7*2000</f>
        <v>6034000.3456351366</v>
      </c>
      <c r="L121" s="100">
        <f>L110*pricing!L7*2000</f>
        <v>5241433.1970652407</v>
      </c>
      <c r="M121" s="100">
        <f>M110*pricing!M7*2000</f>
        <v>7154046.6039240155</v>
      </c>
      <c r="N121" s="100">
        <f>N110*pricing!N7*2000</f>
        <v>5686511.8811505595</v>
      </c>
      <c r="O121" s="100">
        <f>O110*pricing!O7*2000</f>
        <v>5780000</v>
      </c>
    </row>
    <row r="122" spans="2:15">
      <c r="C122" s="99" t="s">
        <v>128</v>
      </c>
      <c r="D122" s="100">
        <f>D111*pricing!D8*2000</f>
        <v>2921230.8541531581</v>
      </c>
      <c r="E122" s="100">
        <f>E111*pricing!E8*2000</f>
        <v>3060000</v>
      </c>
      <c r="F122" s="100">
        <f>F111*pricing!F8*2000</f>
        <v>3438000</v>
      </c>
      <c r="G122" s="100">
        <f>G111*pricing!G8*2000</f>
        <v>274494.52405995718</v>
      </c>
      <c r="H122" s="100">
        <f>H111*pricing!H8*2000</f>
        <v>3001216.5588831506</v>
      </c>
      <c r="I122" s="100">
        <f>I111*pricing!I8*2000</f>
        <v>3288688.3301705192</v>
      </c>
      <c r="J122" s="100">
        <f>J111*pricing!J8*2000</f>
        <v>2547000</v>
      </c>
      <c r="K122" s="100">
        <f>K111*pricing!K8*2000</f>
        <v>3082720.1800611187</v>
      </c>
      <c r="L122" s="100">
        <f>L111*pricing!L8*2000</f>
        <v>2883815.3319066521</v>
      </c>
      <c r="M122" s="100">
        <f>M111*pricing!M8*2000</f>
        <v>2765541.8090482969</v>
      </c>
      <c r="N122" s="100">
        <f>N111*pricing!N8*2000</f>
        <v>3399137.4911344559</v>
      </c>
      <c r="O122" s="100">
        <f>O111*pricing!O8*2000</f>
        <v>3195000</v>
      </c>
    </row>
    <row r="123" spans="2:15">
      <c r="C123" s="99" t="s">
        <v>129</v>
      </c>
      <c r="D123" s="100">
        <f>D112*pricing!D9*2000</f>
        <v>5337045.0939451307</v>
      </c>
      <c r="E123" s="100">
        <f>E112*pricing!E9*2000</f>
        <v>4783468.8041715259</v>
      </c>
      <c r="F123" s="100">
        <f>F112*pricing!F9*2000</f>
        <v>5291405.1724137925</v>
      </c>
      <c r="G123" s="100">
        <f>G112*pricing!G9*2000</f>
        <v>1137711.4212566712</v>
      </c>
      <c r="H123" s="100">
        <f>H112*pricing!H9*2000</f>
        <v>4664074.9039631318</v>
      </c>
      <c r="I123" s="100">
        <f>I112*pricing!I9*2000</f>
        <v>4593673.5640521925</v>
      </c>
      <c r="J123" s="100">
        <f>J112*pricing!J9*2000</f>
        <v>4533603.228852083</v>
      </c>
      <c r="K123" s="100">
        <f>K112*pricing!K9*2000</f>
        <v>4937731.5120017538</v>
      </c>
      <c r="L123" s="100">
        <f>L112*pricing!L9*2000</f>
        <v>4299600.8836435564</v>
      </c>
      <c r="M123" s="100">
        <f>M112*pricing!M9*2000</f>
        <v>4480584.3884471096</v>
      </c>
      <c r="N123" s="100">
        <f>N112*pricing!N9*2000</f>
        <v>4625180.5069838259</v>
      </c>
      <c r="O123" s="100">
        <f>O112*pricing!O9*2000</f>
        <v>4612871.1734693879</v>
      </c>
    </row>
    <row r="124" spans="2:15">
      <c r="C124" s="99" t="s">
        <v>130</v>
      </c>
      <c r="D124" s="100">
        <f>D113*pricing!D10*2000</f>
        <v>2293625.440156823</v>
      </c>
      <c r="E124" s="100">
        <f>E113*pricing!E10*2000</f>
        <v>1845034.6620316373</v>
      </c>
      <c r="F124" s="100">
        <f>F113*pricing!F10*2000</f>
        <v>2295660.9195402297</v>
      </c>
      <c r="G124" s="100">
        <f>G113*pricing!G10*2000</f>
        <v>2180000</v>
      </c>
      <c r="H124" s="100">
        <f>H113*pricing!H10*2000</f>
        <v>2450204.678362573</v>
      </c>
      <c r="I124" s="100">
        <f>I113*pricing!I10*2000</f>
        <v>2274945.7829619772</v>
      </c>
      <c r="J124" s="100">
        <f>J113*pricing!J10*2000</f>
        <v>2177620.6267326386</v>
      </c>
      <c r="K124" s="100">
        <f>K113*pricing!K10*2000</f>
        <v>1905000</v>
      </c>
      <c r="L124" s="100">
        <f>L113*pricing!L10*2000</f>
        <v>2460000</v>
      </c>
      <c r="M124" s="100">
        <f>M113*pricing!M10*2000</f>
        <v>2340000</v>
      </c>
      <c r="N124" s="100">
        <f>N113*pricing!N10*2000</f>
        <v>2590000</v>
      </c>
      <c r="O124" s="100">
        <f>O113*pricing!O10*2000</f>
        <v>2455000</v>
      </c>
    </row>
    <row r="125" spans="2:15">
      <c r="C125" s="99" t="s">
        <v>131</v>
      </c>
      <c r="D125" s="100">
        <f>D114*pricing!D11*2000</f>
        <v>1117882.2667685391</v>
      </c>
      <c r="E125" s="100">
        <f>E114*pricing!E11*2000</f>
        <v>1263600.0000000002</v>
      </c>
      <c r="F125" s="100">
        <f>F114*pricing!F11*2000</f>
        <v>1378000</v>
      </c>
      <c r="G125" s="100">
        <f>G114*pricing!G11*2000</f>
        <v>1653600.0000000002</v>
      </c>
      <c r="H125" s="100">
        <f>H114*pricing!H11*2000</f>
        <v>1508000</v>
      </c>
      <c r="I125" s="100">
        <f>I114*pricing!I11*2000</f>
        <v>1088879.6296142801</v>
      </c>
      <c r="J125" s="100">
        <f>J114*pricing!J11*2000</f>
        <v>1244641.7738322949</v>
      </c>
      <c r="K125" s="100">
        <f>K114*pricing!K11*2000</f>
        <v>1551618.565400844</v>
      </c>
      <c r="L125" s="100">
        <f>L114*pricing!L11*2000</f>
        <v>901204.39495877107</v>
      </c>
      <c r="M125" s="100">
        <f>M114*pricing!M11*2000</f>
        <v>1432421.2890046476</v>
      </c>
      <c r="N125" s="100">
        <f>N114*pricing!N11*2000</f>
        <v>1398542.3107341693</v>
      </c>
      <c r="O125" s="100">
        <f>O114*pricing!O11*2000</f>
        <v>1367643.5374149659</v>
      </c>
    </row>
    <row r="126" spans="2:15">
      <c r="C126" s="99" t="s">
        <v>132</v>
      </c>
      <c r="D126" s="100">
        <f>D115*pricing!D12*2000</f>
        <v>1671886.6758968167</v>
      </c>
      <c r="E126" s="100">
        <f>E115*pricing!E12*2000</f>
        <v>1895400</v>
      </c>
      <c r="F126" s="100">
        <f>F115*pricing!F12*2000</f>
        <v>2300400</v>
      </c>
      <c r="G126" s="100">
        <f>G115*pricing!G12*2000</f>
        <v>1846800.0000000002</v>
      </c>
      <c r="H126" s="100">
        <f>H115*pricing!H12*2000</f>
        <v>2041200</v>
      </c>
      <c r="I126" s="100">
        <f>I115*pricing!I12*2000</f>
        <v>1594335.9522484294</v>
      </c>
      <c r="J126" s="100">
        <f>J115*pricing!J12*2000</f>
        <v>1771319.4741265748</v>
      </c>
      <c r="K126" s="100">
        <f>K115*pricing!K12*2000</f>
        <v>1803121.518987342</v>
      </c>
      <c r="L126" s="100">
        <f>L115*pricing!L12*2000</f>
        <v>1435191.9094029826</v>
      </c>
      <c r="M126" s="100">
        <f>M115*pricing!M12*2000</f>
        <v>2174065.7760073543</v>
      </c>
      <c r="N126" s="100">
        <f>N115*pricing!N12*2000</f>
        <v>2216867.8095191629</v>
      </c>
      <c r="O126" s="100">
        <f>O115*pricing!O12*2000</f>
        <v>2251309.3799058083</v>
      </c>
    </row>
    <row r="127" spans="2:15">
      <c r="C127" s="99" t="s">
        <v>278</v>
      </c>
      <c r="D127" s="100">
        <f t="shared" ref="D127:O127" si="1">SUM(D$120:D$126)</f>
        <v>22940524.24911844</v>
      </c>
      <c r="E127" s="100">
        <f t="shared" si="1"/>
        <v>23338303.466203161</v>
      </c>
      <c r="F127" s="100">
        <f t="shared" si="1"/>
        <v>24523066.091954023</v>
      </c>
      <c r="G127" s="100">
        <f t="shared" si="1"/>
        <v>7965071.2241551504</v>
      </c>
      <c r="H127" s="100">
        <f t="shared" si="1"/>
        <v>23844645.732850254</v>
      </c>
      <c r="I127" s="100">
        <f t="shared" si="1"/>
        <v>22695133.503813922</v>
      </c>
      <c r="J127" s="100">
        <f t="shared" si="1"/>
        <v>22114985.103543591</v>
      </c>
      <c r="K127" s="100">
        <f t="shared" si="1"/>
        <v>23650936.948697791</v>
      </c>
      <c r="L127" s="100">
        <f t="shared" si="1"/>
        <v>21688370.683425739</v>
      </c>
      <c r="M127" s="100">
        <f t="shared" si="1"/>
        <v>23979088.516602114</v>
      </c>
      <c r="N127" s="100">
        <f t="shared" si="1"/>
        <v>23915889.818762787</v>
      </c>
      <c r="O127" s="100">
        <f t="shared" si="1"/>
        <v>23106024.09079016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545758.04860577441</v>
      </c>
      <c r="E131" s="106">
        <f>SUM(M$6:M$19)+SUM(O$6:O$19)+SUM(Q$6:Q$19)+SUM(S$6:S$19)</f>
        <v>556773.6</v>
      </c>
      <c r="F131" s="106">
        <f>SUM(U$6:U$19)+SUM(W$6:W$19)+SUM(Y$6:Y$19)+SUM(AA$6:AA$19)</f>
        <v>528873.6</v>
      </c>
      <c r="G131" s="106">
        <f>SUM(AC$6:AC$19)+SUM(AE$6:AE$19)+SUM(AG$6:AG$19)+SUM(AI$6:AI$19)</f>
        <v>53533.952088278122</v>
      </c>
      <c r="H131" s="106">
        <f>SUM(AK$6:AK$19)+SUM(AM$6:AM$19)+SUM(AO$6:AO$19)+SUM(AQ$6:AQ$19)</f>
        <v>519650.73010258103</v>
      </c>
      <c r="I131" s="106">
        <f>SUM(AS$6:AS$19)+SUM(AU$6:AU$19)+SUM(AW$6:AW$19)+SUM(AY$6:AY$19)</f>
        <v>529986.21278830455</v>
      </c>
      <c r="J131" s="106">
        <f>SUM(BA$6:BA$19)+SUM(BC$6:BC$19)+SUM(BE$6:BE$19)+SUM(BG$6:BG$19)</f>
        <v>623803.19999999995</v>
      </c>
      <c r="K131" s="106">
        <f>SUM(BI$6:BI$19)+SUM(BK$6:BK$19)+SUM(BM$6:BM$19)+SUM(BO$6:BO$19)</f>
        <v>641511.96531741042</v>
      </c>
      <c r="L131" s="106">
        <f>SUM(BQ$6:BQ$19)+SUM(BS$6:BS$19)+SUM(BU$6:BU$19)+SUM(BW$6:BW$19)</f>
        <v>663897.43488651968</v>
      </c>
      <c r="M131" s="106">
        <f>SUM(BY$6:BY$19)+SUM(CA$6:CA$19)+SUM(CC$6:CC$19)+SUM(CE$6:CE$19)</f>
        <v>538134.55951275234</v>
      </c>
      <c r="N131" s="106">
        <f>SUM(CG$6:CG$19)+SUM(CI$6:CI$19)+SUM(CK$6:CK$19)+SUM(CM$6:CM$19)</f>
        <v>591798.63925107557</v>
      </c>
      <c r="O131" s="106">
        <f>SUM(CO$6:CO$19)+SUM(CQ$6:CQ$19)+SUM(CS$6:CS$19)+SUM(CU$6:CU$19)</f>
        <v>508085.99999999994</v>
      </c>
    </row>
    <row r="132" spans="2:15">
      <c r="C132" s="105" t="s">
        <v>127</v>
      </c>
      <c r="D132" s="106">
        <f>SUM(E$20:E$36)+SUM(G$20:G$36)+SUM(I$20:I$36)+SUM(K$20:K$36)</f>
        <v>628944.81101837708</v>
      </c>
      <c r="E132" s="106">
        <f>SUM(M$20:M$36)+SUM(O$20:O$36)+SUM(Q$20:Q$36)+SUM(S$20:S$36)</f>
        <v>718946.39999999991</v>
      </c>
      <c r="F132" s="106">
        <f>SUM(U$20:U$36)+SUM(W$20:W$36)+SUM(Y$20:Y$36)+SUM(AA$20:AA$36)</f>
        <v>664718.39999999991</v>
      </c>
      <c r="G132" s="106">
        <f>SUM(AC$20:AC$36)+SUM(AE$20:AE$36)+SUM(AG$20:AG$36)+SUM(AI$20:AI$36)</f>
        <v>53881.908306828191</v>
      </c>
      <c r="H132" s="106">
        <f>SUM(AK$20:AK$36)+SUM(AM$20:AM$36)+SUM(AO$20:AO$36)+SUM(AQ$20:AQ$36)</f>
        <v>709489.02410326398</v>
      </c>
      <c r="I132" s="106">
        <f>SUM(AS$20:AS$36)+SUM(AU$20:AU$36)+SUM(AW$20:AW$36)+SUM(AY$20:AY$36)</f>
        <v>669289.17338628101</v>
      </c>
      <c r="J132" s="106">
        <f>SUM(BA$20:BA$36)+SUM(BC$20:BC$36)+SUM(BE$20:BE$36)+SUM(BG$20:BG$36)</f>
        <v>599437.19999999995</v>
      </c>
      <c r="K132" s="106">
        <f>SUM(BI$20:BI$36)+SUM(BK$20:BK$36)+SUM(BM$20:BM$36)+SUM(BO$20:BO$36)</f>
        <v>643341.48855214997</v>
      </c>
      <c r="L132" s="106">
        <f>SUM(BQ$20:BQ$36)+SUM(BS$20:BS$36)+SUM(BU$20:BU$36)+SUM(BW$20:BW$36)</f>
        <v>557406.96777609212</v>
      </c>
      <c r="M132" s="106">
        <f>SUM(BY$20:BY$36)+SUM(CA$20:CA$36)+SUM(CC$20:CC$36)+SUM(CE$20:CE$36)</f>
        <v>759450.39292924572</v>
      </c>
      <c r="N132" s="106">
        <f>SUM(CG$20:CG$36)+SUM(CI$20:CI$36)+SUM(CK$20:CK$36)+SUM(CM$20:CM$36)</f>
        <v>606294.70476027683</v>
      </c>
      <c r="O132" s="106">
        <f>SUM(CO$20:CO$36)+SUM(CQ$20:CQ$36)+SUM(CS$20:CS$36)+SUM(CU$20:CU$36)</f>
        <v>618955.20000000007</v>
      </c>
    </row>
    <row r="133" spans="2:15">
      <c r="C133" s="105" t="s">
        <v>128</v>
      </c>
      <c r="D133" s="106">
        <f>SUM(E$37:E$48)+SUM(G$37:G$48)+SUM(I$37:I$48)+SUM(K$37:K$48)</f>
        <v>679909.95733686129</v>
      </c>
      <c r="E133" s="106">
        <f>SUM(M$37:M$48)+SUM(O$37:O$48)+SUM(Q$37:Q$48)+SUM(S$37:S$48)</f>
        <v>713280</v>
      </c>
      <c r="F133" s="106">
        <f>SUM(U$37:U$48)+SUM(W$37:W$48)+SUM(Y$37:Y$48)+SUM(AA$37:AA$48)</f>
        <v>799904.39999999991</v>
      </c>
      <c r="G133" s="106">
        <f>SUM(AC$37:AC$48)+SUM(AE$37:AE$48)+SUM(AG$37:AG$48)+SUM(AI$37:AI$48)</f>
        <v>63850.795826893074</v>
      </c>
      <c r="H133" s="106">
        <f>SUM(AK$37:AK$48)+SUM(AM$37:AM$48)+SUM(AO$37:AO$48)+SUM(AQ$37:AQ$48)</f>
        <v>697868.50323535502</v>
      </c>
      <c r="I133" s="106">
        <f>SUM(AS$37:AS$48)+SUM(AU$37:AU$48)+SUM(AW$37:AW$48)+SUM(AY$37:AY$48)</f>
        <v>766376.21985560004</v>
      </c>
      <c r="J133" s="106">
        <f>SUM(BA$37:BA$48)+SUM(BC$37:BC$48)+SUM(BE$37:BE$48)+SUM(BG$37:BG$48)</f>
        <v>591300</v>
      </c>
      <c r="K133" s="106">
        <f>SUM(BI$37:BI$48)+SUM(BK$37:BK$48)+SUM(BM$37:BM$48)+SUM(BO$37:BO$48)</f>
        <v>717583.55654231692</v>
      </c>
      <c r="L133" s="106">
        <f>SUM(BQ$37:BQ$48)+SUM(BS$37:BS$48)+SUM(BU$37:BU$48)+SUM(BW$37:BW$48)</f>
        <v>673138.51207962539</v>
      </c>
      <c r="M133" s="106">
        <f>SUM(BY$37:BY$48)+SUM(CA$37:CA$48)+SUM(CC$37:CC$48)+SUM(CE$37:CE$48)</f>
        <v>644410.03057374968</v>
      </c>
      <c r="N133" s="106">
        <f>SUM(CG$37:CG$48)+SUM(CI$37:CI$48)+SUM(CK$37:CK$48)+SUM(CM$37:CM$48)</f>
        <v>793377.91317654878</v>
      </c>
      <c r="O133" s="106">
        <f>SUM(CO$37:CO$48)+SUM(CQ$37:CQ$48)+SUM(CS$37:CS$48)+SUM(CU$37:CU$48)</f>
        <v>746163.6</v>
      </c>
    </row>
    <row r="134" spans="2:15">
      <c r="C134" s="105" t="s">
        <v>129</v>
      </c>
      <c r="D134" s="106">
        <f>SUM(E$49:E$70)+SUM(G$49:G$70)+SUM(I$49:I$70)+SUM(K$49:K$70)</f>
        <v>980013.59634941036</v>
      </c>
      <c r="E134" s="106">
        <f>SUM(M$49:M$70)+SUM(O$49:O$70)+SUM(Q$49:Q$70)+SUM(S$49:S$70)</f>
        <v>883888.48965880449</v>
      </c>
      <c r="F134" s="106">
        <f>SUM(U$49:U$70)+SUM(W$49:W$70)+SUM(Y$49:Y$70)+SUM(AA$49:AA$70)</f>
        <v>980115.53793103434</v>
      </c>
      <c r="G134" s="106">
        <f>SUM(AC$49:AC$70)+SUM(AE$49:AE$70)+SUM(AG$49:AG$70)+SUM(AI$49:AI$70)</f>
        <v>275164.53450858739</v>
      </c>
      <c r="H134" s="106">
        <f>SUM(AK$49:AK$70)+SUM(AM$49:AM$70)+SUM(AO$49:AO$70)+SUM(AQ$49:AQ$70)</f>
        <v>871728.17829459626</v>
      </c>
      <c r="I134" s="106">
        <f>SUM(AS$49:AS$70)+SUM(AU$49:AU$70)+SUM(AW$49:AW$70)+SUM(AY$49:AY$70)</f>
        <v>845984.20900541905</v>
      </c>
      <c r="J134" s="106">
        <f>SUM(BA$49:BA$70)+SUM(BC$49:BC$70)+SUM(BE$49:BE$70)+SUM(BG$49:BG$70)</f>
        <v>828694.97144161281</v>
      </c>
      <c r="K134" s="106">
        <f>SUM(BI$49:BI$70)+SUM(BK$49:BK$70)+SUM(BM$49:BM$70)+SUM(BO$49:BO$70)</f>
        <v>919616.35818845918</v>
      </c>
      <c r="L134" s="106">
        <f>SUM(BQ$49:BQ$70)+SUM(BS$49:BS$70)+SUM(BU$49:BU$70)+SUM(BW$49:BW$70)</f>
        <v>782771.28597152128</v>
      </c>
      <c r="M134" s="106">
        <f>SUM(BY$49:BY$70)+SUM(CA$49:CA$70)+SUM(CC$49:CC$70)+SUM(CE$49:CE$70)</f>
        <v>836194.87645053538</v>
      </c>
      <c r="N134" s="106">
        <f>SUM(CG$49:CG$70)+SUM(CI$49:CI$70)+SUM(CK$49:CK$70)+SUM(CM$49:CM$70)</f>
        <v>858633.70897119842</v>
      </c>
      <c r="O134" s="106">
        <f>SUM(CO$49:CO$70)+SUM(CQ$49:CQ$70)+SUM(CS$49:CS$70)+SUM(CU$49:CU$70)</f>
        <v>853213.68877551006</v>
      </c>
    </row>
    <row r="135" spans="2:15">
      <c r="C135" s="105" t="s">
        <v>130</v>
      </c>
      <c r="D135" s="106">
        <f>SUM(E$71:E$86)+SUM(G$71:G$86)+SUM(I$71:I$86)+SUM(K$71:K$86)</f>
        <v>257106.98497840052</v>
      </c>
      <c r="E135" s="106">
        <f>SUM(M$71:M$86)+SUM(O$71:O$86)+SUM(Q$71:Q$86)+SUM(S$71:S$86)</f>
        <v>206086.1338705649</v>
      </c>
      <c r="F135" s="106">
        <f>SUM(U$71:U$86)+SUM(W$71:W$86)+SUM(Y$71:Y$86)+SUM(AA$71:AA$86)</f>
        <v>255155.7448275862</v>
      </c>
      <c r="G135" s="106">
        <f>SUM(AC$71:AC$86)+SUM(AE$71:AE$86)+SUM(AG$71:AG$86)+SUM(AI$71:AI$86)</f>
        <v>244359.59999999998</v>
      </c>
      <c r="H135" s="106">
        <f>SUM(AK$71:AK$86)+SUM(AM$71:AM$86)+SUM(AO$71:AO$86)+SUM(AQ$71:AQ$86)</f>
        <v>274440.80701754382</v>
      </c>
      <c r="I135" s="106">
        <f>SUM(AS$71:AS$86)+SUM(AU$71:AU$86)+SUM(AW$71:AW$86)+SUM(AY$71:AY$86)</f>
        <v>252763.30341723052</v>
      </c>
      <c r="J135" s="106">
        <f>SUM(BA$71:BA$86)+SUM(BC$71:BC$86)+SUM(BE$71:BE$86)+SUM(BG$71:BG$86)</f>
        <v>243325.74780503212</v>
      </c>
      <c r="K135" s="106">
        <f>SUM(BI$71:BI$86)+SUM(BK$71:BK$86)+SUM(BM$71:BM$86)+SUM(BO$71:BO$86)</f>
        <v>212956.79999999999</v>
      </c>
      <c r="L135" s="106">
        <f>SUM(BQ$71:BQ$86)+SUM(BS$71:BS$86)+SUM(BU$71:BU$86)+SUM(BW$71:BW$86)</f>
        <v>275529.59999999998</v>
      </c>
      <c r="M135" s="106">
        <f>SUM(BY$71:BY$86)+SUM(CA$71:CA$86)+SUM(CC$71:CC$86)+SUM(CE$71:CE$86)</f>
        <v>262792.8</v>
      </c>
      <c r="N135" s="106">
        <f>SUM(CG$71:CG$86)+SUM(CI$71:CI$86)+SUM(CK$71:CK$86)+SUM(CM$71:CM$86)</f>
        <v>289288.8</v>
      </c>
      <c r="O135" s="106">
        <f>SUM(CO$71:CO$86)+SUM(CQ$71:CQ$86)+SUM(CS$71:CS$86)+SUM(CU$71:CU$86)</f>
        <v>273396</v>
      </c>
    </row>
    <row r="136" spans="2:15">
      <c r="C136" s="105" t="s">
        <v>131</v>
      </c>
      <c r="D136" s="106">
        <f>SUM(E$87:E$94)+SUM(G$87:G$94)+SUM(I$87:I$94)+SUM(K$87:K$94)</f>
        <v>215603.56640777402</v>
      </c>
      <c r="E136" s="106">
        <f>SUM(M$87:M$94)+SUM(O$87:O$94)+SUM(Q$87:Q$94)+SUM(S$87:S$94)</f>
        <v>243840</v>
      </c>
      <c r="F136" s="106">
        <f>SUM(U$87:U$94)+SUM(W$87:W$94)+SUM(Y$87:Y$94)+SUM(AA$87:AA$94)</f>
        <v>265756.79999999999</v>
      </c>
      <c r="G136" s="106">
        <f>SUM(AC$87:AC$94)+SUM(AE$87:AE$94)+SUM(AG$87:AG$94)+SUM(AI$87:AI$94)</f>
        <v>318601.19999999995</v>
      </c>
      <c r="H136" s="106">
        <f>SUM(AK$87:AK$94)+SUM(AM$87:AM$94)+SUM(AO$87:AO$94)+SUM(AQ$87:AQ$94)</f>
        <v>290871.59999999998</v>
      </c>
      <c r="I136" s="106">
        <f>SUM(AS$87:AS$94)+SUM(AU$87:AU$94)+SUM(AW$87:AW$94)+SUM(AY$87:AY$94)</f>
        <v>210742.97679628344</v>
      </c>
      <c r="J136" s="106">
        <f>SUM(BA$87:BA$94)+SUM(BC$87:BC$94)+SUM(BE$87:BE$94)+SUM(BG$87:BG$94)</f>
        <v>240107.41299443261</v>
      </c>
      <c r="K136" s="106">
        <f>SUM(BI$87:BI$94)+SUM(BK$87:BK$94)+SUM(BM$87:BM$94)+SUM(BO$87:BO$94)</f>
        <v>299221.31139240501</v>
      </c>
      <c r="L136" s="106">
        <f>SUM(BQ$87:BQ$94)+SUM(BS$87:BS$94)+SUM(BU$87:BU$94)+SUM(BW$87:BW$94)</f>
        <v>174074.37746629035</v>
      </c>
      <c r="M136" s="106">
        <f>SUM(BY$87:BY$94)+SUM(CA$87:CA$94)+SUM(CC$87:CC$94)+SUM(CE$87:CE$94)</f>
        <v>277369.29953117814</v>
      </c>
      <c r="N136" s="106">
        <f>SUM(CG$87:CG$94)+SUM(CI$87:CI$94)+SUM(CK$87:CK$94)+SUM(CM$87:CM$94)</f>
        <v>269801.07042680564</v>
      </c>
      <c r="O136" s="106">
        <f>SUM(CO$87:CO$94)+SUM(CQ$87:CQ$94)+SUM(CS$87:CS$94)+SUM(CU$87:CU$94)</f>
        <v>264763.67715855571</v>
      </c>
    </row>
    <row r="137" spans="2:15">
      <c r="C137" s="105" t="s">
        <v>132</v>
      </c>
      <c r="D137" s="106">
        <f>SUM(E$95:E$105)+SUM(G$95:G$105)+SUM(I$95:I$105)+SUM(K$95:K$105)</f>
        <v>241842.7501696746</v>
      </c>
      <c r="E137" s="106">
        <f>SUM(M$95:M$105)+SUM(O$95:O$105)+SUM(Q$95:Q$105)+SUM(S$95:S$105)</f>
        <v>277656</v>
      </c>
      <c r="F137" s="106">
        <f>SUM(U$95:U$105)+SUM(W$95:W$105)+SUM(Y$95:Y$105)+SUM(AA$95:AA$105)</f>
        <v>339641.99999999994</v>
      </c>
      <c r="G137" s="106">
        <f>SUM(AC$95:AC$105)+SUM(AE$95:AE$105)+SUM(AG$95:AG$105)+SUM(AI$95:AI$105)</f>
        <v>268646.40000000002</v>
      </c>
      <c r="H137" s="106">
        <f>SUM(AK$95:AK$105)+SUM(AM$95:AM$105)+SUM(AO$95:AO$105)+SUM(AQ$95:AQ$105)</f>
        <v>299085.59999999998</v>
      </c>
      <c r="I137" s="106">
        <f>SUM(AS$95:AS$105)+SUM(AU$95:AU$105)+SUM(AW$95:AW$105)+SUM(AY$95:AY$105)</f>
        <v>231207.32440333892</v>
      </c>
      <c r="J137" s="106">
        <f>SUM(BA$95:BA$105)+SUM(BC$95:BC$105)+SUM(BE$95:BE$105)+SUM(BG$95:BG$105)</f>
        <v>263978.88749946456</v>
      </c>
      <c r="K137" s="106">
        <f>SUM(BI$95:BI$105)+SUM(BK$95:BK$105)+SUM(BM$95:BM$105)+SUM(BO$95:BO$105)</f>
        <v>266615.5392405063</v>
      </c>
      <c r="L137" s="106">
        <f>SUM(BQ$95:BQ$105)+SUM(BS$95:BS$105)+SUM(BU$95:BU$105)+SUM(BW$95:BW$105)</f>
        <v>213567.36639803433</v>
      </c>
      <c r="M137" s="106">
        <f>SUM(BY$95:BY$105)+SUM(CA$95:CA$105)+SUM(CC$95:CC$105)+SUM(CE$95:CE$105)</f>
        <v>312539.23951687862</v>
      </c>
      <c r="N137" s="106">
        <f>SUM(CG$95:CG$105)+SUM(CI$95:CI$105)+SUM(CK$95:CK$105)+SUM(CM$95:CM$105)</f>
        <v>323193.14574195852</v>
      </c>
      <c r="O137" s="106">
        <f>SUM(CO$95:CO$105)+SUM(CQ$95:CQ$105)+SUM(CS$95:CS$105)+SUM(CU$95:CU$105)</f>
        <v>331059.46546310827</v>
      </c>
    </row>
    <row r="138" spans="2:15">
      <c r="C138" s="105" t="s">
        <v>278</v>
      </c>
      <c r="D138" s="100">
        <f t="shared" ref="D138:O138" si="2">SUM(D$131:D$137)</f>
        <v>3549179.7148662722</v>
      </c>
      <c r="E138" s="100">
        <f t="shared" si="2"/>
        <v>3600470.6235293695</v>
      </c>
      <c r="F138" s="100">
        <f t="shared" si="2"/>
        <v>3834166.4827586203</v>
      </c>
      <c r="G138" s="100">
        <f t="shared" si="2"/>
        <v>1278038.3907305868</v>
      </c>
      <c r="H138" s="100">
        <f t="shared" si="2"/>
        <v>3663134.4427533406</v>
      </c>
      <c r="I138" s="100">
        <f t="shared" si="2"/>
        <v>3506349.4196524578</v>
      </c>
      <c r="J138" s="100">
        <f t="shared" si="2"/>
        <v>3390647.4197405423</v>
      </c>
      <c r="K138" s="100">
        <f t="shared" si="2"/>
        <v>3700847.0192332477</v>
      </c>
      <c r="L138" s="100">
        <f t="shared" si="2"/>
        <v>3340385.5445780829</v>
      </c>
      <c r="M138" s="100">
        <f t="shared" si="2"/>
        <v>3630891.1985143395</v>
      </c>
      <c r="N138" s="100">
        <f t="shared" si="2"/>
        <v>3732387.982327864</v>
      </c>
      <c r="O138" s="100">
        <f t="shared" si="2"/>
        <v>3595637.6313971737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6</v>
      </c>
      <c r="E6" s="100">
        <v>3470.3999999999996</v>
      </c>
      <c r="F6" s="100">
        <v>7</v>
      </c>
      <c r="G6" s="100">
        <v>4048.7999999999997</v>
      </c>
      <c r="H6" s="100">
        <v>9</v>
      </c>
      <c r="I6" s="100">
        <v>5205.5999999999995</v>
      </c>
      <c r="J6" s="100">
        <v>4.4759533240615452</v>
      </c>
      <c r="K6" s="100">
        <v>2588.8914026371976</v>
      </c>
      <c r="L6" s="100">
        <v>6</v>
      </c>
      <c r="M6" s="100">
        <v>3470.3999999999996</v>
      </c>
      <c r="N6" s="100">
        <v>12</v>
      </c>
      <c r="O6" s="100">
        <v>6940.7999999999993</v>
      </c>
      <c r="P6" s="100">
        <v>9</v>
      </c>
      <c r="Q6" s="100">
        <v>5205.5999999999995</v>
      </c>
      <c r="R6" s="100">
        <v>6</v>
      </c>
      <c r="S6" s="100">
        <v>3470.3999999999996</v>
      </c>
      <c r="T6" s="100">
        <v>6</v>
      </c>
      <c r="U6" s="100">
        <v>3470.3999999999996</v>
      </c>
      <c r="V6" s="100">
        <v>9</v>
      </c>
      <c r="W6" s="100">
        <v>5205.5999999999995</v>
      </c>
      <c r="X6" s="100">
        <v>11</v>
      </c>
      <c r="Y6" s="100">
        <v>6362.4</v>
      </c>
      <c r="Z6" s="100">
        <v>10</v>
      </c>
      <c r="AA6" s="100">
        <v>5784</v>
      </c>
      <c r="AB6" s="100">
        <v>2.5402239639830801</v>
      </c>
      <c r="AC6" s="100">
        <v>1469.2655407678135</v>
      </c>
      <c r="AD6" s="100">
        <v>7</v>
      </c>
      <c r="AE6" s="100">
        <v>4048.7999999999997</v>
      </c>
      <c r="AF6" s="100">
        <v>10</v>
      </c>
      <c r="AG6" s="100">
        <v>5784</v>
      </c>
      <c r="AH6" s="100">
        <v>6.3881787458519748</v>
      </c>
      <c r="AI6" s="100">
        <v>3694.9225866007819</v>
      </c>
      <c r="AJ6" s="100">
        <v>2.2567532630436997E-4</v>
      </c>
      <c r="AK6" s="100">
        <v>0.13053060873444758</v>
      </c>
      <c r="AL6" s="100">
        <v>1.3942245290008196E-4</v>
      </c>
      <c r="AM6" s="100">
        <v>8.0641946757407407E-2</v>
      </c>
      <c r="AN6" s="100">
        <v>2.4804914129411131</v>
      </c>
      <c r="AO6" s="100">
        <v>1434.7162332451398</v>
      </c>
      <c r="AP6" s="100">
        <v>10</v>
      </c>
      <c r="AQ6" s="100">
        <v>5784</v>
      </c>
      <c r="AR6" s="100">
        <v>9</v>
      </c>
      <c r="AS6" s="100">
        <v>5205.5999999999995</v>
      </c>
      <c r="AT6" s="100">
        <v>10</v>
      </c>
      <c r="AU6" s="100">
        <v>5784</v>
      </c>
      <c r="AV6" s="100">
        <v>6.3524979530281813</v>
      </c>
      <c r="AW6" s="100">
        <v>3674.2848160314998</v>
      </c>
      <c r="AX6" s="100">
        <v>11</v>
      </c>
      <c r="AY6" s="100">
        <v>6362.4</v>
      </c>
      <c r="AZ6" s="100">
        <v>10</v>
      </c>
      <c r="BA6" s="100">
        <v>5784</v>
      </c>
      <c r="BB6" s="100">
        <v>2.287208462841797</v>
      </c>
      <c r="BC6" s="100">
        <v>1322.9213749076953</v>
      </c>
      <c r="BD6" s="100">
        <v>6.7939666301169606</v>
      </c>
      <c r="BE6" s="100">
        <v>3929.6302988596499</v>
      </c>
      <c r="BF6" s="100">
        <v>13</v>
      </c>
      <c r="BG6" s="100">
        <v>7519.2</v>
      </c>
      <c r="BH6" s="100">
        <v>7.9008761333867366</v>
      </c>
      <c r="BI6" s="100">
        <v>4569.8667555508882</v>
      </c>
      <c r="BJ6" s="100">
        <v>7</v>
      </c>
      <c r="BK6" s="100">
        <v>4048.7999999999997</v>
      </c>
      <c r="BL6" s="100">
        <v>6.9752219818623669</v>
      </c>
      <c r="BM6" s="100">
        <v>4034.4683943091927</v>
      </c>
      <c r="BN6" s="100">
        <v>0.44947019765536977</v>
      </c>
      <c r="BO6" s="100">
        <v>259.97356232386585</v>
      </c>
      <c r="BP6" s="100">
        <v>10</v>
      </c>
      <c r="BQ6" s="100">
        <v>5784</v>
      </c>
      <c r="BR6" s="100">
        <v>10</v>
      </c>
      <c r="BS6" s="100">
        <v>5784</v>
      </c>
      <c r="BT6" s="100">
        <v>6.6142975356096523</v>
      </c>
      <c r="BU6" s="100">
        <v>3825.7096945966227</v>
      </c>
      <c r="BV6" s="100">
        <v>0.29510010602099518</v>
      </c>
      <c r="BW6" s="100">
        <v>170.6859013225436</v>
      </c>
      <c r="BX6" s="100">
        <v>11</v>
      </c>
      <c r="BY6" s="100">
        <v>6362.4</v>
      </c>
      <c r="BZ6" s="100">
        <v>12</v>
      </c>
      <c r="CA6" s="100">
        <v>6940.7999999999993</v>
      </c>
      <c r="CB6" s="100">
        <v>11</v>
      </c>
      <c r="CC6" s="100">
        <v>6362.4</v>
      </c>
      <c r="CD6" s="100">
        <v>11</v>
      </c>
      <c r="CE6" s="100">
        <v>6362.4</v>
      </c>
      <c r="CF6" s="100">
        <v>5.7309162009116594</v>
      </c>
      <c r="CG6" s="100">
        <v>3314.7619306073038</v>
      </c>
      <c r="CH6" s="100">
        <v>11</v>
      </c>
      <c r="CI6" s="100">
        <v>6362.4</v>
      </c>
      <c r="CJ6" s="100">
        <v>8</v>
      </c>
      <c r="CK6" s="100">
        <v>4627.2</v>
      </c>
      <c r="CL6" s="100">
        <v>11</v>
      </c>
      <c r="CM6" s="100">
        <v>6362.4</v>
      </c>
      <c r="CN6" s="100">
        <v>0.6688209907634457</v>
      </c>
      <c r="CO6" s="100">
        <v>386.846061057577</v>
      </c>
      <c r="CP6" s="100">
        <v>2.3151768186186614</v>
      </c>
      <c r="CQ6" s="100">
        <v>1339.0982718890336</v>
      </c>
      <c r="CR6" s="100">
        <v>8</v>
      </c>
      <c r="CS6" s="100">
        <v>4627.2</v>
      </c>
      <c r="CT6" s="100">
        <v>8</v>
      </c>
      <c r="CU6" s="100">
        <v>4627.2</v>
      </c>
    </row>
    <row r="7" spans="1:99">
      <c r="C7" s="99" t="s">
        <v>173</v>
      </c>
      <c r="D7" s="100">
        <v>6</v>
      </c>
      <c r="E7" s="100">
        <v>4730.3999999999996</v>
      </c>
      <c r="F7" s="100">
        <v>7</v>
      </c>
      <c r="G7" s="100">
        <v>5518.8</v>
      </c>
      <c r="H7" s="100">
        <v>9</v>
      </c>
      <c r="I7" s="100">
        <v>7095.5999999999995</v>
      </c>
      <c r="J7" s="100">
        <v>4.4759533240615452</v>
      </c>
      <c r="K7" s="100">
        <v>3528.841600690122</v>
      </c>
      <c r="L7" s="100">
        <v>6</v>
      </c>
      <c r="M7" s="100">
        <v>4730.3999999999996</v>
      </c>
      <c r="N7" s="100">
        <v>10</v>
      </c>
      <c r="O7" s="100">
        <v>7884</v>
      </c>
      <c r="P7" s="100">
        <v>9</v>
      </c>
      <c r="Q7" s="100">
        <v>7095.5999999999995</v>
      </c>
      <c r="R7" s="100">
        <v>6</v>
      </c>
      <c r="S7" s="100">
        <v>4730.3999999999996</v>
      </c>
      <c r="T7" s="100">
        <v>6</v>
      </c>
      <c r="U7" s="100">
        <v>4730.3999999999996</v>
      </c>
      <c r="V7" s="100">
        <v>9</v>
      </c>
      <c r="W7" s="100">
        <v>7095.5999999999995</v>
      </c>
      <c r="X7" s="100">
        <v>11</v>
      </c>
      <c r="Y7" s="100">
        <v>8672.4</v>
      </c>
      <c r="Z7" s="100">
        <v>11</v>
      </c>
      <c r="AA7" s="100">
        <v>8672.4</v>
      </c>
      <c r="AB7" s="100">
        <v>2.1773348262712116</v>
      </c>
      <c r="AC7" s="100">
        <v>1716.610777032223</v>
      </c>
      <c r="AD7" s="100">
        <v>7</v>
      </c>
      <c r="AE7" s="100">
        <v>5518.8</v>
      </c>
      <c r="AF7" s="100">
        <v>10</v>
      </c>
      <c r="AG7" s="100">
        <v>7884</v>
      </c>
      <c r="AH7" s="100">
        <v>5.4755817821588364</v>
      </c>
      <c r="AI7" s="100">
        <v>4316.9486770540261</v>
      </c>
      <c r="AJ7" s="100">
        <v>2.2567532630436997E-4</v>
      </c>
      <c r="AK7" s="100">
        <v>0.17792242725836527</v>
      </c>
      <c r="AL7" s="100">
        <v>1.3942245290008196E-4</v>
      </c>
      <c r="AM7" s="100">
        <v>0.10992066186642462</v>
      </c>
      <c r="AN7" s="100">
        <v>2.4804914129411131</v>
      </c>
      <c r="AO7" s="100">
        <v>1955.6194299627734</v>
      </c>
      <c r="AP7" s="100">
        <v>10</v>
      </c>
      <c r="AQ7" s="100">
        <v>7884</v>
      </c>
      <c r="AR7" s="100">
        <v>9</v>
      </c>
      <c r="AS7" s="100">
        <v>7095.5999999999995</v>
      </c>
      <c r="AT7" s="100">
        <v>10</v>
      </c>
      <c r="AU7" s="100">
        <v>7884</v>
      </c>
      <c r="AV7" s="100">
        <v>7.0583310589202011</v>
      </c>
      <c r="AW7" s="100">
        <v>5564.788206852686</v>
      </c>
      <c r="AX7" s="100">
        <v>10</v>
      </c>
      <c r="AY7" s="100">
        <v>7884</v>
      </c>
      <c r="AZ7" s="100">
        <v>11</v>
      </c>
      <c r="BA7" s="100">
        <v>8672.4</v>
      </c>
      <c r="BB7" s="100">
        <v>2.6684098733154302</v>
      </c>
      <c r="BC7" s="100">
        <v>2103.774344121885</v>
      </c>
      <c r="BD7" s="100">
        <v>6.7939666301169606</v>
      </c>
      <c r="BE7" s="100">
        <v>5356.3632911842114</v>
      </c>
      <c r="BF7" s="100">
        <v>13</v>
      </c>
      <c r="BG7" s="100">
        <v>10249.199999999999</v>
      </c>
      <c r="BH7" s="100">
        <v>7.9008761333867366</v>
      </c>
      <c r="BI7" s="100">
        <v>6229.050743562103</v>
      </c>
      <c r="BJ7" s="100">
        <v>7</v>
      </c>
      <c r="BK7" s="100">
        <v>5518.8</v>
      </c>
      <c r="BL7" s="100">
        <v>8.5252713111651151</v>
      </c>
      <c r="BM7" s="100">
        <v>6721.3239017225769</v>
      </c>
      <c r="BN7" s="100">
        <v>0.40860927059579072</v>
      </c>
      <c r="BO7" s="100">
        <v>322.14754893772141</v>
      </c>
      <c r="BP7" s="100">
        <v>9</v>
      </c>
      <c r="BQ7" s="100">
        <v>7095.5999999999995</v>
      </c>
      <c r="BR7" s="100">
        <v>10</v>
      </c>
      <c r="BS7" s="100">
        <v>7884</v>
      </c>
      <c r="BT7" s="100">
        <v>7.275727289170618</v>
      </c>
      <c r="BU7" s="100">
        <v>5736.1833947821151</v>
      </c>
      <c r="BV7" s="100">
        <v>0.29510010602099518</v>
      </c>
      <c r="BW7" s="100">
        <v>232.65692358695259</v>
      </c>
      <c r="BX7" s="100">
        <v>13</v>
      </c>
      <c r="BY7" s="100">
        <v>10249.199999999999</v>
      </c>
      <c r="BZ7" s="100">
        <v>12</v>
      </c>
      <c r="CA7" s="100">
        <v>9460.7999999999993</v>
      </c>
      <c r="CB7" s="100">
        <v>13</v>
      </c>
      <c r="CC7" s="100">
        <v>10249.199999999999</v>
      </c>
      <c r="CD7" s="100">
        <v>12</v>
      </c>
      <c r="CE7" s="100">
        <v>9460.7999999999993</v>
      </c>
      <c r="CF7" s="100">
        <v>6.4472807260256166</v>
      </c>
      <c r="CG7" s="100">
        <v>5083.0361243985963</v>
      </c>
      <c r="CH7" s="100">
        <v>10</v>
      </c>
      <c r="CI7" s="100">
        <v>7884</v>
      </c>
      <c r="CJ7" s="100">
        <v>8</v>
      </c>
      <c r="CK7" s="100">
        <v>6307.2</v>
      </c>
      <c r="CL7" s="100">
        <v>12</v>
      </c>
      <c r="CM7" s="100">
        <v>9460.7999999999993</v>
      </c>
      <c r="CN7" s="100">
        <v>0.5732751349400963</v>
      </c>
      <c r="CO7" s="100">
        <v>451.97011638677191</v>
      </c>
      <c r="CP7" s="100">
        <v>2.0579349498832546</v>
      </c>
      <c r="CQ7" s="100">
        <v>1622.4759144879579</v>
      </c>
      <c r="CR7" s="100">
        <v>7</v>
      </c>
      <c r="CS7" s="100">
        <v>5518.8</v>
      </c>
      <c r="CT7" s="100">
        <v>8</v>
      </c>
      <c r="CU7" s="100">
        <v>6307.2</v>
      </c>
    </row>
    <row r="8" spans="1:99">
      <c r="C8" s="99" t="s">
        <v>174</v>
      </c>
      <c r="D8" s="100">
        <v>7</v>
      </c>
      <c r="E8" s="100">
        <v>2167.1999999999998</v>
      </c>
      <c r="F8" s="100">
        <v>6</v>
      </c>
      <c r="G8" s="100">
        <v>1857.6</v>
      </c>
      <c r="H8" s="100">
        <v>10</v>
      </c>
      <c r="I8" s="100">
        <v>3095.9999999999995</v>
      </c>
      <c r="J8" s="100">
        <v>4.4759533240615452</v>
      </c>
      <c r="K8" s="100">
        <v>1385.7551491294541</v>
      </c>
      <c r="L8" s="100">
        <v>7</v>
      </c>
      <c r="M8" s="100">
        <v>2167.1999999999998</v>
      </c>
      <c r="N8" s="100">
        <v>12</v>
      </c>
      <c r="O8" s="100">
        <v>3715.2</v>
      </c>
      <c r="P8" s="100">
        <v>10</v>
      </c>
      <c r="Q8" s="100">
        <v>3095.9999999999995</v>
      </c>
      <c r="R8" s="100">
        <v>6</v>
      </c>
      <c r="S8" s="100">
        <v>1857.6</v>
      </c>
      <c r="T8" s="100">
        <v>6</v>
      </c>
      <c r="U8" s="100">
        <v>1857.6</v>
      </c>
      <c r="V8" s="100">
        <v>8</v>
      </c>
      <c r="W8" s="100">
        <v>2476.7999999999997</v>
      </c>
      <c r="X8" s="100">
        <v>10</v>
      </c>
      <c r="Y8" s="100">
        <v>3095.9999999999995</v>
      </c>
      <c r="Z8" s="100">
        <v>10</v>
      </c>
      <c r="AA8" s="100">
        <v>3095.9999999999995</v>
      </c>
      <c r="AB8" s="100">
        <v>2.5402239639830801</v>
      </c>
      <c r="AC8" s="100">
        <v>786.45333924916156</v>
      </c>
      <c r="AD8" s="100">
        <v>7</v>
      </c>
      <c r="AE8" s="100">
        <v>2167.1999999999998</v>
      </c>
      <c r="AF8" s="100">
        <v>10</v>
      </c>
      <c r="AG8" s="100">
        <v>3095.9999999999995</v>
      </c>
      <c r="AH8" s="100">
        <v>6.3881787458519748</v>
      </c>
      <c r="AI8" s="100">
        <v>1977.7801397157712</v>
      </c>
      <c r="AJ8" s="100">
        <v>2.5075036256041105E-4</v>
      </c>
      <c r="AK8" s="100">
        <v>7.7632312248703247E-2</v>
      </c>
      <c r="AL8" s="100">
        <v>1.3942245290008196E-4</v>
      </c>
      <c r="AM8" s="100">
        <v>4.3165191417865373E-2</v>
      </c>
      <c r="AN8" s="100">
        <v>2.9765896955293356</v>
      </c>
      <c r="AO8" s="100">
        <v>921.55216973588222</v>
      </c>
      <c r="AP8" s="100">
        <v>9</v>
      </c>
      <c r="AQ8" s="100">
        <v>2786.3999999999996</v>
      </c>
      <c r="AR8" s="100">
        <v>10</v>
      </c>
      <c r="AS8" s="100">
        <v>3095.9999999999995</v>
      </c>
      <c r="AT8" s="100">
        <v>10</v>
      </c>
      <c r="AU8" s="100">
        <v>3095.9999999999995</v>
      </c>
      <c r="AV8" s="100">
        <v>7.0583310589202011</v>
      </c>
      <c r="AW8" s="100">
        <v>2185.259295841694</v>
      </c>
      <c r="AX8" s="100">
        <v>11</v>
      </c>
      <c r="AY8" s="100">
        <v>3405.5999999999995</v>
      </c>
      <c r="AZ8" s="100">
        <v>12</v>
      </c>
      <c r="BA8" s="100">
        <v>3715.2</v>
      </c>
      <c r="BB8" s="100">
        <v>2.6684098733154302</v>
      </c>
      <c r="BC8" s="100">
        <v>826.13969677845705</v>
      </c>
      <c r="BD8" s="100">
        <v>6.7939666301169606</v>
      </c>
      <c r="BE8" s="100">
        <v>2103.4120686842107</v>
      </c>
      <c r="BF8" s="100">
        <v>11</v>
      </c>
      <c r="BG8" s="100">
        <v>3405.5999999999995</v>
      </c>
      <c r="BH8" s="100">
        <v>6.9132666167133943</v>
      </c>
      <c r="BI8" s="100">
        <v>2140.3473445344666</v>
      </c>
      <c r="BJ8" s="100">
        <v>7</v>
      </c>
      <c r="BK8" s="100">
        <v>2167.1999999999998</v>
      </c>
      <c r="BL8" s="100">
        <v>7.7502466465137418</v>
      </c>
      <c r="BM8" s="100">
        <v>2399.4763617606541</v>
      </c>
      <c r="BN8" s="100">
        <v>0.44947019765536977</v>
      </c>
      <c r="BO8" s="100">
        <v>139.15597319410247</v>
      </c>
      <c r="BP8" s="100">
        <v>10</v>
      </c>
      <c r="BQ8" s="100">
        <v>3095.9999999999995</v>
      </c>
      <c r="BR8" s="100">
        <v>10</v>
      </c>
      <c r="BS8" s="100">
        <v>3095.9999999999995</v>
      </c>
      <c r="BT8" s="100">
        <v>7.275727289170618</v>
      </c>
      <c r="BU8" s="100">
        <v>2252.565168727223</v>
      </c>
      <c r="BV8" s="100">
        <v>0.29510010602099518</v>
      </c>
      <c r="BW8" s="100">
        <v>91.362992824100104</v>
      </c>
      <c r="BX8" s="100">
        <v>12</v>
      </c>
      <c r="BY8" s="100">
        <v>3715.2</v>
      </c>
      <c r="BZ8" s="100">
        <v>13</v>
      </c>
      <c r="CA8" s="100">
        <v>4024.7999999999997</v>
      </c>
      <c r="CB8" s="100">
        <v>13</v>
      </c>
      <c r="CC8" s="100">
        <v>4024.7999999999997</v>
      </c>
      <c r="CD8" s="100">
        <v>11</v>
      </c>
      <c r="CE8" s="100">
        <v>3405.5999999999995</v>
      </c>
      <c r="CF8" s="100">
        <v>5.7309162009116594</v>
      </c>
      <c r="CG8" s="100">
        <v>1774.2916558022496</v>
      </c>
      <c r="CH8" s="100">
        <v>11</v>
      </c>
      <c r="CI8" s="100">
        <v>3405.5999999999995</v>
      </c>
      <c r="CJ8" s="100">
        <v>7</v>
      </c>
      <c r="CK8" s="100">
        <v>2167.1999999999998</v>
      </c>
      <c r="CL8" s="100">
        <v>11</v>
      </c>
      <c r="CM8" s="100">
        <v>3405.5999999999995</v>
      </c>
      <c r="CN8" s="100">
        <v>0.5732751349400963</v>
      </c>
      <c r="CO8" s="100">
        <v>177.48598177745379</v>
      </c>
      <c r="CP8" s="100">
        <v>2.0579349498832546</v>
      </c>
      <c r="CQ8" s="100">
        <v>637.13666048385562</v>
      </c>
      <c r="CR8" s="100">
        <v>7</v>
      </c>
      <c r="CS8" s="100">
        <v>2167.1999999999998</v>
      </c>
      <c r="CT8" s="100">
        <v>9</v>
      </c>
      <c r="CU8" s="100">
        <v>2786.3999999999996</v>
      </c>
    </row>
    <row r="9" spans="1:99">
      <c r="C9" s="99" t="s">
        <v>175</v>
      </c>
      <c r="D9" s="100">
        <v>6</v>
      </c>
      <c r="E9" s="100">
        <v>4212</v>
      </c>
      <c r="F9" s="100">
        <v>6</v>
      </c>
      <c r="G9" s="100">
        <v>4212</v>
      </c>
      <c r="H9" s="100">
        <v>9</v>
      </c>
      <c r="I9" s="100">
        <v>6318</v>
      </c>
      <c r="J9" s="100">
        <v>5.035447489569238</v>
      </c>
      <c r="K9" s="100">
        <v>3534.8841376776049</v>
      </c>
      <c r="L9" s="100">
        <v>6</v>
      </c>
      <c r="M9" s="100">
        <v>4212</v>
      </c>
      <c r="N9" s="100">
        <v>11</v>
      </c>
      <c r="O9" s="100">
        <v>7722</v>
      </c>
      <c r="P9" s="100">
        <v>10</v>
      </c>
      <c r="Q9" s="100">
        <v>7020</v>
      </c>
      <c r="R9" s="100">
        <v>5</v>
      </c>
      <c r="S9" s="100">
        <v>3510</v>
      </c>
      <c r="T9" s="100">
        <v>6</v>
      </c>
      <c r="U9" s="100">
        <v>4212</v>
      </c>
      <c r="V9" s="100">
        <v>8</v>
      </c>
      <c r="W9" s="100">
        <v>5616</v>
      </c>
      <c r="X9" s="100">
        <v>11</v>
      </c>
      <c r="Y9" s="100">
        <v>7722</v>
      </c>
      <c r="Z9" s="100">
        <v>11</v>
      </c>
      <c r="AA9" s="100">
        <v>7722</v>
      </c>
      <c r="AB9" s="100">
        <v>2.5402239639830801</v>
      </c>
      <c r="AC9" s="100">
        <v>1783.2372227161222</v>
      </c>
      <c r="AD9" s="100">
        <v>6</v>
      </c>
      <c r="AE9" s="100">
        <v>4212</v>
      </c>
      <c r="AF9" s="100">
        <v>12</v>
      </c>
      <c r="AG9" s="100">
        <v>8424</v>
      </c>
      <c r="AH9" s="100">
        <v>6.3881787458519748</v>
      </c>
      <c r="AI9" s="100">
        <v>4484.5014795880861</v>
      </c>
      <c r="AJ9" s="100">
        <v>2.2567532630436997E-4</v>
      </c>
      <c r="AK9" s="100">
        <v>0.15842407906566772</v>
      </c>
      <c r="AL9" s="100">
        <v>1.3942245290008196E-4</v>
      </c>
      <c r="AM9" s="100">
        <v>9.7874561935857543E-2</v>
      </c>
      <c r="AN9" s="100">
        <v>2.7285405542352241</v>
      </c>
      <c r="AO9" s="100">
        <v>1915.4354690731273</v>
      </c>
      <c r="AP9" s="100">
        <v>10</v>
      </c>
      <c r="AQ9" s="100">
        <v>7020</v>
      </c>
      <c r="AR9" s="100">
        <v>10</v>
      </c>
      <c r="AS9" s="100">
        <v>7020</v>
      </c>
      <c r="AT9" s="100">
        <v>9</v>
      </c>
      <c r="AU9" s="100">
        <v>6318</v>
      </c>
      <c r="AV9" s="100">
        <v>7.0583310589202011</v>
      </c>
      <c r="AW9" s="100">
        <v>4954.948403361981</v>
      </c>
      <c r="AX9" s="100">
        <v>10</v>
      </c>
      <c r="AY9" s="100">
        <v>7020</v>
      </c>
      <c r="AZ9" s="100">
        <v>11</v>
      </c>
      <c r="BA9" s="100">
        <v>7722</v>
      </c>
      <c r="BB9" s="100">
        <v>2.6684098733154302</v>
      </c>
      <c r="BC9" s="100">
        <v>1873.223731067432</v>
      </c>
      <c r="BD9" s="100">
        <v>7.7645332915622394</v>
      </c>
      <c r="BE9" s="100">
        <v>5450.7023706766922</v>
      </c>
      <c r="BF9" s="100">
        <v>12</v>
      </c>
      <c r="BG9" s="100">
        <v>8424</v>
      </c>
      <c r="BH9" s="100">
        <v>6.9132666167133943</v>
      </c>
      <c r="BI9" s="100">
        <v>4853.1131649328026</v>
      </c>
      <c r="BJ9" s="100">
        <v>8</v>
      </c>
      <c r="BK9" s="100">
        <v>5616</v>
      </c>
      <c r="BL9" s="100">
        <v>6.9752219818623669</v>
      </c>
      <c r="BM9" s="100">
        <v>4896.6058312673813</v>
      </c>
      <c r="BN9" s="100">
        <v>0.40860927059579072</v>
      </c>
      <c r="BO9" s="100">
        <v>286.84370795824509</v>
      </c>
      <c r="BP9" s="100">
        <v>9</v>
      </c>
      <c r="BQ9" s="100">
        <v>6318</v>
      </c>
      <c r="BR9" s="100">
        <v>11</v>
      </c>
      <c r="BS9" s="100">
        <v>7722</v>
      </c>
      <c r="BT9" s="100">
        <v>7.275727289170618</v>
      </c>
      <c r="BU9" s="100">
        <v>5107.5605569977743</v>
      </c>
      <c r="BV9" s="100">
        <v>0.29510010602099518</v>
      </c>
      <c r="BW9" s="100">
        <v>207.16027442673862</v>
      </c>
      <c r="BX9" s="100">
        <v>13</v>
      </c>
      <c r="BY9" s="100">
        <v>9126</v>
      </c>
      <c r="BZ9" s="100">
        <v>11</v>
      </c>
      <c r="CA9" s="100">
        <v>7722</v>
      </c>
      <c r="CB9" s="100">
        <v>11</v>
      </c>
      <c r="CC9" s="100">
        <v>7722</v>
      </c>
      <c r="CD9" s="100">
        <v>10</v>
      </c>
      <c r="CE9" s="100">
        <v>7020</v>
      </c>
      <c r="CF9" s="100">
        <v>5.7309162009116594</v>
      </c>
      <c r="CG9" s="100">
        <v>4023.103173039985</v>
      </c>
      <c r="CH9" s="100">
        <v>11</v>
      </c>
      <c r="CI9" s="100">
        <v>7722</v>
      </c>
      <c r="CJ9" s="100">
        <v>8</v>
      </c>
      <c r="CK9" s="100">
        <v>5616</v>
      </c>
      <c r="CL9" s="100">
        <v>12</v>
      </c>
      <c r="CM9" s="100">
        <v>8424</v>
      </c>
      <c r="CN9" s="100">
        <v>0.6688209907634457</v>
      </c>
      <c r="CO9" s="100">
        <v>469.5123355159389</v>
      </c>
      <c r="CP9" s="100">
        <v>2.3151768186186614</v>
      </c>
      <c r="CQ9" s="100">
        <v>1625.2541266703004</v>
      </c>
      <c r="CR9" s="100">
        <v>8</v>
      </c>
      <c r="CS9" s="100">
        <v>5616</v>
      </c>
      <c r="CT9" s="100">
        <v>8</v>
      </c>
      <c r="CU9" s="100">
        <v>5616</v>
      </c>
    </row>
    <row r="10" spans="1:99">
      <c r="C10" s="99" t="s">
        <v>176</v>
      </c>
      <c r="D10" s="100">
        <v>6</v>
      </c>
      <c r="E10" s="100">
        <v>3268.7999999999997</v>
      </c>
      <c r="F10" s="100">
        <v>6</v>
      </c>
      <c r="G10" s="100">
        <v>3268.7999999999997</v>
      </c>
      <c r="H10" s="100">
        <v>10</v>
      </c>
      <c r="I10" s="100">
        <v>5448</v>
      </c>
      <c r="J10" s="100">
        <v>4.4759533240615452</v>
      </c>
      <c r="K10" s="100">
        <v>2438.4993709487298</v>
      </c>
      <c r="L10" s="100">
        <v>7</v>
      </c>
      <c r="M10" s="100">
        <v>3813.5999999999995</v>
      </c>
      <c r="N10" s="100">
        <v>10</v>
      </c>
      <c r="O10" s="100">
        <v>5448</v>
      </c>
      <c r="P10" s="100">
        <v>10</v>
      </c>
      <c r="Q10" s="100">
        <v>5448</v>
      </c>
      <c r="R10" s="100">
        <v>6</v>
      </c>
      <c r="S10" s="100">
        <v>3268.7999999999997</v>
      </c>
      <c r="T10" s="100">
        <v>6</v>
      </c>
      <c r="U10" s="100">
        <v>3268.7999999999997</v>
      </c>
      <c r="V10" s="100">
        <v>9</v>
      </c>
      <c r="W10" s="100">
        <v>4903.2</v>
      </c>
      <c r="X10" s="100">
        <v>10</v>
      </c>
      <c r="Y10" s="100">
        <v>5448</v>
      </c>
      <c r="Z10" s="100">
        <v>12</v>
      </c>
      <c r="AA10" s="100">
        <v>6537.5999999999995</v>
      </c>
      <c r="AB10" s="100">
        <v>2.1773348262712116</v>
      </c>
      <c r="AC10" s="100">
        <v>1186.2120133525559</v>
      </c>
      <c r="AD10" s="100">
        <v>7</v>
      </c>
      <c r="AE10" s="100">
        <v>3813.5999999999995</v>
      </c>
      <c r="AF10" s="100">
        <v>10</v>
      </c>
      <c r="AG10" s="100">
        <v>5448</v>
      </c>
      <c r="AH10" s="100">
        <v>6.3881787458519748</v>
      </c>
      <c r="AI10" s="100">
        <v>3480.2797807401557</v>
      </c>
      <c r="AJ10" s="100">
        <v>2.2567532630436997E-4</v>
      </c>
      <c r="AK10" s="100">
        <v>0.12294791777062075</v>
      </c>
      <c r="AL10" s="100">
        <v>1.3942245290008196E-4</v>
      </c>
      <c r="AM10" s="100">
        <v>7.5957352339964646E-2</v>
      </c>
      <c r="AN10" s="100">
        <v>2.4804914129411131</v>
      </c>
      <c r="AO10" s="100">
        <v>1351.3717217703183</v>
      </c>
      <c r="AP10" s="100">
        <v>10</v>
      </c>
      <c r="AQ10" s="100">
        <v>5448</v>
      </c>
      <c r="AR10" s="100">
        <v>9</v>
      </c>
      <c r="AS10" s="100">
        <v>4903.2</v>
      </c>
      <c r="AT10" s="100">
        <v>11</v>
      </c>
      <c r="AU10" s="100">
        <v>5992.7999999999993</v>
      </c>
      <c r="AV10" s="100">
        <v>7.0583310589202011</v>
      </c>
      <c r="AW10" s="100">
        <v>3845.3787608997254</v>
      </c>
      <c r="AX10" s="100">
        <v>11</v>
      </c>
      <c r="AY10" s="100">
        <v>5992.7999999999993</v>
      </c>
      <c r="AZ10" s="100">
        <v>11</v>
      </c>
      <c r="BA10" s="100">
        <v>5992.7999999999993</v>
      </c>
      <c r="BB10" s="100">
        <v>2.6684098733154302</v>
      </c>
      <c r="BC10" s="100">
        <v>1453.7496989822462</v>
      </c>
      <c r="BD10" s="100">
        <v>6.7939666301169606</v>
      </c>
      <c r="BE10" s="100">
        <v>3701.3530200877199</v>
      </c>
      <c r="BF10" s="100">
        <v>11</v>
      </c>
      <c r="BG10" s="100">
        <v>5992.7999999999993</v>
      </c>
      <c r="BH10" s="100">
        <v>7.9008761333867366</v>
      </c>
      <c r="BI10" s="100">
        <v>4304.3973174690937</v>
      </c>
      <c r="BJ10" s="100">
        <v>7</v>
      </c>
      <c r="BK10" s="100">
        <v>3813.5999999999995</v>
      </c>
      <c r="BL10" s="100">
        <v>8.5252713111651151</v>
      </c>
      <c r="BM10" s="100">
        <v>4644.5678103227547</v>
      </c>
      <c r="BN10" s="100">
        <v>0.44947019765536977</v>
      </c>
      <c r="BO10" s="100">
        <v>244.87136368264544</v>
      </c>
      <c r="BP10" s="100">
        <v>9</v>
      </c>
      <c r="BQ10" s="100">
        <v>4903.2</v>
      </c>
      <c r="BR10" s="100">
        <v>10</v>
      </c>
      <c r="BS10" s="100">
        <v>5448</v>
      </c>
      <c r="BT10" s="100">
        <v>6.6142975356096523</v>
      </c>
      <c r="BU10" s="100">
        <v>3603.4692974001382</v>
      </c>
      <c r="BV10" s="100">
        <v>0.29510010602099518</v>
      </c>
      <c r="BW10" s="100">
        <v>160.77053776023817</v>
      </c>
      <c r="BX10" s="100">
        <v>12</v>
      </c>
      <c r="BY10" s="100">
        <v>6537.5999999999995</v>
      </c>
      <c r="BZ10" s="100">
        <v>12</v>
      </c>
      <c r="CA10" s="100">
        <v>6537.5999999999995</v>
      </c>
      <c r="CB10" s="100">
        <v>12</v>
      </c>
      <c r="CC10" s="100">
        <v>6537.5999999999995</v>
      </c>
      <c r="CD10" s="100">
        <v>12</v>
      </c>
      <c r="CE10" s="100">
        <v>6537.5999999999995</v>
      </c>
      <c r="CF10" s="100">
        <v>5.7309162009116594</v>
      </c>
      <c r="CG10" s="100">
        <v>3122.203146256672</v>
      </c>
      <c r="CH10" s="100">
        <v>11</v>
      </c>
      <c r="CI10" s="100">
        <v>5992.7999999999993</v>
      </c>
      <c r="CJ10" s="100">
        <v>7</v>
      </c>
      <c r="CK10" s="100">
        <v>3813.5999999999995</v>
      </c>
      <c r="CL10" s="100">
        <v>10</v>
      </c>
      <c r="CM10" s="100">
        <v>5448</v>
      </c>
      <c r="CN10" s="100">
        <v>0.5732751349400963</v>
      </c>
      <c r="CO10" s="100">
        <v>312.32029351536443</v>
      </c>
      <c r="CP10" s="100">
        <v>2.0579349498832546</v>
      </c>
      <c r="CQ10" s="100">
        <v>1121.162960696397</v>
      </c>
      <c r="CR10" s="100">
        <v>7</v>
      </c>
      <c r="CS10" s="100">
        <v>3813.5999999999995</v>
      </c>
      <c r="CT10" s="100">
        <v>9</v>
      </c>
      <c r="CU10" s="100">
        <v>4903.2</v>
      </c>
    </row>
    <row r="11" spans="1:99">
      <c r="C11" s="99" t="s">
        <v>177</v>
      </c>
      <c r="D11" s="100">
        <v>7</v>
      </c>
      <c r="E11" s="100">
        <v>3729.5999999999995</v>
      </c>
      <c r="F11" s="100">
        <v>6</v>
      </c>
      <c r="G11" s="100">
        <v>3196.7999999999997</v>
      </c>
      <c r="H11" s="100">
        <v>9</v>
      </c>
      <c r="I11" s="100">
        <v>4795.2</v>
      </c>
      <c r="J11" s="100">
        <v>4.4759533240615452</v>
      </c>
      <c r="K11" s="100">
        <v>2384.787931059991</v>
      </c>
      <c r="L11" s="100">
        <v>6</v>
      </c>
      <c r="M11" s="100">
        <v>3196.7999999999997</v>
      </c>
      <c r="N11" s="100">
        <v>10</v>
      </c>
      <c r="O11" s="100">
        <v>5328</v>
      </c>
      <c r="P11" s="100">
        <v>11</v>
      </c>
      <c r="Q11" s="100">
        <v>5860.7999999999993</v>
      </c>
      <c r="R11" s="100">
        <v>6</v>
      </c>
      <c r="S11" s="100">
        <v>3196.7999999999997</v>
      </c>
      <c r="T11" s="100">
        <v>5</v>
      </c>
      <c r="U11" s="100">
        <v>2664</v>
      </c>
      <c r="V11" s="100">
        <v>7</v>
      </c>
      <c r="W11" s="100">
        <v>3729.5999999999995</v>
      </c>
      <c r="X11" s="100">
        <v>11</v>
      </c>
      <c r="Y11" s="100">
        <v>5860.7999999999993</v>
      </c>
      <c r="Z11" s="100">
        <v>11</v>
      </c>
      <c r="AA11" s="100">
        <v>5860.7999999999993</v>
      </c>
      <c r="AB11" s="100">
        <v>2.5402239639830801</v>
      </c>
      <c r="AC11" s="100">
        <v>1353.4313280101851</v>
      </c>
      <c r="AD11" s="100">
        <v>7</v>
      </c>
      <c r="AE11" s="100">
        <v>3729.5999999999995</v>
      </c>
      <c r="AF11" s="100">
        <v>10</v>
      </c>
      <c r="AG11" s="100">
        <v>5328</v>
      </c>
      <c r="AH11" s="100">
        <v>6.3881787458519748</v>
      </c>
      <c r="AI11" s="100">
        <v>3403.621635789932</v>
      </c>
      <c r="AJ11" s="100">
        <v>2.2567532630436997E-4</v>
      </c>
      <c r="AK11" s="100">
        <v>0.12023981385496831</v>
      </c>
      <c r="AL11" s="100">
        <v>1.3942245290008196E-4</v>
      </c>
      <c r="AM11" s="100">
        <v>7.4284282905163659E-2</v>
      </c>
      <c r="AN11" s="100">
        <v>2.4804914129411131</v>
      </c>
      <c r="AO11" s="100">
        <v>1321.605824815025</v>
      </c>
      <c r="AP11" s="100">
        <v>9</v>
      </c>
      <c r="AQ11" s="100">
        <v>4795.2</v>
      </c>
      <c r="AR11" s="100">
        <v>9</v>
      </c>
      <c r="AS11" s="100">
        <v>4795.2</v>
      </c>
      <c r="AT11" s="100">
        <v>10</v>
      </c>
      <c r="AU11" s="100">
        <v>5328</v>
      </c>
      <c r="AV11" s="100">
        <v>6.3524979530281813</v>
      </c>
      <c r="AW11" s="100">
        <v>3384.6109093734149</v>
      </c>
      <c r="AX11" s="100">
        <v>10</v>
      </c>
      <c r="AY11" s="100">
        <v>5328</v>
      </c>
      <c r="AZ11" s="100">
        <v>12</v>
      </c>
      <c r="BA11" s="100">
        <v>6393.5999999999995</v>
      </c>
      <c r="BB11" s="100">
        <v>2.6684098733154302</v>
      </c>
      <c r="BC11" s="100">
        <v>1421.7287805024612</v>
      </c>
      <c r="BD11" s="100">
        <v>7.7645332915622394</v>
      </c>
      <c r="BE11" s="100">
        <v>4136.9433377443611</v>
      </c>
      <c r="BF11" s="100">
        <v>13</v>
      </c>
      <c r="BG11" s="100">
        <v>6926.4</v>
      </c>
      <c r="BH11" s="100">
        <v>7.9008761333867366</v>
      </c>
      <c r="BI11" s="100">
        <v>4209.586803868453</v>
      </c>
      <c r="BJ11" s="100">
        <v>6</v>
      </c>
      <c r="BK11" s="100">
        <v>3196.7999999999997</v>
      </c>
      <c r="BL11" s="100">
        <v>7.7502466465137418</v>
      </c>
      <c r="BM11" s="100">
        <v>4129.331413262521</v>
      </c>
      <c r="BN11" s="100">
        <v>0.44947019765536977</v>
      </c>
      <c r="BO11" s="100">
        <v>239.47772131078099</v>
      </c>
      <c r="BP11" s="100">
        <v>10</v>
      </c>
      <c r="BQ11" s="100">
        <v>5328</v>
      </c>
      <c r="BR11" s="100">
        <v>10</v>
      </c>
      <c r="BS11" s="100">
        <v>5328</v>
      </c>
      <c r="BT11" s="100">
        <v>7.275727289170618</v>
      </c>
      <c r="BU11" s="100">
        <v>3876.5074996701051</v>
      </c>
      <c r="BV11" s="100">
        <v>0.29510010602099518</v>
      </c>
      <c r="BW11" s="100">
        <v>157.22933648798622</v>
      </c>
      <c r="BX11" s="100">
        <v>12</v>
      </c>
      <c r="BY11" s="100">
        <v>6393.5999999999995</v>
      </c>
      <c r="BZ11" s="100">
        <v>13</v>
      </c>
      <c r="CA11" s="100">
        <v>6926.4</v>
      </c>
      <c r="CB11" s="100">
        <v>13</v>
      </c>
      <c r="CC11" s="100">
        <v>6926.4</v>
      </c>
      <c r="CD11" s="100">
        <v>12</v>
      </c>
      <c r="CE11" s="100">
        <v>6393.5999999999995</v>
      </c>
      <c r="CF11" s="100">
        <v>5.0145516757977022</v>
      </c>
      <c r="CG11" s="100">
        <v>2671.7531328650157</v>
      </c>
      <c r="CH11" s="100">
        <v>11</v>
      </c>
      <c r="CI11" s="100">
        <v>5860.7999999999993</v>
      </c>
      <c r="CJ11" s="100">
        <v>8</v>
      </c>
      <c r="CK11" s="100">
        <v>4262.3999999999996</v>
      </c>
      <c r="CL11" s="100">
        <v>12</v>
      </c>
      <c r="CM11" s="100">
        <v>6393.5999999999995</v>
      </c>
      <c r="CN11" s="100">
        <v>0.6688209907634457</v>
      </c>
      <c r="CO11" s="100">
        <v>356.34782387876385</v>
      </c>
      <c r="CP11" s="100">
        <v>2.0579349498832546</v>
      </c>
      <c r="CQ11" s="100">
        <v>1096.4677412977981</v>
      </c>
      <c r="CR11" s="100">
        <v>7</v>
      </c>
      <c r="CS11" s="100">
        <v>3729.5999999999995</v>
      </c>
      <c r="CT11" s="100">
        <v>8</v>
      </c>
      <c r="CU11" s="100">
        <v>4262.3999999999996</v>
      </c>
    </row>
    <row r="12" spans="1:99">
      <c r="C12" s="99" t="s">
        <v>178</v>
      </c>
      <c r="D12" s="100">
        <v>6</v>
      </c>
      <c r="E12" s="100">
        <v>3376.7999999999997</v>
      </c>
      <c r="F12" s="100">
        <v>7</v>
      </c>
      <c r="G12" s="100">
        <v>3939.5999999999995</v>
      </c>
      <c r="H12" s="100">
        <v>9</v>
      </c>
      <c r="I12" s="100">
        <v>5065.2</v>
      </c>
      <c r="J12" s="100">
        <v>5.035447489569238</v>
      </c>
      <c r="K12" s="100">
        <v>2833.9498471295669</v>
      </c>
      <c r="L12" s="100">
        <v>6</v>
      </c>
      <c r="M12" s="100">
        <v>3376.7999999999997</v>
      </c>
      <c r="N12" s="100">
        <v>11</v>
      </c>
      <c r="O12" s="100">
        <v>6190.7999999999993</v>
      </c>
      <c r="P12" s="100">
        <v>10</v>
      </c>
      <c r="Q12" s="100">
        <v>5628</v>
      </c>
      <c r="R12" s="100">
        <v>6</v>
      </c>
      <c r="S12" s="100">
        <v>3376.7999999999997</v>
      </c>
      <c r="T12" s="100">
        <v>6</v>
      </c>
      <c r="U12" s="100">
        <v>3376.7999999999997</v>
      </c>
      <c r="V12" s="100">
        <v>8</v>
      </c>
      <c r="W12" s="100">
        <v>4502.3999999999996</v>
      </c>
      <c r="X12" s="100">
        <v>10</v>
      </c>
      <c r="Y12" s="100">
        <v>5628</v>
      </c>
      <c r="Z12" s="100">
        <v>10</v>
      </c>
      <c r="AA12" s="100">
        <v>5628</v>
      </c>
      <c r="AB12" s="100">
        <v>2.1773348262712116</v>
      </c>
      <c r="AC12" s="100">
        <v>1225.4040402254377</v>
      </c>
      <c r="AD12" s="100">
        <v>7</v>
      </c>
      <c r="AE12" s="100">
        <v>3939.5999999999995</v>
      </c>
      <c r="AF12" s="100">
        <v>10</v>
      </c>
      <c r="AG12" s="100">
        <v>5628</v>
      </c>
      <c r="AH12" s="100">
        <v>6.3881787458519748</v>
      </c>
      <c r="AI12" s="100">
        <v>3595.2669981654913</v>
      </c>
      <c r="AJ12" s="100">
        <v>2.2567532630436997E-4</v>
      </c>
      <c r="AK12" s="100">
        <v>0.12701007364409941</v>
      </c>
      <c r="AL12" s="100">
        <v>1.3942245290008196E-4</v>
      </c>
      <c r="AM12" s="100">
        <v>7.8466956492166118E-2</v>
      </c>
      <c r="AN12" s="100">
        <v>2.9765896955293356</v>
      </c>
      <c r="AO12" s="100">
        <v>1675.22468064391</v>
      </c>
      <c r="AP12" s="100">
        <v>9</v>
      </c>
      <c r="AQ12" s="100">
        <v>5065.2</v>
      </c>
      <c r="AR12" s="100">
        <v>10</v>
      </c>
      <c r="AS12" s="100">
        <v>5628</v>
      </c>
      <c r="AT12" s="100">
        <v>10</v>
      </c>
      <c r="AU12" s="100">
        <v>5628</v>
      </c>
      <c r="AV12" s="100">
        <v>7.0583310589202011</v>
      </c>
      <c r="AW12" s="100">
        <v>3972.4287199602886</v>
      </c>
      <c r="AX12" s="100">
        <v>10</v>
      </c>
      <c r="AY12" s="100">
        <v>5628</v>
      </c>
      <c r="AZ12" s="100">
        <v>12</v>
      </c>
      <c r="BA12" s="100">
        <v>6753.5999999999995</v>
      </c>
      <c r="BB12" s="100">
        <v>2.6684098733154302</v>
      </c>
      <c r="BC12" s="100">
        <v>1501.7810767019241</v>
      </c>
      <c r="BD12" s="100">
        <v>6.7939666301169606</v>
      </c>
      <c r="BE12" s="100">
        <v>3823.6444194298251</v>
      </c>
      <c r="BF12" s="100">
        <v>13</v>
      </c>
      <c r="BG12" s="100">
        <v>7316.4</v>
      </c>
      <c r="BH12" s="100">
        <v>7.9008761333867366</v>
      </c>
      <c r="BI12" s="100">
        <v>4446.6130878700551</v>
      </c>
      <c r="BJ12" s="100">
        <v>6</v>
      </c>
      <c r="BK12" s="100">
        <v>3376.7999999999997</v>
      </c>
      <c r="BL12" s="100">
        <v>8.5252713111651151</v>
      </c>
      <c r="BM12" s="100">
        <v>4798.0226939237264</v>
      </c>
      <c r="BN12" s="100">
        <v>0.44947019765536977</v>
      </c>
      <c r="BO12" s="100">
        <v>252.96182724044209</v>
      </c>
      <c r="BP12" s="100">
        <v>9</v>
      </c>
      <c r="BQ12" s="100">
        <v>5065.2</v>
      </c>
      <c r="BR12" s="100">
        <v>11</v>
      </c>
      <c r="BS12" s="100">
        <v>6190.7999999999993</v>
      </c>
      <c r="BT12" s="100">
        <v>6.6142975356096523</v>
      </c>
      <c r="BU12" s="100">
        <v>3722.5266530411118</v>
      </c>
      <c r="BV12" s="100">
        <v>0.29510010602099518</v>
      </c>
      <c r="BW12" s="100">
        <v>166.08233966861607</v>
      </c>
      <c r="BX12" s="100">
        <v>13</v>
      </c>
      <c r="BY12" s="100">
        <v>7316.4</v>
      </c>
      <c r="BZ12" s="100">
        <v>12</v>
      </c>
      <c r="CA12" s="100">
        <v>6753.5999999999995</v>
      </c>
      <c r="CB12" s="100">
        <v>13</v>
      </c>
      <c r="CC12" s="100">
        <v>7316.4</v>
      </c>
      <c r="CD12" s="100">
        <v>12</v>
      </c>
      <c r="CE12" s="100">
        <v>6753.5999999999995</v>
      </c>
      <c r="CF12" s="100">
        <v>5.7309162009116594</v>
      </c>
      <c r="CG12" s="100">
        <v>3225.3596378730817</v>
      </c>
      <c r="CH12" s="100">
        <v>10</v>
      </c>
      <c r="CI12" s="100">
        <v>5628</v>
      </c>
      <c r="CJ12" s="100">
        <v>7</v>
      </c>
      <c r="CK12" s="100">
        <v>3939.5999999999995</v>
      </c>
      <c r="CL12" s="100">
        <v>12</v>
      </c>
      <c r="CM12" s="100">
        <v>6753.5999999999995</v>
      </c>
      <c r="CN12" s="100">
        <v>0.5732751349400963</v>
      </c>
      <c r="CO12" s="100">
        <v>322.63924594428619</v>
      </c>
      <c r="CP12" s="100">
        <v>1.8006930811478481</v>
      </c>
      <c r="CQ12" s="100">
        <v>1013.4300660700088</v>
      </c>
      <c r="CR12" s="100">
        <v>7</v>
      </c>
      <c r="CS12" s="100">
        <v>3939.5999999999995</v>
      </c>
      <c r="CT12" s="100">
        <v>9</v>
      </c>
      <c r="CU12" s="100">
        <v>5065.2</v>
      </c>
    </row>
    <row r="13" spans="1:99">
      <c r="C13" s="99" t="s">
        <v>179</v>
      </c>
      <c r="D13" s="100">
        <v>7</v>
      </c>
      <c r="E13" s="100">
        <v>596.4</v>
      </c>
      <c r="F13" s="100">
        <v>6</v>
      </c>
      <c r="G13" s="100">
        <v>511.20000000000005</v>
      </c>
      <c r="H13" s="100">
        <v>8</v>
      </c>
      <c r="I13" s="100">
        <v>681.6</v>
      </c>
      <c r="J13" s="100">
        <v>4.4759533240615452</v>
      </c>
      <c r="K13" s="100">
        <v>381.35122321004366</v>
      </c>
      <c r="L13" s="100">
        <v>6</v>
      </c>
      <c r="M13" s="100">
        <v>511.20000000000005</v>
      </c>
      <c r="N13" s="100">
        <v>12</v>
      </c>
      <c r="O13" s="100">
        <v>1022.4000000000001</v>
      </c>
      <c r="P13" s="100">
        <v>10</v>
      </c>
      <c r="Q13" s="100">
        <v>852</v>
      </c>
      <c r="R13" s="100">
        <v>6</v>
      </c>
      <c r="S13" s="100">
        <v>511.20000000000005</v>
      </c>
      <c r="T13" s="100">
        <v>6</v>
      </c>
      <c r="U13" s="100">
        <v>511.20000000000005</v>
      </c>
      <c r="V13" s="100">
        <v>9</v>
      </c>
      <c r="W13" s="100">
        <v>766.80000000000007</v>
      </c>
      <c r="X13" s="100">
        <v>11</v>
      </c>
      <c r="Y13" s="100">
        <v>937.2</v>
      </c>
      <c r="Z13" s="100">
        <v>10</v>
      </c>
      <c r="AA13" s="100">
        <v>852</v>
      </c>
      <c r="AB13" s="100">
        <v>2.5402239639830801</v>
      </c>
      <c r="AC13" s="100">
        <v>216.42708173135844</v>
      </c>
      <c r="AD13" s="100">
        <v>7</v>
      </c>
      <c r="AE13" s="100">
        <v>596.4</v>
      </c>
      <c r="AF13" s="100">
        <v>11</v>
      </c>
      <c r="AG13" s="100">
        <v>937.2</v>
      </c>
      <c r="AH13" s="100">
        <v>6.3881787458519748</v>
      </c>
      <c r="AI13" s="100">
        <v>544.27282914658826</v>
      </c>
      <c r="AJ13" s="100">
        <v>2.2567532630436997E-4</v>
      </c>
      <c r="AK13" s="100">
        <v>1.9227537801132323E-2</v>
      </c>
      <c r="AL13" s="100">
        <v>1.3942245290008196E-4</v>
      </c>
      <c r="AM13" s="100">
        <v>1.1878792987086984E-2</v>
      </c>
      <c r="AN13" s="100">
        <v>2.7285405542352241</v>
      </c>
      <c r="AO13" s="100">
        <v>232.47165522084111</v>
      </c>
      <c r="AP13" s="100">
        <v>9</v>
      </c>
      <c r="AQ13" s="100">
        <v>766.80000000000007</v>
      </c>
      <c r="AR13" s="100">
        <v>10</v>
      </c>
      <c r="AS13" s="100">
        <v>852</v>
      </c>
      <c r="AT13" s="100">
        <v>11</v>
      </c>
      <c r="AU13" s="100">
        <v>937.2</v>
      </c>
      <c r="AV13" s="100">
        <v>6.3524979530281813</v>
      </c>
      <c r="AW13" s="100">
        <v>541.23282559800111</v>
      </c>
      <c r="AX13" s="100">
        <v>11</v>
      </c>
      <c r="AY13" s="100">
        <v>937.2</v>
      </c>
      <c r="AZ13" s="100">
        <v>12</v>
      </c>
      <c r="BA13" s="100">
        <v>1022.4000000000001</v>
      </c>
      <c r="BB13" s="100">
        <v>2.6684098733154302</v>
      </c>
      <c r="BC13" s="100">
        <v>227.34852120647466</v>
      </c>
      <c r="BD13" s="100">
        <v>6.7939666301169606</v>
      </c>
      <c r="BE13" s="100">
        <v>578.84595688596505</v>
      </c>
      <c r="BF13" s="100">
        <v>14</v>
      </c>
      <c r="BG13" s="100">
        <v>1192.8</v>
      </c>
      <c r="BH13" s="100">
        <v>6.9132666167133943</v>
      </c>
      <c r="BI13" s="100">
        <v>589.01031574398121</v>
      </c>
      <c r="BJ13" s="100">
        <v>7</v>
      </c>
      <c r="BK13" s="100">
        <v>596.4</v>
      </c>
      <c r="BL13" s="100">
        <v>8.5252713111651151</v>
      </c>
      <c r="BM13" s="100">
        <v>726.35311571126783</v>
      </c>
      <c r="BN13" s="100">
        <v>0.44947019765536977</v>
      </c>
      <c r="BO13" s="100">
        <v>38.294860840237504</v>
      </c>
      <c r="BP13" s="100">
        <v>9</v>
      </c>
      <c r="BQ13" s="100">
        <v>766.80000000000007</v>
      </c>
      <c r="BR13" s="100">
        <v>11</v>
      </c>
      <c r="BS13" s="100">
        <v>937.2</v>
      </c>
      <c r="BT13" s="100">
        <v>7.275727289170618</v>
      </c>
      <c r="BU13" s="100">
        <v>619.89196503733672</v>
      </c>
      <c r="BV13" s="100">
        <v>0.33198761927361958</v>
      </c>
      <c r="BW13" s="100">
        <v>28.285345162112389</v>
      </c>
      <c r="BX13" s="100">
        <v>14</v>
      </c>
      <c r="BY13" s="100">
        <v>1192.8</v>
      </c>
      <c r="BZ13" s="100">
        <v>13</v>
      </c>
      <c r="CA13" s="100">
        <v>1107.6000000000001</v>
      </c>
      <c r="CB13" s="100">
        <v>14</v>
      </c>
      <c r="CC13" s="100">
        <v>1192.8</v>
      </c>
      <c r="CD13" s="100">
        <v>12</v>
      </c>
      <c r="CE13" s="100">
        <v>1022.4000000000001</v>
      </c>
      <c r="CF13" s="100">
        <v>6.4472807260256166</v>
      </c>
      <c r="CG13" s="100">
        <v>549.30831785738258</v>
      </c>
      <c r="CH13" s="100">
        <v>10</v>
      </c>
      <c r="CI13" s="100">
        <v>852</v>
      </c>
      <c r="CJ13" s="100">
        <v>8</v>
      </c>
      <c r="CK13" s="100">
        <v>681.6</v>
      </c>
      <c r="CL13" s="100">
        <v>11</v>
      </c>
      <c r="CM13" s="100">
        <v>937.2</v>
      </c>
      <c r="CN13" s="100">
        <v>0.6688209907634457</v>
      </c>
      <c r="CO13" s="100">
        <v>56.983548413045575</v>
      </c>
      <c r="CP13" s="100">
        <v>2.0579349498832546</v>
      </c>
      <c r="CQ13" s="100">
        <v>175.33605773005331</v>
      </c>
      <c r="CR13" s="100">
        <v>8</v>
      </c>
      <c r="CS13" s="100">
        <v>681.6</v>
      </c>
      <c r="CT13" s="100">
        <v>9</v>
      </c>
      <c r="CU13" s="100">
        <v>766.80000000000007</v>
      </c>
    </row>
    <row r="14" spans="1:99">
      <c r="C14" s="99" t="s">
        <v>180</v>
      </c>
      <c r="D14" s="100">
        <v>6</v>
      </c>
      <c r="E14" s="100">
        <v>2930.3999999999996</v>
      </c>
      <c r="F14" s="100">
        <v>7</v>
      </c>
      <c r="G14" s="100">
        <v>3418.7999999999997</v>
      </c>
      <c r="H14" s="100">
        <v>9</v>
      </c>
      <c r="I14" s="100">
        <v>4395.5999999999995</v>
      </c>
      <c r="J14" s="100">
        <v>3.9164591585538515</v>
      </c>
      <c r="K14" s="100">
        <v>1912.7986530377009</v>
      </c>
      <c r="L14" s="100">
        <v>6</v>
      </c>
      <c r="M14" s="100">
        <v>2930.3999999999996</v>
      </c>
      <c r="N14" s="100">
        <v>11</v>
      </c>
      <c r="O14" s="100">
        <v>5372.4</v>
      </c>
      <c r="P14" s="100">
        <v>9</v>
      </c>
      <c r="Q14" s="100">
        <v>4395.5999999999995</v>
      </c>
      <c r="R14" s="100">
        <v>7</v>
      </c>
      <c r="S14" s="100">
        <v>3418.7999999999997</v>
      </c>
      <c r="T14" s="100">
        <v>6</v>
      </c>
      <c r="U14" s="100">
        <v>2930.3999999999996</v>
      </c>
      <c r="V14" s="100">
        <v>8</v>
      </c>
      <c r="W14" s="100">
        <v>3907.2</v>
      </c>
      <c r="X14" s="100">
        <v>10</v>
      </c>
      <c r="Y14" s="100">
        <v>4884</v>
      </c>
      <c r="Z14" s="100">
        <v>10</v>
      </c>
      <c r="AA14" s="100">
        <v>4884</v>
      </c>
      <c r="AB14" s="100">
        <v>2.5402239639830801</v>
      </c>
      <c r="AC14" s="100">
        <v>1240.6453840093363</v>
      </c>
      <c r="AD14" s="100">
        <v>7</v>
      </c>
      <c r="AE14" s="100">
        <v>3418.7999999999997</v>
      </c>
      <c r="AF14" s="100">
        <v>11</v>
      </c>
      <c r="AG14" s="100">
        <v>5372.4</v>
      </c>
      <c r="AH14" s="100">
        <v>6.3881787458519748</v>
      </c>
      <c r="AI14" s="100">
        <v>3119.9864994741042</v>
      </c>
      <c r="AJ14" s="100">
        <v>2.2567532630436997E-4</v>
      </c>
      <c r="AK14" s="100">
        <v>0.11021982936705428</v>
      </c>
      <c r="AL14" s="100">
        <v>1.6265952838342895E-4</v>
      </c>
      <c r="AM14" s="100">
        <v>7.9442913662466697E-2</v>
      </c>
      <c r="AN14" s="100">
        <v>2.7285405542352241</v>
      </c>
      <c r="AO14" s="100">
        <v>1332.6192066884835</v>
      </c>
      <c r="AP14" s="100">
        <v>9</v>
      </c>
      <c r="AQ14" s="100">
        <v>4395.5999999999995</v>
      </c>
      <c r="AR14" s="100">
        <v>10</v>
      </c>
      <c r="AS14" s="100">
        <v>4884</v>
      </c>
      <c r="AT14" s="100">
        <v>9</v>
      </c>
      <c r="AU14" s="100">
        <v>4395.5999999999995</v>
      </c>
      <c r="AV14" s="100">
        <v>6.3524979530281813</v>
      </c>
      <c r="AW14" s="100">
        <v>3102.5600002589636</v>
      </c>
      <c r="AX14" s="100">
        <v>10</v>
      </c>
      <c r="AY14" s="100">
        <v>4884</v>
      </c>
      <c r="AZ14" s="100">
        <v>11</v>
      </c>
      <c r="BA14" s="100">
        <v>5372.4</v>
      </c>
      <c r="BB14" s="100">
        <v>2.6684098733154302</v>
      </c>
      <c r="BC14" s="100">
        <v>1303.251382127256</v>
      </c>
      <c r="BD14" s="100">
        <v>6.7939666301169606</v>
      </c>
      <c r="BE14" s="100">
        <v>3318.1733021491232</v>
      </c>
      <c r="BF14" s="100">
        <v>12</v>
      </c>
      <c r="BG14" s="100">
        <v>5860.7999999999993</v>
      </c>
      <c r="BH14" s="100">
        <v>6.9132666167133943</v>
      </c>
      <c r="BI14" s="100">
        <v>3376.4394156028216</v>
      </c>
      <c r="BJ14" s="100">
        <v>7</v>
      </c>
      <c r="BK14" s="100">
        <v>3418.7999999999997</v>
      </c>
      <c r="BL14" s="100">
        <v>8.5252713111651151</v>
      </c>
      <c r="BM14" s="100">
        <v>4163.7425083730423</v>
      </c>
      <c r="BN14" s="100">
        <v>0.44947019765536977</v>
      </c>
      <c r="BO14" s="100">
        <v>219.52124453488258</v>
      </c>
      <c r="BP14" s="100">
        <v>10</v>
      </c>
      <c r="BQ14" s="100">
        <v>4884</v>
      </c>
      <c r="BR14" s="100">
        <v>10</v>
      </c>
      <c r="BS14" s="100">
        <v>4884</v>
      </c>
      <c r="BT14" s="100">
        <v>6.6142975356096523</v>
      </c>
      <c r="BU14" s="100">
        <v>3230.4229163917539</v>
      </c>
      <c r="BV14" s="100">
        <v>0.29510010602099518</v>
      </c>
      <c r="BW14" s="100">
        <v>144.12689178065403</v>
      </c>
      <c r="BX14" s="100">
        <v>12</v>
      </c>
      <c r="BY14" s="100">
        <v>5860.7999999999993</v>
      </c>
      <c r="BZ14" s="100">
        <v>11</v>
      </c>
      <c r="CA14" s="100">
        <v>5372.4</v>
      </c>
      <c r="CB14" s="100">
        <v>13</v>
      </c>
      <c r="CC14" s="100">
        <v>6349.2</v>
      </c>
      <c r="CD14" s="100">
        <v>11</v>
      </c>
      <c r="CE14" s="100">
        <v>5372.4</v>
      </c>
      <c r="CF14" s="100">
        <v>5.7309162009116594</v>
      </c>
      <c r="CG14" s="100">
        <v>2798.9794725252546</v>
      </c>
      <c r="CH14" s="100">
        <v>10</v>
      </c>
      <c r="CI14" s="100">
        <v>4884</v>
      </c>
      <c r="CJ14" s="100">
        <v>7</v>
      </c>
      <c r="CK14" s="100">
        <v>3418.7999999999997</v>
      </c>
      <c r="CL14" s="100">
        <v>11</v>
      </c>
      <c r="CM14" s="100">
        <v>5372.4</v>
      </c>
      <c r="CN14" s="100">
        <v>0.5732751349400963</v>
      </c>
      <c r="CO14" s="100">
        <v>279.98757590474304</v>
      </c>
      <c r="CP14" s="100">
        <v>2.0579349498832546</v>
      </c>
      <c r="CQ14" s="100">
        <v>1005.0954295229815</v>
      </c>
      <c r="CR14" s="100">
        <v>6</v>
      </c>
      <c r="CS14" s="100">
        <v>2930.3999999999996</v>
      </c>
      <c r="CT14" s="100">
        <v>9</v>
      </c>
      <c r="CU14" s="100">
        <v>4395.5999999999995</v>
      </c>
    </row>
    <row r="15" spans="1:99">
      <c r="C15" s="99" t="s">
        <v>181</v>
      </c>
      <c r="D15" s="100">
        <v>6</v>
      </c>
      <c r="E15" s="100">
        <v>4579.2</v>
      </c>
      <c r="F15" s="100">
        <v>6</v>
      </c>
      <c r="G15" s="100">
        <v>4579.2</v>
      </c>
      <c r="H15" s="100">
        <v>8</v>
      </c>
      <c r="I15" s="100">
        <v>6105.5999999999995</v>
      </c>
      <c r="J15" s="100">
        <v>3.9164591585538515</v>
      </c>
      <c r="K15" s="100">
        <v>2989.0416298082991</v>
      </c>
      <c r="L15" s="100">
        <v>7</v>
      </c>
      <c r="M15" s="100">
        <v>5342.4</v>
      </c>
      <c r="N15" s="100">
        <v>10</v>
      </c>
      <c r="O15" s="100">
        <v>7631.9999999999991</v>
      </c>
      <c r="P15" s="100">
        <v>10</v>
      </c>
      <c r="Q15" s="100">
        <v>7631.9999999999991</v>
      </c>
      <c r="R15" s="100">
        <v>5</v>
      </c>
      <c r="S15" s="100">
        <v>3815.9999999999995</v>
      </c>
      <c r="T15" s="100">
        <v>6</v>
      </c>
      <c r="U15" s="100">
        <v>4579.2</v>
      </c>
      <c r="V15" s="100">
        <v>7</v>
      </c>
      <c r="W15" s="100">
        <v>5342.4</v>
      </c>
      <c r="X15" s="100">
        <v>11</v>
      </c>
      <c r="Y15" s="100">
        <v>8395.1999999999989</v>
      </c>
      <c r="Z15" s="100">
        <v>10</v>
      </c>
      <c r="AA15" s="100">
        <v>7631.9999999999991</v>
      </c>
      <c r="AB15" s="100">
        <v>2.5402239639830801</v>
      </c>
      <c r="AC15" s="100">
        <v>1938.6989293118866</v>
      </c>
      <c r="AD15" s="100">
        <v>7</v>
      </c>
      <c r="AE15" s="100">
        <v>5342.4</v>
      </c>
      <c r="AF15" s="100">
        <v>11</v>
      </c>
      <c r="AG15" s="100">
        <v>8395.1999999999989</v>
      </c>
      <c r="AH15" s="100">
        <v>7.300775709545114</v>
      </c>
      <c r="AI15" s="100">
        <v>5571.9520215248303</v>
      </c>
      <c r="AJ15" s="100">
        <v>2.2567532630436997E-4</v>
      </c>
      <c r="AK15" s="100">
        <v>0.17223540903549514</v>
      </c>
      <c r="AL15" s="100">
        <v>1.6265952838342895E-4</v>
      </c>
      <c r="AM15" s="100">
        <v>0.12414175206223296</v>
      </c>
      <c r="AN15" s="100">
        <v>2.7285405542352241</v>
      </c>
      <c r="AO15" s="100">
        <v>2082.4221509923227</v>
      </c>
      <c r="AP15" s="100">
        <v>9</v>
      </c>
      <c r="AQ15" s="100">
        <v>6868.7999999999993</v>
      </c>
      <c r="AR15" s="100">
        <v>10</v>
      </c>
      <c r="AS15" s="100">
        <v>7631.9999999999991</v>
      </c>
      <c r="AT15" s="100">
        <v>10</v>
      </c>
      <c r="AU15" s="100">
        <v>7631.9999999999991</v>
      </c>
      <c r="AV15" s="100">
        <v>6.3524979530281813</v>
      </c>
      <c r="AW15" s="100">
        <v>4848.2264377511074</v>
      </c>
      <c r="AX15" s="100">
        <v>10</v>
      </c>
      <c r="AY15" s="100">
        <v>7631.9999999999991</v>
      </c>
      <c r="AZ15" s="100">
        <v>10</v>
      </c>
      <c r="BA15" s="100">
        <v>7631.9999999999991</v>
      </c>
      <c r="BB15" s="100">
        <v>3.0496112837890625</v>
      </c>
      <c r="BC15" s="100">
        <v>2327.4633317878124</v>
      </c>
      <c r="BD15" s="100">
        <v>6.7939666301169606</v>
      </c>
      <c r="BE15" s="100">
        <v>5185.1553321052643</v>
      </c>
      <c r="BF15" s="100">
        <v>12</v>
      </c>
      <c r="BG15" s="100">
        <v>9158.4</v>
      </c>
      <c r="BH15" s="100">
        <v>6.9132666167133943</v>
      </c>
      <c r="BI15" s="100">
        <v>5276.2050818756625</v>
      </c>
      <c r="BJ15" s="100">
        <v>6</v>
      </c>
      <c r="BK15" s="100">
        <v>4579.2</v>
      </c>
      <c r="BL15" s="100">
        <v>8.5252713111651151</v>
      </c>
      <c r="BM15" s="100">
        <v>6506.4870646812151</v>
      </c>
      <c r="BN15" s="100">
        <v>0.40860927059579072</v>
      </c>
      <c r="BO15" s="100">
        <v>311.85059531870746</v>
      </c>
      <c r="BP15" s="100">
        <v>9</v>
      </c>
      <c r="BQ15" s="100">
        <v>6868.7999999999993</v>
      </c>
      <c r="BR15" s="100">
        <v>11</v>
      </c>
      <c r="BS15" s="100">
        <v>8395.1999999999989</v>
      </c>
      <c r="BT15" s="100">
        <v>6.6142975356096523</v>
      </c>
      <c r="BU15" s="100">
        <v>5048.0318791772861</v>
      </c>
      <c r="BV15" s="100">
        <v>0.33198761927361958</v>
      </c>
      <c r="BW15" s="100">
        <v>253.37295102962645</v>
      </c>
      <c r="BX15" s="100">
        <v>14</v>
      </c>
      <c r="BY15" s="100">
        <v>10684.8</v>
      </c>
      <c r="BZ15" s="100">
        <v>12</v>
      </c>
      <c r="CA15" s="100">
        <v>9158.4</v>
      </c>
      <c r="CB15" s="100">
        <v>12</v>
      </c>
      <c r="CC15" s="100">
        <v>9158.4</v>
      </c>
      <c r="CD15" s="100">
        <v>11</v>
      </c>
      <c r="CE15" s="100">
        <v>8395.1999999999989</v>
      </c>
      <c r="CF15" s="100">
        <v>5.7309162009116594</v>
      </c>
      <c r="CG15" s="100">
        <v>4373.8352445357777</v>
      </c>
      <c r="CH15" s="100">
        <v>10</v>
      </c>
      <c r="CI15" s="100">
        <v>7631.9999999999991</v>
      </c>
      <c r="CJ15" s="100">
        <v>8</v>
      </c>
      <c r="CK15" s="100">
        <v>6105.5999999999995</v>
      </c>
      <c r="CL15" s="100">
        <v>13</v>
      </c>
      <c r="CM15" s="100">
        <v>9921.5999999999985</v>
      </c>
      <c r="CN15" s="100">
        <v>0.6688209907634457</v>
      </c>
      <c r="CO15" s="100">
        <v>510.44418015066174</v>
      </c>
      <c r="CP15" s="100">
        <v>1.8006930811478481</v>
      </c>
      <c r="CQ15" s="100">
        <v>1374.2889595320376</v>
      </c>
      <c r="CR15" s="100">
        <v>7</v>
      </c>
      <c r="CS15" s="100">
        <v>5342.4</v>
      </c>
      <c r="CT15" s="100">
        <v>9</v>
      </c>
      <c r="CU15" s="100">
        <v>6868.7999999999993</v>
      </c>
    </row>
    <row r="16" spans="1:99">
      <c r="C16" s="99" t="s">
        <v>182</v>
      </c>
      <c r="D16" s="100">
        <v>6</v>
      </c>
      <c r="E16" s="100">
        <v>2044.8000000000002</v>
      </c>
      <c r="F16" s="100">
        <v>7</v>
      </c>
      <c r="G16" s="100">
        <v>2385.6</v>
      </c>
      <c r="H16" s="100">
        <v>9</v>
      </c>
      <c r="I16" s="100">
        <v>3067.2000000000003</v>
      </c>
      <c r="J16" s="100">
        <v>4.4759533240615452</v>
      </c>
      <c r="K16" s="100">
        <v>1525.4048928401746</v>
      </c>
      <c r="L16" s="100">
        <v>6</v>
      </c>
      <c r="M16" s="100">
        <v>2044.8000000000002</v>
      </c>
      <c r="N16" s="100">
        <v>12</v>
      </c>
      <c r="O16" s="100">
        <v>4089.6000000000004</v>
      </c>
      <c r="P16" s="100">
        <v>9</v>
      </c>
      <c r="Q16" s="100">
        <v>3067.2000000000003</v>
      </c>
      <c r="R16" s="100">
        <v>6</v>
      </c>
      <c r="S16" s="100">
        <v>2044.8000000000002</v>
      </c>
      <c r="T16" s="100">
        <v>6</v>
      </c>
      <c r="U16" s="100">
        <v>2044.8000000000002</v>
      </c>
      <c r="V16" s="100">
        <v>8</v>
      </c>
      <c r="W16" s="100">
        <v>2726.4</v>
      </c>
      <c r="X16" s="100">
        <v>10</v>
      </c>
      <c r="Y16" s="100">
        <v>3408</v>
      </c>
      <c r="Z16" s="100">
        <v>10</v>
      </c>
      <c r="AA16" s="100">
        <v>3408</v>
      </c>
      <c r="AB16" s="100">
        <v>2.5402239639830801</v>
      </c>
      <c r="AC16" s="100">
        <v>865.70832692543377</v>
      </c>
      <c r="AD16" s="100">
        <v>7</v>
      </c>
      <c r="AE16" s="100">
        <v>2385.6</v>
      </c>
      <c r="AF16" s="100">
        <v>12</v>
      </c>
      <c r="AG16" s="100">
        <v>4089.6000000000004</v>
      </c>
      <c r="AH16" s="100">
        <v>6.3881787458519748</v>
      </c>
      <c r="AI16" s="100">
        <v>2177.0913165863531</v>
      </c>
      <c r="AJ16" s="100">
        <v>2.5075036256041105E-4</v>
      </c>
      <c r="AK16" s="100">
        <v>8.5455723560588087E-2</v>
      </c>
      <c r="AL16" s="100">
        <v>1.3942245290008196E-4</v>
      </c>
      <c r="AM16" s="100">
        <v>4.7515171948347937E-2</v>
      </c>
      <c r="AN16" s="100">
        <v>2.7285405542352241</v>
      </c>
      <c r="AO16" s="100">
        <v>929.88662088336446</v>
      </c>
      <c r="AP16" s="100">
        <v>9</v>
      </c>
      <c r="AQ16" s="100">
        <v>3067.2000000000003</v>
      </c>
      <c r="AR16" s="100">
        <v>9</v>
      </c>
      <c r="AS16" s="100">
        <v>3067.2000000000003</v>
      </c>
      <c r="AT16" s="100">
        <v>10</v>
      </c>
      <c r="AU16" s="100">
        <v>3408</v>
      </c>
      <c r="AV16" s="100">
        <v>6.3524979530281813</v>
      </c>
      <c r="AW16" s="100">
        <v>2164.9313023920045</v>
      </c>
      <c r="AX16" s="100">
        <v>9</v>
      </c>
      <c r="AY16" s="100">
        <v>3067.2000000000003</v>
      </c>
      <c r="AZ16" s="100">
        <v>10</v>
      </c>
      <c r="BA16" s="100">
        <v>3408</v>
      </c>
      <c r="BB16" s="100">
        <v>3.0496112837890625</v>
      </c>
      <c r="BC16" s="100">
        <v>1039.3075255153126</v>
      </c>
      <c r="BD16" s="100">
        <v>7.7645332915622394</v>
      </c>
      <c r="BE16" s="100">
        <v>2646.1529457644115</v>
      </c>
      <c r="BF16" s="100">
        <v>13</v>
      </c>
      <c r="BG16" s="100">
        <v>4430.4000000000005</v>
      </c>
      <c r="BH16" s="100">
        <v>7.9008761333867366</v>
      </c>
      <c r="BI16" s="100">
        <v>2692.6185862581997</v>
      </c>
      <c r="BJ16" s="100">
        <v>7</v>
      </c>
      <c r="BK16" s="100">
        <v>2385.6</v>
      </c>
      <c r="BL16" s="100">
        <v>8.5252713111651151</v>
      </c>
      <c r="BM16" s="100">
        <v>2905.4124628450713</v>
      </c>
      <c r="BN16" s="100">
        <v>0.44947019765536977</v>
      </c>
      <c r="BO16" s="100">
        <v>153.17944336095002</v>
      </c>
      <c r="BP16" s="100">
        <v>10</v>
      </c>
      <c r="BQ16" s="100">
        <v>3408</v>
      </c>
      <c r="BR16" s="100">
        <v>11</v>
      </c>
      <c r="BS16" s="100">
        <v>3748.8</v>
      </c>
      <c r="BT16" s="100">
        <v>6.6142975356096523</v>
      </c>
      <c r="BU16" s="100">
        <v>2254.1526001357697</v>
      </c>
      <c r="BV16" s="100">
        <v>0.29510010602099518</v>
      </c>
      <c r="BW16" s="100">
        <v>100.57011613195516</v>
      </c>
      <c r="BX16" s="100">
        <v>13</v>
      </c>
      <c r="BY16" s="100">
        <v>4430.4000000000005</v>
      </c>
      <c r="BZ16" s="100">
        <v>12</v>
      </c>
      <c r="CA16" s="100">
        <v>4089.6000000000004</v>
      </c>
      <c r="CB16" s="100">
        <v>13</v>
      </c>
      <c r="CC16" s="100">
        <v>4430.4000000000005</v>
      </c>
      <c r="CD16" s="100">
        <v>12</v>
      </c>
      <c r="CE16" s="100">
        <v>4089.6000000000004</v>
      </c>
      <c r="CF16" s="100">
        <v>5.7309162009116594</v>
      </c>
      <c r="CG16" s="100">
        <v>1953.0962412706936</v>
      </c>
      <c r="CH16" s="100">
        <v>12</v>
      </c>
      <c r="CI16" s="100">
        <v>4089.6000000000004</v>
      </c>
      <c r="CJ16" s="100">
        <v>8</v>
      </c>
      <c r="CK16" s="100">
        <v>2726.4</v>
      </c>
      <c r="CL16" s="100">
        <v>12</v>
      </c>
      <c r="CM16" s="100">
        <v>4089.6000000000004</v>
      </c>
      <c r="CN16" s="100">
        <v>0.5732751349400963</v>
      </c>
      <c r="CO16" s="100">
        <v>195.37216598758482</v>
      </c>
      <c r="CP16" s="100">
        <v>1.8006930811478481</v>
      </c>
      <c r="CQ16" s="100">
        <v>613.67620205518665</v>
      </c>
      <c r="CR16" s="100">
        <v>7</v>
      </c>
      <c r="CS16" s="100">
        <v>2385.6</v>
      </c>
      <c r="CT16" s="100">
        <v>8</v>
      </c>
      <c r="CU16" s="100">
        <v>2726.4</v>
      </c>
    </row>
    <row r="17" spans="2:99">
      <c r="C17" s="99" t="s">
        <v>183</v>
      </c>
      <c r="D17" s="100">
        <v>7</v>
      </c>
      <c r="E17" s="100">
        <v>2956.7999999999997</v>
      </c>
      <c r="F17" s="100">
        <v>6</v>
      </c>
      <c r="G17" s="100">
        <v>2534.3999999999996</v>
      </c>
      <c r="H17" s="100">
        <v>9</v>
      </c>
      <c r="I17" s="100">
        <v>3801.6</v>
      </c>
      <c r="J17" s="100">
        <v>5.035447489569238</v>
      </c>
      <c r="K17" s="100">
        <v>2126.973019594046</v>
      </c>
      <c r="L17" s="100">
        <v>6</v>
      </c>
      <c r="M17" s="100">
        <v>2534.3999999999996</v>
      </c>
      <c r="N17" s="100">
        <v>12</v>
      </c>
      <c r="O17" s="100">
        <v>5068.7999999999993</v>
      </c>
      <c r="P17" s="100">
        <v>10</v>
      </c>
      <c r="Q17" s="100">
        <v>4224</v>
      </c>
      <c r="R17" s="100">
        <v>7</v>
      </c>
      <c r="S17" s="100">
        <v>2956.7999999999997</v>
      </c>
      <c r="T17" s="100">
        <v>6</v>
      </c>
      <c r="U17" s="100">
        <v>2534.3999999999996</v>
      </c>
      <c r="V17" s="100">
        <v>8</v>
      </c>
      <c r="W17" s="100">
        <v>3379.2</v>
      </c>
      <c r="X17" s="100">
        <v>10</v>
      </c>
      <c r="Y17" s="100">
        <v>4224</v>
      </c>
      <c r="Z17" s="100">
        <v>10</v>
      </c>
      <c r="AA17" s="100">
        <v>4224</v>
      </c>
      <c r="AB17" s="100">
        <v>2.1773348262712116</v>
      </c>
      <c r="AC17" s="100">
        <v>919.70623061695972</v>
      </c>
      <c r="AD17" s="100">
        <v>7</v>
      </c>
      <c r="AE17" s="100">
        <v>2956.7999999999997</v>
      </c>
      <c r="AF17" s="100">
        <v>11</v>
      </c>
      <c r="AG17" s="100">
        <v>4646.3999999999996</v>
      </c>
      <c r="AH17" s="100">
        <v>7.300775709545114</v>
      </c>
      <c r="AI17" s="100">
        <v>3083.8476597118561</v>
      </c>
      <c r="AJ17" s="100">
        <v>2.2567532630436997E-4</v>
      </c>
      <c r="AK17" s="100">
        <v>9.5325257830965876E-2</v>
      </c>
      <c r="AL17" s="100">
        <v>1.3942245290008196E-4</v>
      </c>
      <c r="AM17" s="100">
        <v>5.8892044104994615E-2</v>
      </c>
      <c r="AN17" s="100">
        <v>2.7285405542352241</v>
      </c>
      <c r="AO17" s="100">
        <v>1152.5355301089587</v>
      </c>
      <c r="AP17" s="100">
        <v>10</v>
      </c>
      <c r="AQ17" s="100">
        <v>4224</v>
      </c>
      <c r="AR17" s="100">
        <v>9</v>
      </c>
      <c r="AS17" s="100">
        <v>3801.6</v>
      </c>
      <c r="AT17" s="100">
        <v>10</v>
      </c>
      <c r="AU17" s="100">
        <v>4224</v>
      </c>
      <c r="AV17" s="100">
        <v>7.0583310589202011</v>
      </c>
      <c r="AW17" s="100">
        <v>2981.4390392878927</v>
      </c>
      <c r="AX17" s="100">
        <v>11</v>
      </c>
      <c r="AY17" s="100">
        <v>4646.3999999999996</v>
      </c>
      <c r="AZ17" s="100">
        <v>10</v>
      </c>
      <c r="BA17" s="100">
        <v>4224</v>
      </c>
      <c r="BB17" s="100">
        <v>2.287208462841797</v>
      </c>
      <c r="BC17" s="100">
        <v>966.11685470437499</v>
      </c>
      <c r="BD17" s="100">
        <v>6.7939666301169606</v>
      </c>
      <c r="BE17" s="100">
        <v>2869.7715045614041</v>
      </c>
      <c r="BF17" s="100">
        <v>13</v>
      </c>
      <c r="BG17" s="100">
        <v>5491.2</v>
      </c>
      <c r="BH17" s="100">
        <v>7.9008761333867366</v>
      </c>
      <c r="BI17" s="100">
        <v>3337.3300787425574</v>
      </c>
      <c r="BJ17" s="100">
        <v>7</v>
      </c>
      <c r="BK17" s="100">
        <v>2956.7999999999997</v>
      </c>
      <c r="BL17" s="100">
        <v>7.7502466465137418</v>
      </c>
      <c r="BM17" s="100">
        <v>3273.7041834874044</v>
      </c>
      <c r="BN17" s="100">
        <v>0.44947019765536977</v>
      </c>
      <c r="BO17" s="100">
        <v>189.85621148962818</v>
      </c>
      <c r="BP17" s="100">
        <v>10</v>
      </c>
      <c r="BQ17" s="100">
        <v>4224</v>
      </c>
      <c r="BR17" s="100">
        <v>10</v>
      </c>
      <c r="BS17" s="100">
        <v>4224</v>
      </c>
      <c r="BT17" s="100">
        <v>6.6142975356096523</v>
      </c>
      <c r="BU17" s="100">
        <v>2793.8792790415168</v>
      </c>
      <c r="BV17" s="100">
        <v>0.29510010602099518</v>
      </c>
      <c r="BW17" s="100">
        <v>124.65028478326836</v>
      </c>
      <c r="BX17" s="100">
        <v>14</v>
      </c>
      <c r="BY17" s="100">
        <v>5913.5999999999995</v>
      </c>
      <c r="BZ17" s="100">
        <v>13</v>
      </c>
      <c r="CA17" s="100">
        <v>5491.2</v>
      </c>
      <c r="CB17" s="100">
        <v>13</v>
      </c>
      <c r="CC17" s="100">
        <v>5491.2</v>
      </c>
      <c r="CD17" s="100">
        <v>12</v>
      </c>
      <c r="CE17" s="100">
        <v>5068.7999999999993</v>
      </c>
      <c r="CF17" s="100">
        <v>5.7309162009116594</v>
      </c>
      <c r="CG17" s="100">
        <v>2420.7390032650846</v>
      </c>
      <c r="CH17" s="100">
        <v>10</v>
      </c>
      <c r="CI17" s="100">
        <v>4224</v>
      </c>
      <c r="CJ17" s="100">
        <v>8</v>
      </c>
      <c r="CK17" s="100">
        <v>3379.2</v>
      </c>
      <c r="CL17" s="100">
        <v>12</v>
      </c>
      <c r="CM17" s="100">
        <v>5068.7999999999993</v>
      </c>
      <c r="CN17" s="100">
        <v>0.5732751349400963</v>
      </c>
      <c r="CO17" s="100">
        <v>242.15141699869667</v>
      </c>
      <c r="CP17" s="100">
        <v>1.8006930811478481</v>
      </c>
      <c r="CQ17" s="100">
        <v>760.61275747685102</v>
      </c>
      <c r="CR17" s="100">
        <v>7</v>
      </c>
      <c r="CS17" s="100">
        <v>2956.7999999999997</v>
      </c>
      <c r="CT17" s="100">
        <v>9</v>
      </c>
      <c r="CU17" s="100">
        <v>3801.6</v>
      </c>
    </row>
    <row r="18" spans="2:99">
      <c r="C18" s="99" t="s">
        <v>184</v>
      </c>
      <c r="D18" s="100">
        <v>7</v>
      </c>
      <c r="E18" s="100">
        <v>4569.5999999999995</v>
      </c>
      <c r="F18" s="100">
        <v>6</v>
      </c>
      <c r="G18" s="100">
        <v>3916.7999999999997</v>
      </c>
      <c r="H18" s="100">
        <v>8</v>
      </c>
      <c r="I18" s="100">
        <v>5222.3999999999996</v>
      </c>
      <c r="J18" s="100">
        <v>4.4759533240615452</v>
      </c>
      <c r="K18" s="100">
        <v>2921.9023299473765</v>
      </c>
      <c r="L18" s="100">
        <v>7</v>
      </c>
      <c r="M18" s="100">
        <v>4569.5999999999995</v>
      </c>
      <c r="N18" s="100">
        <v>10</v>
      </c>
      <c r="O18" s="100">
        <v>6528</v>
      </c>
      <c r="P18" s="100">
        <v>10</v>
      </c>
      <c r="Q18" s="100">
        <v>6528</v>
      </c>
      <c r="R18" s="100">
        <v>6</v>
      </c>
      <c r="S18" s="100">
        <v>3916.7999999999997</v>
      </c>
      <c r="T18" s="100">
        <v>6</v>
      </c>
      <c r="U18" s="100">
        <v>3916.7999999999997</v>
      </c>
      <c r="V18" s="100">
        <v>9</v>
      </c>
      <c r="W18" s="100">
        <v>5875.2</v>
      </c>
      <c r="X18" s="100">
        <v>10</v>
      </c>
      <c r="Y18" s="100">
        <v>6528</v>
      </c>
      <c r="Z18" s="100">
        <v>11</v>
      </c>
      <c r="AA18" s="100">
        <v>7180.7999999999993</v>
      </c>
      <c r="AB18" s="100">
        <v>2.1773348262712116</v>
      </c>
      <c r="AC18" s="100">
        <v>1421.3641745898467</v>
      </c>
      <c r="AD18" s="100">
        <v>6</v>
      </c>
      <c r="AE18" s="100">
        <v>3916.7999999999997</v>
      </c>
      <c r="AF18" s="100">
        <v>10</v>
      </c>
      <c r="AG18" s="100">
        <v>6528</v>
      </c>
      <c r="AH18" s="100">
        <v>6.3881787458519748</v>
      </c>
      <c r="AI18" s="100">
        <v>4170.2030852921689</v>
      </c>
      <c r="AJ18" s="100">
        <v>2.5075036256041105E-4</v>
      </c>
      <c r="AK18" s="100">
        <v>0.16368983667943632</v>
      </c>
      <c r="AL18" s="100">
        <v>1.3942245290008196E-4</v>
      </c>
      <c r="AM18" s="100">
        <v>9.1014977253173493E-2</v>
      </c>
      <c r="AN18" s="100">
        <v>2.7285405542352241</v>
      </c>
      <c r="AO18" s="100">
        <v>1781.1912738047542</v>
      </c>
      <c r="AP18" s="100">
        <v>9</v>
      </c>
      <c r="AQ18" s="100">
        <v>5875.2</v>
      </c>
      <c r="AR18" s="100">
        <v>9</v>
      </c>
      <c r="AS18" s="100">
        <v>5875.2</v>
      </c>
      <c r="AT18" s="100">
        <v>10</v>
      </c>
      <c r="AU18" s="100">
        <v>6528</v>
      </c>
      <c r="AV18" s="100">
        <v>7.0583310589202011</v>
      </c>
      <c r="AW18" s="100">
        <v>4607.6785152631073</v>
      </c>
      <c r="AX18" s="100">
        <v>9</v>
      </c>
      <c r="AY18" s="100">
        <v>5875.2</v>
      </c>
      <c r="AZ18" s="100">
        <v>12</v>
      </c>
      <c r="BA18" s="100">
        <v>7833.5999999999995</v>
      </c>
      <c r="BB18" s="100">
        <v>2.6684098733154302</v>
      </c>
      <c r="BC18" s="100">
        <v>1741.9379653003127</v>
      </c>
      <c r="BD18" s="100">
        <v>6.7939666301169606</v>
      </c>
      <c r="BE18" s="100">
        <v>4435.1014161403518</v>
      </c>
      <c r="BF18" s="100">
        <v>12</v>
      </c>
      <c r="BG18" s="100">
        <v>7833.5999999999995</v>
      </c>
      <c r="BH18" s="100">
        <v>7.9008761333867366</v>
      </c>
      <c r="BI18" s="100">
        <v>5157.6919398748614</v>
      </c>
      <c r="BJ18" s="100">
        <v>6</v>
      </c>
      <c r="BK18" s="100">
        <v>3916.7999999999997</v>
      </c>
      <c r="BL18" s="100">
        <v>8.5252713111651151</v>
      </c>
      <c r="BM18" s="100">
        <v>5565.2971119285867</v>
      </c>
      <c r="BN18" s="100">
        <v>0.44947019765536977</v>
      </c>
      <c r="BO18" s="100">
        <v>293.41414502942536</v>
      </c>
      <c r="BP18" s="100">
        <v>9</v>
      </c>
      <c r="BQ18" s="100">
        <v>5875.2</v>
      </c>
      <c r="BR18" s="100">
        <v>11</v>
      </c>
      <c r="BS18" s="100">
        <v>7180.7999999999993</v>
      </c>
      <c r="BT18" s="100">
        <v>6.6142975356096523</v>
      </c>
      <c r="BU18" s="100">
        <v>4317.8134312459806</v>
      </c>
      <c r="BV18" s="100">
        <v>0.29510010602099518</v>
      </c>
      <c r="BW18" s="100">
        <v>192.64134921050564</v>
      </c>
      <c r="BX18" s="100">
        <v>13</v>
      </c>
      <c r="BY18" s="100">
        <v>8486.4</v>
      </c>
      <c r="BZ18" s="100">
        <v>13</v>
      </c>
      <c r="CA18" s="100">
        <v>8486.4</v>
      </c>
      <c r="CB18" s="100">
        <v>11</v>
      </c>
      <c r="CC18" s="100">
        <v>7180.7999999999993</v>
      </c>
      <c r="CD18" s="100">
        <v>12</v>
      </c>
      <c r="CE18" s="100">
        <v>7833.5999999999995</v>
      </c>
      <c r="CF18" s="100">
        <v>5.0145516757977022</v>
      </c>
      <c r="CG18" s="100">
        <v>3273.4993339607399</v>
      </c>
      <c r="CH18" s="100">
        <v>11</v>
      </c>
      <c r="CI18" s="100">
        <v>7180.7999999999993</v>
      </c>
      <c r="CJ18" s="100">
        <v>8</v>
      </c>
      <c r="CK18" s="100">
        <v>5222.3999999999996</v>
      </c>
      <c r="CL18" s="100">
        <v>11</v>
      </c>
      <c r="CM18" s="100">
        <v>7180.7999999999993</v>
      </c>
      <c r="CN18" s="100">
        <v>0.5732751349400963</v>
      </c>
      <c r="CO18" s="100">
        <v>374.23400808889483</v>
      </c>
      <c r="CP18" s="100">
        <v>2.0579349498832546</v>
      </c>
      <c r="CQ18" s="100">
        <v>1343.4199352837886</v>
      </c>
      <c r="CR18" s="100">
        <v>8</v>
      </c>
      <c r="CS18" s="100">
        <v>5222.3999999999996</v>
      </c>
      <c r="CT18" s="100">
        <v>8</v>
      </c>
      <c r="CU18" s="100">
        <v>5222.3999999999996</v>
      </c>
    </row>
    <row r="19" spans="2:99">
      <c r="C19" s="99" t="s">
        <v>185</v>
      </c>
      <c r="D19" s="100">
        <v>7</v>
      </c>
      <c r="E19" s="100">
        <v>2310</v>
      </c>
      <c r="F19" s="100">
        <v>7</v>
      </c>
      <c r="G19" s="100">
        <v>2310</v>
      </c>
      <c r="H19" s="100">
        <v>8</v>
      </c>
      <c r="I19" s="100">
        <v>2640</v>
      </c>
      <c r="J19" s="100">
        <v>4.4759533240615452</v>
      </c>
      <c r="K19" s="100">
        <v>1477.0645969403099</v>
      </c>
      <c r="L19" s="100">
        <v>7</v>
      </c>
      <c r="M19" s="100">
        <v>2310</v>
      </c>
      <c r="N19" s="100">
        <v>10</v>
      </c>
      <c r="O19" s="100">
        <v>3300</v>
      </c>
      <c r="P19" s="100">
        <v>9</v>
      </c>
      <c r="Q19" s="100">
        <v>2970</v>
      </c>
      <c r="R19" s="100">
        <v>7</v>
      </c>
      <c r="S19" s="100">
        <v>2310</v>
      </c>
      <c r="T19" s="100">
        <v>6</v>
      </c>
      <c r="U19" s="100">
        <v>1980</v>
      </c>
      <c r="V19" s="100">
        <v>8</v>
      </c>
      <c r="W19" s="100">
        <v>2640</v>
      </c>
      <c r="X19" s="100">
        <v>10</v>
      </c>
      <c r="Y19" s="100">
        <v>3300</v>
      </c>
      <c r="Z19" s="100">
        <v>10</v>
      </c>
      <c r="AA19" s="100">
        <v>3300</v>
      </c>
      <c r="AB19" s="100">
        <v>2.1773348262712116</v>
      </c>
      <c r="AC19" s="100">
        <v>718.52049266949984</v>
      </c>
      <c r="AD19" s="100">
        <v>8</v>
      </c>
      <c r="AE19" s="100">
        <v>2640</v>
      </c>
      <c r="AF19" s="100">
        <v>11</v>
      </c>
      <c r="AG19" s="100">
        <v>3630</v>
      </c>
      <c r="AH19" s="100">
        <v>6.3881787458519748</v>
      </c>
      <c r="AI19" s="100">
        <v>2108.0989861311518</v>
      </c>
      <c r="AJ19" s="100">
        <v>2.2567532630436997E-4</v>
      </c>
      <c r="AK19" s="100">
        <v>7.4472857680442095E-2</v>
      </c>
      <c r="AL19" s="100">
        <v>1.6265952838342895E-4</v>
      </c>
      <c r="AM19" s="100">
        <v>5.3677644366531552E-2</v>
      </c>
      <c r="AN19" s="100">
        <v>2.9765896955293356</v>
      </c>
      <c r="AO19" s="100">
        <v>982.27459952468075</v>
      </c>
      <c r="AP19" s="100">
        <v>10</v>
      </c>
      <c r="AQ19" s="100">
        <v>3300</v>
      </c>
      <c r="AR19" s="100">
        <v>9</v>
      </c>
      <c r="AS19" s="100">
        <v>2970</v>
      </c>
      <c r="AT19" s="100">
        <v>10</v>
      </c>
      <c r="AU19" s="100">
        <v>3300</v>
      </c>
      <c r="AV19" s="100">
        <v>6.3524979530281813</v>
      </c>
      <c r="AW19" s="100">
        <v>2096.3243244993</v>
      </c>
      <c r="AX19" s="100">
        <v>11</v>
      </c>
      <c r="AY19" s="100">
        <v>3630</v>
      </c>
      <c r="AZ19" s="100">
        <v>12</v>
      </c>
      <c r="BA19" s="100">
        <v>3960</v>
      </c>
      <c r="BB19" s="100">
        <v>2.6684098733154302</v>
      </c>
      <c r="BC19" s="100">
        <v>880.57525819409193</v>
      </c>
      <c r="BD19" s="100">
        <v>6.7939666301169606</v>
      </c>
      <c r="BE19" s="100">
        <v>2242.0089879385969</v>
      </c>
      <c r="BF19" s="100">
        <v>12</v>
      </c>
      <c r="BG19" s="100">
        <v>3960</v>
      </c>
      <c r="BH19" s="100">
        <v>7.9008761333867366</v>
      </c>
      <c r="BI19" s="100">
        <v>2607.2891240176232</v>
      </c>
      <c r="BJ19" s="100">
        <v>8</v>
      </c>
      <c r="BK19" s="100">
        <v>2640</v>
      </c>
      <c r="BL19" s="100">
        <v>7.7502466465137418</v>
      </c>
      <c r="BM19" s="100">
        <v>2557.5813933495347</v>
      </c>
      <c r="BN19" s="100">
        <v>0.44947019765536977</v>
      </c>
      <c r="BO19" s="100">
        <v>148.32516522627202</v>
      </c>
      <c r="BP19" s="100">
        <v>9</v>
      </c>
      <c r="BQ19" s="100">
        <v>2970</v>
      </c>
      <c r="BR19" s="100">
        <v>11</v>
      </c>
      <c r="BS19" s="100">
        <v>3630</v>
      </c>
      <c r="BT19" s="100">
        <v>7.275727289170618</v>
      </c>
      <c r="BU19" s="100">
        <v>2400.9900054263039</v>
      </c>
      <c r="BV19" s="100">
        <v>0.33198761927361958</v>
      </c>
      <c r="BW19" s="100">
        <v>109.55591436029447</v>
      </c>
      <c r="BX19" s="100">
        <v>12</v>
      </c>
      <c r="BY19" s="100">
        <v>3960</v>
      </c>
      <c r="BZ19" s="100">
        <v>12</v>
      </c>
      <c r="CA19" s="100">
        <v>3960</v>
      </c>
      <c r="CB19" s="100">
        <v>11</v>
      </c>
      <c r="CC19" s="100">
        <v>3630</v>
      </c>
      <c r="CD19" s="100">
        <v>11</v>
      </c>
      <c r="CE19" s="100">
        <v>3630</v>
      </c>
      <c r="CF19" s="100">
        <v>5.7309162009116594</v>
      </c>
      <c r="CG19" s="100">
        <v>1891.2023463008477</v>
      </c>
      <c r="CH19" s="100">
        <v>10</v>
      </c>
      <c r="CI19" s="100">
        <v>3300</v>
      </c>
      <c r="CJ19" s="100">
        <v>8</v>
      </c>
      <c r="CK19" s="100">
        <v>2640</v>
      </c>
      <c r="CL19" s="100">
        <v>11</v>
      </c>
      <c r="CM19" s="100">
        <v>3630</v>
      </c>
      <c r="CN19" s="100">
        <v>0.6688209907634457</v>
      </c>
      <c r="CO19" s="100">
        <v>220.71092695193707</v>
      </c>
      <c r="CP19" s="100">
        <v>1.8006930811478481</v>
      </c>
      <c r="CQ19" s="100">
        <v>594.22871677878982</v>
      </c>
      <c r="CR19" s="100">
        <v>8</v>
      </c>
      <c r="CS19" s="100">
        <v>2640</v>
      </c>
      <c r="CT19" s="100">
        <v>8</v>
      </c>
      <c r="CU19" s="100">
        <v>2640</v>
      </c>
    </row>
    <row r="20" spans="2:99">
      <c r="B20" s="99" t="s">
        <v>127</v>
      </c>
      <c r="C20" s="99" t="s">
        <v>186</v>
      </c>
      <c r="D20" s="100">
        <v>19</v>
      </c>
      <c r="E20" s="100">
        <v>5449.2</v>
      </c>
      <c r="F20" s="100">
        <v>15</v>
      </c>
      <c r="G20" s="100">
        <v>4302</v>
      </c>
      <c r="H20" s="100">
        <v>17</v>
      </c>
      <c r="I20" s="100">
        <v>4875.6000000000004</v>
      </c>
      <c r="J20" s="100">
        <v>6.1544358205846246</v>
      </c>
      <c r="K20" s="100">
        <v>1765.0921933436705</v>
      </c>
      <c r="L20" s="100">
        <v>11</v>
      </c>
      <c r="M20" s="100">
        <v>3154.8</v>
      </c>
      <c r="N20" s="100">
        <v>15</v>
      </c>
      <c r="O20" s="100">
        <v>4302</v>
      </c>
      <c r="P20" s="100">
        <v>20</v>
      </c>
      <c r="Q20" s="100">
        <v>5736</v>
      </c>
      <c r="R20" s="100">
        <v>16</v>
      </c>
      <c r="S20" s="100">
        <v>4588.8</v>
      </c>
      <c r="T20" s="100">
        <v>10</v>
      </c>
      <c r="U20" s="100">
        <v>2868</v>
      </c>
      <c r="V20" s="100">
        <v>19</v>
      </c>
      <c r="W20" s="100">
        <v>5449.2</v>
      </c>
      <c r="X20" s="100">
        <v>20</v>
      </c>
      <c r="Y20" s="100">
        <v>5736</v>
      </c>
      <c r="Z20" s="100">
        <v>21</v>
      </c>
      <c r="AA20" s="100">
        <v>6022.8</v>
      </c>
      <c r="AB20" s="100">
        <v>5.8062262033898975</v>
      </c>
      <c r="AC20" s="100">
        <v>1665.2256751322227</v>
      </c>
      <c r="AD20" s="100">
        <v>19</v>
      </c>
      <c r="AE20" s="100">
        <v>5449.2</v>
      </c>
      <c r="AF20" s="100">
        <v>16</v>
      </c>
      <c r="AG20" s="100">
        <v>4588.8</v>
      </c>
      <c r="AH20" s="100">
        <v>16.426745346476508</v>
      </c>
      <c r="AI20" s="100">
        <v>4711.190565369463</v>
      </c>
      <c r="AJ20" s="100">
        <v>5.015007251208221E-4</v>
      </c>
      <c r="AK20" s="100">
        <v>0.1438304079646518</v>
      </c>
      <c r="AL20" s="100">
        <v>4.4150443418359289E-4</v>
      </c>
      <c r="AM20" s="100">
        <v>0.12662347172385444</v>
      </c>
      <c r="AN20" s="100">
        <v>3.7207371194116692</v>
      </c>
      <c r="AO20" s="100">
        <v>1067.1074058472668</v>
      </c>
      <c r="AP20" s="100">
        <v>14</v>
      </c>
      <c r="AQ20" s="100">
        <v>4015.2000000000003</v>
      </c>
      <c r="AR20" s="100">
        <v>19</v>
      </c>
      <c r="AS20" s="100">
        <v>5449.2</v>
      </c>
      <c r="AT20" s="100">
        <v>16</v>
      </c>
      <c r="AU20" s="100">
        <v>4588.8</v>
      </c>
      <c r="AV20" s="100">
        <v>9.8816634824882819</v>
      </c>
      <c r="AW20" s="100">
        <v>2834.0610867776395</v>
      </c>
      <c r="AX20" s="100">
        <v>19</v>
      </c>
      <c r="AY20" s="100">
        <v>5449.2</v>
      </c>
      <c r="AZ20" s="100">
        <v>16</v>
      </c>
      <c r="BA20" s="100">
        <v>4588.8</v>
      </c>
      <c r="BB20" s="100">
        <v>6.8616253885253906</v>
      </c>
      <c r="BC20" s="100">
        <v>1967.914161429082</v>
      </c>
      <c r="BD20" s="100">
        <v>20.38189989035088</v>
      </c>
      <c r="BE20" s="100">
        <v>5845.5288885526325</v>
      </c>
      <c r="BF20" s="100">
        <v>19</v>
      </c>
      <c r="BG20" s="100">
        <v>5449.2</v>
      </c>
      <c r="BH20" s="100">
        <v>21.727409366813525</v>
      </c>
      <c r="BI20" s="100">
        <v>6231.421006402119</v>
      </c>
      <c r="BJ20" s="100">
        <v>14</v>
      </c>
      <c r="BK20" s="100">
        <v>4015.2000000000003</v>
      </c>
      <c r="BL20" s="100">
        <v>13.950443963724734</v>
      </c>
      <c r="BM20" s="100">
        <v>4000.9873287962537</v>
      </c>
      <c r="BN20" s="100">
        <v>0.53119205177452788</v>
      </c>
      <c r="BO20" s="100">
        <v>152.34588044893459</v>
      </c>
      <c r="BP20" s="100">
        <v>16</v>
      </c>
      <c r="BQ20" s="100">
        <v>4588.8</v>
      </c>
      <c r="BR20" s="100">
        <v>20</v>
      </c>
      <c r="BS20" s="100">
        <v>5736</v>
      </c>
      <c r="BT20" s="100">
        <v>11.905735564097375</v>
      </c>
      <c r="BU20" s="100">
        <v>3414.5649597831275</v>
      </c>
      <c r="BV20" s="100">
        <v>0.73775026505248797</v>
      </c>
      <c r="BW20" s="100">
        <v>211.58677601705355</v>
      </c>
      <c r="BX20" s="100">
        <v>16</v>
      </c>
      <c r="BY20" s="100">
        <v>4588.8</v>
      </c>
      <c r="BZ20" s="100">
        <v>19</v>
      </c>
      <c r="CA20" s="100">
        <v>5449.2</v>
      </c>
      <c r="CB20" s="100">
        <v>16</v>
      </c>
      <c r="CC20" s="100">
        <v>4588.8</v>
      </c>
      <c r="CD20" s="100">
        <v>21</v>
      </c>
      <c r="CE20" s="100">
        <v>6022.8</v>
      </c>
      <c r="CF20" s="100">
        <v>17.192748602734977</v>
      </c>
      <c r="CG20" s="100">
        <v>4930.8802992643914</v>
      </c>
      <c r="CH20" s="100">
        <v>13</v>
      </c>
      <c r="CI20" s="100">
        <v>3728.4</v>
      </c>
      <c r="CJ20" s="100">
        <v>18</v>
      </c>
      <c r="CK20" s="100">
        <v>5162.4000000000005</v>
      </c>
      <c r="CL20" s="100">
        <v>19</v>
      </c>
      <c r="CM20" s="100">
        <v>5449.2</v>
      </c>
      <c r="CN20" s="100">
        <v>1.9109171164669874</v>
      </c>
      <c r="CO20" s="100">
        <v>548.05102900273198</v>
      </c>
      <c r="CP20" s="100">
        <v>6.1738048496497644</v>
      </c>
      <c r="CQ20" s="100">
        <v>1770.6472308795526</v>
      </c>
      <c r="CR20" s="100">
        <v>13</v>
      </c>
      <c r="CS20" s="100">
        <v>3728.4</v>
      </c>
      <c r="CT20" s="100">
        <v>13</v>
      </c>
      <c r="CU20" s="100">
        <v>3728.4</v>
      </c>
    </row>
    <row r="21" spans="2:99">
      <c r="C21" s="99" t="s">
        <v>187</v>
      </c>
      <c r="D21" s="100">
        <v>21</v>
      </c>
      <c r="E21" s="100">
        <v>1310.3999999999999</v>
      </c>
      <c r="F21" s="100">
        <v>16</v>
      </c>
      <c r="G21" s="100">
        <v>998.4</v>
      </c>
      <c r="H21" s="100">
        <v>15</v>
      </c>
      <c r="I21" s="100">
        <v>936</v>
      </c>
      <c r="J21" s="100">
        <v>6.7139299860923174</v>
      </c>
      <c r="K21" s="100">
        <v>418.94923113216061</v>
      </c>
      <c r="L21" s="100">
        <v>12</v>
      </c>
      <c r="M21" s="100">
        <v>748.8</v>
      </c>
      <c r="N21" s="100">
        <v>15</v>
      </c>
      <c r="O21" s="100">
        <v>936</v>
      </c>
      <c r="P21" s="100">
        <v>19</v>
      </c>
      <c r="Q21" s="100">
        <v>1185.5999999999999</v>
      </c>
      <c r="R21" s="100">
        <v>16</v>
      </c>
      <c r="S21" s="100">
        <v>998.4</v>
      </c>
      <c r="T21" s="100">
        <v>10</v>
      </c>
      <c r="U21" s="100">
        <v>624</v>
      </c>
      <c r="V21" s="100">
        <v>18</v>
      </c>
      <c r="W21" s="100">
        <v>1123.2</v>
      </c>
      <c r="X21" s="100">
        <v>21</v>
      </c>
      <c r="Y21" s="100">
        <v>1310.3999999999999</v>
      </c>
      <c r="Z21" s="100">
        <v>21</v>
      </c>
      <c r="AA21" s="100">
        <v>1310.3999999999999</v>
      </c>
      <c r="AB21" s="100">
        <v>5.0804479279661603</v>
      </c>
      <c r="AC21" s="100">
        <v>317.01995070508838</v>
      </c>
      <c r="AD21" s="100">
        <v>17</v>
      </c>
      <c r="AE21" s="100">
        <v>1060.8</v>
      </c>
      <c r="AF21" s="100">
        <v>18</v>
      </c>
      <c r="AG21" s="100">
        <v>1123.2</v>
      </c>
      <c r="AH21" s="100">
        <v>17.339342310169645</v>
      </c>
      <c r="AI21" s="100">
        <v>1081.9749601545859</v>
      </c>
      <c r="AJ21" s="100">
        <v>4.5135065260873994E-4</v>
      </c>
      <c r="AK21" s="100">
        <v>2.8164280722785373E-2</v>
      </c>
      <c r="AL21" s="100">
        <v>4.6474150966693991E-4</v>
      </c>
      <c r="AM21" s="100">
        <v>2.8999870203217048E-2</v>
      </c>
      <c r="AN21" s="100">
        <v>3.4726879781175586</v>
      </c>
      <c r="AO21" s="100">
        <v>216.69572983453565</v>
      </c>
      <c r="AP21" s="100">
        <v>12</v>
      </c>
      <c r="AQ21" s="100">
        <v>748.8</v>
      </c>
      <c r="AR21" s="100">
        <v>20</v>
      </c>
      <c r="AS21" s="100">
        <v>1248</v>
      </c>
      <c r="AT21" s="100">
        <v>16</v>
      </c>
      <c r="AU21" s="100">
        <v>998.4</v>
      </c>
      <c r="AV21" s="100">
        <v>9.8816634824882819</v>
      </c>
      <c r="AW21" s="100">
        <v>616.61580130726873</v>
      </c>
      <c r="AX21" s="100">
        <v>21</v>
      </c>
      <c r="AY21" s="100">
        <v>1310.3999999999999</v>
      </c>
      <c r="AZ21" s="100">
        <v>17</v>
      </c>
      <c r="BA21" s="100">
        <v>1060.8</v>
      </c>
      <c r="BB21" s="100">
        <v>7.2428267989990234</v>
      </c>
      <c r="BC21" s="100">
        <v>451.95239225753903</v>
      </c>
      <c r="BD21" s="100">
        <v>20.38189989035088</v>
      </c>
      <c r="BE21" s="100">
        <v>1271.8305531578949</v>
      </c>
      <c r="BF21" s="100">
        <v>19</v>
      </c>
      <c r="BG21" s="100">
        <v>1185.5999999999999</v>
      </c>
      <c r="BH21" s="100">
        <v>19.752190333466842</v>
      </c>
      <c r="BI21" s="100">
        <v>1232.5366768083309</v>
      </c>
      <c r="BJ21" s="100">
        <v>14</v>
      </c>
      <c r="BK21" s="100">
        <v>873.6</v>
      </c>
      <c r="BL21" s="100">
        <v>15.500493293027484</v>
      </c>
      <c r="BM21" s="100">
        <v>967.23078148491493</v>
      </c>
      <c r="BN21" s="100">
        <v>0.49033112471494888</v>
      </c>
      <c r="BO21" s="100">
        <v>30.59666218221281</v>
      </c>
      <c r="BP21" s="100">
        <v>17</v>
      </c>
      <c r="BQ21" s="100">
        <v>1060.8</v>
      </c>
      <c r="BR21" s="100">
        <v>22</v>
      </c>
      <c r="BS21" s="100">
        <v>1372.8</v>
      </c>
      <c r="BT21" s="100">
        <v>12.56716531765834</v>
      </c>
      <c r="BU21" s="100">
        <v>784.19111582188043</v>
      </c>
      <c r="BV21" s="100">
        <v>0.62708772529461476</v>
      </c>
      <c r="BW21" s="100">
        <v>39.130274058383961</v>
      </c>
      <c r="BX21" s="100">
        <v>18</v>
      </c>
      <c r="BY21" s="100">
        <v>1123.2</v>
      </c>
      <c r="BZ21" s="100">
        <v>20</v>
      </c>
      <c r="CA21" s="100">
        <v>1248</v>
      </c>
      <c r="CB21" s="100">
        <v>18</v>
      </c>
      <c r="CC21" s="100">
        <v>1123.2</v>
      </c>
      <c r="CD21" s="100">
        <v>19</v>
      </c>
      <c r="CE21" s="100">
        <v>1185.5999999999999</v>
      </c>
      <c r="CF21" s="100">
        <v>16.47638407762102</v>
      </c>
      <c r="CG21" s="100">
        <v>1028.1263664435517</v>
      </c>
      <c r="CH21" s="100">
        <v>13</v>
      </c>
      <c r="CI21" s="100">
        <v>811.19999999999993</v>
      </c>
      <c r="CJ21" s="100">
        <v>20</v>
      </c>
      <c r="CK21" s="100">
        <v>1248</v>
      </c>
      <c r="CL21" s="100">
        <v>20</v>
      </c>
      <c r="CM21" s="100">
        <v>1248</v>
      </c>
      <c r="CN21" s="100">
        <v>1.9109171164669874</v>
      </c>
      <c r="CO21" s="100">
        <v>119.24122806754001</v>
      </c>
      <c r="CP21" s="100">
        <v>5.6593211121789508</v>
      </c>
      <c r="CQ21" s="100">
        <v>353.1416373999665</v>
      </c>
      <c r="CR21" s="100">
        <v>12</v>
      </c>
      <c r="CS21" s="100">
        <v>748.8</v>
      </c>
      <c r="CT21" s="100">
        <v>12</v>
      </c>
      <c r="CU21" s="100">
        <v>748.8</v>
      </c>
    </row>
    <row r="22" spans="2:99">
      <c r="C22" s="99" t="s">
        <v>188</v>
      </c>
      <c r="D22" s="100">
        <v>21</v>
      </c>
      <c r="E22" s="100">
        <v>3931.2</v>
      </c>
      <c r="F22" s="100">
        <v>16</v>
      </c>
      <c r="G22" s="100">
        <v>2995.2</v>
      </c>
      <c r="H22" s="100">
        <v>16</v>
      </c>
      <c r="I22" s="100">
        <v>2995.2</v>
      </c>
      <c r="J22" s="100">
        <v>6.7139299860923174</v>
      </c>
      <c r="K22" s="100">
        <v>1256.8476933964816</v>
      </c>
      <c r="L22" s="100">
        <v>12</v>
      </c>
      <c r="M22" s="100">
        <v>2246.3999999999996</v>
      </c>
      <c r="N22" s="100">
        <v>15</v>
      </c>
      <c r="O22" s="100">
        <v>2808</v>
      </c>
      <c r="P22" s="100">
        <v>21</v>
      </c>
      <c r="Q22" s="100">
        <v>3931.2</v>
      </c>
      <c r="R22" s="100">
        <v>16</v>
      </c>
      <c r="S22" s="100">
        <v>2995.2</v>
      </c>
      <c r="T22" s="100">
        <v>11</v>
      </c>
      <c r="U22" s="100">
        <v>2059.1999999999998</v>
      </c>
      <c r="V22" s="100">
        <v>17</v>
      </c>
      <c r="W22" s="100">
        <v>3182.3999999999996</v>
      </c>
      <c r="X22" s="100">
        <v>20</v>
      </c>
      <c r="Y22" s="100">
        <v>3744</v>
      </c>
      <c r="Z22" s="100">
        <v>20</v>
      </c>
      <c r="AA22" s="100">
        <v>3744</v>
      </c>
      <c r="AB22" s="100">
        <v>5.4433370656780289</v>
      </c>
      <c r="AC22" s="100">
        <v>1018.992698694927</v>
      </c>
      <c r="AD22" s="100">
        <v>17</v>
      </c>
      <c r="AE22" s="100">
        <v>3182.3999999999996</v>
      </c>
      <c r="AF22" s="100">
        <v>17</v>
      </c>
      <c r="AG22" s="100">
        <v>3182.3999999999996</v>
      </c>
      <c r="AH22" s="100">
        <v>17.339342310169645</v>
      </c>
      <c r="AI22" s="100">
        <v>3245.9248804637573</v>
      </c>
      <c r="AJ22" s="100">
        <v>4.2627561635269885E-4</v>
      </c>
      <c r="AK22" s="100">
        <v>7.9798795381225224E-2</v>
      </c>
      <c r="AL22" s="100">
        <v>4.4150443418359289E-4</v>
      </c>
      <c r="AM22" s="100">
        <v>8.264963007916859E-2</v>
      </c>
      <c r="AN22" s="100">
        <v>3.9687862607057807</v>
      </c>
      <c r="AO22" s="100">
        <v>742.95678800412213</v>
      </c>
      <c r="AP22" s="100">
        <v>13</v>
      </c>
      <c r="AQ22" s="100">
        <v>2433.6</v>
      </c>
      <c r="AR22" s="100">
        <v>19</v>
      </c>
      <c r="AS22" s="100">
        <v>3556.7999999999997</v>
      </c>
      <c r="AT22" s="100">
        <v>15</v>
      </c>
      <c r="AU22" s="100">
        <v>2808</v>
      </c>
      <c r="AV22" s="100">
        <v>9.1758303765962612</v>
      </c>
      <c r="AW22" s="100">
        <v>1717.71544649882</v>
      </c>
      <c r="AX22" s="100">
        <v>19</v>
      </c>
      <c r="AY22" s="100">
        <v>3556.7999999999997</v>
      </c>
      <c r="AZ22" s="100">
        <v>17</v>
      </c>
      <c r="BA22" s="100">
        <v>3182.3999999999996</v>
      </c>
      <c r="BB22" s="100">
        <v>6.0992225675781251</v>
      </c>
      <c r="BC22" s="100">
        <v>1141.7744646506249</v>
      </c>
      <c r="BD22" s="100">
        <v>20.38189989035088</v>
      </c>
      <c r="BE22" s="100">
        <v>3815.4916594736846</v>
      </c>
      <c r="BF22" s="100">
        <v>21</v>
      </c>
      <c r="BG22" s="100">
        <v>3931.2</v>
      </c>
      <c r="BH22" s="100">
        <v>22.715018883486866</v>
      </c>
      <c r="BI22" s="100">
        <v>4252.2515349887408</v>
      </c>
      <c r="BJ22" s="100">
        <v>13</v>
      </c>
      <c r="BK22" s="100">
        <v>2433.6</v>
      </c>
      <c r="BL22" s="100">
        <v>15.500493293027484</v>
      </c>
      <c r="BM22" s="100">
        <v>2901.6923444547447</v>
      </c>
      <c r="BN22" s="100">
        <v>0.572052978834107</v>
      </c>
      <c r="BO22" s="100">
        <v>107.08831763774482</v>
      </c>
      <c r="BP22" s="100">
        <v>17</v>
      </c>
      <c r="BQ22" s="100">
        <v>3182.3999999999996</v>
      </c>
      <c r="BR22" s="100">
        <v>20</v>
      </c>
      <c r="BS22" s="100">
        <v>3744</v>
      </c>
      <c r="BT22" s="100">
        <v>11.244305810536408</v>
      </c>
      <c r="BU22" s="100">
        <v>2104.9340477324154</v>
      </c>
      <c r="BV22" s="100">
        <v>0.66397523854723917</v>
      </c>
      <c r="BW22" s="100">
        <v>124.29616465604316</v>
      </c>
      <c r="BX22" s="100">
        <v>17</v>
      </c>
      <c r="BY22" s="100">
        <v>3182.3999999999996</v>
      </c>
      <c r="BZ22" s="100">
        <v>20</v>
      </c>
      <c r="CA22" s="100">
        <v>3744</v>
      </c>
      <c r="CB22" s="100">
        <v>17</v>
      </c>
      <c r="CC22" s="100">
        <v>3182.3999999999996</v>
      </c>
      <c r="CD22" s="100">
        <v>18</v>
      </c>
      <c r="CE22" s="100">
        <v>3369.6</v>
      </c>
      <c r="CF22" s="100">
        <v>16.47638407762102</v>
      </c>
      <c r="CG22" s="100">
        <v>3084.3790993306548</v>
      </c>
      <c r="CH22" s="100">
        <v>14</v>
      </c>
      <c r="CI22" s="100">
        <v>2620.7999999999997</v>
      </c>
      <c r="CJ22" s="100">
        <v>18</v>
      </c>
      <c r="CK22" s="100">
        <v>3369.6</v>
      </c>
      <c r="CL22" s="100">
        <v>22</v>
      </c>
      <c r="CM22" s="100">
        <v>4118.3999999999996</v>
      </c>
      <c r="CN22" s="100">
        <v>1.8153712606436381</v>
      </c>
      <c r="CO22" s="100">
        <v>339.83749999248903</v>
      </c>
      <c r="CP22" s="100">
        <v>6.1738048496497644</v>
      </c>
      <c r="CQ22" s="100">
        <v>1155.7362678544359</v>
      </c>
      <c r="CR22" s="100">
        <v>14</v>
      </c>
      <c r="CS22" s="100">
        <v>2620.7999999999997</v>
      </c>
      <c r="CT22" s="100">
        <v>13</v>
      </c>
      <c r="CU22" s="100">
        <v>2433.6</v>
      </c>
    </row>
    <row r="23" spans="2:99">
      <c r="C23" s="99" t="s">
        <v>189</v>
      </c>
      <c r="D23" s="100">
        <v>19</v>
      </c>
      <c r="E23" s="100">
        <v>5586</v>
      </c>
      <c r="F23" s="100">
        <v>14</v>
      </c>
      <c r="G23" s="100">
        <v>4116</v>
      </c>
      <c r="H23" s="100">
        <v>18</v>
      </c>
      <c r="I23" s="100">
        <v>5292</v>
      </c>
      <c r="J23" s="100">
        <v>6.7139299860923174</v>
      </c>
      <c r="K23" s="100">
        <v>1973.8954159111413</v>
      </c>
      <c r="L23" s="100">
        <v>11</v>
      </c>
      <c r="M23" s="100">
        <v>3234</v>
      </c>
      <c r="N23" s="100">
        <v>15</v>
      </c>
      <c r="O23" s="100">
        <v>4410</v>
      </c>
      <c r="P23" s="100">
        <v>19</v>
      </c>
      <c r="Q23" s="100">
        <v>5586</v>
      </c>
      <c r="R23" s="100">
        <v>16</v>
      </c>
      <c r="S23" s="100">
        <v>4704</v>
      </c>
      <c r="T23" s="100">
        <v>10</v>
      </c>
      <c r="U23" s="100">
        <v>2940</v>
      </c>
      <c r="V23" s="100">
        <v>20</v>
      </c>
      <c r="W23" s="100">
        <v>5880</v>
      </c>
      <c r="X23" s="100">
        <v>20</v>
      </c>
      <c r="Y23" s="100">
        <v>5880</v>
      </c>
      <c r="Z23" s="100">
        <v>22</v>
      </c>
      <c r="AA23" s="100">
        <v>6468</v>
      </c>
      <c r="AB23" s="100">
        <v>4.7175587902542917</v>
      </c>
      <c r="AC23" s="100">
        <v>1386.9622843347618</v>
      </c>
      <c r="AD23" s="100">
        <v>18</v>
      </c>
      <c r="AE23" s="100">
        <v>5292</v>
      </c>
      <c r="AF23" s="100">
        <v>18</v>
      </c>
      <c r="AG23" s="100">
        <v>5292</v>
      </c>
      <c r="AH23" s="100">
        <v>15.514148382783368</v>
      </c>
      <c r="AI23" s="100">
        <v>4561.1596245383098</v>
      </c>
      <c r="AJ23" s="100">
        <v>4.7642568886478102E-4</v>
      </c>
      <c r="AK23" s="100">
        <v>0.14006915252624563</v>
      </c>
      <c r="AL23" s="100">
        <v>5.1121566063363382E-4</v>
      </c>
      <c r="AM23" s="100">
        <v>0.15029740422628834</v>
      </c>
      <c r="AN23" s="100">
        <v>3.4726879781175586</v>
      </c>
      <c r="AO23" s="100">
        <v>1020.9702655665623</v>
      </c>
      <c r="AP23" s="100">
        <v>13</v>
      </c>
      <c r="AQ23" s="100">
        <v>3822</v>
      </c>
      <c r="AR23" s="100">
        <v>19</v>
      </c>
      <c r="AS23" s="100">
        <v>5586</v>
      </c>
      <c r="AT23" s="100">
        <v>15</v>
      </c>
      <c r="AU23" s="100">
        <v>4410</v>
      </c>
      <c r="AV23" s="100">
        <v>8.4699972707042424</v>
      </c>
      <c r="AW23" s="100">
        <v>2490.1791975870474</v>
      </c>
      <c r="AX23" s="100">
        <v>20</v>
      </c>
      <c r="AY23" s="100">
        <v>5880</v>
      </c>
      <c r="AZ23" s="100">
        <v>14</v>
      </c>
      <c r="BA23" s="100">
        <v>4116</v>
      </c>
      <c r="BB23" s="100">
        <v>6.8616253885253906</v>
      </c>
      <c r="BC23" s="100">
        <v>2017.3178642264647</v>
      </c>
      <c r="BD23" s="100">
        <v>21.352466551796159</v>
      </c>
      <c r="BE23" s="100">
        <v>6277.6251662280711</v>
      </c>
      <c r="BF23" s="100">
        <v>19</v>
      </c>
      <c r="BG23" s="100">
        <v>5586</v>
      </c>
      <c r="BH23" s="100">
        <v>23.702628400160211</v>
      </c>
      <c r="BI23" s="100">
        <v>6968.5727496471018</v>
      </c>
      <c r="BJ23" s="100">
        <v>14</v>
      </c>
      <c r="BK23" s="100">
        <v>4116</v>
      </c>
      <c r="BL23" s="100">
        <v>14.725468628376108</v>
      </c>
      <c r="BM23" s="100">
        <v>4329.2877767425753</v>
      </c>
      <c r="BN23" s="100">
        <v>0.572052978834107</v>
      </c>
      <c r="BO23" s="100">
        <v>168.18357577722745</v>
      </c>
      <c r="BP23" s="100">
        <v>18</v>
      </c>
      <c r="BQ23" s="100">
        <v>5292</v>
      </c>
      <c r="BR23" s="100">
        <v>22</v>
      </c>
      <c r="BS23" s="100">
        <v>6468</v>
      </c>
      <c r="BT23" s="100">
        <v>11.905735564097375</v>
      </c>
      <c r="BU23" s="100">
        <v>3500.2862558446282</v>
      </c>
      <c r="BV23" s="100">
        <v>0.66397523854723917</v>
      </c>
      <c r="BW23" s="100">
        <v>195.20872013288832</v>
      </c>
      <c r="BX23" s="100">
        <v>17</v>
      </c>
      <c r="BY23" s="100">
        <v>4998</v>
      </c>
      <c r="BZ23" s="100">
        <v>19</v>
      </c>
      <c r="CA23" s="100">
        <v>5586</v>
      </c>
      <c r="CB23" s="100">
        <v>16</v>
      </c>
      <c r="CC23" s="100">
        <v>4704</v>
      </c>
      <c r="CD23" s="100">
        <v>20</v>
      </c>
      <c r="CE23" s="100">
        <v>5880</v>
      </c>
      <c r="CF23" s="100">
        <v>17.192748602734977</v>
      </c>
      <c r="CG23" s="100">
        <v>5054.6680892040831</v>
      </c>
      <c r="CH23" s="100">
        <v>12</v>
      </c>
      <c r="CI23" s="100">
        <v>3528</v>
      </c>
      <c r="CJ23" s="100">
        <v>22</v>
      </c>
      <c r="CK23" s="100">
        <v>6468</v>
      </c>
      <c r="CL23" s="100">
        <v>19</v>
      </c>
      <c r="CM23" s="100">
        <v>5586</v>
      </c>
      <c r="CN23" s="100">
        <v>2.1020088281136866</v>
      </c>
      <c r="CO23" s="100">
        <v>617.99059546542389</v>
      </c>
      <c r="CP23" s="100">
        <v>5.9165629809143576</v>
      </c>
      <c r="CQ23" s="100">
        <v>1739.4695163888211</v>
      </c>
      <c r="CR23" s="100">
        <v>14</v>
      </c>
      <c r="CS23" s="100">
        <v>4116</v>
      </c>
      <c r="CT23" s="100">
        <v>11</v>
      </c>
      <c r="CU23" s="100">
        <v>3234</v>
      </c>
    </row>
    <row r="24" spans="2:99">
      <c r="C24" s="99" t="s">
        <v>190</v>
      </c>
      <c r="D24" s="100">
        <v>21</v>
      </c>
      <c r="E24" s="100">
        <v>7711.2</v>
      </c>
      <c r="F24" s="100">
        <v>15</v>
      </c>
      <c r="G24" s="100">
        <v>5508</v>
      </c>
      <c r="H24" s="100">
        <v>15</v>
      </c>
      <c r="I24" s="100">
        <v>5508</v>
      </c>
      <c r="J24" s="100">
        <v>6.7139299860923174</v>
      </c>
      <c r="K24" s="100">
        <v>2465.3550908930988</v>
      </c>
      <c r="L24" s="100">
        <v>10</v>
      </c>
      <c r="M24" s="100">
        <v>3672</v>
      </c>
      <c r="N24" s="100">
        <v>15</v>
      </c>
      <c r="O24" s="100">
        <v>5508</v>
      </c>
      <c r="P24" s="100">
        <v>18</v>
      </c>
      <c r="Q24" s="100">
        <v>6609.5999999999995</v>
      </c>
      <c r="R24" s="100">
        <v>16</v>
      </c>
      <c r="S24" s="100">
        <v>5875.2</v>
      </c>
      <c r="T24" s="100">
        <v>12</v>
      </c>
      <c r="U24" s="100">
        <v>4406.3999999999996</v>
      </c>
      <c r="V24" s="100">
        <v>18</v>
      </c>
      <c r="W24" s="100">
        <v>6609.5999999999995</v>
      </c>
      <c r="X24" s="100">
        <v>21</v>
      </c>
      <c r="Y24" s="100">
        <v>7711.2</v>
      </c>
      <c r="Z24" s="100">
        <v>23</v>
      </c>
      <c r="AA24" s="100">
        <v>8445.6</v>
      </c>
      <c r="AB24" s="100">
        <v>4.7175587902542917</v>
      </c>
      <c r="AC24" s="100">
        <v>1732.2875877813758</v>
      </c>
      <c r="AD24" s="100">
        <v>20</v>
      </c>
      <c r="AE24" s="100">
        <v>7344</v>
      </c>
      <c r="AF24" s="100">
        <v>19</v>
      </c>
      <c r="AG24" s="100">
        <v>6976.8</v>
      </c>
      <c r="AH24" s="100">
        <v>18.251939273862785</v>
      </c>
      <c r="AI24" s="100">
        <v>6702.1121013624143</v>
      </c>
      <c r="AJ24" s="100">
        <v>4.7642568886478102E-4</v>
      </c>
      <c r="AK24" s="100">
        <v>0.17494351295114757</v>
      </c>
      <c r="AL24" s="100">
        <v>4.4150443418359289E-4</v>
      </c>
      <c r="AM24" s="100">
        <v>0.16212042823221531</v>
      </c>
      <c r="AN24" s="100">
        <v>3.4726879781175586</v>
      </c>
      <c r="AO24" s="100">
        <v>1275.1710255647674</v>
      </c>
      <c r="AP24" s="100">
        <v>14</v>
      </c>
      <c r="AQ24" s="100">
        <v>5140.8</v>
      </c>
      <c r="AR24" s="100">
        <v>19</v>
      </c>
      <c r="AS24" s="100">
        <v>6976.8</v>
      </c>
      <c r="AT24" s="100">
        <v>16</v>
      </c>
      <c r="AU24" s="100">
        <v>5875.2</v>
      </c>
      <c r="AV24" s="100">
        <v>9.1758303765962612</v>
      </c>
      <c r="AW24" s="100">
        <v>3369.3649142861468</v>
      </c>
      <c r="AX24" s="100">
        <v>18</v>
      </c>
      <c r="AY24" s="100">
        <v>6609.5999999999995</v>
      </c>
      <c r="AZ24" s="100">
        <v>15</v>
      </c>
      <c r="BA24" s="100">
        <v>5508</v>
      </c>
      <c r="BB24" s="100">
        <v>6.0992225675781251</v>
      </c>
      <c r="BC24" s="100">
        <v>2239.6345268146874</v>
      </c>
      <c r="BD24" s="100">
        <v>21.352466551796159</v>
      </c>
      <c r="BE24" s="100">
        <v>7840.6257178195492</v>
      </c>
      <c r="BF24" s="100">
        <v>21</v>
      </c>
      <c r="BG24" s="100">
        <v>7711.2</v>
      </c>
      <c r="BH24" s="100">
        <v>20.739799850140184</v>
      </c>
      <c r="BI24" s="100">
        <v>7615.654504971475</v>
      </c>
      <c r="BJ24" s="100">
        <v>14</v>
      </c>
      <c r="BK24" s="100">
        <v>5140.8</v>
      </c>
      <c r="BL24" s="100">
        <v>14.725468628376108</v>
      </c>
      <c r="BM24" s="100">
        <v>5407.192080339707</v>
      </c>
      <c r="BN24" s="100">
        <v>0.49033112471494888</v>
      </c>
      <c r="BO24" s="100">
        <v>180.04958899532923</v>
      </c>
      <c r="BP24" s="100">
        <v>17</v>
      </c>
      <c r="BQ24" s="100">
        <v>6242.4</v>
      </c>
      <c r="BR24" s="100">
        <v>21</v>
      </c>
      <c r="BS24" s="100">
        <v>7711.2</v>
      </c>
      <c r="BT24" s="100">
        <v>11.244305810536408</v>
      </c>
      <c r="BU24" s="100">
        <v>4128.9090936289695</v>
      </c>
      <c r="BV24" s="100">
        <v>0.66397523854723917</v>
      </c>
      <c r="BW24" s="100">
        <v>243.81170759454622</v>
      </c>
      <c r="BX24" s="100">
        <v>17</v>
      </c>
      <c r="BY24" s="100">
        <v>6242.4</v>
      </c>
      <c r="BZ24" s="100">
        <v>18</v>
      </c>
      <c r="CA24" s="100">
        <v>6609.5999999999995</v>
      </c>
      <c r="CB24" s="100">
        <v>18</v>
      </c>
      <c r="CC24" s="100">
        <v>6609.5999999999995</v>
      </c>
      <c r="CD24" s="100">
        <v>21</v>
      </c>
      <c r="CE24" s="100">
        <v>7711.2</v>
      </c>
      <c r="CF24" s="100">
        <v>15.760019552507064</v>
      </c>
      <c r="CG24" s="100">
        <v>5787.0791796805934</v>
      </c>
      <c r="CH24" s="100">
        <v>13</v>
      </c>
      <c r="CI24" s="100">
        <v>4773.5999999999995</v>
      </c>
      <c r="CJ24" s="100">
        <v>21</v>
      </c>
      <c r="CK24" s="100">
        <v>7711.2</v>
      </c>
      <c r="CL24" s="100">
        <v>21</v>
      </c>
      <c r="CM24" s="100">
        <v>7711.2</v>
      </c>
      <c r="CN24" s="100">
        <v>2.0064629722903371</v>
      </c>
      <c r="CO24" s="100">
        <v>736.77320342501173</v>
      </c>
      <c r="CP24" s="100">
        <v>5.1448373747081373</v>
      </c>
      <c r="CQ24" s="100">
        <v>1889.1842839928279</v>
      </c>
      <c r="CR24" s="100">
        <v>13</v>
      </c>
      <c r="CS24" s="100">
        <v>4773.5999999999995</v>
      </c>
      <c r="CT24" s="100">
        <v>13</v>
      </c>
      <c r="CU24" s="100">
        <v>4773.5999999999995</v>
      </c>
    </row>
    <row r="25" spans="2:99">
      <c r="C25" s="99" t="s">
        <v>191</v>
      </c>
      <c r="D25" s="100">
        <v>20</v>
      </c>
      <c r="E25" s="100">
        <v>10608</v>
      </c>
      <c r="F25" s="100">
        <v>13</v>
      </c>
      <c r="G25" s="100">
        <v>6895.2</v>
      </c>
      <c r="H25" s="100">
        <v>17</v>
      </c>
      <c r="I25" s="100">
        <v>9016.7999999999993</v>
      </c>
      <c r="J25" s="100">
        <v>6.7139299860923174</v>
      </c>
      <c r="K25" s="100">
        <v>3561.0684646233649</v>
      </c>
      <c r="L25" s="100">
        <v>10</v>
      </c>
      <c r="M25" s="100">
        <v>5304</v>
      </c>
      <c r="N25" s="100">
        <v>14</v>
      </c>
      <c r="O25" s="100">
        <v>7425.5999999999995</v>
      </c>
      <c r="P25" s="100">
        <v>20</v>
      </c>
      <c r="Q25" s="100">
        <v>10608</v>
      </c>
      <c r="R25" s="100">
        <v>16</v>
      </c>
      <c r="S25" s="100">
        <v>8486.4</v>
      </c>
      <c r="T25" s="100">
        <v>12</v>
      </c>
      <c r="U25" s="100">
        <v>6364.7999999999993</v>
      </c>
      <c r="V25" s="100">
        <v>19</v>
      </c>
      <c r="W25" s="100">
        <v>10077.6</v>
      </c>
      <c r="X25" s="100">
        <v>19</v>
      </c>
      <c r="Y25" s="100">
        <v>10077.6</v>
      </c>
      <c r="Z25" s="100">
        <v>23</v>
      </c>
      <c r="AA25" s="100">
        <v>12199.199999999999</v>
      </c>
      <c r="AB25" s="100">
        <v>5.4433370656780289</v>
      </c>
      <c r="AC25" s="100">
        <v>2887.1459796356262</v>
      </c>
      <c r="AD25" s="100">
        <v>19</v>
      </c>
      <c r="AE25" s="100">
        <v>10077.6</v>
      </c>
      <c r="AF25" s="100">
        <v>17</v>
      </c>
      <c r="AG25" s="100">
        <v>9016.7999999999993</v>
      </c>
      <c r="AH25" s="100">
        <v>16.426745346476508</v>
      </c>
      <c r="AI25" s="100">
        <v>8712.7457317711396</v>
      </c>
      <c r="AJ25" s="100">
        <v>4.2627561635269885E-4</v>
      </c>
      <c r="AK25" s="100">
        <v>0.22609658691347145</v>
      </c>
      <c r="AL25" s="100">
        <v>4.1826735870024594E-4</v>
      </c>
      <c r="AM25" s="100">
        <v>0.22184900705461044</v>
      </c>
      <c r="AN25" s="100">
        <v>3.7207371194116692</v>
      </c>
      <c r="AO25" s="100">
        <v>1973.4789681359493</v>
      </c>
      <c r="AP25" s="100">
        <v>12</v>
      </c>
      <c r="AQ25" s="100">
        <v>6364.7999999999993</v>
      </c>
      <c r="AR25" s="100">
        <v>21</v>
      </c>
      <c r="AS25" s="100">
        <v>11138.4</v>
      </c>
      <c r="AT25" s="100">
        <v>16</v>
      </c>
      <c r="AU25" s="100">
        <v>8486.4</v>
      </c>
      <c r="AV25" s="100">
        <v>10.587496588380302</v>
      </c>
      <c r="AW25" s="100">
        <v>5615.6081904769126</v>
      </c>
      <c r="AX25" s="100">
        <v>19</v>
      </c>
      <c r="AY25" s="100">
        <v>10077.6</v>
      </c>
      <c r="AZ25" s="100">
        <v>16</v>
      </c>
      <c r="BA25" s="100">
        <v>8486.4</v>
      </c>
      <c r="BB25" s="100">
        <v>7.2428267989990234</v>
      </c>
      <c r="BC25" s="100">
        <v>3841.5953341890818</v>
      </c>
      <c r="BD25" s="100">
        <v>18.440766567460319</v>
      </c>
      <c r="BE25" s="100">
        <v>9780.9825873809532</v>
      </c>
      <c r="BF25" s="100">
        <v>18</v>
      </c>
      <c r="BG25" s="100">
        <v>9547.1999999999989</v>
      </c>
      <c r="BH25" s="100">
        <v>22.715018883486866</v>
      </c>
      <c r="BI25" s="100">
        <v>12048.046015801434</v>
      </c>
      <c r="BJ25" s="100">
        <v>14</v>
      </c>
      <c r="BK25" s="100">
        <v>7425.5999999999995</v>
      </c>
      <c r="BL25" s="100">
        <v>13.950443963724734</v>
      </c>
      <c r="BM25" s="100">
        <v>7399.3154783595983</v>
      </c>
      <c r="BN25" s="100">
        <v>0.49033112471494888</v>
      </c>
      <c r="BO25" s="100">
        <v>260.07162854880886</v>
      </c>
      <c r="BP25" s="100">
        <v>17</v>
      </c>
      <c r="BQ25" s="100">
        <v>9016.7999999999993</v>
      </c>
      <c r="BR25" s="100">
        <v>21</v>
      </c>
      <c r="BS25" s="100">
        <v>11138.4</v>
      </c>
      <c r="BT25" s="100">
        <v>11.244305810536408</v>
      </c>
      <c r="BU25" s="100">
        <v>5963.979801908511</v>
      </c>
      <c r="BV25" s="100">
        <v>0.73775026505248797</v>
      </c>
      <c r="BW25" s="100">
        <v>391.30274058383958</v>
      </c>
      <c r="BX25" s="100">
        <v>17</v>
      </c>
      <c r="BY25" s="100">
        <v>9016.7999999999993</v>
      </c>
      <c r="BZ25" s="100">
        <v>18</v>
      </c>
      <c r="CA25" s="100">
        <v>9547.1999999999989</v>
      </c>
      <c r="CB25" s="100">
        <v>16</v>
      </c>
      <c r="CC25" s="100">
        <v>8486.4</v>
      </c>
      <c r="CD25" s="100">
        <v>19</v>
      </c>
      <c r="CE25" s="100">
        <v>10077.6</v>
      </c>
      <c r="CF25" s="100">
        <v>15.760019552507064</v>
      </c>
      <c r="CG25" s="100">
        <v>8359.114370649746</v>
      </c>
      <c r="CH25" s="100">
        <v>14</v>
      </c>
      <c r="CI25" s="100">
        <v>7425.5999999999995</v>
      </c>
      <c r="CJ25" s="100">
        <v>20</v>
      </c>
      <c r="CK25" s="100">
        <v>10608</v>
      </c>
      <c r="CL25" s="100">
        <v>22</v>
      </c>
      <c r="CM25" s="100">
        <v>11668.8</v>
      </c>
      <c r="CN25" s="100">
        <v>1.8153712606436381</v>
      </c>
      <c r="CO25" s="100">
        <v>962.87291664538554</v>
      </c>
      <c r="CP25" s="100">
        <v>6.1738048496497644</v>
      </c>
      <c r="CQ25" s="100">
        <v>3274.5860922542347</v>
      </c>
      <c r="CR25" s="100">
        <v>12</v>
      </c>
      <c r="CS25" s="100">
        <v>6364.7999999999993</v>
      </c>
      <c r="CT25" s="100">
        <v>13</v>
      </c>
      <c r="CU25" s="100">
        <v>6895.2</v>
      </c>
    </row>
    <row r="26" spans="2:99">
      <c r="C26" s="99" t="s">
        <v>192</v>
      </c>
      <c r="D26" s="100">
        <v>21</v>
      </c>
      <c r="E26" s="100">
        <v>10206</v>
      </c>
      <c r="F26" s="100">
        <v>16</v>
      </c>
      <c r="G26" s="100">
        <v>7776</v>
      </c>
      <c r="H26" s="100">
        <v>17</v>
      </c>
      <c r="I26" s="100">
        <v>8262</v>
      </c>
      <c r="J26" s="100">
        <v>6.7139299860923174</v>
      </c>
      <c r="K26" s="100">
        <v>3262.9699732408662</v>
      </c>
      <c r="L26" s="100">
        <v>11</v>
      </c>
      <c r="M26" s="100">
        <v>5346</v>
      </c>
      <c r="N26" s="100">
        <v>15</v>
      </c>
      <c r="O26" s="100">
        <v>7290</v>
      </c>
      <c r="P26" s="100">
        <v>20</v>
      </c>
      <c r="Q26" s="100">
        <v>9720</v>
      </c>
      <c r="R26" s="100">
        <v>16</v>
      </c>
      <c r="S26" s="100">
        <v>7776</v>
      </c>
      <c r="T26" s="100">
        <v>11</v>
      </c>
      <c r="U26" s="100">
        <v>5346</v>
      </c>
      <c r="V26" s="100">
        <v>17</v>
      </c>
      <c r="W26" s="100">
        <v>8262</v>
      </c>
      <c r="X26" s="100">
        <v>22</v>
      </c>
      <c r="Y26" s="100">
        <v>10692</v>
      </c>
      <c r="Z26" s="100">
        <v>22</v>
      </c>
      <c r="AA26" s="100">
        <v>10692</v>
      </c>
      <c r="AB26" s="100">
        <v>4.7175587902542917</v>
      </c>
      <c r="AC26" s="100">
        <v>2292.7335720635856</v>
      </c>
      <c r="AD26" s="100">
        <v>17</v>
      </c>
      <c r="AE26" s="100">
        <v>8262</v>
      </c>
      <c r="AF26" s="100">
        <v>18</v>
      </c>
      <c r="AG26" s="100">
        <v>8748</v>
      </c>
      <c r="AH26" s="100">
        <v>15.514148382783368</v>
      </c>
      <c r="AI26" s="100">
        <v>7539.8761140327169</v>
      </c>
      <c r="AJ26" s="100">
        <v>4.2627561635269885E-4</v>
      </c>
      <c r="AK26" s="100">
        <v>0.20716994954741164</v>
      </c>
      <c r="AL26" s="100">
        <v>4.8797858515028692E-4</v>
      </c>
      <c r="AM26" s="100">
        <v>0.23715759238303943</v>
      </c>
      <c r="AN26" s="100">
        <v>3.4726879781175586</v>
      </c>
      <c r="AO26" s="100">
        <v>1687.7263573651335</v>
      </c>
      <c r="AP26" s="100">
        <v>12</v>
      </c>
      <c r="AQ26" s="100">
        <v>5832</v>
      </c>
      <c r="AR26" s="100">
        <v>21</v>
      </c>
      <c r="AS26" s="100">
        <v>10206</v>
      </c>
      <c r="AT26" s="100">
        <v>16</v>
      </c>
      <c r="AU26" s="100">
        <v>7776</v>
      </c>
      <c r="AV26" s="100">
        <v>9.1758303765962612</v>
      </c>
      <c r="AW26" s="100">
        <v>4459.4535630257833</v>
      </c>
      <c r="AX26" s="100">
        <v>20</v>
      </c>
      <c r="AY26" s="100">
        <v>9720</v>
      </c>
      <c r="AZ26" s="100">
        <v>15</v>
      </c>
      <c r="BA26" s="100">
        <v>7290</v>
      </c>
      <c r="BB26" s="100">
        <v>6.8616253885253906</v>
      </c>
      <c r="BC26" s="100">
        <v>3334.74993882334</v>
      </c>
      <c r="BD26" s="100">
        <v>19.411333228905601</v>
      </c>
      <c r="BE26" s="100">
        <v>9433.9079492481214</v>
      </c>
      <c r="BF26" s="100">
        <v>20</v>
      </c>
      <c r="BG26" s="100">
        <v>9720</v>
      </c>
      <c r="BH26" s="100">
        <v>22.715018883486866</v>
      </c>
      <c r="BI26" s="100">
        <v>11039.499177374617</v>
      </c>
      <c r="BJ26" s="100">
        <v>14</v>
      </c>
      <c r="BK26" s="100">
        <v>6804</v>
      </c>
      <c r="BL26" s="100">
        <v>16.275517957678854</v>
      </c>
      <c r="BM26" s="100">
        <v>7909.9017274319231</v>
      </c>
      <c r="BN26" s="100">
        <v>0.572052978834107</v>
      </c>
      <c r="BO26" s="100">
        <v>278.01774771337602</v>
      </c>
      <c r="BP26" s="100">
        <v>16</v>
      </c>
      <c r="BQ26" s="100">
        <v>7776</v>
      </c>
      <c r="BR26" s="100">
        <v>19</v>
      </c>
      <c r="BS26" s="100">
        <v>9234</v>
      </c>
      <c r="BT26" s="100">
        <v>11.905735564097375</v>
      </c>
      <c r="BU26" s="100">
        <v>5786.1874841513245</v>
      </c>
      <c r="BV26" s="100">
        <v>0.66397523854723917</v>
      </c>
      <c r="BW26" s="100">
        <v>322.69196593395822</v>
      </c>
      <c r="BX26" s="100">
        <v>17</v>
      </c>
      <c r="BY26" s="100">
        <v>8262</v>
      </c>
      <c r="BZ26" s="100">
        <v>20</v>
      </c>
      <c r="CA26" s="100">
        <v>9720</v>
      </c>
      <c r="CB26" s="100">
        <v>16</v>
      </c>
      <c r="CC26" s="100">
        <v>7776</v>
      </c>
      <c r="CD26" s="100">
        <v>20</v>
      </c>
      <c r="CE26" s="100">
        <v>9720</v>
      </c>
      <c r="CF26" s="100">
        <v>15.043655027393104</v>
      </c>
      <c r="CG26" s="100">
        <v>7311.2163433130481</v>
      </c>
      <c r="CH26" s="100">
        <v>13</v>
      </c>
      <c r="CI26" s="100">
        <v>6318</v>
      </c>
      <c r="CJ26" s="100">
        <v>19</v>
      </c>
      <c r="CK26" s="100">
        <v>9234</v>
      </c>
      <c r="CL26" s="100">
        <v>20</v>
      </c>
      <c r="CM26" s="100">
        <v>9720</v>
      </c>
      <c r="CN26" s="100">
        <v>1.8153712606436381</v>
      </c>
      <c r="CO26" s="100">
        <v>882.27043267280806</v>
      </c>
      <c r="CP26" s="100">
        <v>5.9165629809143576</v>
      </c>
      <c r="CQ26" s="100">
        <v>2875.4496087243779</v>
      </c>
      <c r="CR26" s="100">
        <v>13</v>
      </c>
      <c r="CS26" s="100">
        <v>6318</v>
      </c>
      <c r="CT26" s="100">
        <v>12</v>
      </c>
      <c r="CU26" s="100">
        <v>5832</v>
      </c>
    </row>
    <row r="27" spans="2:99">
      <c r="C27" s="99" t="s">
        <v>193</v>
      </c>
      <c r="D27" s="100">
        <v>22</v>
      </c>
      <c r="E27" s="100">
        <v>9398.4</v>
      </c>
      <c r="F27" s="100">
        <v>16</v>
      </c>
      <c r="G27" s="100">
        <v>6835.2</v>
      </c>
      <c r="H27" s="100">
        <v>15</v>
      </c>
      <c r="I27" s="100">
        <v>6408</v>
      </c>
      <c r="J27" s="100">
        <v>6.7139299860923174</v>
      </c>
      <c r="K27" s="100">
        <v>2868.1908900586377</v>
      </c>
      <c r="L27" s="100">
        <v>11</v>
      </c>
      <c r="M27" s="100">
        <v>4699.2</v>
      </c>
      <c r="N27" s="100">
        <v>14</v>
      </c>
      <c r="O27" s="100">
        <v>5980.8</v>
      </c>
      <c r="P27" s="100">
        <v>20</v>
      </c>
      <c r="Q27" s="100">
        <v>8544</v>
      </c>
      <c r="R27" s="100">
        <v>18</v>
      </c>
      <c r="S27" s="100">
        <v>7689.5999999999995</v>
      </c>
      <c r="T27" s="100">
        <v>11</v>
      </c>
      <c r="U27" s="100">
        <v>4699.2</v>
      </c>
      <c r="V27" s="100">
        <v>19</v>
      </c>
      <c r="W27" s="100">
        <v>8116.8</v>
      </c>
      <c r="X27" s="100">
        <v>23</v>
      </c>
      <c r="Y27" s="100">
        <v>9825.6</v>
      </c>
      <c r="Z27" s="100">
        <v>22</v>
      </c>
      <c r="AA27" s="100">
        <v>9398.4</v>
      </c>
      <c r="AB27" s="100">
        <v>5.8062262033898975</v>
      </c>
      <c r="AC27" s="100">
        <v>2480.419834088164</v>
      </c>
      <c r="AD27" s="100">
        <v>19</v>
      </c>
      <c r="AE27" s="100">
        <v>8116.8</v>
      </c>
      <c r="AF27" s="100">
        <v>16</v>
      </c>
      <c r="AG27" s="100">
        <v>6835.2</v>
      </c>
      <c r="AH27" s="100">
        <v>16.426745346476508</v>
      </c>
      <c r="AI27" s="100">
        <v>7017.5056120147638</v>
      </c>
      <c r="AJ27" s="100">
        <v>4.7642568886478102E-4</v>
      </c>
      <c r="AK27" s="100">
        <v>0.20352905428303444</v>
      </c>
      <c r="AL27" s="100">
        <v>4.8797858515028692E-4</v>
      </c>
      <c r="AM27" s="100">
        <v>0.20846445157620255</v>
      </c>
      <c r="AN27" s="100">
        <v>3.9687862607057807</v>
      </c>
      <c r="AO27" s="100">
        <v>1695.4654905735094</v>
      </c>
      <c r="AP27" s="100">
        <v>12</v>
      </c>
      <c r="AQ27" s="100">
        <v>5126.3999999999996</v>
      </c>
      <c r="AR27" s="100">
        <v>20</v>
      </c>
      <c r="AS27" s="100">
        <v>8544</v>
      </c>
      <c r="AT27" s="100">
        <v>15</v>
      </c>
      <c r="AU27" s="100">
        <v>6408</v>
      </c>
      <c r="AV27" s="100">
        <v>10.587496588380302</v>
      </c>
      <c r="AW27" s="100">
        <v>4522.9785425560649</v>
      </c>
      <c r="AX27" s="100">
        <v>19</v>
      </c>
      <c r="AY27" s="100">
        <v>8116.8</v>
      </c>
      <c r="AZ27" s="100">
        <v>14</v>
      </c>
      <c r="BA27" s="100">
        <v>5980.8</v>
      </c>
      <c r="BB27" s="100">
        <v>7.2428267989990234</v>
      </c>
      <c r="BC27" s="100">
        <v>3094.1356085323828</v>
      </c>
      <c r="BD27" s="100">
        <v>20.38189989035088</v>
      </c>
      <c r="BE27" s="100">
        <v>8707.1476331578961</v>
      </c>
      <c r="BF27" s="100">
        <v>20</v>
      </c>
      <c r="BG27" s="100">
        <v>8544</v>
      </c>
      <c r="BH27" s="100">
        <v>20.739799850140184</v>
      </c>
      <c r="BI27" s="100">
        <v>8860.0424959798856</v>
      </c>
      <c r="BJ27" s="100">
        <v>14</v>
      </c>
      <c r="BK27" s="100">
        <v>5980.8</v>
      </c>
      <c r="BL27" s="100">
        <v>13.950443963724734</v>
      </c>
      <c r="BM27" s="100">
        <v>5959.6296613032064</v>
      </c>
      <c r="BN27" s="100">
        <v>0.53119205177452788</v>
      </c>
      <c r="BO27" s="100">
        <v>226.9252445180783</v>
      </c>
      <c r="BP27" s="100">
        <v>16</v>
      </c>
      <c r="BQ27" s="100">
        <v>6835.2</v>
      </c>
      <c r="BR27" s="100">
        <v>20</v>
      </c>
      <c r="BS27" s="100">
        <v>8544</v>
      </c>
      <c r="BT27" s="100">
        <v>10.582876056975444</v>
      </c>
      <c r="BU27" s="100">
        <v>4521.004651539909</v>
      </c>
      <c r="BV27" s="100">
        <v>0.66397523854723917</v>
      </c>
      <c r="BW27" s="100">
        <v>283.65022190738057</v>
      </c>
      <c r="BX27" s="100">
        <v>18</v>
      </c>
      <c r="BY27" s="100">
        <v>7689.5999999999995</v>
      </c>
      <c r="BZ27" s="100">
        <v>19</v>
      </c>
      <c r="CA27" s="100">
        <v>8116.8</v>
      </c>
      <c r="CB27" s="100">
        <v>15</v>
      </c>
      <c r="CC27" s="100">
        <v>6408</v>
      </c>
      <c r="CD27" s="100">
        <v>20</v>
      </c>
      <c r="CE27" s="100">
        <v>8544</v>
      </c>
      <c r="CF27" s="100">
        <v>17.192748602734977</v>
      </c>
      <c r="CG27" s="100">
        <v>7344.7422030883818</v>
      </c>
      <c r="CH27" s="100">
        <v>14</v>
      </c>
      <c r="CI27" s="100">
        <v>5980.8</v>
      </c>
      <c r="CJ27" s="100">
        <v>18</v>
      </c>
      <c r="CK27" s="100">
        <v>7689.5999999999995</v>
      </c>
      <c r="CL27" s="100">
        <v>21</v>
      </c>
      <c r="CM27" s="100">
        <v>8971.1999999999989</v>
      </c>
      <c r="CN27" s="100">
        <v>2.0064629722903371</v>
      </c>
      <c r="CO27" s="100">
        <v>857.16098176243202</v>
      </c>
      <c r="CP27" s="100">
        <v>5.6593211121789508</v>
      </c>
      <c r="CQ27" s="100">
        <v>2417.6619791228477</v>
      </c>
      <c r="CR27" s="100">
        <v>12</v>
      </c>
      <c r="CS27" s="100">
        <v>5126.3999999999996</v>
      </c>
      <c r="CT27" s="100">
        <v>13</v>
      </c>
      <c r="CU27" s="100">
        <v>5553.5999999999995</v>
      </c>
    </row>
    <row r="28" spans="2:99">
      <c r="C28" s="99" t="s">
        <v>194</v>
      </c>
      <c r="D28" s="100">
        <v>19</v>
      </c>
      <c r="E28" s="100">
        <v>14022</v>
      </c>
      <c r="F28" s="100">
        <v>16</v>
      </c>
      <c r="G28" s="100">
        <v>11808</v>
      </c>
      <c r="H28" s="100">
        <v>17</v>
      </c>
      <c r="I28" s="100">
        <v>12546</v>
      </c>
      <c r="J28" s="100">
        <v>6.7139299860923174</v>
      </c>
      <c r="K28" s="100">
        <v>4954.8803297361301</v>
      </c>
      <c r="L28" s="100">
        <v>12</v>
      </c>
      <c r="M28" s="100">
        <v>8856</v>
      </c>
      <c r="N28" s="100">
        <v>15</v>
      </c>
      <c r="O28" s="100">
        <v>11070</v>
      </c>
      <c r="P28" s="100">
        <v>20</v>
      </c>
      <c r="Q28" s="100">
        <v>14760</v>
      </c>
      <c r="R28" s="100">
        <v>17</v>
      </c>
      <c r="S28" s="100">
        <v>12546</v>
      </c>
      <c r="T28" s="100">
        <v>11</v>
      </c>
      <c r="U28" s="100">
        <v>8118</v>
      </c>
      <c r="V28" s="100">
        <v>18</v>
      </c>
      <c r="W28" s="100">
        <v>13284</v>
      </c>
      <c r="X28" s="100">
        <v>21</v>
      </c>
      <c r="Y28" s="100">
        <v>15498</v>
      </c>
      <c r="Z28" s="100">
        <v>22</v>
      </c>
      <c r="AA28" s="100">
        <v>16236</v>
      </c>
      <c r="AB28" s="100">
        <v>4.7175587902542917</v>
      </c>
      <c r="AC28" s="100">
        <v>3481.5583872076672</v>
      </c>
      <c r="AD28" s="100">
        <v>18</v>
      </c>
      <c r="AE28" s="100">
        <v>13284</v>
      </c>
      <c r="AF28" s="100">
        <v>15</v>
      </c>
      <c r="AG28" s="100">
        <v>11070</v>
      </c>
      <c r="AH28" s="100">
        <v>17.339342310169645</v>
      </c>
      <c r="AI28" s="100">
        <v>12796.434624905198</v>
      </c>
      <c r="AJ28" s="100">
        <v>4.0120058009665772E-4</v>
      </c>
      <c r="AK28" s="100">
        <v>0.29608602811133339</v>
      </c>
      <c r="AL28" s="100">
        <v>4.6474150966693991E-4</v>
      </c>
      <c r="AM28" s="100">
        <v>0.34297923413420167</v>
      </c>
      <c r="AN28" s="100">
        <v>3.4726879781175586</v>
      </c>
      <c r="AO28" s="100">
        <v>2562.8437278507581</v>
      </c>
      <c r="AP28" s="100">
        <v>14</v>
      </c>
      <c r="AQ28" s="100">
        <v>10332</v>
      </c>
      <c r="AR28" s="100">
        <v>19</v>
      </c>
      <c r="AS28" s="100">
        <v>14022</v>
      </c>
      <c r="AT28" s="100">
        <v>13</v>
      </c>
      <c r="AU28" s="100">
        <v>9594</v>
      </c>
      <c r="AV28" s="100">
        <v>9.8816634824882819</v>
      </c>
      <c r="AW28" s="100">
        <v>7292.6676500763524</v>
      </c>
      <c r="AX28" s="100">
        <v>17</v>
      </c>
      <c r="AY28" s="100">
        <v>12546</v>
      </c>
      <c r="AZ28" s="100">
        <v>14</v>
      </c>
      <c r="BA28" s="100">
        <v>10332</v>
      </c>
      <c r="BB28" s="100">
        <v>6.4804239780517587</v>
      </c>
      <c r="BC28" s="100">
        <v>4782.5528958021978</v>
      </c>
      <c r="BD28" s="100">
        <v>19.411333228905601</v>
      </c>
      <c r="BE28" s="100">
        <v>14325.563922932333</v>
      </c>
      <c r="BF28" s="100">
        <v>20</v>
      </c>
      <c r="BG28" s="100">
        <v>14760</v>
      </c>
      <c r="BH28" s="100">
        <v>22.715018883486866</v>
      </c>
      <c r="BI28" s="100">
        <v>16763.683936013309</v>
      </c>
      <c r="BJ28" s="100">
        <v>12</v>
      </c>
      <c r="BK28" s="100">
        <v>8856</v>
      </c>
      <c r="BL28" s="100">
        <v>14.725468628376108</v>
      </c>
      <c r="BM28" s="100">
        <v>10867.395847741567</v>
      </c>
      <c r="BN28" s="100">
        <v>0.572052978834107</v>
      </c>
      <c r="BO28" s="100">
        <v>422.17509837957095</v>
      </c>
      <c r="BP28" s="100">
        <v>17</v>
      </c>
      <c r="BQ28" s="100">
        <v>12546</v>
      </c>
      <c r="BR28" s="100">
        <v>21</v>
      </c>
      <c r="BS28" s="100">
        <v>15498</v>
      </c>
      <c r="BT28" s="100">
        <v>11.244305810536408</v>
      </c>
      <c r="BU28" s="100">
        <v>8298.2976881758696</v>
      </c>
      <c r="BV28" s="100">
        <v>0.70086275179986357</v>
      </c>
      <c r="BW28" s="100">
        <v>517.23671082829935</v>
      </c>
      <c r="BX28" s="100">
        <v>17</v>
      </c>
      <c r="BY28" s="100">
        <v>12546</v>
      </c>
      <c r="BZ28" s="100">
        <v>19</v>
      </c>
      <c r="CA28" s="100">
        <v>14022</v>
      </c>
      <c r="CB28" s="100">
        <v>16</v>
      </c>
      <c r="CC28" s="100">
        <v>11808</v>
      </c>
      <c r="CD28" s="100">
        <v>20</v>
      </c>
      <c r="CE28" s="100">
        <v>14760</v>
      </c>
      <c r="CF28" s="100">
        <v>16.47638407762102</v>
      </c>
      <c r="CG28" s="100">
        <v>12159.571449284313</v>
      </c>
      <c r="CH28" s="100">
        <v>12</v>
      </c>
      <c r="CI28" s="100">
        <v>8856</v>
      </c>
      <c r="CJ28" s="100">
        <v>21</v>
      </c>
      <c r="CK28" s="100">
        <v>15498</v>
      </c>
      <c r="CL28" s="100">
        <v>21</v>
      </c>
      <c r="CM28" s="100">
        <v>15498</v>
      </c>
      <c r="CN28" s="100">
        <v>1.8153712606436381</v>
      </c>
      <c r="CO28" s="100">
        <v>1339.7439903550048</v>
      </c>
      <c r="CP28" s="100">
        <v>5.1448373747081373</v>
      </c>
      <c r="CQ28" s="100">
        <v>3796.8899825346052</v>
      </c>
      <c r="CR28" s="100">
        <v>12</v>
      </c>
      <c r="CS28" s="100">
        <v>8856</v>
      </c>
      <c r="CT28" s="100">
        <v>12</v>
      </c>
      <c r="CU28" s="100">
        <v>8856</v>
      </c>
    </row>
    <row r="29" spans="2:99">
      <c r="C29" s="99" t="s">
        <v>195</v>
      </c>
      <c r="D29" s="100">
        <v>20</v>
      </c>
      <c r="E29" s="100">
        <v>6768</v>
      </c>
      <c r="F29" s="100">
        <v>15</v>
      </c>
      <c r="G29" s="100">
        <v>5076</v>
      </c>
      <c r="H29" s="100">
        <v>18</v>
      </c>
      <c r="I29" s="100">
        <v>6091.2</v>
      </c>
      <c r="J29" s="100">
        <v>6.7139299860923174</v>
      </c>
      <c r="K29" s="100">
        <v>2271.9939072936399</v>
      </c>
      <c r="L29" s="100">
        <v>12</v>
      </c>
      <c r="M29" s="100">
        <v>4060.7999999999997</v>
      </c>
      <c r="N29" s="100">
        <v>14</v>
      </c>
      <c r="O29" s="100">
        <v>4737.5999999999995</v>
      </c>
      <c r="P29" s="100">
        <v>20</v>
      </c>
      <c r="Q29" s="100">
        <v>6768</v>
      </c>
      <c r="R29" s="100">
        <v>16</v>
      </c>
      <c r="S29" s="100">
        <v>5414.4</v>
      </c>
      <c r="T29" s="100">
        <v>10</v>
      </c>
      <c r="U29" s="100">
        <v>3384</v>
      </c>
      <c r="V29" s="100">
        <v>17</v>
      </c>
      <c r="W29" s="100">
        <v>5752.7999999999993</v>
      </c>
      <c r="X29" s="100">
        <v>22</v>
      </c>
      <c r="Y29" s="100">
        <v>7444.7999999999993</v>
      </c>
      <c r="Z29" s="100">
        <v>22</v>
      </c>
      <c r="AA29" s="100">
        <v>7444.7999999999993</v>
      </c>
      <c r="AB29" s="100">
        <v>5.4433370656780289</v>
      </c>
      <c r="AC29" s="100">
        <v>1842.0252630254449</v>
      </c>
      <c r="AD29" s="100">
        <v>17</v>
      </c>
      <c r="AE29" s="100">
        <v>5752.7999999999993</v>
      </c>
      <c r="AF29" s="100">
        <v>16</v>
      </c>
      <c r="AG29" s="100">
        <v>5414.4</v>
      </c>
      <c r="AH29" s="100">
        <v>17.339342310169645</v>
      </c>
      <c r="AI29" s="100">
        <v>5867.6334377614075</v>
      </c>
      <c r="AJ29" s="100">
        <v>5.015007251208221E-4</v>
      </c>
      <c r="AK29" s="100">
        <v>0.16970784538088618</v>
      </c>
      <c r="AL29" s="100">
        <v>4.8797858515028692E-4</v>
      </c>
      <c r="AM29" s="100">
        <v>0.16513195321485707</v>
      </c>
      <c r="AN29" s="100">
        <v>3.4726879781175586</v>
      </c>
      <c r="AO29" s="100">
        <v>1175.1576117949817</v>
      </c>
      <c r="AP29" s="100">
        <v>12</v>
      </c>
      <c r="AQ29" s="100">
        <v>4060.7999999999997</v>
      </c>
      <c r="AR29" s="100">
        <v>22</v>
      </c>
      <c r="AS29" s="100">
        <v>7444.7999999999993</v>
      </c>
      <c r="AT29" s="100">
        <v>16</v>
      </c>
      <c r="AU29" s="100">
        <v>5414.4</v>
      </c>
      <c r="AV29" s="100">
        <v>9.1758303765962612</v>
      </c>
      <c r="AW29" s="100">
        <v>3105.1009994401747</v>
      </c>
      <c r="AX29" s="100">
        <v>20</v>
      </c>
      <c r="AY29" s="100">
        <v>6768</v>
      </c>
      <c r="AZ29" s="100">
        <v>14</v>
      </c>
      <c r="BA29" s="100">
        <v>4737.5999999999995</v>
      </c>
      <c r="BB29" s="100">
        <v>6.4804239780517587</v>
      </c>
      <c r="BC29" s="100">
        <v>2192.9754741727152</v>
      </c>
      <c r="BD29" s="100">
        <v>22.323033213241441</v>
      </c>
      <c r="BE29" s="100">
        <v>7554.1144393609029</v>
      </c>
      <c r="BF29" s="100">
        <v>21</v>
      </c>
      <c r="BG29" s="100">
        <v>7106.4</v>
      </c>
      <c r="BH29" s="100">
        <v>21.727409366813525</v>
      </c>
      <c r="BI29" s="100">
        <v>7352.5553297296965</v>
      </c>
      <c r="BJ29" s="100">
        <v>15</v>
      </c>
      <c r="BK29" s="100">
        <v>5076</v>
      </c>
      <c r="BL29" s="100">
        <v>14.725468628376108</v>
      </c>
      <c r="BM29" s="100">
        <v>4983.0985838424749</v>
      </c>
      <c r="BN29" s="100">
        <v>0.49033112471494888</v>
      </c>
      <c r="BO29" s="100">
        <v>165.9280526035387</v>
      </c>
      <c r="BP29" s="100">
        <v>17</v>
      </c>
      <c r="BQ29" s="100">
        <v>5752.7999999999993</v>
      </c>
      <c r="BR29" s="100">
        <v>18</v>
      </c>
      <c r="BS29" s="100">
        <v>6091.2</v>
      </c>
      <c r="BT29" s="100">
        <v>11.244305810536408</v>
      </c>
      <c r="BU29" s="100">
        <v>3805.0730862855203</v>
      </c>
      <c r="BV29" s="100">
        <v>0.66397523854723917</v>
      </c>
      <c r="BW29" s="100">
        <v>224.68922072438571</v>
      </c>
      <c r="BX29" s="100">
        <v>17</v>
      </c>
      <c r="BY29" s="100">
        <v>5752.7999999999993</v>
      </c>
      <c r="BZ29" s="100">
        <v>18</v>
      </c>
      <c r="CA29" s="100">
        <v>6091.2</v>
      </c>
      <c r="CB29" s="100">
        <v>16</v>
      </c>
      <c r="CC29" s="100">
        <v>5414.4</v>
      </c>
      <c r="CD29" s="100">
        <v>21</v>
      </c>
      <c r="CE29" s="100">
        <v>7106.4</v>
      </c>
      <c r="CF29" s="100">
        <v>17.192748602734977</v>
      </c>
      <c r="CG29" s="100">
        <v>5818.0261271655154</v>
      </c>
      <c r="CH29" s="100">
        <v>13</v>
      </c>
      <c r="CI29" s="100">
        <v>4399.2</v>
      </c>
      <c r="CJ29" s="100">
        <v>19</v>
      </c>
      <c r="CK29" s="100">
        <v>6429.5999999999995</v>
      </c>
      <c r="CL29" s="100">
        <v>20</v>
      </c>
      <c r="CM29" s="100">
        <v>6768</v>
      </c>
      <c r="CN29" s="100">
        <v>1.9109171164669874</v>
      </c>
      <c r="CO29" s="100">
        <v>646.65435221242853</v>
      </c>
      <c r="CP29" s="100">
        <v>5.9165629809143576</v>
      </c>
      <c r="CQ29" s="100">
        <v>2002.1649127414184</v>
      </c>
      <c r="CR29" s="100">
        <v>14</v>
      </c>
      <c r="CS29" s="100">
        <v>4737.5999999999995</v>
      </c>
      <c r="CT29" s="100">
        <v>11</v>
      </c>
      <c r="CU29" s="100">
        <v>3722.3999999999996</v>
      </c>
    </row>
    <row r="30" spans="2:99">
      <c r="C30" s="99" t="s">
        <v>196</v>
      </c>
      <c r="D30" s="100">
        <v>20</v>
      </c>
      <c r="E30" s="100">
        <v>2784</v>
      </c>
      <c r="F30" s="100">
        <v>15</v>
      </c>
      <c r="G30" s="100">
        <v>2088</v>
      </c>
      <c r="H30" s="100">
        <v>16</v>
      </c>
      <c r="I30" s="100">
        <v>2227.1999999999998</v>
      </c>
      <c r="J30" s="100">
        <v>6.1544358205846246</v>
      </c>
      <c r="K30" s="100">
        <v>856.69746622537969</v>
      </c>
      <c r="L30" s="100">
        <v>12</v>
      </c>
      <c r="M30" s="100">
        <v>1670.3999999999999</v>
      </c>
      <c r="N30" s="100">
        <v>14</v>
      </c>
      <c r="O30" s="100">
        <v>1948.7999999999997</v>
      </c>
      <c r="P30" s="100">
        <v>19</v>
      </c>
      <c r="Q30" s="100">
        <v>2644.7999999999997</v>
      </c>
      <c r="R30" s="100">
        <v>18</v>
      </c>
      <c r="S30" s="100">
        <v>2505.6</v>
      </c>
      <c r="T30" s="100">
        <v>11</v>
      </c>
      <c r="U30" s="100">
        <v>1531.1999999999998</v>
      </c>
      <c r="V30" s="100">
        <v>17</v>
      </c>
      <c r="W30" s="100">
        <v>2366.3999999999996</v>
      </c>
      <c r="X30" s="100">
        <v>19</v>
      </c>
      <c r="Y30" s="100">
        <v>2644.7999999999997</v>
      </c>
      <c r="Z30" s="100">
        <v>24</v>
      </c>
      <c r="AA30" s="100">
        <v>3340.7999999999997</v>
      </c>
      <c r="AB30" s="100">
        <v>5.0804479279661603</v>
      </c>
      <c r="AC30" s="100">
        <v>707.19835157288946</v>
      </c>
      <c r="AD30" s="100">
        <v>17</v>
      </c>
      <c r="AE30" s="100">
        <v>2366.3999999999996</v>
      </c>
      <c r="AF30" s="100">
        <v>16</v>
      </c>
      <c r="AG30" s="100">
        <v>2227.1999999999998</v>
      </c>
      <c r="AH30" s="100">
        <v>17.339342310169645</v>
      </c>
      <c r="AI30" s="100">
        <v>2413.6364495756143</v>
      </c>
      <c r="AJ30" s="100">
        <v>4.7642568886478102E-4</v>
      </c>
      <c r="AK30" s="100">
        <v>6.6318455889977507E-2</v>
      </c>
      <c r="AL30" s="100">
        <v>4.6474150966693991E-4</v>
      </c>
      <c r="AM30" s="100">
        <v>6.4692018145638033E-2</v>
      </c>
      <c r="AN30" s="100">
        <v>3.4726879781175586</v>
      </c>
      <c r="AO30" s="100">
        <v>483.39816655396413</v>
      </c>
      <c r="AP30" s="100">
        <v>12</v>
      </c>
      <c r="AQ30" s="100">
        <v>1670.3999999999999</v>
      </c>
      <c r="AR30" s="100">
        <v>20</v>
      </c>
      <c r="AS30" s="100">
        <v>2784</v>
      </c>
      <c r="AT30" s="100">
        <v>16</v>
      </c>
      <c r="AU30" s="100">
        <v>2227.1999999999998</v>
      </c>
      <c r="AV30" s="100">
        <v>9.1758303765962612</v>
      </c>
      <c r="AW30" s="100">
        <v>1277.2755884221995</v>
      </c>
      <c r="AX30" s="100">
        <v>19</v>
      </c>
      <c r="AY30" s="100">
        <v>2644.7999999999997</v>
      </c>
      <c r="AZ30" s="100">
        <v>16</v>
      </c>
      <c r="BA30" s="100">
        <v>2227.1999999999998</v>
      </c>
      <c r="BB30" s="100">
        <v>6.4804239780517587</v>
      </c>
      <c r="BC30" s="100">
        <v>902.07501774480477</v>
      </c>
      <c r="BD30" s="100">
        <v>20.38189989035088</v>
      </c>
      <c r="BE30" s="100">
        <v>2837.1604647368422</v>
      </c>
      <c r="BF30" s="100">
        <v>19</v>
      </c>
      <c r="BG30" s="100">
        <v>2644.7999999999997</v>
      </c>
      <c r="BH30" s="100">
        <v>20.739799850140184</v>
      </c>
      <c r="BI30" s="100">
        <v>2886.9801391395135</v>
      </c>
      <c r="BJ30" s="100">
        <v>15</v>
      </c>
      <c r="BK30" s="100">
        <v>2088</v>
      </c>
      <c r="BL30" s="100">
        <v>15.500493293027484</v>
      </c>
      <c r="BM30" s="100">
        <v>2157.6686663894257</v>
      </c>
      <c r="BN30" s="100">
        <v>0.49033112471494888</v>
      </c>
      <c r="BO30" s="100">
        <v>68.254092560320885</v>
      </c>
      <c r="BP30" s="100">
        <v>17</v>
      </c>
      <c r="BQ30" s="100">
        <v>2366.3999999999996</v>
      </c>
      <c r="BR30" s="100">
        <v>21</v>
      </c>
      <c r="BS30" s="100">
        <v>2923.2</v>
      </c>
      <c r="BT30" s="100">
        <v>11.244305810536408</v>
      </c>
      <c r="BU30" s="100">
        <v>1565.207368826668</v>
      </c>
      <c r="BV30" s="100">
        <v>0.73775026505248797</v>
      </c>
      <c r="BW30" s="100">
        <v>102.69483689530632</v>
      </c>
      <c r="BX30" s="100">
        <v>19</v>
      </c>
      <c r="BY30" s="100">
        <v>2644.7999999999997</v>
      </c>
      <c r="BZ30" s="100">
        <v>19</v>
      </c>
      <c r="CA30" s="100">
        <v>2644.7999999999997</v>
      </c>
      <c r="CB30" s="100">
        <v>17</v>
      </c>
      <c r="CC30" s="100">
        <v>2366.3999999999996</v>
      </c>
      <c r="CD30" s="100">
        <v>18</v>
      </c>
      <c r="CE30" s="100">
        <v>2505.6</v>
      </c>
      <c r="CF30" s="100">
        <v>17.909113127848933</v>
      </c>
      <c r="CG30" s="100">
        <v>2492.948547396571</v>
      </c>
      <c r="CH30" s="100">
        <v>13</v>
      </c>
      <c r="CI30" s="100">
        <v>1809.6</v>
      </c>
      <c r="CJ30" s="100">
        <v>20</v>
      </c>
      <c r="CK30" s="100">
        <v>2784</v>
      </c>
      <c r="CL30" s="100">
        <v>19</v>
      </c>
      <c r="CM30" s="100">
        <v>2644.7999999999997</v>
      </c>
      <c r="CN30" s="100">
        <v>1.8153712606436381</v>
      </c>
      <c r="CO30" s="100">
        <v>252.69967948159439</v>
      </c>
      <c r="CP30" s="100">
        <v>6.1738048496497644</v>
      </c>
      <c r="CQ30" s="100">
        <v>859.3936350712471</v>
      </c>
      <c r="CR30" s="100">
        <v>14</v>
      </c>
      <c r="CS30" s="100">
        <v>1948.7999999999997</v>
      </c>
      <c r="CT30" s="100">
        <v>12</v>
      </c>
      <c r="CU30" s="100">
        <v>1670.3999999999999</v>
      </c>
    </row>
    <row r="31" spans="2:99">
      <c r="C31" s="99" t="s">
        <v>197</v>
      </c>
      <c r="D31" s="100">
        <v>18</v>
      </c>
      <c r="E31" s="100">
        <v>6134.4000000000005</v>
      </c>
      <c r="F31" s="100">
        <v>15</v>
      </c>
      <c r="G31" s="100">
        <v>5112</v>
      </c>
      <c r="H31" s="100">
        <v>17</v>
      </c>
      <c r="I31" s="100">
        <v>5793.6</v>
      </c>
      <c r="J31" s="100">
        <v>7.2734241516000102</v>
      </c>
      <c r="K31" s="100">
        <v>2478.7829508652835</v>
      </c>
      <c r="L31" s="100">
        <v>12</v>
      </c>
      <c r="M31" s="100">
        <v>4089.6000000000004</v>
      </c>
      <c r="N31" s="100">
        <v>17</v>
      </c>
      <c r="O31" s="100">
        <v>5793.6</v>
      </c>
      <c r="P31" s="100">
        <v>20</v>
      </c>
      <c r="Q31" s="100">
        <v>6816</v>
      </c>
      <c r="R31" s="100">
        <v>17</v>
      </c>
      <c r="S31" s="100">
        <v>5793.6</v>
      </c>
      <c r="T31" s="100">
        <v>11</v>
      </c>
      <c r="U31" s="100">
        <v>3748.8</v>
      </c>
      <c r="V31" s="100">
        <v>18</v>
      </c>
      <c r="W31" s="100">
        <v>6134.4000000000005</v>
      </c>
      <c r="X31" s="100">
        <v>22</v>
      </c>
      <c r="Y31" s="100">
        <v>7497.6</v>
      </c>
      <c r="Z31" s="100">
        <v>23</v>
      </c>
      <c r="AA31" s="100">
        <v>7838.4000000000005</v>
      </c>
      <c r="AB31" s="100">
        <v>5.8062262033898975</v>
      </c>
      <c r="AC31" s="100">
        <v>1978.7618901152771</v>
      </c>
      <c r="AD31" s="100">
        <v>18</v>
      </c>
      <c r="AE31" s="100">
        <v>6134.4000000000005</v>
      </c>
      <c r="AF31" s="100">
        <v>16</v>
      </c>
      <c r="AG31" s="100">
        <v>5452.8</v>
      </c>
      <c r="AH31" s="100">
        <v>17.339342310169645</v>
      </c>
      <c r="AI31" s="100">
        <v>5909.2478593058149</v>
      </c>
      <c r="AJ31" s="100">
        <v>4.0120058009665772E-4</v>
      </c>
      <c r="AK31" s="100">
        <v>0.13672915769694097</v>
      </c>
      <c r="AL31" s="100">
        <v>4.8797858515028692E-4</v>
      </c>
      <c r="AM31" s="100">
        <v>0.16630310181921779</v>
      </c>
      <c r="AN31" s="100">
        <v>3.7207371194116692</v>
      </c>
      <c r="AO31" s="100">
        <v>1268.0272102954968</v>
      </c>
      <c r="AP31" s="100">
        <v>12</v>
      </c>
      <c r="AQ31" s="100">
        <v>4089.6000000000004</v>
      </c>
      <c r="AR31" s="100">
        <v>20</v>
      </c>
      <c r="AS31" s="100">
        <v>6816</v>
      </c>
      <c r="AT31" s="100">
        <v>15</v>
      </c>
      <c r="AU31" s="100">
        <v>5112</v>
      </c>
      <c r="AV31" s="100">
        <v>9.1758303765962612</v>
      </c>
      <c r="AW31" s="100">
        <v>3127.122992344006</v>
      </c>
      <c r="AX31" s="100">
        <v>17</v>
      </c>
      <c r="AY31" s="100">
        <v>5793.6</v>
      </c>
      <c r="AZ31" s="100">
        <v>15</v>
      </c>
      <c r="BA31" s="100">
        <v>5112</v>
      </c>
      <c r="BB31" s="100">
        <v>6.0992225675781251</v>
      </c>
      <c r="BC31" s="100">
        <v>2078.6150510306252</v>
      </c>
      <c r="BD31" s="100">
        <v>20.38189989035088</v>
      </c>
      <c r="BE31" s="100">
        <v>6946.1514826315797</v>
      </c>
      <c r="BF31" s="100">
        <v>18</v>
      </c>
      <c r="BG31" s="100">
        <v>6134.4000000000005</v>
      </c>
      <c r="BH31" s="100">
        <v>19.752190333466842</v>
      </c>
      <c r="BI31" s="100">
        <v>6731.5464656454997</v>
      </c>
      <c r="BJ31" s="100">
        <v>14</v>
      </c>
      <c r="BK31" s="100">
        <v>4771.2</v>
      </c>
      <c r="BL31" s="100">
        <v>15.500493293027484</v>
      </c>
      <c r="BM31" s="100">
        <v>5282.5681142637668</v>
      </c>
      <c r="BN31" s="100">
        <v>0.53119205177452788</v>
      </c>
      <c r="BO31" s="100">
        <v>181.03025124475911</v>
      </c>
      <c r="BP31" s="100">
        <v>17</v>
      </c>
      <c r="BQ31" s="100">
        <v>5793.6</v>
      </c>
      <c r="BR31" s="100">
        <v>22</v>
      </c>
      <c r="BS31" s="100">
        <v>7497.6</v>
      </c>
      <c r="BT31" s="100">
        <v>10.582876056975444</v>
      </c>
      <c r="BU31" s="100">
        <v>3606.6441602172313</v>
      </c>
      <c r="BV31" s="100">
        <v>0.73775026505248797</v>
      </c>
      <c r="BW31" s="100">
        <v>251.4252903298879</v>
      </c>
      <c r="BX31" s="100">
        <v>18</v>
      </c>
      <c r="BY31" s="100">
        <v>6134.4000000000005</v>
      </c>
      <c r="BZ31" s="100">
        <v>17</v>
      </c>
      <c r="CA31" s="100">
        <v>5793.6</v>
      </c>
      <c r="CB31" s="100">
        <v>17</v>
      </c>
      <c r="CC31" s="100">
        <v>5793.6</v>
      </c>
      <c r="CD31" s="100">
        <v>17</v>
      </c>
      <c r="CE31" s="100">
        <v>5793.6</v>
      </c>
      <c r="CF31" s="100">
        <v>16.47638407762102</v>
      </c>
      <c r="CG31" s="100">
        <v>5615.1516936532435</v>
      </c>
      <c r="CH31" s="100">
        <v>13</v>
      </c>
      <c r="CI31" s="100">
        <v>4430.4000000000005</v>
      </c>
      <c r="CJ31" s="100">
        <v>21</v>
      </c>
      <c r="CK31" s="100">
        <v>7156.8</v>
      </c>
      <c r="CL31" s="100">
        <v>19</v>
      </c>
      <c r="CM31" s="100">
        <v>6475.2</v>
      </c>
      <c r="CN31" s="100">
        <v>2.1020088281136866</v>
      </c>
      <c r="CO31" s="100">
        <v>716.36460862114438</v>
      </c>
      <c r="CP31" s="100">
        <v>5.9165629809143576</v>
      </c>
      <c r="CQ31" s="100">
        <v>2016.3646638956131</v>
      </c>
      <c r="CR31" s="100">
        <v>13</v>
      </c>
      <c r="CS31" s="100">
        <v>4430.4000000000005</v>
      </c>
      <c r="CT31" s="100">
        <v>12</v>
      </c>
      <c r="CU31" s="100">
        <v>4089.6000000000004</v>
      </c>
    </row>
    <row r="32" spans="2:99">
      <c r="C32" s="99" t="s">
        <v>198</v>
      </c>
      <c r="D32" s="100">
        <v>19</v>
      </c>
      <c r="E32" s="100">
        <v>15960</v>
      </c>
      <c r="F32" s="100">
        <v>16</v>
      </c>
      <c r="G32" s="100">
        <v>13440</v>
      </c>
      <c r="H32" s="100">
        <v>14</v>
      </c>
      <c r="I32" s="100">
        <v>11760</v>
      </c>
      <c r="J32" s="100">
        <v>6.1544358205846246</v>
      </c>
      <c r="K32" s="100">
        <v>5169.7260892910845</v>
      </c>
      <c r="L32" s="100">
        <v>10</v>
      </c>
      <c r="M32" s="100">
        <v>8400</v>
      </c>
      <c r="N32" s="100">
        <v>14</v>
      </c>
      <c r="O32" s="100">
        <v>11760</v>
      </c>
      <c r="P32" s="100">
        <v>22</v>
      </c>
      <c r="Q32" s="100">
        <v>18480</v>
      </c>
      <c r="R32" s="100">
        <v>15</v>
      </c>
      <c r="S32" s="100">
        <v>12600</v>
      </c>
      <c r="T32" s="100">
        <v>11</v>
      </c>
      <c r="U32" s="100">
        <v>9240</v>
      </c>
      <c r="V32" s="100">
        <v>19</v>
      </c>
      <c r="W32" s="100">
        <v>15960</v>
      </c>
      <c r="X32" s="100">
        <v>19</v>
      </c>
      <c r="Y32" s="100">
        <v>15960</v>
      </c>
      <c r="Z32" s="100">
        <v>19</v>
      </c>
      <c r="AA32" s="100">
        <v>15960</v>
      </c>
      <c r="AB32" s="100">
        <v>5.0804479279661603</v>
      </c>
      <c r="AC32" s="100">
        <v>4267.576259491575</v>
      </c>
      <c r="AD32" s="100">
        <v>19</v>
      </c>
      <c r="AE32" s="100">
        <v>15960</v>
      </c>
      <c r="AF32" s="100">
        <v>15</v>
      </c>
      <c r="AG32" s="100">
        <v>12600</v>
      </c>
      <c r="AH32" s="100">
        <v>14.601551419090228</v>
      </c>
      <c r="AI32" s="100">
        <v>12265.303192035792</v>
      </c>
      <c r="AJ32" s="100">
        <v>4.0120058009665772E-4</v>
      </c>
      <c r="AK32" s="100">
        <v>0.33700848728119248</v>
      </c>
      <c r="AL32" s="100">
        <v>4.6474150966693991E-4</v>
      </c>
      <c r="AM32" s="100">
        <v>0.39038286812022954</v>
      </c>
      <c r="AN32" s="100">
        <v>3.7207371194116692</v>
      </c>
      <c r="AO32" s="100">
        <v>3125.419180305802</v>
      </c>
      <c r="AP32" s="100">
        <v>14</v>
      </c>
      <c r="AQ32" s="100">
        <v>11760</v>
      </c>
      <c r="AR32" s="100">
        <v>19</v>
      </c>
      <c r="AS32" s="100">
        <v>15960</v>
      </c>
      <c r="AT32" s="100">
        <v>14</v>
      </c>
      <c r="AU32" s="100">
        <v>11760</v>
      </c>
      <c r="AV32" s="100">
        <v>9.8816634824882819</v>
      </c>
      <c r="AW32" s="100">
        <v>8300.5973252901567</v>
      </c>
      <c r="AX32" s="100">
        <v>18</v>
      </c>
      <c r="AY32" s="100">
        <v>15120</v>
      </c>
      <c r="AZ32" s="100">
        <v>15</v>
      </c>
      <c r="BA32" s="100">
        <v>12600</v>
      </c>
      <c r="BB32" s="100">
        <v>6.8616253885253906</v>
      </c>
      <c r="BC32" s="100">
        <v>5763.7653263613283</v>
      </c>
      <c r="BD32" s="100">
        <v>20.38189989035088</v>
      </c>
      <c r="BE32" s="100">
        <v>17120.795907894739</v>
      </c>
      <c r="BF32" s="100">
        <v>19</v>
      </c>
      <c r="BG32" s="100">
        <v>15960</v>
      </c>
      <c r="BH32" s="100">
        <v>21.727409366813525</v>
      </c>
      <c r="BI32" s="100">
        <v>18251.02386812336</v>
      </c>
      <c r="BJ32" s="100">
        <v>13</v>
      </c>
      <c r="BK32" s="100">
        <v>10920</v>
      </c>
      <c r="BL32" s="100">
        <v>14.725468628376108</v>
      </c>
      <c r="BM32" s="100">
        <v>12369.39364783593</v>
      </c>
      <c r="BN32" s="100">
        <v>0.49033112471494888</v>
      </c>
      <c r="BO32" s="100">
        <v>411.87814476055706</v>
      </c>
      <c r="BP32" s="100">
        <v>18</v>
      </c>
      <c r="BQ32" s="100">
        <v>15120</v>
      </c>
      <c r="BR32" s="100">
        <v>21</v>
      </c>
      <c r="BS32" s="100">
        <v>17640</v>
      </c>
      <c r="BT32" s="100">
        <v>9.9214463034144789</v>
      </c>
      <c r="BU32" s="100">
        <v>8334.0148948681617</v>
      </c>
      <c r="BV32" s="100">
        <v>0.66397523854723917</v>
      </c>
      <c r="BW32" s="100">
        <v>557.73920037968094</v>
      </c>
      <c r="BX32" s="100">
        <v>17</v>
      </c>
      <c r="BY32" s="100">
        <v>14280</v>
      </c>
      <c r="BZ32" s="100">
        <v>16</v>
      </c>
      <c r="CA32" s="100">
        <v>13440</v>
      </c>
      <c r="CB32" s="100">
        <v>15</v>
      </c>
      <c r="CC32" s="100">
        <v>12600</v>
      </c>
      <c r="CD32" s="100">
        <v>19</v>
      </c>
      <c r="CE32" s="100">
        <v>15960</v>
      </c>
      <c r="CF32" s="100">
        <v>15.760019552507064</v>
      </c>
      <c r="CG32" s="100">
        <v>13238.416424105933</v>
      </c>
      <c r="CH32" s="100">
        <v>13</v>
      </c>
      <c r="CI32" s="100">
        <v>10920</v>
      </c>
      <c r="CJ32" s="100">
        <v>19</v>
      </c>
      <c r="CK32" s="100">
        <v>15960</v>
      </c>
      <c r="CL32" s="100">
        <v>18</v>
      </c>
      <c r="CM32" s="100">
        <v>15120</v>
      </c>
      <c r="CN32" s="100">
        <v>1.6242795489969395</v>
      </c>
      <c r="CO32" s="100">
        <v>1364.3948211574291</v>
      </c>
      <c r="CP32" s="100">
        <v>5.9165629809143576</v>
      </c>
      <c r="CQ32" s="100">
        <v>4969.9129039680602</v>
      </c>
      <c r="CR32" s="100">
        <v>14</v>
      </c>
      <c r="CS32" s="100">
        <v>11760</v>
      </c>
      <c r="CT32" s="100">
        <v>12</v>
      </c>
      <c r="CU32" s="100">
        <v>10080</v>
      </c>
    </row>
    <row r="33" spans="2:99">
      <c r="C33" s="99" t="s">
        <v>199</v>
      </c>
      <c r="D33" s="100">
        <v>21</v>
      </c>
      <c r="E33" s="100">
        <v>9954</v>
      </c>
      <c r="F33" s="100">
        <v>15</v>
      </c>
      <c r="G33" s="100">
        <v>7110</v>
      </c>
      <c r="H33" s="100">
        <v>17</v>
      </c>
      <c r="I33" s="100">
        <v>8058</v>
      </c>
      <c r="J33" s="100">
        <v>6.1544358205846246</v>
      </c>
      <c r="K33" s="100">
        <v>2917.2025789571121</v>
      </c>
      <c r="L33" s="100">
        <v>11</v>
      </c>
      <c r="M33" s="100">
        <v>5214</v>
      </c>
      <c r="N33" s="100">
        <v>16</v>
      </c>
      <c r="O33" s="100">
        <v>7584</v>
      </c>
      <c r="P33" s="100">
        <v>22</v>
      </c>
      <c r="Q33" s="100">
        <v>10428</v>
      </c>
      <c r="R33" s="100">
        <v>16</v>
      </c>
      <c r="S33" s="100">
        <v>7584</v>
      </c>
      <c r="T33" s="100">
        <v>11</v>
      </c>
      <c r="U33" s="100">
        <v>5214</v>
      </c>
      <c r="V33" s="100">
        <v>18</v>
      </c>
      <c r="W33" s="100">
        <v>8532</v>
      </c>
      <c r="X33" s="100">
        <v>23</v>
      </c>
      <c r="Y33" s="100">
        <v>10902</v>
      </c>
      <c r="Z33" s="100">
        <v>22</v>
      </c>
      <c r="AA33" s="100">
        <v>10428</v>
      </c>
      <c r="AB33" s="100">
        <v>4.7175587902542917</v>
      </c>
      <c r="AC33" s="100">
        <v>2236.1228665805343</v>
      </c>
      <c r="AD33" s="100">
        <v>19</v>
      </c>
      <c r="AE33" s="100">
        <v>9006</v>
      </c>
      <c r="AF33" s="100">
        <v>18</v>
      </c>
      <c r="AG33" s="100">
        <v>8532</v>
      </c>
      <c r="AH33" s="100">
        <v>15.514148382783368</v>
      </c>
      <c r="AI33" s="100">
        <v>7353.7063334393169</v>
      </c>
      <c r="AJ33" s="100">
        <v>4.5135065260873994E-4</v>
      </c>
      <c r="AK33" s="100">
        <v>0.21394020933654273</v>
      </c>
      <c r="AL33" s="100">
        <v>4.1826735870024594E-4</v>
      </c>
      <c r="AM33" s="100">
        <v>0.19825872802391659</v>
      </c>
      <c r="AN33" s="100">
        <v>3.2246388368234471</v>
      </c>
      <c r="AO33" s="100">
        <v>1528.478808654314</v>
      </c>
      <c r="AP33" s="100">
        <v>13</v>
      </c>
      <c r="AQ33" s="100">
        <v>6162</v>
      </c>
      <c r="AR33" s="100">
        <v>20</v>
      </c>
      <c r="AS33" s="100">
        <v>9480</v>
      </c>
      <c r="AT33" s="100">
        <v>14</v>
      </c>
      <c r="AU33" s="100">
        <v>6636</v>
      </c>
      <c r="AV33" s="100">
        <v>10.587496588380302</v>
      </c>
      <c r="AW33" s="100">
        <v>5018.4733828922635</v>
      </c>
      <c r="AX33" s="100">
        <v>17</v>
      </c>
      <c r="AY33" s="100">
        <v>8058</v>
      </c>
      <c r="AZ33" s="100">
        <v>15</v>
      </c>
      <c r="BA33" s="100">
        <v>7110</v>
      </c>
      <c r="BB33" s="100">
        <v>6.8616253885253906</v>
      </c>
      <c r="BC33" s="100">
        <v>3252.410434161035</v>
      </c>
      <c r="BD33" s="100">
        <v>20.38189989035088</v>
      </c>
      <c r="BE33" s="100">
        <v>9661.0205480263176</v>
      </c>
      <c r="BF33" s="100">
        <v>19</v>
      </c>
      <c r="BG33" s="100">
        <v>9006</v>
      </c>
      <c r="BH33" s="100">
        <v>21.727409366813525</v>
      </c>
      <c r="BI33" s="100">
        <v>10298.792039869611</v>
      </c>
      <c r="BJ33" s="100">
        <v>15</v>
      </c>
      <c r="BK33" s="100">
        <v>7110</v>
      </c>
      <c r="BL33" s="100">
        <v>16.275517957678854</v>
      </c>
      <c r="BM33" s="100">
        <v>7714.5955119397768</v>
      </c>
      <c r="BN33" s="100">
        <v>0.53119205177452788</v>
      </c>
      <c r="BO33" s="100">
        <v>251.78503254112621</v>
      </c>
      <c r="BP33" s="100">
        <v>17</v>
      </c>
      <c r="BQ33" s="100">
        <v>8058</v>
      </c>
      <c r="BR33" s="100">
        <v>21</v>
      </c>
      <c r="BS33" s="100">
        <v>9954</v>
      </c>
      <c r="BT33" s="100">
        <v>11.244305810536408</v>
      </c>
      <c r="BU33" s="100">
        <v>5329.8009541942574</v>
      </c>
      <c r="BV33" s="100">
        <v>0.66397523854723917</v>
      </c>
      <c r="BW33" s="100">
        <v>314.72426307139136</v>
      </c>
      <c r="BX33" s="100">
        <v>18</v>
      </c>
      <c r="BY33" s="100">
        <v>8532</v>
      </c>
      <c r="BZ33" s="100">
        <v>19</v>
      </c>
      <c r="CA33" s="100">
        <v>9006</v>
      </c>
      <c r="CB33" s="100">
        <v>16</v>
      </c>
      <c r="CC33" s="100">
        <v>7584</v>
      </c>
      <c r="CD33" s="100">
        <v>20</v>
      </c>
      <c r="CE33" s="100">
        <v>9480</v>
      </c>
      <c r="CF33" s="100">
        <v>15.043655027393104</v>
      </c>
      <c r="CG33" s="100">
        <v>7130.692482984331</v>
      </c>
      <c r="CH33" s="100">
        <v>13</v>
      </c>
      <c r="CI33" s="100">
        <v>6162</v>
      </c>
      <c r="CJ33" s="100">
        <v>21</v>
      </c>
      <c r="CK33" s="100">
        <v>9954</v>
      </c>
      <c r="CL33" s="100">
        <v>22</v>
      </c>
      <c r="CM33" s="100">
        <v>10428</v>
      </c>
      <c r="CN33" s="100">
        <v>2.0064629722903371</v>
      </c>
      <c r="CO33" s="100">
        <v>951.06344886561976</v>
      </c>
      <c r="CP33" s="100">
        <v>6.1738048496497644</v>
      </c>
      <c r="CQ33" s="100">
        <v>2926.3834987339883</v>
      </c>
      <c r="CR33" s="100">
        <v>14</v>
      </c>
      <c r="CS33" s="100">
        <v>6636</v>
      </c>
      <c r="CT33" s="100">
        <v>12</v>
      </c>
      <c r="CU33" s="100">
        <v>5688</v>
      </c>
    </row>
    <row r="34" spans="2:99">
      <c r="C34" s="99" t="s">
        <v>200</v>
      </c>
      <c r="D34" s="100">
        <v>20</v>
      </c>
      <c r="E34" s="100">
        <v>10968</v>
      </c>
      <c r="F34" s="100">
        <v>13</v>
      </c>
      <c r="G34" s="100">
        <v>7129.2</v>
      </c>
      <c r="H34" s="100">
        <v>17</v>
      </c>
      <c r="I34" s="100">
        <v>9322.7999999999993</v>
      </c>
      <c r="J34" s="100">
        <v>6.1544358205846246</v>
      </c>
      <c r="K34" s="100">
        <v>3375.0926040086079</v>
      </c>
      <c r="L34" s="100">
        <v>12</v>
      </c>
      <c r="M34" s="100">
        <v>6580.7999999999993</v>
      </c>
      <c r="N34" s="100">
        <v>16</v>
      </c>
      <c r="O34" s="100">
        <v>8774.4</v>
      </c>
      <c r="P34" s="100">
        <v>20</v>
      </c>
      <c r="Q34" s="100">
        <v>10968</v>
      </c>
      <c r="R34" s="100">
        <v>17</v>
      </c>
      <c r="S34" s="100">
        <v>9322.7999999999993</v>
      </c>
      <c r="T34" s="100">
        <v>11</v>
      </c>
      <c r="U34" s="100">
        <v>6032.4</v>
      </c>
      <c r="V34" s="100">
        <v>18</v>
      </c>
      <c r="W34" s="100">
        <v>9871.1999999999989</v>
      </c>
      <c r="X34" s="100">
        <v>22</v>
      </c>
      <c r="Y34" s="100">
        <v>12064.8</v>
      </c>
      <c r="Z34" s="100">
        <v>21</v>
      </c>
      <c r="AA34" s="100">
        <v>11516.4</v>
      </c>
      <c r="AB34" s="100">
        <v>5.0804479279661603</v>
      </c>
      <c r="AC34" s="100">
        <v>2786.1176436966421</v>
      </c>
      <c r="AD34" s="100">
        <v>20</v>
      </c>
      <c r="AE34" s="100">
        <v>10968</v>
      </c>
      <c r="AF34" s="100">
        <v>19</v>
      </c>
      <c r="AG34" s="100">
        <v>10419.6</v>
      </c>
      <c r="AH34" s="100">
        <v>18.251939273862785</v>
      </c>
      <c r="AI34" s="100">
        <v>10009.363497786351</v>
      </c>
      <c r="AJ34" s="100">
        <v>4.0120058009665772E-4</v>
      </c>
      <c r="AK34" s="100">
        <v>0.22001839812500709</v>
      </c>
      <c r="AL34" s="100">
        <v>4.8797858515028692E-4</v>
      </c>
      <c r="AM34" s="100">
        <v>0.26760745609641734</v>
      </c>
      <c r="AN34" s="100">
        <v>3.7207371194116692</v>
      </c>
      <c r="AO34" s="100">
        <v>2040.4522362853593</v>
      </c>
      <c r="AP34" s="100">
        <v>13</v>
      </c>
      <c r="AQ34" s="100">
        <v>7129.2</v>
      </c>
      <c r="AR34" s="100">
        <v>22</v>
      </c>
      <c r="AS34" s="100">
        <v>12064.8</v>
      </c>
      <c r="AT34" s="100">
        <v>14</v>
      </c>
      <c r="AU34" s="100">
        <v>7677.5999999999995</v>
      </c>
      <c r="AV34" s="100">
        <v>9.8816634824882819</v>
      </c>
      <c r="AW34" s="100">
        <v>5419.1042537965732</v>
      </c>
      <c r="AX34" s="100">
        <v>18</v>
      </c>
      <c r="AY34" s="100">
        <v>9871.1999999999989</v>
      </c>
      <c r="AZ34" s="100">
        <v>15</v>
      </c>
      <c r="BA34" s="100">
        <v>8226</v>
      </c>
      <c r="BB34" s="100">
        <v>6.0992225675781251</v>
      </c>
      <c r="BC34" s="100">
        <v>3344.8136560598437</v>
      </c>
      <c r="BD34" s="100">
        <v>21.352466551796159</v>
      </c>
      <c r="BE34" s="100">
        <v>11709.692657005013</v>
      </c>
      <c r="BF34" s="100">
        <v>21</v>
      </c>
      <c r="BG34" s="100">
        <v>11516.4</v>
      </c>
      <c r="BH34" s="100">
        <v>20.739799850140184</v>
      </c>
      <c r="BI34" s="100">
        <v>11373.706237816876</v>
      </c>
      <c r="BJ34" s="100">
        <v>15</v>
      </c>
      <c r="BK34" s="100">
        <v>8226</v>
      </c>
      <c r="BL34" s="100">
        <v>15.500493293027484</v>
      </c>
      <c r="BM34" s="100">
        <v>8500.4705218962717</v>
      </c>
      <c r="BN34" s="100">
        <v>0.49033112471494888</v>
      </c>
      <c r="BO34" s="100">
        <v>268.89758879367798</v>
      </c>
      <c r="BP34" s="100">
        <v>16</v>
      </c>
      <c r="BQ34" s="100">
        <v>8774.4</v>
      </c>
      <c r="BR34" s="100">
        <v>20</v>
      </c>
      <c r="BS34" s="100">
        <v>10968</v>
      </c>
      <c r="BT34" s="100">
        <v>10.582876056975444</v>
      </c>
      <c r="BU34" s="100">
        <v>5803.6492296453334</v>
      </c>
      <c r="BV34" s="100">
        <v>0.62708772529461476</v>
      </c>
      <c r="BW34" s="100">
        <v>343.89490855156674</v>
      </c>
      <c r="BX34" s="100">
        <v>16</v>
      </c>
      <c r="BY34" s="100">
        <v>8774.4</v>
      </c>
      <c r="BZ34" s="100">
        <v>19</v>
      </c>
      <c r="CA34" s="100">
        <v>10419.6</v>
      </c>
      <c r="CB34" s="100">
        <v>16</v>
      </c>
      <c r="CC34" s="100">
        <v>8774.4</v>
      </c>
      <c r="CD34" s="100">
        <v>19</v>
      </c>
      <c r="CE34" s="100">
        <v>10419.6</v>
      </c>
      <c r="CF34" s="100">
        <v>15.043655027393104</v>
      </c>
      <c r="CG34" s="100">
        <v>8249.940417022377</v>
      </c>
      <c r="CH34" s="100">
        <v>14</v>
      </c>
      <c r="CI34" s="100">
        <v>7677.5999999999995</v>
      </c>
      <c r="CJ34" s="100">
        <v>18</v>
      </c>
      <c r="CK34" s="100">
        <v>9871.1999999999989</v>
      </c>
      <c r="CL34" s="100">
        <v>21</v>
      </c>
      <c r="CM34" s="100">
        <v>11516.4</v>
      </c>
      <c r="CN34" s="100">
        <v>1.8153712606436381</v>
      </c>
      <c r="CO34" s="100">
        <v>995.54959933697103</v>
      </c>
      <c r="CP34" s="100">
        <v>5.6593211121789508</v>
      </c>
      <c r="CQ34" s="100">
        <v>3103.5716979189365</v>
      </c>
      <c r="CR34" s="100">
        <v>12</v>
      </c>
      <c r="CS34" s="100">
        <v>6580.7999999999993</v>
      </c>
      <c r="CT34" s="100">
        <v>12</v>
      </c>
      <c r="CU34" s="100">
        <v>6580.7999999999993</v>
      </c>
    </row>
    <row r="35" spans="2:99">
      <c r="C35" s="99" t="s">
        <v>201</v>
      </c>
      <c r="D35" s="100">
        <v>19</v>
      </c>
      <c r="E35" s="100">
        <v>9553.1999999999989</v>
      </c>
      <c r="F35" s="100">
        <v>15</v>
      </c>
      <c r="G35" s="100">
        <v>7541.9999999999982</v>
      </c>
      <c r="H35" s="100">
        <v>17</v>
      </c>
      <c r="I35" s="100">
        <v>8547.5999999999985</v>
      </c>
      <c r="J35" s="100">
        <v>6.1544358205846246</v>
      </c>
      <c r="K35" s="100">
        <v>3094.4503305899484</v>
      </c>
      <c r="L35" s="100">
        <v>12</v>
      </c>
      <c r="M35" s="100">
        <v>6033.5999999999985</v>
      </c>
      <c r="N35" s="100">
        <v>14</v>
      </c>
      <c r="O35" s="100">
        <v>7039.1999999999989</v>
      </c>
      <c r="P35" s="100">
        <v>22</v>
      </c>
      <c r="Q35" s="100">
        <v>11061.599999999999</v>
      </c>
      <c r="R35" s="100">
        <v>16</v>
      </c>
      <c r="S35" s="100">
        <v>8044.7999999999984</v>
      </c>
      <c r="T35" s="100">
        <v>11</v>
      </c>
      <c r="U35" s="100">
        <v>5530.7999999999993</v>
      </c>
      <c r="V35" s="100">
        <v>19</v>
      </c>
      <c r="W35" s="100">
        <v>9553.1999999999989</v>
      </c>
      <c r="X35" s="100">
        <v>19</v>
      </c>
      <c r="Y35" s="100">
        <v>9553.1999999999989</v>
      </c>
      <c r="Z35" s="100">
        <v>22</v>
      </c>
      <c r="AA35" s="100">
        <v>11061.599999999999</v>
      </c>
      <c r="AB35" s="100">
        <v>5.4433370656780289</v>
      </c>
      <c r="AC35" s="100">
        <v>2736.9098766229122</v>
      </c>
      <c r="AD35" s="100">
        <v>20</v>
      </c>
      <c r="AE35" s="100">
        <v>10055.999999999998</v>
      </c>
      <c r="AF35" s="100">
        <v>18</v>
      </c>
      <c r="AG35" s="100">
        <v>9050.3999999999978</v>
      </c>
      <c r="AH35" s="100">
        <v>17.339342310169645</v>
      </c>
      <c r="AI35" s="100">
        <v>8718.2213135532966</v>
      </c>
      <c r="AJ35" s="100">
        <v>4.7642568886478102E-4</v>
      </c>
      <c r="AK35" s="100">
        <v>0.23954683636121185</v>
      </c>
      <c r="AL35" s="100">
        <v>4.8797858515028692E-4</v>
      </c>
      <c r="AM35" s="100">
        <v>0.24535563261356422</v>
      </c>
      <c r="AN35" s="100">
        <v>3.4726879781175586</v>
      </c>
      <c r="AO35" s="100">
        <v>1746.067515397508</v>
      </c>
      <c r="AP35" s="100">
        <v>14</v>
      </c>
      <c r="AQ35" s="100">
        <v>7039.1999999999989</v>
      </c>
      <c r="AR35" s="100">
        <v>20</v>
      </c>
      <c r="AS35" s="100">
        <v>10055.999999999998</v>
      </c>
      <c r="AT35" s="100">
        <v>15</v>
      </c>
      <c r="AU35" s="100">
        <v>7541.9999999999982</v>
      </c>
      <c r="AV35" s="100">
        <v>9.1758303765962612</v>
      </c>
      <c r="AW35" s="100">
        <v>4613.6075133525992</v>
      </c>
      <c r="AX35" s="100">
        <v>19</v>
      </c>
      <c r="AY35" s="100">
        <v>9553.1999999999989</v>
      </c>
      <c r="AZ35" s="100">
        <v>15</v>
      </c>
      <c r="BA35" s="100">
        <v>7541.9999999999982</v>
      </c>
      <c r="BB35" s="100">
        <v>6.4804239780517587</v>
      </c>
      <c r="BC35" s="100">
        <v>3258.3571761644234</v>
      </c>
      <c r="BD35" s="100">
        <v>20.38189989035088</v>
      </c>
      <c r="BE35" s="100">
        <v>10248.019264868421</v>
      </c>
      <c r="BF35" s="100">
        <v>18</v>
      </c>
      <c r="BG35" s="100">
        <v>9050.3999999999978</v>
      </c>
      <c r="BH35" s="100">
        <v>20.739799850140184</v>
      </c>
      <c r="BI35" s="100">
        <v>10427.971364650482</v>
      </c>
      <c r="BJ35" s="100">
        <v>14</v>
      </c>
      <c r="BK35" s="100">
        <v>7039.1999999999989</v>
      </c>
      <c r="BL35" s="100">
        <v>13.950443963724734</v>
      </c>
      <c r="BM35" s="100">
        <v>7014.2832249607945</v>
      </c>
      <c r="BN35" s="100">
        <v>0.53119205177452788</v>
      </c>
      <c r="BO35" s="100">
        <v>267.08336363223259</v>
      </c>
      <c r="BP35" s="100">
        <v>17</v>
      </c>
      <c r="BQ35" s="100">
        <v>8547.5999999999985</v>
      </c>
      <c r="BR35" s="100">
        <v>21</v>
      </c>
      <c r="BS35" s="100">
        <v>10558.799999999997</v>
      </c>
      <c r="BT35" s="100">
        <v>10.582876056975444</v>
      </c>
      <c r="BU35" s="100">
        <v>5321.0700814472521</v>
      </c>
      <c r="BV35" s="100">
        <v>0.66397523854723917</v>
      </c>
      <c r="BW35" s="100">
        <v>333.84674994155176</v>
      </c>
      <c r="BX35" s="100">
        <v>17</v>
      </c>
      <c r="BY35" s="100">
        <v>8547.5999999999985</v>
      </c>
      <c r="BZ35" s="100">
        <v>20</v>
      </c>
      <c r="CA35" s="100">
        <v>10055.999999999998</v>
      </c>
      <c r="CB35" s="100">
        <v>16</v>
      </c>
      <c r="CC35" s="100">
        <v>8044.7999999999984</v>
      </c>
      <c r="CD35" s="100">
        <v>19</v>
      </c>
      <c r="CE35" s="100">
        <v>9553.1999999999989</v>
      </c>
      <c r="CF35" s="100">
        <v>16.47638407762102</v>
      </c>
      <c r="CG35" s="100">
        <v>8284.3259142278475</v>
      </c>
      <c r="CH35" s="100">
        <v>13</v>
      </c>
      <c r="CI35" s="100">
        <v>6536.3999999999987</v>
      </c>
      <c r="CJ35" s="100">
        <v>21</v>
      </c>
      <c r="CK35" s="100">
        <v>10558.799999999997</v>
      </c>
      <c r="CL35" s="100">
        <v>22</v>
      </c>
      <c r="CM35" s="100">
        <v>11061.599999999999</v>
      </c>
      <c r="CN35" s="100">
        <v>1.9109171164669874</v>
      </c>
      <c r="CO35" s="100">
        <v>960.80912615960108</v>
      </c>
      <c r="CP35" s="100">
        <v>5.6593211121789508</v>
      </c>
      <c r="CQ35" s="100">
        <v>2845.506655203576</v>
      </c>
      <c r="CR35" s="100">
        <v>12</v>
      </c>
      <c r="CS35" s="100">
        <v>6033.5999999999985</v>
      </c>
      <c r="CT35" s="100">
        <v>12</v>
      </c>
      <c r="CU35" s="100">
        <v>6033.5999999999985</v>
      </c>
    </row>
    <row r="36" spans="2:99">
      <c r="C36" s="99" t="s">
        <v>202</v>
      </c>
      <c r="D36" s="100">
        <v>20</v>
      </c>
      <c r="E36" s="100">
        <v>15216</v>
      </c>
      <c r="F36" s="100">
        <v>14</v>
      </c>
      <c r="G36" s="100">
        <v>10651.199999999999</v>
      </c>
      <c r="H36" s="100">
        <v>16</v>
      </c>
      <c r="I36" s="100">
        <v>12172.8</v>
      </c>
      <c r="J36" s="100">
        <v>6.1544358205846246</v>
      </c>
      <c r="K36" s="100">
        <v>4682.2947723007819</v>
      </c>
      <c r="L36" s="100">
        <v>11</v>
      </c>
      <c r="M36" s="100">
        <v>8368.7999999999993</v>
      </c>
      <c r="N36" s="100">
        <v>13</v>
      </c>
      <c r="O36" s="100">
        <v>9890.4</v>
      </c>
      <c r="P36" s="100">
        <v>18</v>
      </c>
      <c r="Q36" s="100">
        <v>13694.4</v>
      </c>
      <c r="R36" s="100">
        <v>17</v>
      </c>
      <c r="S36" s="100">
        <v>12933.599999999999</v>
      </c>
      <c r="T36" s="100">
        <v>10</v>
      </c>
      <c r="U36" s="100">
        <v>7608</v>
      </c>
      <c r="V36" s="100">
        <v>19</v>
      </c>
      <c r="W36" s="100">
        <v>14455.199999999999</v>
      </c>
      <c r="X36" s="100">
        <v>22</v>
      </c>
      <c r="Y36" s="100">
        <v>16737.599999999999</v>
      </c>
      <c r="Z36" s="100">
        <v>22</v>
      </c>
      <c r="AA36" s="100">
        <v>16737.599999999999</v>
      </c>
      <c r="AB36" s="100">
        <v>4.7175587902542917</v>
      </c>
      <c r="AC36" s="100">
        <v>3589.118727625465</v>
      </c>
      <c r="AD36" s="100">
        <v>17</v>
      </c>
      <c r="AE36" s="100">
        <v>12933.599999999999</v>
      </c>
      <c r="AF36" s="100">
        <v>16</v>
      </c>
      <c r="AG36" s="100">
        <v>12172.8</v>
      </c>
      <c r="AH36" s="100">
        <v>17.339342310169645</v>
      </c>
      <c r="AI36" s="100">
        <v>13191.771629577064</v>
      </c>
      <c r="AJ36" s="100">
        <v>4.2627561635269885E-4</v>
      </c>
      <c r="AK36" s="100">
        <v>0.32431048892113329</v>
      </c>
      <c r="AL36" s="100">
        <v>4.4150443418359289E-4</v>
      </c>
      <c r="AM36" s="100">
        <v>0.33589657352687746</v>
      </c>
      <c r="AN36" s="100">
        <v>3.2246388368234471</v>
      </c>
      <c r="AO36" s="100">
        <v>2453.3052270552785</v>
      </c>
      <c r="AP36" s="100">
        <v>14</v>
      </c>
      <c r="AQ36" s="100">
        <v>10651.199999999999</v>
      </c>
      <c r="AR36" s="100">
        <v>21</v>
      </c>
      <c r="AS36" s="100">
        <v>15976.8</v>
      </c>
      <c r="AT36" s="100">
        <v>15</v>
      </c>
      <c r="AU36" s="100">
        <v>11412</v>
      </c>
      <c r="AV36" s="100">
        <v>9.8816634824882819</v>
      </c>
      <c r="AW36" s="100">
        <v>7517.9695774770844</v>
      </c>
      <c r="AX36" s="100">
        <v>18</v>
      </c>
      <c r="AY36" s="100">
        <v>13694.4</v>
      </c>
      <c r="AZ36" s="100">
        <v>16</v>
      </c>
      <c r="BA36" s="100">
        <v>12172.8</v>
      </c>
      <c r="BB36" s="100">
        <v>6.8616253885253906</v>
      </c>
      <c r="BC36" s="100">
        <v>5220.3245955901166</v>
      </c>
      <c r="BD36" s="100">
        <v>21.352466551796159</v>
      </c>
      <c r="BE36" s="100">
        <v>16244.956552606516</v>
      </c>
      <c r="BF36" s="100">
        <v>20</v>
      </c>
      <c r="BG36" s="100">
        <v>15216</v>
      </c>
      <c r="BH36" s="100">
        <v>21.727409366813525</v>
      </c>
      <c r="BI36" s="100">
        <v>16530.213046271729</v>
      </c>
      <c r="BJ36" s="100">
        <v>14</v>
      </c>
      <c r="BK36" s="100">
        <v>10651.199999999999</v>
      </c>
      <c r="BL36" s="100">
        <v>15.500493293027484</v>
      </c>
      <c r="BM36" s="100">
        <v>11792.775297335309</v>
      </c>
      <c r="BN36" s="100">
        <v>0.53119205177452788</v>
      </c>
      <c r="BO36" s="100">
        <v>404.13091299006078</v>
      </c>
      <c r="BP36" s="100">
        <v>18</v>
      </c>
      <c r="BQ36" s="100">
        <v>13694.4</v>
      </c>
      <c r="BR36" s="100">
        <v>20</v>
      </c>
      <c r="BS36" s="100">
        <v>15216</v>
      </c>
      <c r="BT36" s="100">
        <v>11.244305810536408</v>
      </c>
      <c r="BU36" s="100">
        <v>8554.6678606560981</v>
      </c>
      <c r="BV36" s="100">
        <v>0.62708772529461476</v>
      </c>
      <c r="BW36" s="100">
        <v>477.08834140414291</v>
      </c>
      <c r="BX36" s="100">
        <v>17</v>
      </c>
      <c r="BY36" s="100">
        <v>12933.599999999999</v>
      </c>
      <c r="BZ36" s="100">
        <v>20</v>
      </c>
      <c r="CA36" s="100">
        <v>15216</v>
      </c>
      <c r="CB36" s="100">
        <v>15</v>
      </c>
      <c r="CC36" s="100">
        <v>11412</v>
      </c>
      <c r="CD36" s="100">
        <v>20</v>
      </c>
      <c r="CE36" s="100">
        <v>15216</v>
      </c>
      <c r="CF36" s="100">
        <v>15.043655027393104</v>
      </c>
      <c r="CG36" s="100">
        <v>11445.212744840674</v>
      </c>
      <c r="CH36" s="100">
        <v>12</v>
      </c>
      <c r="CI36" s="100">
        <v>9129.5999999999985</v>
      </c>
      <c r="CJ36" s="100">
        <v>19</v>
      </c>
      <c r="CK36" s="100">
        <v>14455.199999999999</v>
      </c>
      <c r="CL36" s="100">
        <v>20</v>
      </c>
      <c r="CM36" s="100">
        <v>15216</v>
      </c>
      <c r="CN36" s="100">
        <v>1.8153712606436381</v>
      </c>
      <c r="CO36" s="100">
        <v>1381.1344550976798</v>
      </c>
      <c r="CP36" s="100">
        <v>5.4020792434435441</v>
      </c>
      <c r="CQ36" s="100">
        <v>4109.9018884118477</v>
      </c>
      <c r="CR36" s="100">
        <v>13</v>
      </c>
      <c r="CS36" s="100">
        <v>9890.4</v>
      </c>
      <c r="CT36" s="100">
        <v>12</v>
      </c>
      <c r="CU36" s="100">
        <v>9129.5999999999985</v>
      </c>
    </row>
    <row r="37" spans="2:99">
      <c r="B37" s="99" t="s">
        <v>128</v>
      </c>
      <c r="C37" s="99" t="s">
        <v>203</v>
      </c>
      <c r="D37" s="100">
        <v>9</v>
      </c>
      <c r="E37" s="100">
        <v>7743.5999999999995</v>
      </c>
      <c r="F37" s="100">
        <v>11</v>
      </c>
      <c r="G37" s="100">
        <v>9464.4</v>
      </c>
      <c r="H37" s="100">
        <v>10</v>
      </c>
      <c r="I37" s="100">
        <v>8604</v>
      </c>
      <c r="J37" s="100">
        <v>6.7139299860923174</v>
      </c>
      <c r="K37" s="100">
        <v>5776.6653600338295</v>
      </c>
      <c r="L37" s="100">
        <v>9</v>
      </c>
      <c r="M37" s="100">
        <v>7743.5999999999995</v>
      </c>
      <c r="N37" s="100">
        <v>9</v>
      </c>
      <c r="O37" s="100">
        <v>7743.5999999999995</v>
      </c>
      <c r="P37" s="100">
        <v>8</v>
      </c>
      <c r="Q37" s="100">
        <v>6883.2</v>
      </c>
      <c r="R37" s="100">
        <v>12</v>
      </c>
      <c r="S37" s="100">
        <v>10324.799999999999</v>
      </c>
      <c r="T37" s="100">
        <v>13</v>
      </c>
      <c r="U37" s="100">
        <v>11185.199999999999</v>
      </c>
      <c r="V37" s="100">
        <v>7</v>
      </c>
      <c r="W37" s="100">
        <v>6022.8</v>
      </c>
      <c r="X37" s="100">
        <v>14</v>
      </c>
      <c r="Y37" s="100">
        <v>12045.6</v>
      </c>
      <c r="Z37" s="100">
        <v>9</v>
      </c>
      <c r="AA37" s="100">
        <v>7743.5999999999995</v>
      </c>
      <c r="AB37" s="100">
        <v>2.9031131016949487</v>
      </c>
      <c r="AC37" s="100">
        <v>2497.8385126983339</v>
      </c>
      <c r="AD37" s="100">
        <v>9</v>
      </c>
      <c r="AE37" s="100">
        <v>7743.5999999999995</v>
      </c>
      <c r="AF37" s="100">
        <v>16</v>
      </c>
      <c r="AG37" s="100">
        <v>13766.4</v>
      </c>
      <c r="AH37" s="100">
        <v>7.300775709545114</v>
      </c>
      <c r="AI37" s="100">
        <v>6281.5874204926158</v>
      </c>
      <c r="AJ37" s="100">
        <v>3.2597547132853441E-4</v>
      </c>
      <c r="AK37" s="100">
        <v>0.28046929553107097</v>
      </c>
      <c r="AL37" s="100">
        <v>3.0208198128351093E-4</v>
      </c>
      <c r="AM37" s="100">
        <v>0.25991133669633282</v>
      </c>
      <c r="AN37" s="100">
        <v>2.9765896955293356</v>
      </c>
      <c r="AO37" s="100">
        <v>2561.0577740334402</v>
      </c>
      <c r="AP37" s="100">
        <v>11</v>
      </c>
      <c r="AQ37" s="100">
        <v>9464.4</v>
      </c>
      <c r="AR37" s="100">
        <v>9</v>
      </c>
      <c r="AS37" s="100">
        <v>7743.5999999999995</v>
      </c>
      <c r="AT37" s="100">
        <v>10</v>
      </c>
      <c r="AU37" s="100">
        <v>8604</v>
      </c>
      <c r="AV37" s="100">
        <v>8.4699972707042424</v>
      </c>
      <c r="AW37" s="100">
        <v>7287.58565171393</v>
      </c>
      <c r="AX37" s="100">
        <v>9</v>
      </c>
      <c r="AY37" s="100">
        <v>7743.5999999999995</v>
      </c>
      <c r="AZ37" s="100">
        <v>8</v>
      </c>
      <c r="BA37" s="100">
        <v>6883.2</v>
      </c>
      <c r="BB37" s="100">
        <v>4.9556183361572268</v>
      </c>
      <c r="BC37" s="100">
        <v>4263.8140164296774</v>
      </c>
      <c r="BD37" s="100">
        <v>10.676233275898079</v>
      </c>
      <c r="BE37" s="100">
        <v>9185.831110582707</v>
      </c>
      <c r="BF37" s="100">
        <v>11</v>
      </c>
      <c r="BG37" s="100">
        <v>9464.4</v>
      </c>
      <c r="BH37" s="100">
        <v>12.838923716753447</v>
      </c>
      <c r="BI37" s="100">
        <v>11046.609965894666</v>
      </c>
      <c r="BJ37" s="100">
        <v>11</v>
      </c>
      <c r="BK37" s="100">
        <v>9464.4</v>
      </c>
      <c r="BL37" s="100">
        <v>10.075320640467863</v>
      </c>
      <c r="BM37" s="100">
        <v>8668.8058790585492</v>
      </c>
      <c r="BN37" s="100">
        <v>0.36774834353621161</v>
      </c>
      <c r="BO37" s="100">
        <v>316.41067477855648</v>
      </c>
      <c r="BP37" s="100">
        <v>13</v>
      </c>
      <c r="BQ37" s="100">
        <v>11185.199999999999</v>
      </c>
      <c r="BR37" s="100">
        <v>10</v>
      </c>
      <c r="BS37" s="100">
        <v>8604</v>
      </c>
      <c r="BT37" s="100">
        <v>7.275727289170618</v>
      </c>
      <c r="BU37" s="100">
        <v>6260.0357596023996</v>
      </c>
      <c r="BV37" s="100">
        <v>0.33198761927361958</v>
      </c>
      <c r="BW37" s="100">
        <v>285.64214762302225</v>
      </c>
      <c r="BX37" s="100">
        <v>11</v>
      </c>
      <c r="BY37" s="100">
        <v>9464.4</v>
      </c>
      <c r="BZ37" s="100">
        <v>13</v>
      </c>
      <c r="CA37" s="100">
        <v>11185.199999999999</v>
      </c>
      <c r="CB37" s="100">
        <v>15</v>
      </c>
      <c r="CC37" s="100">
        <v>12906</v>
      </c>
      <c r="CD37" s="100">
        <v>10</v>
      </c>
      <c r="CE37" s="100">
        <v>8604</v>
      </c>
      <c r="CF37" s="100">
        <v>7.1636452511395738</v>
      </c>
      <c r="CG37" s="100">
        <v>6163.600374080489</v>
      </c>
      <c r="CH37" s="100">
        <v>12</v>
      </c>
      <c r="CI37" s="100">
        <v>10324.799999999999</v>
      </c>
      <c r="CJ37" s="100">
        <v>11</v>
      </c>
      <c r="CK37" s="100">
        <v>9464.4</v>
      </c>
      <c r="CL37" s="100">
        <v>8</v>
      </c>
      <c r="CM37" s="100">
        <v>6883.2</v>
      </c>
      <c r="CN37" s="100">
        <v>1.3376419815268914</v>
      </c>
      <c r="CO37" s="100">
        <v>1150.9071609057373</v>
      </c>
      <c r="CP37" s="100">
        <v>3.0869024248248822</v>
      </c>
      <c r="CQ37" s="100">
        <v>2655.9708463193288</v>
      </c>
      <c r="CR37" s="100">
        <v>12</v>
      </c>
      <c r="CS37" s="100">
        <v>10324.799999999999</v>
      </c>
      <c r="CT37" s="100">
        <v>9</v>
      </c>
      <c r="CU37" s="100">
        <v>7743.5999999999995</v>
      </c>
    </row>
    <row r="38" spans="2:99">
      <c r="C38" s="99" t="s">
        <v>204</v>
      </c>
      <c r="D38" s="100">
        <v>9</v>
      </c>
      <c r="E38" s="100">
        <v>11178</v>
      </c>
      <c r="F38" s="100">
        <v>10</v>
      </c>
      <c r="G38" s="100">
        <v>12420</v>
      </c>
      <c r="H38" s="100">
        <v>10</v>
      </c>
      <c r="I38" s="100">
        <v>12420</v>
      </c>
      <c r="J38" s="100">
        <v>6.7139299860923174</v>
      </c>
      <c r="K38" s="100">
        <v>8338.7010427266578</v>
      </c>
      <c r="L38" s="100">
        <v>8</v>
      </c>
      <c r="M38" s="100">
        <v>9936</v>
      </c>
      <c r="N38" s="100">
        <v>8</v>
      </c>
      <c r="O38" s="100">
        <v>9936</v>
      </c>
      <c r="P38" s="100">
        <v>9</v>
      </c>
      <c r="Q38" s="100">
        <v>11178</v>
      </c>
      <c r="R38" s="100">
        <v>12</v>
      </c>
      <c r="S38" s="100">
        <v>14904</v>
      </c>
      <c r="T38" s="100">
        <v>12</v>
      </c>
      <c r="U38" s="100">
        <v>14904</v>
      </c>
      <c r="V38" s="100">
        <v>7</v>
      </c>
      <c r="W38" s="100">
        <v>8694</v>
      </c>
      <c r="X38" s="100">
        <v>13</v>
      </c>
      <c r="Y38" s="100">
        <v>16146</v>
      </c>
      <c r="Z38" s="100">
        <v>10</v>
      </c>
      <c r="AA38" s="100">
        <v>12420</v>
      </c>
      <c r="AB38" s="100">
        <v>2.9031131016949487</v>
      </c>
      <c r="AC38" s="100">
        <v>3605.6664723051263</v>
      </c>
      <c r="AD38" s="100">
        <v>10</v>
      </c>
      <c r="AE38" s="100">
        <v>12420</v>
      </c>
      <c r="AF38" s="100">
        <v>15</v>
      </c>
      <c r="AG38" s="100">
        <v>18630</v>
      </c>
      <c r="AH38" s="100">
        <v>7.300775709545114</v>
      </c>
      <c r="AI38" s="100">
        <v>9067.5634312550319</v>
      </c>
      <c r="AJ38" s="100">
        <v>3.2597547132853441E-4</v>
      </c>
      <c r="AK38" s="100">
        <v>0.40486153539003972</v>
      </c>
      <c r="AL38" s="100">
        <v>3.0208198128351093E-4</v>
      </c>
      <c r="AM38" s="100">
        <v>0.3751858207541206</v>
      </c>
      <c r="AN38" s="100">
        <v>2.9765896955293356</v>
      </c>
      <c r="AO38" s="100">
        <v>3696.9244018474346</v>
      </c>
      <c r="AP38" s="100">
        <v>12</v>
      </c>
      <c r="AQ38" s="100">
        <v>14904</v>
      </c>
      <c r="AR38" s="100">
        <v>8</v>
      </c>
      <c r="AS38" s="100">
        <v>9936</v>
      </c>
      <c r="AT38" s="100">
        <v>9</v>
      </c>
      <c r="AU38" s="100">
        <v>11178</v>
      </c>
      <c r="AV38" s="100">
        <v>7.0583310589202011</v>
      </c>
      <c r="AW38" s="100">
        <v>8766.4471751788897</v>
      </c>
      <c r="AX38" s="100">
        <v>9</v>
      </c>
      <c r="AY38" s="100">
        <v>11178</v>
      </c>
      <c r="AZ38" s="100">
        <v>8</v>
      </c>
      <c r="BA38" s="100">
        <v>9936</v>
      </c>
      <c r="BB38" s="100">
        <v>5.3368197466308605</v>
      </c>
      <c r="BC38" s="100">
        <v>6628.3301253155287</v>
      </c>
      <c r="BD38" s="100">
        <v>10.676233275898079</v>
      </c>
      <c r="BE38" s="100">
        <v>13259.881728665414</v>
      </c>
      <c r="BF38" s="100">
        <v>11</v>
      </c>
      <c r="BG38" s="100">
        <v>13662</v>
      </c>
      <c r="BH38" s="100">
        <v>14.81414275010013</v>
      </c>
      <c r="BI38" s="100">
        <v>18399.16529562436</v>
      </c>
      <c r="BJ38" s="100">
        <v>10</v>
      </c>
      <c r="BK38" s="100">
        <v>12420</v>
      </c>
      <c r="BL38" s="100">
        <v>10.850345305119239</v>
      </c>
      <c r="BM38" s="100">
        <v>13476.128868958094</v>
      </c>
      <c r="BN38" s="100">
        <v>0.36774834353621161</v>
      </c>
      <c r="BO38" s="100">
        <v>456.74344267197483</v>
      </c>
      <c r="BP38" s="100">
        <v>13</v>
      </c>
      <c r="BQ38" s="100">
        <v>16146</v>
      </c>
      <c r="BR38" s="100">
        <v>10</v>
      </c>
      <c r="BS38" s="100">
        <v>12420</v>
      </c>
      <c r="BT38" s="100">
        <v>7.9371570427315818</v>
      </c>
      <c r="BU38" s="100">
        <v>9857.949047072625</v>
      </c>
      <c r="BV38" s="100">
        <v>0.40576264577886834</v>
      </c>
      <c r="BW38" s="100">
        <v>503.95720605735448</v>
      </c>
      <c r="BX38" s="100">
        <v>11</v>
      </c>
      <c r="BY38" s="100">
        <v>13662</v>
      </c>
      <c r="BZ38" s="100">
        <v>11</v>
      </c>
      <c r="CA38" s="100">
        <v>13662</v>
      </c>
      <c r="CB38" s="100">
        <v>14</v>
      </c>
      <c r="CC38" s="100">
        <v>17388</v>
      </c>
      <c r="CD38" s="100">
        <v>10</v>
      </c>
      <c r="CE38" s="100">
        <v>12420</v>
      </c>
      <c r="CF38" s="100">
        <v>7.1636452511395738</v>
      </c>
      <c r="CG38" s="100">
        <v>8897.2474019153506</v>
      </c>
      <c r="CH38" s="100">
        <v>13</v>
      </c>
      <c r="CI38" s="100">
        <v>16146</v>
      </c>
      <c r="CJ38" s="100">
        <v>12</v>
      </c>
      <c r="CK38" s="100">
        <v>14904</v>
      </c>
      <c r="CL38" s="100">
        <v>8</v>
      </c>
      <c r="CM38" s="100">
        <v>9936</v>
      </c>
      <c r="CN38" s="100">
        <v>1.2420961257035419</v>
      </c>
      <c r="CO38" s="100">
        <v>1542.683388123799</v>
      </c>
      <c r="CP38" s="100">
        <v>3.0869024248248822</v>
      </c>
      <c r="CQ38" s="100">
        <v>3833.9328116325037</v>
      </c>
      <c r="CR38" s="100">
        <v>11</v>
      </c>
      <c r="CS38" s="100">
        <v>13662</v>
      </c>
      <c r="CT38" s="100">
        <v>11</v>
      </c>
      <c r="CU38" s="100">
        <v>13662</v>
      </c>
    </row>
    <row r="39" spans="2:99">
      <c r="C39" s="99" t="s">
        <v>205</v>
      </c>
      <c r="D39" s="100">
        <v>8</v>
      </c>
      <c r="E39" s="100">
        <v>11385.6</v>
      </c>
      <c r="F39" s="100">
        <v>9</v>
      </c>
      <c r="G39" s="100">
        <v>12808.800000000001</v>
      </c>
      <c r="H39" s="100">
        <v>9</v>
      </c>
      <c r="I39" s="100">
        <v>12808.800000000001</v>
      </c>
      <c r="J39" s="100">
        <v>7.2734241516000102</v>
      </c>
      <c r="K39" s="100">
        <v>10351.537252557135</v>
      </c>
      <c r="L39" s="100">
        <v>9</v>
      </c>
      <c r="M39" s="100">
        <v>12808.800000000001</v>
      </c>
      <c r="N39" s="100">
        <v>9</v>
      </c>
      <c r="O39" s="100">
        <v>12808.800000000001</v>
      </c>
      <c r="P39" s="100">
        <v>9</v>
      </c>
      <c r="Q39" s="100">
        <v>12808.800000000001</v>
      </c>
      <c r="R39" s="100">
        <v>12</v>
      </c>
      <c r="S39" s="100">
        <v>17078.400000000001</v>
      </c>
      <c r="T39" s="100">
        <v>13</v>
      </c>
      <c r="U39" s="100">
        <v>18501.600000000002</v>
      </c>
      <c r="V39" s="100">
        <v>7</v>
      </c>
      <c r="W39" s="100">
        <v>9962.4</v>
      </c>
      <c r="X39" s="100">
        <v>15</v>
      </c>
      <c r="Y39" s="100">
        <v>21348</v>
      </c>
      <c r="Z39" s="100">
        <v>9</v>
      </c>
      <c r="AA39" s="100">
        <v>12808.800000000001</v>
      </c>
      <c r="AB39" s="100">
        <v>2.9031131016949487</v>
      </c>
      <c r="AC39" s="100">
        <v>4131.7105663322509</v>
      </c>
      <c r="AD39" s="100">
        <v>9</v>
      </c>
      <c r="AE39" s="100">
        <v>12808.800000000001</v>
      </c>
      <c r="AF39" s="100">
        <v>14</v>
      </c>
      <c r="AG39" s="100">
        <v>19924.8</v>
      </c>
      <c r="AH39" s="100">
        <v>7.300775709545114</v>
      </c>
      <c r="AI39" s="100">
        <v>10390.463989824606</v>
      </c>
      <c r="AJ39" s="100">
        <v>3.2597547132853441E-4</v>
      </c>
      <c r="AK39" s="100">
        <v>0.46392829079477022</v>
      </c>
      <c r="AL39" s="100">
        <v>3.485561322502049E-4</v>
      </c>
      <c r="AM39" s="100">
        <v>0.49606508741849165</v>
      </c>
      <c r="AN39" s="100">
        <v>2.9765896955293356</v>
      </c>
      <c r="AO39" s="100">
        <v>4236.2824546773509</v>
      </c>
      <c r="AP39" s="100">
        <v>12</v>
      </c>
      <c r="AQ39" s="100">
        <v>17078.400000000001</v>
      </c>
      <c r="AR39" s="100">
        <v>7</v>
      </c>
      <c r="AS39" s="100">
        <v>9962.4</v>
      </c>
      <c r="AT39" s="100">
        <v>10</v>
      </c>
      <c r="AU39" s="100">
        <v>14232</v>
      </c>
      <c r="AV39" s="100">
        <v>8.4699972707042424</v>
      </c>
      <c r="AW39" s="100">
        <v>12054.500115666278</v>
      </c>
      <c r="AX39" s="100">
        <v>9</v>
      </c>
      <c r="AY39" s="100">
        <v>12808.800000000001</v>
      </c>
      <c r="AZ39" s="100">
        <v>8</v>
      </c>
      <c r="BA39" s="100">
        <v>11385.6</v>
      </c>
      <c r="BB39" s="100">
        <v>4.574416925683594</v>
      </c>
      <c r="BC39" s="100">
        <v>6510.310168632891</v>
      </c>
      <c r="BD39" s="100">
        <v>10.676233275898079</v>
      </c>
      <c r="BE39" s="100">
        <v>15194.415198258146</v>
      </c>
      <c r="BF39" s="100">
        <v>11</v>
      </c>
      <c r="BG39" s="100">
        <v>15655.2</v>
      </c>
      <c r="BH39" s="100">
        <v>12.838923716753447</v>
      </c>
      <c r="BI39" s="100">
        <v>18272.356233683506</v>
      </c>
      <c r="BJ39" s="100">
        <v>10</v>
      </c>
      <c r="BK39" s="100">
        <v>14232</v>
      </c>
      <c r="BL39" s="100">
        <v>10.850345305119239</v>
      </c>
      <c r="BM39" s="100">
        <v>15442.211438245702</v>
      </c>
      <c r="BN39" s="100">
        <v>0.36774834353621161</v>
      </c>
      <c r="BO39" s="100">
        <v>523.37944252073635</v>
      </c>
      <c r="BP39" s="100">
        <v>13</v>
      </c>
      <c r="BQ39" s="100">
        <v>18501.600000000002</v>
      </c>
      <c r="BR39" s="100">
        <v>9</v>
      </c>
      <c r="BS39" s="100">
        <v>12808.800000000001</v>
      </c>
      <c r="BT39" s="100">
        <v>8.5985867962925475</v>
      </c>
      <c r="BU39" s="100">
        <v>12237.508728483554</v>
      </c>
      <c r="BV39" s="100">
        <v>0.33198761927361958</v>
      </c>
      <c r="BW39" s="100">
        <v>472.48477975021541</v>
      </c>
      <c r="BX39" s="100">
        <v>10</v>
      </c>
      <c r="BY39" s="100">
        <v>14232</v>
      </c>
      <c r="BZ39" s="100">
        <v>11</v>
      </c>
      <c r="CA39" s="100">
        <v>15655.2</v>
      </c>
      <c r="CB39" s="100">
        <v>13</v>
      </c>
      <c r="CC39" s="100">
        <v>18501.600000000002</v>
      </c>
      <c r="CD39" s="100">
        <v>10</v>
      </c>
      <c r="CE39" s="100">
        <v>14232</v>
      </c>
      <c r="CF39" s="100">
        <v>7.1636452511395738</v>
      </c>
      <c r="CG39" s="100">
        <v>10195.299921421842</v>
      </c>
      <c r="CH39" s="100">
        <v>12</v>
      </c>
      <c r="CI39" s="100">
        <v>17078.400000000001</v>
      </c>
      <c r="CJ39" s="100">
        <v>11</v>
      </c>
      <c r="CK39" s="100">
        <v>15655.2</v>
      </c>
      <c r="CL39" s="100">
        <v>8</v>
      </c>
      <c r="CM39" s="100">
        <v>11385.6</v>
      </c>
      <c r="CN39" s="100">
        <v>1.3376419815268914</v>
      </c>
      <c r="CO39" s="100">
        <v>1903.7320681090719</v>
      </c>
      <c r="CP39" s="100">
        <v>3.0869024248248822</v>
      </c>
      <c r="CQ39" s="100">
        <v>4393.2795310107722</v>
      </c>
      <c r="CR39" s="100">
        <v>11</v>
      </c>
      <c r="CS39" s="100">
        <v>15655.2</v>
      </c>
      <c r="CT39" s="100">
        <v>11</v>
      </c>
      <c r="CU39" s="100">
        <v>15655.2</v>
      </c>
    </row>
    <row r="40" spans="2:99">
      <c r="C40" s="99" t="s">
        <v>206</v>
      </c>
      <c r="D40" s="100">
        <v>7</v>
      </c>
      <c r="E40" s="100">
        <v>5073.5999999999995</v>
      </c>
      <c r="F40" s="100">
        <v>11</v>
      </c>
      <c r="G40" s="100">
        <v>7972.7999999999993</v>
      </c>
      <c r="H40" s="100">
        <v>10</v>
      </c>
      <c r="I40" s="100">
        <v>7248</v>
      </c>
      <c r="J40" s="100">
        <v>7.832918317107703</v>
      </c>
      <c r="K40" s="100">
        <v>5677.2991962396627</v>
      </c>
      <c r="L40" s="100">
        <v>10</v>
      </c>
      <c r="M40" s="100">
        <v>7248</v>
      </c>
      <c r="N40" s="100">
        <v>9</v>
      </c>
      <c r="O40" s="100">
        <v>6523.2</v>
      </c>
      <c r="P40" s="100">
        <v>9</v>
      </c>
      <c r="Q40" s="100">
        <v>6523.2</v>
      </c>
      <c r="R40" s="100">
        <v>13</v>
      </c>
      <c r="S40" s="100">
        <v>9422.4</v>
      </c>
      <c r="T40" s="100">
        <v>13</v>
      </c>
      <c r="U40" s="100">
        <v>9422.4</v>
      </c>
      <c r="V40" s="100">
        <v>8</v>
      </c>
      <c r="W40" s="100">
        <v>5798.4</v>
      </c>
      <c r="X40" s="100">
        <v>14</v>
      </c>
      <c r="Y40" s="100">
        <v>10147.199999999999</v>
      </c>
      <c r="Z40" s="100">
        <v>10</v>
      </c>
      <c r="AA40" s="100">
        <v>7248</v>
      </c>
      <c r="AB40" s="100">
        <v>3.2660022394068173</v>
      </c>
      <c r="AC40" s="100">
        <v>2367.1984231220608</v>
      </c>
      <c r="AD40" s="100">
        <v>10</v>
      </c>
      <c r="AE40" s="100">
        <v>7248</v>
      </c>
      <c r="AF40" s="100">
        <v>14</v>
      </c>
      <c r="AG40" s="100">
        <v>10147.199999999999</v>
      </c>
      <c r="AH40" s="100">
        <v>7.300775709545114</v>
      </c>
      <c r="AI40" s="100">
        <v>5291.6022342782981</v>
      </c>
      <c r="AJ40" s="100">
        <v>3.2597547132853441E-4</v>
      </c>
      <c r="AK40" s="100">
        <v>0.23626702161892171</v>
      </c>
      <c r="AL40" s="100">
        <v>3.2531905676685789E-4</v>
      </c>
      <c r="AM40" s="100">
        <v>0.23579125234461859</v>
      </c>
      <c r="AN40" s="100">
        <v>3.4726879781175586</v>
      </c>
      <c r="AO40" s="100">
        <v>2517.0042465396064</v>
      </c>
      <c r="AP40" s="100">
        <v>12</v>
      </c>
      <c r="AQ40" s="100">
        <v>8697.5999999999985</v>
      </c>
      <c r="AR40" s="100">
        <v>8</v>
      </c>
      <c r="AS40" s="100">
        <v>5798.4</v>
      </c>
      <c r="AT40" s="100">
        <v>9</v>
      </c>
      <c r="AU40" s="100">
        <v>6523.2</v>
      </c>
      <c r="AV40" s="100">
        <v>8.4699972707042424</v>
      </c>
      <c r="AW40" s="100">
        <v>6139.0540218064343</v>
      </c>
      <c r="AX40" s="100">
        <v>8</v>
      </c>
      <c r="AY40" s="100">
        <v>5798.4</v>
      </c>
      <c r="AZ40" s="100">
        <v>8</v>
      </c>
      <c r="BA40" s="100">
        <v>5798.4</v>
      </c>
      <c r="BB40" s="100">
        <v>5.3368197466308605</v>
      </c>
      <c r="BC40" s="100">
        <v>3868.1269523580472</v>
      </c>
      <c r="BD40" s="100">
        <v>11.64679993734336</v>
      </c>
      <c r="BE40" s="100">
        <v>8441.6005945864672</v>
      </c>
      <c r="BF40" s="100">
        <v>11</v>
      </c>
      <c r="BG40" s="100">
        <v>7972.7999999999993</v>
      </c>
      <c r="BH40" s="100">
        <v>14.81414275010013</v>
      </c>
      <c r="BI40" s="100">
        <v>10737.290665272574</v>
      </c>
      <c r="BJ40" s="100">
        <v>10</v>
      </c>
      <c r="BK40" s="100">
        <v>7248</v>
      </c>
      <c r="BL40" s="100">
        <v>10.075320640467863</v>
      </c>
      <c r="BM40" s="100">
        <v>7302.5924002111069</v>
      </c>
      <c r="BN40" s="100">
        <v>0.36774834353621161</v>
      </c>
      <c r="BO40" s="100">
        <v>266.54399939504617</v>
      </c>
      <c r="BP40" s="100">
        <v>13</v>
      </c>
      <c r="BQ40" s="100">
        <v>9422.4</v>
      </c>
      <c r="BR40" s="100">
        <v>10</v>
      </c>
      <c r="BS40" s="100">
        <v>7248</v>
      </c>
      <c r="BT40" s="100">
        <v>7.9371570427315818</v>
      </c>
      <c r="BU40" s="100">
        <v>5752.8514245718497</v>
      </c>
      <c r="BV40" s="100">
        <v>0.33198761927361958</v>
      </c>
      <c r="BW40" s="100">
        <v>240.62462644951947</v>
      </c>
      <c r="BX40" s="100">
        <v>11</v>
      </c>
      <c r="BY40" s="100">
        <v>7972.7999999999993</v>
      </c>
      <c r="BZ40" s="100">
        <v>11</v>
      </c>
      <c r="CA40" s="100">
        <v>7972.7999999999993</v>
      </c>
      <c r="CB40" s="100">
        <v>13</v>
      </c>
      <c r="CC40" s="100">
        <v>9422.4</v>
      </c>
      <c r="CD40" s="100">
        <v>11</v>
      </c>
      <c r="CE40" s="100">
        <v>7972.7999999999993</v>
      </c>
      <c r="CF40" s="100">
        <v>6.4472807260256166</v>
      </c>
      <c r="CG40" s="100">
        <v>4672.989070223367</v>
      </c>
      <c r="CH40" s="100">
        <v>12</v>
      </c>
      <c r="CI40" s="100">
        <v>8697.5999999999985</v>
      </c>
      <c r="CJ40" s="100">
        <v>11</v>
      </c>
      <c r="CK40" s="100">
        <v>7972.7999999999993</v>
      </c>
      <c r="CL40" s="100">
        <v>8</v>
      </c>
      <c r="CM40" s="100">
        <v>5798.4</v>
      </c>
      <c r="CN40" s="100">
        <v>1.2420961257035419</v>
      </c>
      <c r="CO40" s="100">
        <v>900.27127190992712</v>
      </c>
      <c r="CP40" s="100">
        <v>2.8296605560894754</v>
      </c>
      <c r="CQ40" s="100">
        <v>2050.9379710536518</v>
      </c>
      <c r="CR40" s="100">
        <v>12</v>
      </c>
      <c r="CS40" s="100">
        <v>8697.5999999999985</v>
      </c>
      <c r="CT40" s="100">
        <v>10</v>
      </c>
      <c r="CU40" s="100">
        <v>7248</v>
      </c>
    </row>
    <row r="41" spans="2:99">
      <c r="C41" s="99" t="s">
        <v>207</v>
      </c>
      <c r="D41" s="100">
        <v>9</v>
      </c>
      <c r="E41" s="100">
        <v>5940</v>
      </c>
      <c r="F41" s="100">
        <v>10</v>
      </c>
      <c r="G41" s="100">
        <v>6600</v>
      </c>
      <c r="H41" s="100">
        <v>10</v>
      </c>
      <c r="I41" s="100">
        <v>6600</v>
      </c>
      <c r="J41" s="100">
        <v>7.2734241516000102</v>
      </c>
      <c r="K41" s="100">
        <v>4800.4599400560064</v>
      </c>
      <c r="L41" s="100">
        <v>10</v>
      </c>
      <c r="M41" s="100">
        <v>6600</v>
      </c>
      <c r="N41" s="100">
        <v>9</v>
      </c>
      <c r="O41" s="100">
        <v>5940</v>
      </c>
      <c r="P41" s="100">
        <v>10</v>
      </c>
      <c r="Q41" s="100">
        <v>6600</v>
      </c>
      <c r="R41" s="100">
        <v>13</v>
      </c>
      <c r="S41" s="100">
        <v>8580</v>
      </c>
      <c r="T41" s="100">
        <v>12</v>
      </c>
      <c r="U41" s="100">
        <v>7920</v>
      </c>
      <c r="V41" s="100">
        <v>7</v>
      </c>
      <c r="W41" s="100">
        <v>4620</v>
      </c>
      <c r="X41" s="100">
        <v>15</v>
      </c>
      <c r="Y41" s="100">
        <v>9900</v>
      </c>
      <c r="Z41" s="100">
        <v>11</v>
      </c>
      <c r="AA41" s="100">
        <v>7260</v>
      </c>
      <c r="AB41" s="100">
        <v>3.2660022394068173</v>
      </c>
      <c r="AC41" s="100">
        <v>2155.5614780084993</v>
      </c>
      <c r="AD41" s="100">
        <v>9</v>
      </c>
      <c r="AE41" s="100">
        <v>5940</v>
      </c>
      <c r="AF41" s="100">
        <v>16</v>
      </c>
      <c r="AG41" s="100">
        <v>10560</v>
      </c>
      <c r="AH41" s="100">
        <v>8.2133726732382542</v>
      </c>
      <c r="AI41" s="100">
        <v>5420.8259643372476</v>
      </c>
      <c r="AJ41" s="100">
        <v>2.7582539881645219E-4</v>
      </c>
      <c r="AK41" s="100">
        <v>0.18204476321885846</v>
      </c>
      <c r="AL41" s="100">
        <v>3.0208198128351093E-4</v>
      </c>
      <c r="AM41" s="100">
        <v>0.19937410764711722</v>
      </c>
      <c r="AN41" s="100">
        <v>2.9765896955293356</v>
      </c>
      <c r="AO41" s="100">
        <v>1964.5491990493615</v>
      </c>
      <c r="AP41" s="100">
        <v>11</v>
      </c>
      <c r="AQ41" s="100">
        <v>7260</v>
      </c>
      <c r="AR41" s="100">
        <v>9</v>
      </c>
      <c r="AS41" s="100">
        <v>5940</v>
      </c>
      <c r="AT41" s="100">
        <v>10</v>
      </c>
      <c r="AU41" s="100">
        <v>6600</v>
      </c>
      <c r="AV41" s="100">
        <v>9.1758303765962612</v>
      </c>
      <c r="AW41" s="100">
        <v>6056.0480485535327</v>
      </c>
      <c r="AX41" s="100">
        <v>9</v>
      </c>
      <c r="AY41" s="100">
        <v>5940</v>
      </c>
      <c r="AZ41" s="100">
        <v>8</v>
      </c>
      <c r="BA41" s="100">
        <v>5280</v>
      </c>
      <c r="BB41" s="100">
        <v>4.574416925683594</v>
      </c>
      <c r="BC41" s="100">
        <v>3019.1151709511719</v>
      </c>
      <c r="BD41" s="100">
        <v>10.676233275898079</v>
      </c>
      <c r="BE41" s="100">
        <v>7046.3139620927323</v>
      </c>
      <c r="BF41" s="100">
        <v>11</v>
      </c>
      <c r="BG41" s="100">
        <v>7260</v>
      </c>
      <c r="BH41" s="100">
        <v>13.826533233426789</v>
      </c>
      <c r="BI41" s="100">
        <v>9125.5119340616802</v>
      </c>
      <c r="BJ41" s="100">
        <v>11</v>
      </c>
      <c r="BK41" s="100">
        <v>7260</v>
      </c>
      <c r="BL41" s="100">
        <v>10.075320640467863</v>
      </c>
      <c r="BM41" s="100">
        <v>6649.7116227087899</v>
      </c>
      <c r="BN41" s="100">
        <v>0.32688741647663255</v>
      </c>
      <c r="BO41" s="100">
        <v>215.74569487457748</v>
      </c>
      <c r="BP41" s="100">
        <v>12</v>
      </c>
      <c r="BQ41" s="100">
        <v>7920</v>
      </c>
      <c r="BR41" s="100">
        <v>11</v>
      </c>
      <c r="BS41" s="100">
        <v>7260</v>
      </c>
      <c r="BT41" s="100">
        <v>7.9371570427315818</v>
      </c>
      <c r="BU41" s="100">
        <v>5238.523648202844</v>
      </c>
      <c r="BV41" s="100">
        <v>0.40576264577886834</v>
      </c>
      <c r="BW41" s="100">
        <v>267.80334621405308</v>
      </c>
      <c r="BX41" s="100">
        <v>10</v>
      </c>
      <c r="BY41" s="100">
        <v>6600</v>
      </c>
      <c r="BZ41" s="100">
        <v>12</v>
      </c>
      <c r="CA41" s="100">
        <v>7920</v>
      </c>
      <c r="CB41" s="100">
        <v>14</v>
      </c>
      <c r="CC41" s="100">
        <v>9240</v>
      </c>
      <c r="CD41" s="100">
        <v>10</v>
      </c>
      <c r="CE41" s="100">
        <v>6600</v>
      </c>
      <c r="CF41" s="100">
        <v>7.1636452511395738</v>
      </c>
      <c r="CG41" s="100">
        <v>4728.0058657521186</v>
      </c>
      <c r="CH41" s="100">
        <v>13</v>
      </c>
      <c r="CI41" s="100">
        <v>8580</v>
      </c>
      <c r="CJ41" s="100">
        <v>11</v>
      </c>
      <c r="CK41" s="100">
        <v>7260</v>
      </c>
      <c r="CL41" s="100">
        <v>8</v>
      </c>
      <c r="CM41" s="100">
        <v>5280</v>
      </c>
      <c r="CN41" s="100">
        <v>1.2420961257035419</v>
      </c>
      <c r="CO41" s="100">
        <v>819.78344296433761</v>
      </c>
      <c r="CP41" s="100">
        <v>2.8296605560894754</v>
      </c>
      <c r="CQ41" s="100">
        <v>1867.5759670190537</v>
      </c>
      <c r="CR41" s="100">
        <v>13</v>
      </c>
      <c r="CS41" s="100">
        <v>8580</v>
      </c>
      <c r="CT41" s="100">
        <v>11</v>
      </c>
      <c r="CU41" s="100">
        <v>7260</v>
      </c>
    </row>
    <row r="42" spans="2:99">
      <c r="C42" s="99" t="s">
        <v>208</v>
      </c>
      <c r="D42" s="100">
        <v>9</v>
      </c>
      <c r="E42" s="100">
        <v>7614</v>
      </c>
      <c r="F42" s="100">
        <v>11</v>
      </c>
      <c r="G42" s="100">
        <v>9306</v>
      </c>
      <c r="H42" s="100">
        <v>10</v>
      </c>
      <c r="I42" s="100">
        <v>8460</v>
      </c>
      <c r="J42" s="100">
        <v>7.2734241516000102</v>
      </c>
      <c r="K42" s="100">
        <v>6153.3168322536085</v>
      </c>
      <c r="L42" s="100">
        <v>9</v>
      </c>
      <c r="M42" s="100">
        <v>7614</v>
      </c>
      <c r="N42" s="100">
        <v>9</v>
      </c>
      <c r="O42" s="100">
        <v>7614</v>
      </c>
      <c r="P42" s="100">
        <v>10</v>
      </c>
      <c r="Q42" s="100">
        <v>8460</v>
      </c>
      <c r="R42" s="100">
        <v>14</v>
      </c>
      <c r="S42" s="100">
        <v>11844</v>
      </c>
      <c r="T42" s="100">
        <v>13</v>
      </c>
      <c r="U42" s="100">
        <v>10998</v>
      </c>
      <c r="V42" s="100">
        <v>8</v>
      </c>
      <c r="W42" s="100">
        <v>6768</v>
      </c>
      <c r="X42" s="100">
        <v>14</v>
      </c>
      <c r="Y42" s="100">
        <v>11844</v>
      </c>
      <c r="Z42" s="100">
        <v>11</v>
      </c>
      <c r="AA42" s="100">
        <v>9306</v>
      </c>
      <c r="AB42" s="100">
        <v>3.2660022394068173</v>
      </c>
      <c r="AC42" s="100">
        <v>2763.0378945381676</v>
      </c>
      <c r="AD42" s="100">
        <v>9</v>
      </c>
      <c r="AE42" s="100">
        <v>7614</v>
      </c>
      <c r="AF42" s="100">
        <v>14</v>
      </c>
      <c r="AG42" s="100">
        <v>11844</v>
      </c>
      <c r="AH42" s="100">
        <v>7.300775709545114</v>
      </c>
      <c r="AI42" s="100">
        <v>6176.4562502751669</v>
      </c>
      <c r="AJ42" s="100">
        <v>3.0090043507249327E-4</v>
      </c>
      <c r="AK42" s="100">
        <v>0.2545617680713293</v>
      </c>
      <c r="AL42" s="100">
        <v>3.485561322502049E-4</v>
      </c>
      <c r="AM42" s="100">
        <v>0.29487848788367332</v>
      </c>
      <c r="AN42" s="100">
        <v>3.2246388368234471</v>
      </c>
      <c r="AO42" s="100">
        <v>2728.0444559526363</v>
      </c>
      <c r="AP42" s="100">
        <v>11</v>
      </c>
      <c r="AQ42" s="100">
        <v>9306</v>
      </c>
      <c r="AR42" s="100">
        <v>9</v>
      </c>
      <c r="AS42" s="100">
        <v>7614</v>
      </c>
      <c r="AT42" s="100">
        <v>10</v>
      </c>
      <c r="AU42" s="100">
        <v>8460</v>
      </c>
      <c r="AV42" s="100">
        <v>7.7641641648122217</v>
      </c>
      <c r="AW42" s="100">
        <v>6568.4828834311393</v>
      </c>
      <c r="AX42" s="100">
        <v>9</v>
      </c>
      <c r="AY42" s="100">
        <v>7614</v>
      </c>
      <c r="AZ42" s="100">
        <v>9</v>
      </c>
      <c r="BA42" s="100">
        <v>7614</v>
      </c>
      <c r="BB42" s="100">
        <v>4.9556183361572268</v>
      </c>
      <c r="BC42" s="100">
        <v>4192.4531123890138</v>
      </c>
      <c r="BD42" s="100">
        <v>9.7056666144528005</v>
      </c>
      <c r="BE42" s="100">
        <v>8210.9939558270689</v>
      </c>
      <c r="BF42" s="100">
        <v>11</v>
      </c>
      <c r="BG42" s="100">
        <v>9306</v>
      </c>
      <c r="BH42" s="100">
        <v>13.826533233426789</v>
      </c>
      <c r="BI42" s="100">
        <v>11697.247115479064</v>
      </c>
      <c r="BJ42" s="100">
        <v>10</v>
      </c>
      <c r="BK42" s="100">
        <v>8460</v>
      </c>
      <c r="BL42" s="100">
        <v>10.075320640467863</v>
      </c>
      <c r="BM42" s="100">
        <v>8523.7212618358117</v>
      </c>
      <c r="BN42" s="100">
        <v>0.40860927059579072</v>
      </c>
      <c r="BO42" s="100">
        <v>345.68344292403896</v>
      </c>
      <c r="BP42" s="100">
        <v>13</v>
      </c>
      <c r="BQ42" s="100">
        <v>10998</v>
      </c>
      <c r="BR42" s="100">
        <v>10</v>
      </c>
      <c r="BS42" s="100">
        <v>8460</v>
      </c>
      <c r="BT42" s="100">
        <v>8.5985867962925475</v>
      </c>
      <c r="BU42" s="100">
        <v>7274.4044296634956</v>
      </c>
      <c r="BV42" s="100">
        <v>0.33198761927361958</v>
      </c>
      <c r="BW42" s="100">
        <v>280.86152590548215</v>
      </c>
      <c r="BX42" s="100">
        <v>11</v>
      </c>
      <c r="BY42" s="100">
        <v>9306</v>
      </c>
      <c r="BZ42" s="100">
        <v>12</v>
      </c>
      <c r="CA42" s="100">
        <v>10152</v>
      </c>
      <c r="CB42" s="100">
        <v>14</v>
      </c>
      <c r="CC42" s="100">
        <v>11844</v>
      </c>
      <c r="CD42" s="100">
        <v>11</v>
      </c>
      <c r="CE42" s="100">
        <v>9306</v>
      </c>
      <c r="CF42" s="100">
        <v>6.4472807260256166</v>
      </c>
      <c r="CG42" s="100">
        <v>5454.3994942176714</v>
      </c>
      <c r="CH42" s="100">
        <v>12</v>
      </c>
      <c r="CI42" s="100">
        <v>10152</v>
      </c>
      <c r="CJ42" s="100">
        <v>10</v>
      </c>
      <c r="CK42" s="100">
        <v>8460</v>
      </c>
      <c r="CL42" s="100">
        <v>9</v>
      </c>
      <c r="CM42" s="100">
        <v>7614</v>
      </c>
      <c r="CN42" s="100">
        <v>1.2420961257035419</v>
      </c>
      <c r="CO42" s="100">
        <v>1050.8133223451964</v>
      </c>
      <c r="CP42" s="100">
        <v>2.8296605560894754</v>
      </c>
      <c r="CQ42" s="100">
        <v>2393.8928304516962</v>
      </c>
      <c r="CR42" s="100">
        <v>11</v>
      </c>
      <c r="CS42" s="100">
        <v>9306</v>
      </c>
      <c r="CT42" s="100">
        <v>11</v>
      </c>
      <c r="CU42" s="100">
        <v>9306</v>
      </c>
    </row>
    <row r="43" spans="2:99">
      <c r="C43" s="99" t="s">
        <v>209</v>
      </c>
      <c r="D43" s="100">
        <v>7</v>
      </c>
      <c r="E43" s="100">
        <v>7156.8</v>
      </c>
      <c r="F43" s="100">
        <v>11</v>
      </c>
      <c r="G43" s="100">
        <v>11246.4</v>
      </c>
      <c r="H43" s="100">
        <v>10</v>
      </c>
      <c r="I43" s="100">
        <v>10224</v>
      </c>
      <c r="J43" s="100">
        <v>7.2734241516000102</v>
      </c>
      <c r="K43" s="100">
        <v>7436.3488525958501</v>
      </c>
      <c r="L43" s="100">
        <v>10</v>
      </c>
      <c r="M43" s="100">
        <v>10224</v>
      </c>
      <c r="N43" s="100">
        <v>9</v>
      </c>
      <c r="O43" s="100">
        <v>9201.6</v>
      </c>
      <c r="P43" s="100">
        <v>9</v>
      </c>
      <c r="Q43" s="100">
        <v>9201.6</v>
      </c>
      <c r="R43" s="100">
        <v>14</v>
      </c>
      <c r="S43" s="100">
        <v>14313.6</v>
      </c>
      <c r="T43" s="100">
        <v>11</v>
      </c>
      <c r="U43" s="100">
        <v>11246.4</v>
      </c>
      <c r="V43" s="100">
        <v>7</v>
      </c>
      <c r="W43" s="100">
        <v>7156.8</v>
      </c>
      <c r="X43" s="100">
        <v>14</v>
      </c>
      <c r="Y43" s="100">
        <v>14313.6</v>
      </c>
      <c r="Z43" s="100">
        <v>10</v>
      </c>
      <c r="AA43" s="100">
        <v>10224</v>
      </c>
      <c r="AB43" s="100">
        <v>2.9031131016949487</v>
      </c>
      <c r="AC43" s="100">
        <v>2968.1428351729155</v>
      </c>
      <c r="AD43" s="100">
        <v>8</v>
      </c>
      <c r="AE43" s="100">
        <v>8179.2</v>
      </c>
      <c r="AF43" s="100">
        <v>13</v>
      </c>
      <c r="AG43" s="100">
        <v>13291.199999999999</v>
      </c>
      <c r="AH43" s="100">
        <v>8.2133726732382542</v>
      </c>
      <c r="AI43" s="100">
        <v>8397.3522211187901</v>
      </c>
      <c r="AJ43" s="100">
        <v>3.2597547132853441E-4</v>
      </c>
      <c r="AK43" s="100">
        <v>0.33327732188629355</v>
      </c>
      <c r="AL43" s="100">
        <v>3.0208198128351093E-4</v>
      </c>
      <c r="AM43" s="100">
        <v>0.30884861766426158</v>
      </c>
      <c r="AN43" s="100">
        <v>3.2246388368234471</v>
      </c>
      <c r="AO43" s="100">
        <v>3296.8707467682921</v>
      </c>
      <c r="AP43" s="100">
        <v>12</v>
      </c>
      <c r="AQ43" s="100">
        <v>12268.8</v>
      </c>
      <c r="AR43" s="100">
        <v>9</v>
      </c>
      <c r="AS43" s="100">
        <v>9201.6</v>
      </c>
      <c r="AT43" s="100">
        <v>9</v>
      </c>
      <c r="AU43" s="100">
        <v>9201.6</v>
      </c>
      <c r="AV43" s="100">
        <v>8.4699972707042424</v>
      </c>
      <c r="AW43" s="100">
        <v>8659.7252095680178</v>
      </c>
      <c r="AX43" s="100">
        <v>9</v>
      </c>
      <c r="AY43" s="100">
        <v>9201.6</v>
      </c>
      <c r="AZ43" s="100">
        <v>8</v>
      </c>
      <c r="BA43" s="100">
        <v>8179.2</v>
      </c>
      <c r="BB43" s="100">
        <v>5.7180211571044923</v>
      </c>
      <c r="BC43" s="100">
        <v>5846.1048310236329</v>
      </c>
      <c r="BD43" s="100">
        <v>10.676233275898079</v>
      </c>
      <c r="BE43" s="100">
        <v>10915.380901278197</v>
      </c>
      <c r="BF43" s="100">
        <v>11</v>
      </c>
      <c r="BG43" s="100">
        <v>11246.4</v>
      </c>
      <c r="BH43" s="100">
        <v>13.826533233426789</v>
      </c>
      <c r="BI43" s="100">
        <v>14136.247577855549</v>
      </c>
      <c r="BJ43" s="100">
        <v>9</v>
      </c>
      <c r="BK43" s="100">
        <v>9201.6</v>
      </c>
      <c r="BL43" s="100">
        <v>9.3002959758164891</v>
      </c>
      <c r="BM43" s="100">
        <v>9508.6226056747782</v>
      </c>
      <c r="BN43" s="100">
        <v>0.36774834353621161</v>
      </c>
      <c r="BO43" s="100">
        <v>375.98590643142273</v>
      </c>
      <c r="BP43" s="100">
        <v>13</v>
      </c>
      <c r="BQ43" s="100">
        <v>13291.199999999999</v>
      </c>
      <c r="BR43" s="100">
        <v>11</v>
      </c>
      <c r="BS43" s="100">
        <v>11246.4</v>
      </c>
      <c r="BT43" s="100">
        <v>7.275727289170618</v>
      </c>
      <c r="BU43" s="100">
        <v>7438.7035804480392</v>
      </c>
      <c r="BV43" s="100">
        <v>0.36887513252624399</v>
      </c>
      <c r="BW43" s="100">
        <v>377.13793549483182</v>
      </c>
      <c r="BX43" s="100">
        <v>10</v>
      </c>
      <c r="BY43" s="100">
        <v>10224</v>
      </c>
      <c r="BZ43" s="100">
        <v>13</v>
      </c>
      <c r="CA43" s="100">
        <v>13291.199999999999</v>
      </c>
      <c r="CB43" s="100">
        <v>14</v>
      </c>
      <c r="CC43" s="100">
        <v>14313.6</v>
      </c>
      <c r="CD43" s="100">
        <v>10</v>
      </c>
      <c r="CE43" s="100">
        <v>10224</v>
      </c>
      <c r="CF43" s="100">
        <v>7.1636452511395738</v>
      </c>
      <c r="CG43" s="100">
        <v>7324.1109047650998</v>
      </c>
      <c r="CH43" s="100">
        <v>11</v>
      </c>
      <c r="CI43" s="100">
        <v>11246.4</v>
      </c>
      <c r="CJ43" s="100">
        <v>13</v>
      </c>
      <c r="CK43" s="100">
        <v>13291.199999999999</v>
      </c>
      <c r="CL43" s="100">
        <v>8</v>
      </c>
      <c r="CM43" s="100">
        <v>8179.2</v>
      </c>
      <c r="CN43" s="100">
        <v>1.3376419815268914</v>
      </c>
      <c r="CO43" s="100">
        <v>1367.6051619130938</v>
      </c>
      <c r="CP43" s="100">
        <v>3.0869024248248822</v>
      </c>
      <c r="CQ43" s="100">
        <v>3156.0490391409594</v>
      </c>
      <c r="CR43" s="100">
        <v>12</v>
      </c>
      <c r="CS43" s="100">
        <v>12268.8</v>
      </c>
      <c r="CT43" s="100">
        <v>11</v>
      </c>
      <c r="CU43" s="100">
        <v>11246.4</v>
      </c>
    </row>
    <row r="44" spans="2:99">
      <c r="C44" s="99" t="s">
        <v>210</v>
      </c>
      <c r="D44" s="100">
        <v>8</v>
      </c>
      <c r="E44" s="100">
        <v>8179.2</v>
      </c>
      <c r="F44" s="100">
        <v>10</v>
      </c>
      <c r="G44" s="100">
        <v>10224</v>
      </c>
      <c r="H44" s="100">
        <v>9</v>
      </c>
      <c r="I44" s="100">
        <v>9201.6</v>
      </c>
      <c r="J44" s="100">
        <v>7.832918317107703</v>
      </c>
      <c r="K44" s="100">
        <v>8008.3756874109158</v>
      </c>
      <c r="L44" s="100">
        <v>9</v>
      </c>
      <c r="M44" s="100">
        <v>9201.6</v>
      </c>
      <c r="N44" s="100">
        <v>9</v>
      </c>
      <c r="O44" s="100">
        <v>9201.6</v>
      </c>
      <c r="P44" s="100">
        <v>9</v>
      </c>
      <c r="Q44" s="100">
        <v>9201.6</v>
      </c>
      <c r="R44" s="100">
        <v>14</v>
      </c>
      <c r="S44" s="100">
        <v>14313.6</v>
      </c>
      <c r="T44" s="100">
        <v>12</v>
      </c>
      <c r="U44" s="100">
        <v>12268.8</v>
      </c>
      <c r="V44" s="100">
        <v>7</v>
      </c>
      <c r="W44" s="100">
        <v>7156.8</v>
      </c>
      <c r="X44" s="100">
        <v>14</v>
      </c>
      <c r="Y44" s="100">
        <v>14313.6</v>
      </c>
      <c r="Z44" s="100">
        <v>10</v>
      </c>
      <c r="AA44" s="100">
        <v>10224</v>
      </c>
      <c r="AB44" s="100">
        <v>2.9031131016949487</v>
      </c>
      <c r="AC44" s="100">
        <v>2968.1428351729155</v>
      </c>
      <c r="AD44" s="100">
        <v>9</v>
      </c>
      <c r="AE44" s="100">
        <v>9201.6</v>
      </c>
      <c r="AF44" s="100">
        <v>15</v>
      </c>
      <c r="AG44" s="100">
        <v>15336</v>
      </c>
      <c r="AH44" s="100">
        <v>8.2133726732382542</v>
      </c>
      <c r="AI44" s="100">
        <v>8397.3522211187901</v>
      </c>
      <c r="AJ44" s="100">
        <v>3.2597547132853441E-4</v>
      </c>
      <c r="AK44" s="100">
        <v>0.33327732188629355</v>
      </c>
      <c r="AL44" s="100">
        <v>3.2531905676685789E-4</v>
      </c>
      <c r="AM44" s="100">
        <v>0.33260620363843552</v>
      </c>
      <c r="AN44" s="100">
        <v>3.2246388368234471</v>
      </c>
      <c r="AO44" s="100">
        <v>3296.8707467682921</v>
      </c>
      <c r="AP44" s="100">
        <v>11</v>
      </c>
      <c r="AQ44" s="100">
        <v>11246.4</v>
      </c>
      <c r="AR44" s="100">
        <v>9</v>
      </c>
      <c r="AS44" s="100">
        <v>9201.6</v>
      </c>
      <c r="AT44" s="100">
        <v>9</v>
      </c>
      <c r="AU44" s="100">
        <v>9201.6</v>
      </c>
      <c r="AV44" s="100">
        <v>8.4699972707042424</v>
      </c>
      <c r="AW44" s="100">
        <v>8659.7252095680178</v>
      </c>
      <c r="AX44" s="100">
        <v>8</v>
      </c>
      <c r="AY44" s="100">
        <v>8179.2</v>
      </c>
      <c r="AZ44" s="100">
        <v>8</v>
      </c>
      <c r="BA44" s="100">
        <v>8179.2</v>
      </c>
      <c r="BB44" s="100">
        <v>5.3368197466308605</v>
      </c>
      <c r="BC44" s="100">
        <v>5456.364508955392</v>
      </c>
      <c r="BD44" s="100">
        <v>10.676233275898079</v>
      </c>
      <c r="BE44" s="100">
        <v>10915.380901278197</v>
      </c>
      <c r="BF44" s="100">
        <v>11</v>
      </c>
      <c r="BG44" s="100">
        <v>11246.4</v>
      </c>
      <c r="BH44" s="100">
        <v>12.838923716753447</v>
      </c>
      <c r="BI44" s="100">
        <v>13126.515608008724</v>
      </c>
      <c r="BJ44" s="100">
        <v>10</v>
      </c>
      <c r="BK44" s="100">
        <v>10224</v>
      </c>
      <c r="BL44" s="100">
        <v>10.075320640467863</v>
      </c>
      <c r="BM44" s="100">
        <v>10301.007822814343</v>
      </c>
      <c r="BN44" s="100">
        <v>0.36774834353621161</v>
      </c>
      <c r="BO44" s="100">
        <v>375.98590643142273</v>
      </c>
      <c r="BP44" s="100">
        <v>13</v>
      </c>
      <c r="BQ44" s="100">
        <v>13291.199999999999</v>
      </c>
      <c r="BR44" s="100">
        <v>10</v>
      </c>
      <c r="BS44" s="100">
        <v>10224</v>
      </c>
      <c r="BT44" s="100">
        <v>8.5985867962925475</v>
      </c>
      <c r="BU44" s="100">
        <v>8791.1951405295003</v>
      </c>
      <c r="BV44" s="100">
        <v>0.36887513252624399</v>
      </c>
      <c r="BW44" s="100">
        <v>377.13793549483182</v>
      </c>
      <c r="BX44" s="100">
        <v>11</v>
      </c>
      <c r="BY44" s="100">
        <v>11246.4</v>
      </c>
      <c r="BZ44" s="100">
        <v>12</v>
      </c>
      <c r="CA44" s="100">
        <v>12268.8</v>
      </c>
      <c r="CB44" s="100">
        <v>14</v>
      </c>
      <c r="CC44" s="100">
        <v>14313.6</v>
      </c>
      <c r="CD44" s="100">
        <v>9</v>
      </c>
      <c r="CE44" s="100">
        <v>9201.6</v>
      </c>
      <c r="CF44" s="100">
        <v>5.7309162009116594</v>
      </c>
      <c r="CG44" s="100">
        <v>5859.2887238120802</v>
      </c>
      <c r="CH44" s="100">
        <v>12</v>
      </c>
      <c r="CI44" s="100">
        <v>12268.8</v>
      </c>
      <c r="CJ44" s="100">
        <v>12</v>
      </c>
      <c r="CK44" s="100">
        <v>12268.8</v>
      </c>
      <c r="CL44" s="100">
        <v>8</v>
      </c>
      <c r="CM44" s="100">
        <v>8179.2</v>
      </c>
      <c r="CN44" s="100">
        <v>1.3376419815268914</v>
      </c>
      <c r="CO44" s="100">
        <v>1367.6051619130938</v>
      </c>
      <c r="CP44" s="100">
        <v>3.0869024248248822</v>
      </c>
      <c r="CQ44" s="100">
        <v>3156.0490391409594</v>
      </c>
      <c r="CR44" s="100">
        <v>12</v>
      </c>
      <c r="CS44" s="100">
        <v>12268.8</v>
      </c>
      <c r="CT44" s="100">
        <v>10</v>
      </c>
      <c r="CU44" s="100">
        <v>10224</v>
      </c>
    </row>
    <row r="45" spans="2:99">
      <c r="C45" s="99" t="s">
        <v>211</v>
      </c>
      <c r="D45" s="100">
        <v>7</v>
      </c>
      <c r="E45" s="100">
        <v>8744.4</v>
      </c>
      <c r="F45" s="100">
        <v>11</v>
      </c>
      <c r="G45" s="100">
        <v>13741.2</v>
      </c>
      <c r="H45" s="100">
        <v>10</v>
      </c>
      <c r="I45" s="100">
        <v>12492</v>
      </c>
      <c r="J45" s="100">
        <v>7.2734241516000102</v>
      </c>
      <c r="K45" s="100">
        <v>9085.9614501787328</v>
      </c>
      <c r="L45" s="100">
        <v>8</v>
      </c>
      <c r="M45" s="100">
        <v>9993.6</v>
      </c>
      <c r="N45" s="100">
        <v>9</v>
      </c>
      <c r="O45" s="100">
        <v>11242.800000000001</v>
      </c>
      <c r="P45" s="100">
        <v>9</v>
      </c>
      <c r="Q45" s="100">
        <v>11242.800000000001</v>
      </c>
      <c r="R45" s="100">
        <v>13</v>
      </c>
      <c r="S45" s="100">
        <v>16239.6</v>
      </c>
      <c r="T45" s="100">
        <v>12</v>
      </c>
      <c r="U45" s="100">
        <v>14990.400000000001</v>
      </c>
      <c r="V45" s="100">
        <v>8</v>
      </c>
      <c r="W45" s="100">
        <v>9993.6</v>
      </c>
      <c r="X45" s="100">
        <v>15</v>
      </c>
      <c r="Y45" s="100">
        <v>18738</v>
      </c>
      <c r="Z45" s="100">
        <v>10</v>
      </c>
      <c r="AA45" s="100">
        <v>12492</v>
      </c>
      <c r="AB45" s="100">
        <v>2.9031131016949487</v>
      </c>
      <c r="AC45" s="100">
        <v>3626.5688866373303</v>
      </c>
      <c r="AD45" s="100">
        <v>9</v>
      </c>
      <c r="AE45" s="100">
        <v>11242.800000000001</v>
      </c>
      <c r="AF45" s="100">
        <v>13</v>
      </c>
      <c r="AG45" s="100">
        <v>16239.6</v>
      </c>
      <c r="AH45" s="100">
        <v>8.2133726732382542</v>
      </c>
      <c r="AI45" s="100">
        <v>10260.145143409227</v>
      </c>
      <c r="AJ45" s="100">
        <v>3.0090043507249327E-4</v>
      </c>
      <c r="AK45" s="100">
        <v>0.37588482349255858</v>
      </c>
      <c r="AL45" s="100">
        <v>3.0208198128351093E-4</v>
      </c>
      <c r="AM45" s="100">
        <v>0.37736081101936186</v>
      </c>
      <c r="AN45" s="100">
        <v>2.7285405542352241</v>
      </c>
      <c r="AO45" s="100">
        <v>3408.4928603506419</v>
      </c>
      <c r="AP45" s="100">
        <v>11</v>
      </c>
      <c r="AQ45" s="100">
        <v>13741.2</v>
      </c>
      <c r="AR45" s="100">
        <v>8</v>
      </c>
      <c r="AS45" s="100">
        <v>9993.6</v>
      </c>
      <c r="AT45" s="100">
        <v>9</v>
      </c>
      <c r="AU45" s="100">
        <v>11242.800000000001</v>
      </c>
      <c r="AV45" s="100">
        <v>7.0583310589202011</v>
      </c>
      <c r="AW45" s="100">
        <v>8817.2671588031153</v>
      </c>
      <c r="AX45" s="100">
        <v>9</v>
      </c>
      <c r="AY45" s="100">
        <v>11242.800000000001</v>
      </c>
      <c r="AZ45" s="100">
        <v>8</v>
      </c>
      <c r="BA45" s="100">
        <v>9993.6</v>
      </c>
      <c r="BB45" s="100">
        <v>5.7180211571044923</v>
      </c>
      <c r="BC45" s="100">
        <v>7142.952029454932</v>
      </c>
      <c r="BD45" s="100">
        <v>10.676233275898079</v>
      </c>
      <c r="BE45" s="100">
        <v>13336.750608251881</v>
      </c>
      <c r="BF45" s="100">
        <v>12</v>
      </c>
      <c r="BG45" s="100">
        <v>14990.400000000001</v>
      </c>
      <c r="BH45" s="100">
        <v>12.838923716753447</v>
      </c>
      <c r="BI45" s="100">
        <v>16038.383506968406</v>
      </c>
      <c r="BJ45" s="100">
        <v>10</v>
      </c>
      <c r="BK45" s="100">
        <v>12492</v>
      </c>
      <c r="BL45" s="100">
        <v>10.850345305119239</v>
      </c>
      <c r="BM45" s="100">
        <v>13554.251355154955</v>
      </c>
      <c r="BN45" s="100">
        <v>0.32688741647663255</v>
      </c>
      <c r="BO45" s="100">
        <v>408.3477606626094</v>
      </c>
      <c r="BP45" s="100">
        <v>12</v>
      </c>
      <c r="BQ45" s="100">
        <v>14990.400000000001</v>
      </c>
      <c r="BR45" s="100">
        <v>10</v>
      </c>
      <c r="BS45" s="100">
        <v>12492</v>
      </c>
      <c r="BT45" s="100">
        <v>7.9371570427315818</v>
      </c>
      <c r="BU45" s="100">
        <v>9915.0965777802921</v>
      </c>
      <c r="BV45" s="100">
        <v>0.33198761927361958</v>
      </c>
      <c r="BW45" s="100">
        <v>414.71893399660559</v>
      </c>
      <c r="BX45" s="100">
        <v>10</v>
      </c>
      <c r="BY45" s="100">
        <v>12492</v>
      </c>
      <c r="BZ45" s="100">
        <v>12</v>
      </c>
      <c r="CA45" s="100">
        <v>14990.400000000001</v>
      </c>
      <c r="CB45" s="100">
        <v>13</v>
      </c>
      <c r="CC45" s="100">
        <v>16239.6</v>
      </c>
      <c r="CD45" s="100">
        <v>11</v>
      </c>
      <c r="CE45" s="100">
        <v>13741.2</v>
      </c>
      <c r="CF45" s="100">
        <v>6.4472807260256166</v>
      </c>
      <c r="CG45" s="100">
        <v>8053.9430829512003</v>
      </c>
      <c r="CH45" s="100">
        <v>12</v>
      </c>
      <c r="CI45" s="100">
        <v>14990.400000000001</v>
      </c>
      <c r="CJ45" s="100">
        <v>12</v>
      </c>
      <c r="CK45" s="100">
        <v>14990.400000000001</v>
      </c>
      <c r="CL45" s="100">
        <v>8</v>
      </c>
      <c r="CM45" s="100">
        <v>9993.6</v>
      </c>
      <c r="CN45" s="100">
        <v>1.2420961257035419</v>
      </c>
      <c r="CO45" s="100">
        <v>1551.6264802288647</v>
      </c>
      <c r="CP45" s="100">
        <v>2.8296605560894754</v>
      </c>
      <c r="CQ45" s="100">
        <v>3534.8119666669727</v>
      </c>
      <c r="CR45" s="100">
        <v>11</v>
      </c>
      <c r="CS45" s="100">
        <v>13741.2</v>
      </c>
      <c r="CT45" s="100">
        <v>11</v>
      </c>
      <c r="CU45" s="100">
        <v>13741.2</v>
      </c>
    </row>
    <row r="46" spans="2:99">
      <c r="C46" s="99" t="s">
        <v>212</v>
      </c>
      <c r="D46" s="100">
        <v>8</v>
      </c>
      <c r="E46" s="100">
        <v>9696</v>
      </c>
      <c r="F46" s="100">
        <v>10</v>
      </c>
      <c r="G46" s="100">
        <v>12120</v>
      </c>
      <c r="H46" s="100">
        <v>10</v>
      </c>
      <c r="I46" s="100">
        <v>12120</v>
      </c>
      <c r="J46" s="100">
        <v>7.2734241516000102</v>
      </c>
      <c r="K46" s="100">
        <v>8815.3900717392116</v>
      </c>
      <c r="L46" s="100">
        <v>9</v>
      </c>
      <c r="M46" s="100">
        <v>10908</v>
      </c>
      <c r="N46" s="100">
        <v>10</v>
      </c>
      <c r="O46" s="100">
        <v>12120</v>
      </c>
      <c r="P46" s="100">
        <v>9</v>
      </c>
      <c r="Q46" s="100">
        <v>10908</v>
      </c>
      <c r="R46" s="100">
        <v>14</v>
      </c>
      <c r="S46" s="100">
        <v>16968</v>
      </c>
      <c r="T46" s="100">
        <v>12</v>
      </c>
      <c r="U46" s="100">
        <v>14544</v>
      </c>
      <c r="V46" s="100">
        <v>7</v>
      </c>
      <c r="W46" s="100">
        <v>8484</v>
      </c>
      <c r="X46" s="100">
        <v>14</v>
      </c>
      <c r="Y46" s="100">
        <v>16968</v>
      </c>
      <c r="Z46" s="100">
        <v>10</v>
      </c>
      <c r="AA46" s="100">
        <v>12120</v>
      </c>
      <c r="AB46" s="100">
        <v>2.9031131016949487</v>
      </c>
      <c r="AC46" s="100">
        <v>3518.5730792542777</v>
      </c>
      <c r="AD46" s="100">
        <v>8</v>
      </c>
      <c r="AE46" s="100">
        <v>9696</v>
      </c>
      <c r="AF46" s="100">
        <v>13</v>
      </c>
      <c r="AG46" s="100">
        <v>15756</v>
      </c>
      <c r="AH46" s="100">
        <v>6.3881787458519748</v>
      </c>
      <c r="AI46" s="100">
        <v>7742.4726399725932</v>
      </c>
      <c r="AJ46" s="100">
        <v>2.7582539881645219E-4</v>
      </c>
      <c r="AK46" s="100">
        <v>0.33430038336554008</v>
      </c>
      <c r="AL46" s="100">
        <v>3.2531905676685789E-4</v>
      </c>
      <c r="AM46" s="100">
        <v>0.39428669680143175</v>
      </c>
      <c r="AN46" s="100">
        <v>3.2246388368234471</v>
      </c>
      <c r="AO46" s="100">
        <v>3908.2622702300177</v>
      </c>
      <c r="AP46" s="100">
        <v>11</v>
      </c>
      <c r="AQ46" s="100">
        <v>13332</v>
      </c>
      <c r="AR46" s="100">
        <v>9</v>
      </c>
      <c r="AS46" s="100">
        <v>10908</v>
      </c>
      <c r="AT46" s="100">
        <v>10</v>
      </c>
      <c r="AU46" s="100">
        <v>12120</v>
      </c>
      <c r="AV46" s="100">
        <v>7.7641641648122217</v>
      </c>
      <c r="AW46" s="100">
        <v>9410.1669677524133</v>
      </c>
      <c r="AX46" s="100">
        <v>8</v>
      </c>
      <c r="AY46" s="100">
        <v>9696</v>
      </c>
      <c r="AZ46" s="100">
        <v>9</v>
      </c>
      <c r="BA46" s="100">
        <v>10908</v>
      </c>
      <c r="BB46" s="100">
        <v>4.9556183361572268</v>
      </c>
      <c r="BC46" s="100">
        <v>6006.2094234225588</v>
      </c>
      <c r="BD46" s="100">
        <v>10.676233275898079</v>
      </c>
      <c r="BE46" s="100">
        <v>12939.594730388471</v>
      </c>
      <c r="BF46" s="100">
        <v>11</v>
      </c>
      <c r="BG46" s="100">
        <v>13332</v>
      </c>
      <c r="BH46" s="100">
        <v>12.838923716753447</v>
      </c>
      <c r="BI46" s="100">
        <v>15560.775544705179</v>
      </c>
      <c r="BJ46" s="100">
        <v>9</v>
      </c>
      <c r="BK46" s="100">
        <v>10908</v>
      </c>
      <c r="BL46" s="100">
        <v>9.3002959758164891</v>
      </c>
      <c r="BM46" s="100">
        <v>11271.958722689586</v>
      </c>
      <c r="BN46" s="100">
        <v>0.36774834353621161</v>
      </c>
      <c r="BO46" s="100">
        <v>445.71099236588844</v>
      </c>
      <c r="BP46" s="100">
        <v>13</v>
      </c>
      <c r="BQ46" s="100">
        <v>15756</v>
      </c>
      <c r="BR46" s="100">
        <v>11</v>
      </c>
      <c r="BS46" s="100">
        <v>13332</v>
      </c>
      <c r="BT46" s="100">
        <v>7.275727289170618</v>
      </c>
      <c r="BU46" s="100">
        <v>8818.1814744747899</v>
      </c>
      <c r="BV46" s="100">
        <v>0.33198761927361958</v>
      </c>
      <c r="BW46" s="100">
        <v>402.36899455962691</v>
      </c>
      <c r="BX46" s="100">
        <v>10</v>
      </c>
      <c r="BY46" s="100">
        <v>12120</v>
      </c>
      <c r="BZ46" s="100">
        <v>12</v>
      </c>
      <c r="CA46" s="100">
        <v>14544</v>
      </c>
      <c r="CB46" s="100">
        <v>14</v>
      </c>
      <c r="CC46" s="100">
        <v>16968</v>
      </c>
      <c r="CD46" s="100">
        <v>10</v>
      </c>
      <c r="CE46" s="100">
        <v>12120</v>
      </c>
      <c r="CF46" s="100">
        <v>7.1636452511395738</v>
      </c>
      <c r="CG46" s="100">
        <v>8682.3380443811639</v>
      </c>
      <c r="CH46" s="100">
        <v>11</v>
      </c>
      <c r="CI46" s="100">
        <v>13332</v>
      </c>
      <c r="CJ46" s="100">
        <v>10</v>
      </c>
      <c r="CK46" s="100">
        <v>12120</v>
      </c>
      <c r="CL46" s="100">
        <v>8</v>
      </c>
      <c r="CM46" s="100">
        <v>9696</v>
      </c>
      <c r="CN46" s="100">
        <v>1.2420961257035419</v>
      </c>
      <c r="CO46" s="100">
        <v>1505.4205043526927</v>
      </c>
      <c r="CP46" s="100">
        <v>2.5724186873540686</v>
      </c>
      <c r="CQ46" s="100">
        <v>3117.7714490731314</v>
      </c>
      <c r="CR46" s="100">
        <v>12</v>
      </c>
      <c r="CS46" s="100">
        <v>14544</v>
      </c>
      <c r="CT46" s="100">
        <v>10</v>
      </c>
      <c r="CU46" s="100">
        <v>12120</v>
      </c>
    </row>
    <row r="47" spans="2:99">
      <c r="C47" s="99" t="s">
        <v>213</v>
      </c>
      <c r="D47" s="100">
        <v>8</v>
      </c>
      <c r="E47" s="100">
        <v>12220.8</v>
      </c>
      <c r="F47" s="100">
        <v>10</v>
      </c>
      <c r="G47" s="100">
        <v>15276</v>
      </c>
      <c r="H47" s="100">
        <v>9</v>
      </c>
      <c r="I47" s="100">
        <v>13748.4</v>
      </c>
      <c r="J47" s="100">
        <v>6.7139299860923174</v>
      </c>
      <c r="K47" s="100">
        <v>10256.199446754623</v>
      </c>
      <c r="L47" s="100">
        <v>9</v>
      </c>
      <c r="M47" s="100">
        <v>13748.4</v>
      </c>
      <c r="N47" s="100">
        <v>9</v>
      </c>
      <c r="O47" s="100">
        <v>13748.4</v>
      </c>
      <c r="P47" s="100">
        <v>8</v>
      </c>
      <c r="Q47" s="100">
        <v>12220.8</v>
      </c>
      <c r="R47" s="100">
        <v>13</v>
      </c>
      <c r="S47" s="100">
        <v>19858.8</v>
      </c>
      <c r="T47" s="100">
        <v>13</v>
      </c>
      <c r="U47" s="100">
        <v>19858.8</v>
      </c>
      <c r="V47" s="100">
        <v>7</v>
      </c>
      <c r="W47" s="100">
        <v>10693.199999999999</v>
      </c>
      <c r="X47" s="100">
        <v>14</v>
      </c>
      <c r="Y47" s="100">
        <v>21386.399999999998</v>
      </c>
      <c r="Z47" s="100">
        <v>10</v>
      </c>
      <c r="AA47" s="100">
        <v>15276</v>
      </c>
      <c r="AB47" s="100">
        <v>3.2660022394068173</v>
      </c>
      <c r="AC47" s="100">
        <v>4989.1450209178538</v>
      </c>
      <c r="AD47" s="100">
        <v>9</v>
      </c>
      <c r="AE47" s="100">
        <v>13748.4</v>
      </c>
      <c r="AF47" s="100">
        <v>13</v>
      </c>
      <c r="AG47" s="100">
        <v>19858.8</v>
      </c>
      <c r="AH47" s="100">
        <v>6.3881787458519748</v>
      </c>
      <c r="AI47" s="100">
        <v>9758.5818521634756</v>
      </c>
      <c r="AJ47" s="100">
        <v>3.2597547132853441E-4</v>
      </c>
      <c r="AK47" s="100">
        <v>0.49796013000146916</v>
      </c>
      <c r="AL47" s="100">
        <v>2.7884490580016392E-4</v>
      </c>
      <c r="AM47" s="100">
        <v>0.42596347810033036</v>
      </c>
      <c r="AN47" s="100">
        <v>2.9765896955293356</v>
      </c>
      <c r="AO47" s="100">
        <v>4547.0384188906128</v>
      </c>
      <c r="AP47" s="100">
        <v>11</v>
      </c>
      <c r="AQ47" s="100">
        <v>16803.599999999999</v>
      </c>
      <c r="AR47" s="100">
        <v>8</v>
      </c>
      <c r="AS47" s="100">
        <v>12220.8</v>
      </c>
      <c r="AT47" s="100">
        <v>9</v>
      </c>
      <c r="AU47" s="100">
        <v>13748.4</v>
      </c>
      <c r="AV47" s="100">
        <v>7.7641641648122217</v>
      </c>
      <c r="AW47" s="100">
        <v>11860.537178167149</v>
      </c>
      <c r="AX47" s="100">
        <v>8</v>
      </c>
      <c r="AY47" s="100">
        <v>12220.8</v>
      </c>
      <c r="AZ47" s="100">
        <v>8</v>
      </c>
      <c r="BA47" s="100">
        <v>12220.8</v>
      </c>
      <c r="BB47" s="100">
        <v>4.9556183361572268</v>
      </c>
      <c r="BC47" s="100">
        <v>7570.2025703137788</v>
      </c>
      <c r="BD47" s="100">
        <v>9.7056666144528005</v>
      </c>
      <c r="BE47" s="100">
        <v>14826.376320238098</v>
      </c>
      <c r="BF47" s="100">
        <v>11</v>
      </c>
      <c r="BG47" s="100">
        <v>16803.599999999999</v>
      </c>
      <c r="BH47" s="100">
        <v>13.826533233426789</v>
      </c>
      <c r="BI47" s="100">
        <v>21121.412167382761</v>
      </c>
      <c r="BJ47" s="100">
        <v>10</v>
      </c>
      <c r="BK47" s="100">
        <v>15276</v>
      </c>
      <c r="BL47" s="100">
        <v>9.3002959758164891</v>
      </c>
      <c r="BM47" s="100">
        <v>14207.132132657269</v>
      </c>
      <c r="BN47" s="100">
        <v>0.32688741647663255</v>
      </c>
      <c r="BO47" s="100">
        <v>499.35321740970386</v>
      </c>
      <c r="BP47" s="100">
        <v>13</v>
      </c>
      <c r="BQ47" s="100">
        <v>19858.8</v>
      </c>
      <c r="BR47" s="100">
        <v>10</v>
      </c>
      <c r="BS47" s="100">
        <v>15276</v>
      </c>
      <c r="BT47" s="100">
        <v>8.5985867962925475</v>
      </c>
      <c r="BU47" s="100">
        <v>13135.201190016494</v>
      </c>
      <c r="BV47" s="100">
        <v>0.36887513252624399</v>
      </c>
      <c r="BW47" s="100">
        <v>563.49365244709031</v>
      </c>
      <c r="BX47" s="100">
        <v>10</v>
      </c>
      <c r="BY47" s="100">
        <v>15276</v>
      </c>
      <c r="BZ47" s="100">
        <v>10</v>
      </c>
      <c r="CA47" s="100">
        <v>15276</v>
      </c>
      <c r="CB47" s="100">
        <v>13</v>
      </c>
      <c r="CC47" s="100">
        <v>19858.8</v>
      </c>
      <c r="CD47" s="100">
        <v>11</v>
      </c>
      <c r="CE47" s="100">
        <v>16803.599999999999</v>
      </c>
      <c r="CF47" s="100">
        <v>5.7309162009116594</v>
      </c>
      <c r="CG47" s="100">
        <v>8754.5475885126507</v>
      </c>
      <c r="CH47" s="100">
        <v>11</v>
      </c>
      <c r="CI47" s="100">
        <v>16803.599999999999</v>
      </c>
      <c r="CJ47" s="100">
        <v>11</v>
      </c>
      <c r="CK47" s="100">
        <v>16803.599999999999</v>
      </c>
      <c r="CL47" s="100">
        <v>9</v>
      </c>
      <c r="CM47" s="100">
        <v>13748.4</v>
      </c>
      <c r="CN47" s="100">
        <v>1.2420961257035419</v>
      </c>
      <c r="CO47" s="100">
        <v>1897.4260416247305</v>
      </c>
      <c r="CP47" s="100">
        <v>2.5724186873540686</v>
      </c>
      <c r="CQ47" s="100">
        <v>3929.626786802075</v>
      </c>
      <c r="CR47" s="100">
        <v>10</v>
      </c>
      <c r="CS47" s="100">
        <v>15276</v>
      </c>
      <c r="CT47" s="100">
        <v>10</v>
      </c>
      <c r="CU47" s="100">
        <v>15276</v>
      </c>
    </row>
    <row r="48" spans="2:99">
      <c r="C48" s="99" t="s">
        <v>214</v>
      </c>
      <c r="D48" s="100">
        <v>9</v>
      </c>
      <c r="E48" s="100">
        <v>7808.4000000000005</v>
      </c>
      <c r="F48" s="100">
        <v>10</v>
      </c>
      <c r="G48" s="100">
        <v>8676</v>
      </c>
      <c r="H48" s="100">
        <v>9</v>
      </c>
      <c r="I48" s="100">
        <v>7808.4000000000005</v>
      </c>
      <c r="J48" s="100">
        <v>8.3924124826153967</v>
      </c>
      <c r="K48" s="100">
        <v>7281.2570699171183</v>
      </c>
      <c r="L48" s="100">
        <v>9</v>
      </c>
      <c r="M48" s="100">
        <v>7808.4000000000005</v>
      </c>
      <c r="N48" s="100">
        <v>9</v>
      </c>
      <c r="O48" s="100">
        <v>7808.4000000000005</v>
      </c>
      <c r="P48" s="100">
        <v>9</v>
      </c>
      <c r="Q48" s="100">
        <v>7808.4000000000005</v>
      </c>
      <c r="R48" s="100">
        <v>13</v>
      </c>
      <c r="S48" s="100">
        <v>11278.800000000001</v>
      </c>
      <c r="T48" s="100">
        <v>13</v>
      </c>
      <c r="U48" s="100">
        <v>11278.800000000001</v>
      </c>
      <c r="V48" s="100">
        <v>7</v>
      </c>
      <c r="W48" s="100">
        <v>6073.2</v>
      </c>
      <c r="X48" s="100">
        <v>16</v>
      </c>
      <c r="Y48" s="100">
        <v>13881.6</v>
      </c>
      <c r="Z48" s="100">
        <v>9</v>
      </c>
      <c r="AA48" s="100">
        <v>7808.4000000000005</v>
      </c>
      <c r="AB48" s="100">
        <v>2.9031131016949487</v>
      </c>
      <c r="AC48" s="100">
        <v>2518.7409270305375</v>
      </c>
      <c r="AD48" s="100">
        <v>8</v>
      </c>
      <c r="AE48" s="100">
        <v>6940.8</v>
      </c>
      <c r="AF48" s="100">
        <v>15</v>
      </c>
      <c r="AG48" s="100">
        <v>13014</v>
      </c>
      <c r="AH48" s="100">
        <v>7.300775709545114</v>
      </c>
      <c r="AI48" s="100">
        <v>6334.1530056013407</v>
      </c>
      <c r="AJ48" s="100">
        <v>3.0090043507249327E-4</v>
      </c>
      <c r="AK48" s="100">
        <v>0.26106121746889516</v>
      </c>
      <c r="AL48" s="100">
        <v>3.0208198128351093E-4</v>
      </c>
      <c r="AM48" s="100">
        <v>0.26208632696157408</v>
      </c>
      <c r="AN48" s="100">
        <v>2.9765896955293356</v>
      </c>
      <c r="AO48" s="100">
        <v>2582.4892198412517</v>
      </c>
      <c r="AP48" s="100">
        <v>11</v>
      </c>
      <c r="AQ48" s="100">
        <v>9543.6</v>
      </c>
      <c r="AR48" s="100">
        <v>9</v>
      </c>
      <c r="AS48" s="100">
        <v>7808.4000000000005</v>
      </c>
      <c r="AT48" s="100">
        <v>9</v>
      </c>
      <c r="AU48" s="100">
        <v>7808.4000000000005</v>
      </c>
      <c r="AV48" s="100">
        <v>9.1758303765962612</v>
      </c>
      <c r="AW48" s="100">
        <v>7960.9504347349166</v>
      </c>
      <c r="AX48" s="100">
        <v>10</v>
      </c>
      <c r="AY48" s="100">
        <v>8676</v>
      </c>
      <c r="AZ48" s="100">
        <v>8</v>
      </c>
      <c r="BA48" s="100">
        <v>6940.8</v>
      </c>
      <c r="BB48" s="100">
        <v>4.9556183361572268</v>
      </c>
      <c r="BC48" s="100">
        <v>4299.4944684500097</v>
      </c>
      <c r="BD48" s="100">
        <v>11.64679993734336</v>
      </c>
      <c r="BE48" s="100">
        <v>10104.7636256391</v>
      </c>
      <c r="BF48" s="100">
        <v>11</v>
      </c>
      <c r="BG48" s="100">
        <v>9543.6</v>
      </c>
      <c r="BH48" s="100">
        <v>13.826533233426789</v>
      </c>
      <c r="BI48" s="100">
        <v>11995.900233321083</v>
      </c>
      <c r="BJ48" s="100">
        <v>10</v>
      </c>
      <c r="BK48" s="100">
        <v>8676</v>
      </c>
      <c r="BL48" s="100">
        <v>10.075320640467863</v>
      </c>
      <c r="BM48" s="100">
        <v>8741.3481876699188</v>
      </c>
      <c r="BN48" s="100">
        <v>0.36774834353621161</v>
      </c>
      <c r="BO48" s="100">
        <v>319.05846285201721</v>
      </c>
      <c r="BP48" s="100">
        <v>13</v>
      </c>
      <c r="BQ48" s="100">
        <v>11278.800000000001</v>
      </c>
      <c r="BR48" s="100">
        <v>11</v>
      </c>
      <c r="BS48" s="100">
        <v>9543.6</v>
      </c>
      <c r="BT48" s="100">
        <v>8.5985867962925475</v>
      </c>
      <c r="BU48" s="100">
        <v>7460.1339044634142</v>
      </c>
      <c r="BV48" s="100">
        <v>0.36887513252624399</v>
      </c>
      <c r="BW48" s="100">
        <v>320.03606497976926</v>
      </c>
      <c r="BX48" s="100">
        <v>10</v>
      </c>
      <c r="BY48" s="100">
        <v>8676</v>
      </c>
      <c r="BZ48" s="100">
        <v>12</v>
      </c>
      <c r="CA48" s="100">
        <v>10411.200000000001</v>
      </c>
      <c r="CB48" s="100">
        <v>15</v>
      </c>
      <c r="CC48" s="100">
        <v>13014</v>
      </c>
      <c r="CD48" s="100">
        <v>10</v>
      </c>
      <c r="CE48" s="100">
        <v>8676</v>
      </c>
      <c r="CF48" s="100">
        <v>6.4472807260256166</v>
      </c>
      <c r="CG48" s="100">
        <v>5593.6607578998255</v>
      </c>
      <c r="CH48" s="100">
        <v>11</v>
      </c>
      <c r="CI48" s="100">
        <v>9543.6</v>
      </c>
      <c r="CJ48" s="100">
        <v>12</v>
      </c>
      <c r="CK48" s="100">
        <v>10411.200000000001</v>
      </c>
      <c r="CL48" s="100">
        <v>9</v>
      </c>
      <c r="CM48" s="100">
        <v>7808.4000000000005</v>
      </c>
      <c r="CN48" s="100">
        <v>1.1465502698801926</v>
      </c>
      <c r="CO48" s="100">
        <v>994.74701414805509</v>
      </c>
      <c r="CP48" s="100">
        <v>2.8296605560894754</v>
      </c>
      <c r="CQ48" s="100">
        <v>2455.0134984632291</v>
      </c>
      <c r="CR48" s="100">
        <v>13</v>
      </c>
      <c r="CS48" s="100">
        <v>11278.800000000001</v>
      </c>
      <c r="CT48" s="100">
        <v>9</v>
      </c>
      <c r="CU48" s="100">
        <v>7808.4000000000005</v>
      </c>
    </row>
    <row r="49" spans="2:99">
      <c r="B49" s="99" t="s">
        <v>129</v>
      </c>
      <c r="C49" s="99" t="s">
        <v>215</v>
      </c>
      <c r="D49" s="100">
        <v>5.5265708596938259</v>
      </c>
      <c r="E49" s="100">
        <v>5444.7776109703573</v>
      </c>
      <c r="F49" s="100">
        <v>8.6633462847275542</v>
      </c>
      <c r="G49" s="100">
        <v>8535.1287597135852</v>
      </c>
      <c r="H49" s="100">
        <v>8</v>
      </c>
      <c r="I49" s="100">
        <v>7881.5999999999995</v>
      </c>
      <c r="J49" s="100">
        <v>4.2070735182169932</v>
      </c>
      <c r="K49" s="100">
        <v>4144.8088301473817</v>
      </c>
      <c r="L49" s="100">
        <v>7</v>
      </c>
      <c r="M49" s="100">
        <v>6896.4</v>
      </c>
      <c r="N49" s="100">
        <v>8</v>
      </c>
      <c r="O49" s="100">
        <v>7881.5999999999995</v>
      </c>
      <c r="P49" s="100">
        <v>8</v>
      </c>
      <c r="Q49" s="100">
        <v>7881.5999999999995</v>
      </c>
      <c r="R49" s="100">
        <v>6</v>
      </c>
      <c r="S49" s="100">
        <v>5911.2</v>
      </c>
      <c r="T49" s="100">
        <v>10</v>
      </c>
      <c r="U49" s="100">
        <v>9852</v>
      </c>
      <c r="V49" s="100">
        <v>9</v>
      </c>
      <c r="W49" s="100">
        <v>8866.7999999999993</v>
      </c>
      <c r="X49" s="100">
        <v>8</v>
      </c>
      <c r="Y49" s="100">
        <v>7881.5999999999995</v>
      </c>
      <c r="Z49" s="100">
        <v>8</v>
      </c>
      <c r="AA49" s="100">
        <v>7881.5999999999995</v>
      </c>
      <c r="AB49" s="100">
        <v>9</v>
      </c>
      <c r="AC49" s="100">
        <v>8866.7999999999993</v>
      </c>
      <c r="AD49" s="100">
        <v>6</v>
      </c>
      <c r="AE49" s="100">
        <v>5911.2</v>
      </c>
      <c r="AF49" s="100">
        <v>7</v>
      </c>
      <c r="AG49" s="100">
        <v>6896.4</v>
      </c>
      <c r="AH49" s="100">
        <v>3.021779325381226</v>
      </c>
      <c r="AI49" s="100">
        <v>2977.0569913655836</v>
      </c>
      <c r="AJ49" s="100">
        <v>3.9313680585372195</v>
      </c>
      <c r="AK49" s="100">
        <v>3873.1838112708683</v>
      </c>
      <c r="AL49" s="100">
        <v>1.3954901409101881E-4</v>
      </c>
      <c r="AM49" s="100">
        <v>0.13748368868247174</v>
      </c>
      <c r="AN49" s="100">
        <v>4.1669233252182991</v>
      </c>
      <c r="AO49" s="100">
        <v>4105.2528600050682</v>
      </c>
      <c r="AP49" s="100">
        <v>6.9407008510723802</v>
      </c>
      <c r="AQ49" s="100">
        <v>6837.9784784765088</v>
      </c>
      <c r="AR49" s="100">
        <v>8</v>
      </c>
      <c r="AS49" s="100">
        <v>7881.5999999999995</v>
      </c>
      <c r="AT49" s="100">
        <v>6.9146341463414469</v>
      </c>
      <c r="AU49" s="100">
        <v>6812.2975609755931</v>
      </c>
      <c r="AV49" s="100">
        <v>3.1918618132873799</v>
      </c>
      <c r="AW49" s="100">
        <v>3144.6222584507263</v>
      </c>
      <c r="AX49" s="100">
        <v>3.2789498262485259</v>
      </c>
      <c r="AY49" s="100">
        <v>3230.4213688200475</v>
      </c>
      <c r="AZ49" s="100">
        <v>11</v>
      </c>
      <c r="BA49" s="100">
        <v>10837.199999999999</v>
      </c>
      <c r="BB49" s="100">
        <v>10</v>
      </c>
      <c r="BC49" s="100">
        <v>9852</v>
      </c>
      <c r="BD49" s="100">
        <v>8.6647114693970781</v>
      </c>
      <c r="BE49" s="100">
        <v>8536.4737396500004</v>
      </c>
      <c r="BF49" s="100">
        <v>11</v>
      </c>
      <c r="BG49" s="100">
        <v>10837.199999999999</v>
      </c>
      <c r="BH49" s="100">
        <v>4.2114131398621355</v>
      </c>
      <c r="BI49" s="100">
        <v>4149.0842253921755</v>
      </c>
      <c r="BJ49" s="100">
        <v>7</v>
      </c>
      <c r="BK49" s="100">
        <v>6896.4</v>
      </c>
      <c r="BL49" s="100">
        <v>9</v>
      </c>
      <c r="BM49" s="100">
        <v>8866.7999999999993</v>
      </c>
      <c r="BN49" s="100">
        <v>8</v>
      </c>
      <c r="BO49" s="100">
        <v>7881.5999999999995</v>
      </c>
      <c r="BP49" s="100">
        <v>11</v>
      </c>
      <c r="BQ49" s="100">
        <v>10837.199999999999</v>
      </c>
      <c r="BR49" s="100">
        <v>6</v>
      </c>
      <c r="BS49" s="100">
        <v>5911.2</v>
      </c>
      <c r="BT49" s="100">
        <v>7</v>
      </c>
      <c r="BU49" s="100">
        <v>6896.4</v>
      </c>
      <c r="BV49" s="100">
        <v>8</v>
      </c>
      <c r="BW49" s="100">
        <v>7881.5999999999995</v>
      </c>
      <c r="BX49" s="100">
        <v>7</v>
      </c>
      <c r="BY49" s="100">
        <v>6896.4</v>
      </c>
      <c r="BZ49" s="100">
        <v>9</v>
      </c>
      <c r="CA49" s="100">
        <v>8866.7999999999993</v>
      </c>
      <c r="CB49" s="100">
        <v>1.0547341221269724</v>
      </c>
      <c r="CC49" s="100">
        <v>1039.124057119493</v>
      </c>
      <c r="CD49" s="100">
        <v>8</v>
      </c>
      <c r="CE49" s="100">
        <v>7881.5999999999995</v>
      </c>
      <c r="CF49" s="100">
        <v>8</v>
      </c>
      <c r="CG49" s="100">
        <v>7881.5999999999995</v>
      </c>
      <c r="CH49" s="100">
        <v>7</v>
      </c>
      <c r="CI49" s="100">
        <v>6896.4</v>
      </c>
      <c r="CJ49" s="100">
        <v>10</v>
      </c>
      <c r="CK49" s="100">
        <v>9852</v>
      </c>
      <c r="CL49" s="100">
        <v>9</v>
      </c>
      <c r="CM49" s="100">
        <v>8866.7999999999993</v>
      </c>
      <c r="CN49" s="100">
        <v>11</v>
      </c>
      <c r="CO49" s="100">
        <v>10837.199999999999</v>
      </c>
      <c r="CP49" s="100">
        <v>6</v>
      </c>
      <c r="CQ49" s="100">
        <v>5911.2</v>
      </c>
      <c r="CR49" s="100">
        <v>9</v>
      </c>
      <c r="CS49" s="100">
        <v>8866.7999999999993</v>
      </c>
      <c r="CT49" s="100">
        <v>10</v>
      </c>
      <c r="CU49" s="100">
        <v>9852</v>
      </c>
    </row>
    <row r="50" spans="2:99">
      <c r="C50" s="99" t="s">
        <v>216</v>
      </c>
      <c r="D50" s="100">
        <v>6</v>
      </c>
      <c r="E50" s="100">
        <v>1692</v>
      </c>
      <c r="F50" s="100">
        <v>10</v>
      </c>
      <c r="G50" s="100">
        <v>2820</v>
      </c>
      <c r="H50" s="100">
        <v>9</v>
      </c>
      <c r="I50" s="100">
        <v>2538</v>
      </c>
      <c r="J50" s="100">
        <v>6.1544358205846246</v>
      </c>
      <c r="K50" s="100">
        <v>1735.5509014048641</v>
      </c>
      <c r="L50" s="100">
        <v>7</v>
      </c>
      <c r="M50" s="100">
        <v>1974</v>
      </c>
      <c r="N50" s="100">
        <v>9</v>
      </c>
      <c r="O50" s="100">
        <v>2538</v>
      </c>
      <c r="P50" s="100">
        <v>9</v>
      </c>
      <c r="Q50" s="100">
        <v>2538</v>
      </c>
      <c r="R50" s="100">
        <v>7</v>
      </c>
      <c r="S50" s="100">
        <v>1974</v>
      </c>
      <c r="T50" s="100">
        <v>10</v>
      </c>
      <c r="U50" s="100">
        <v>2820</v>
      </c>
      <c r="V50" s="100">
        <v>9</v>
      </c>
      <c r="W50" s="100">
        <v>2538</v>
      </c>
      <c r="X50" s="100">
        <v>7</v>
      </c>
      <c r="Y50" s="100">
        <v>1974</v>
      </c>
      <c r="Z50" s="100">
        <v>7</v>
      </c>
      <c r="AA50" s="100">
        <v>1974</v>
      </c>
      <c r="AB50" s="100">
        <v>3.9917805148305541</v>
      </c>
      <c r="AC50" s="100">
        <v>1125.6821051822162</v>
      </c>
      <c r="AD50" s="100">
        <v>6</v>
      </c>
      <c r="AE50" s="100">
        <v>1692</v>
      </c>
      <c r="AF50" s="100">
        <v>7</v>
      </c>
      <c r="AG50" s="100">
        <v>1974</v>
      </c>
      <c r="AH50" s="100">
        <v>10.038566600624531</v>
      </c>
      <c r="AI50" s="100">
        <v>2830.8757813761176</v>
      </c>
      <c r="AJ50" s="100">
        <v>1.7552525379228777E-4</v>
      </c>
      <c r="AK50" s="100">
        <v>4.9498121569425152E-2</v>
      </c>
      <c r="AL50" s="100">
        <v>2.5560783031681691E-4</v>
      </c>
      <c r="AM50" s="100">
        <v>7.2081408149342371E-2</v>
      </c>
      <c r="AN50" s="100">
        <v>1.7363439890587793</v>
      </c>
      <c r="AO50" s="100">
        <v>489.64900491457576</v>
      </c>
      <c r="AP50" s="100">
        <v>6</v>
      </c>
      <c r="AQ50" s="100">
        <v>1692</v>
      </c>
      <c r="AR50" s="100">
        <v>10</v>
      </c>
      <c r="AS50" s="100">
        <v>2820</v>
      </c>
      <c r="AT50" s="100">
        <v>6</v>
      </c>
      <c r="AU50" s="100">
        <v>1692</v>
      </c>
      <c r="AV50" s="100">
        <v>4.2349986353521212</v>
      </c>
      <c r="AW50" s="100">
        <v>1194.2696151692983</v>
      </c>
      <c r="AX50" s="100">
        <v>7</v>
      </c>
      <c r="AY50" s="100">
        <v>1974</v>
      </c>
      <c r="AZ50" s="100">
        <v>10</v>
      </c>
      <c r="BA50" s="100">
        <v>2820</v>
      </c>
      <c r="BB50" s="100">
        <v>3.8120141047363285</v>
      </c>
      <c r="BC50" s="100">
        <v>1074.9879775356446</v>
      </c>
      <c r="BD50" s="100">
        <v>10.676233275898079</v>
      </c>
      <c r="BE50" s="100">
        <v>3010.6977838032585</v>
      </c>
      <c r="BF50" s="100">
        <v>10</v>
      </c>
      <c r="BG50" s="100">
        <v>2820</v>
      </c>
      <c r="BH50" s="100">
        <v>10.863704683406763</v>
      </c>
      <c r="BI50" s="100">
        <v>3063.5647207207071</v>
      </c>
      <c r="BJ50" s="100">
        <v>7</v>
      </c>
      <c r="BK50" s="100">
        <v>1974</v>
      </c>
      <c r="BL50" s="100">
        <v>7.7502466465137418</v>
      </c>
      <c r="BM50" s="100">
        <v>2185.5695543168754</v>
      </c>
      <c r="BN50" s="100">
        <v>0.32688741647663255</v>
      </c>
      <c r="BO50" s="100">
        <v>92.182251446410376</v>
      </c>
      <c r="BP50" s="100">
        <v>11</v>
      </c>
      <c r="BQ50" s="100">
        <v>3102</v>
      </c>
      <c r="BR50" s="100">
        <v>6</v>
      </c>
      <c r="BS50" s="100">
        <v>1692</v>
      </c>
      <c r="BT50" s="100">
        <v>4.630008274926757</v>
      </c>
      <c r="BU50" s="100">
        <v>1305.6623335293455</v>
      </c>
      <c r="BV50" s="100">
        <v>0.33198761927361958</v>
      </c>
      <c r="BW50" s="100">
        <v>93.620508635160718</v>
      </c>
      <c r="BX50" s="100">
        <v>8</v>
      </c>
      <c r="BY50" s="100">
        <v>2256</v>
      </c>
      <c r="BZ50" s="100">
        <v>9</v>
      </c>
      <c r="CA50" s="100">
        <v>2538</v>
      </c>
      <c r="CB50" s="100">
        <v>11</v>
      </c>
      <c r="CC50" s="100">
        <v>3102</v>
      </c>
      <c r="CD50" s="100">
        <v>8</v>
      </c>
      <c r="CE50" s="100">
        <v>2256</v>
      </c>
      <c r="CF50" s="100">
        <v>5.0145516757977022</v>
      </c>
      <c r="CG50" s="100">
        <v>1414.1035725749521</v>
      </c>
      <c r="CH50" s="100">
        <v>7</v>
      </c>
      <c r="CI50" s="100">
        <v>1974</v>
      </c>
      <c r="CJ50" s="100">
        <v>11</v>
      </c>
      <c r="CK50" s="100">
        <v>3102</v>
      </c>
      <c r="CL50" s="100">
        <v>11</v>
      </c>
      <c r="CM50" s="100">
        <v>3102</v>
      </c>
      <c r="CN50" s="100">
        <v>1.1465502698801926</v>
      </c>
      <c r="CO50" s="100">
        <v>323.32717610621432</v>
      </c>
      <c r="CP50" s="100">
        <v>1.8006930811478481</v>
      </c>
      <c r="CQ50" s="100">
        <v>507.79544888369315</v>
      </c>
      <c r="CR50" s="100">
        <v>9</v>
      </c>
      <c r="CS50" s="100">
        <v>2538</v>
      </c>
      <c r="CT50" s="100">
        <v>11</v>
      </c>
      <c r="CU50" s="100">
        <v>3102</v>
      </c>
    </row>
    <row r="51" spans="2:99">
      <c r="C51" s="99" t="s">
        <v>217</v>
      </c>
      <c r="D51" s="100">
        <v>6</v>
      </c>
      <c r="E51" s="100">
        <v>5126.3999999999996</v>
      </c>
      <c r="F51" s="100">
        <v>10</v>
      </c>
      <c r="G51" s="100">
        <v>8544</v>
      </c>
      <c r="H51" s="100">
        <v>9</v>
      </c>
      <c r="I51" s="100">
        <v>7689.5999999999995</v>
      </c>
      <c r="J51" s="100">
        <v>6.1544358205846246</v>
      </c>
      <c r="K51" s="100">
        <v>5258.3499651075035</v>
      </c>
      <c r="L51" s="100">
        <v>8</v>
      </c>
      <c r="M51" s="100">
        <v>6835.2</v>
      </c>
      <c r="N51" s="100">
        <v>8</v>
      </c>
      <c r="O51" s="100">
        <v>6835.2</v>
      </c>
      <c r="P51" s="100">
        <v>9</v>
      </c>
      <c r="Q51" s="100">
        <v>7689.5999999999995</v>
      </c>
      <c r="R51" s="100">
        <v>6</v>
      </c>
      <c r="S51" s="100">
        <v>5126.3999999999996</v>
      </c>
      <c r="T51" s="100">
        <v>10</v>
      </c>
      <c r="U51" s="100">
        <v>8544</v>
      </c>
      <c r="V51" s="100">
        <v>9</v>
      </c>
      <c r="W51" s="100">
        <v>7689.5999999999995</v>
      </c>
      <c r="X51" s="100">
        <v>8</v>
      </c>
      <c r="Y51" s="100">
        <v>6835.2</v>
      </c>
      <c r="Z51" s="100">
        <v>8</v>
      </c>
      <c r="AA51" s="100">
        <v>6835.2</v>
      </c>
      <c r="AB51" s="100">
        <v>3.2660022394068173</v>
      </c>
      <c r="AC51" s="100">
        <v>2790.4723133491848</v>
      </c>
      <c r="AD51" s="100">
        <v>6</v>
      </c>
      <c r="AE51" s="100">
        <v>5126.3999999999996</v>
      </c>
      <c r="AF51" s="100">
        <v>7</v>
      </c>
      <c r="AG51" s="100">
        <v>5980.8</v>
      </c>
      <c r="AH51" s="100">
        <v>8.2133726732382542</v>
      </c>
      <c r="AI51" s="100">
        <v>7017.5056120147638</v>
      </c>
      <c r="AJ51" s="100">
        <v>1.5045021753624664E-4</v>
      </c>
      <c r="AK51" s="100">
        <v>0.12854466586296912</v>
      </c>
      <c r="AL51" s="100">
        <v>2.0913367935012297E-4</v>
      </c>
      <c r="AM51" s="100">
        <v>0.17868381563674507</v>
      </c>
      <c r="AN51" s="100">
        <v>1.4882948477646678</v>
      </c>
      <c r="AO51" s="100">
        <v>1271.5991179301323</v>
      </c>
      <c r="AP51" s="100">
        <v>7</v>
      </c>
      <c r="AQ51" s="100">
        <v>5980.8</v>
      </c>
      <c r="AR51" s="100">
        <v>9</v>
      </c>
      <c r="AS51" s="100">
        <v>7689.5999999999995</v>
      </c>
      <c r="AT51" s="100">
        <v>7</v>
      </c>
      <c r="AU51" s="100">
        <v>5980.8</v>
      </c>
      <c r="AV51" s="100">
        <v>4.9408317412441409</v>
      </c>
      <c r="AW51" s="100">
        <v>4221.4466397189935</v>
      </c>
      <c r="AX51" s="100">
        <v>6</v>
      </c>
      <c r="AY51" s="100">
        <v>5126.3999999999996</v>
      </c>
      <c r="AZ51" s="100">
        <v>11</v>
      </c>
      <c r="BA51" s="100">
        <v>9398.4</v>
      </c>
      <c r="BB51" s="100">
        <v>3.8120141047363285</v>
      </c>
      <c r="BC51" s="100">
        <v>3256.9848510867191</v>
      </c>
      <c r="BD51" s="100">
        <v>8.73509995300752</v>
      </c>
      <c r="BE51" s="100">
        <v>7463.2693998496252</v>
      </c>
      <c r="BF51" s="100">
        <v>11</v>
      </c>
      <c r="BG51" s="100">
        <v>9398.4</v>
      </c>
      <c r="BH51" s="100">
        <v>11.851314200080106</v>
      </c>
      <c r="BI51" s="100">
        <v>10125.762852548442</v>
      </c>
      <c r="BJ51" s="100">
        <v>7</v>
      </c>
      <c r="BK51" s="100">
        <v>5980.8</v>
      </c>
      <c r="BL51" s="100">
        <v>7.7502466465137418</v>
      </c>
      <c r="BM51" s="100">
        <v>6621.8107347813411</v>
      </c>
      <c r="BN51" s="100">
        <v>0.32688741647663255</v>
      </c>
      <c r="BO51" s="100">
        <v>279.29260863763483</v>
      </c>
      <c r="BP51" s="100">
        <v>10</v>
      </c>
      <c r="BQ51" s="100">
        <v>8544</v>
      </c>
      <c r="BR51" s="100">
        <v>7</v>
      </c>
      <c r="BS51" s="100">
        <v>5980.8</v>
      </c>
      <c r="BT51" s="100">
        <v>4.630008274926757</v>
      </c>
      <c r="BU51" s="100">
        <v>3955.8790700974209</v>
      </c>
      <c r="BV51" s="100">
        <v>0.33198761927361958</v>
      </c>
      <c r="BW51" s="100">
        <v>283.65022190738057</v>
      </c>
      <c r="BX51" s="100">
        <v>7</v>
      </c>
      <c r="BY51" s="100">
        <v>5980.8</v>
      </c>
      <c r="BZ51" s="100">
        <v>10</v>
      </c>
      <c r="CA51" s="100">
        <v>8544</v>
      </c>
      <c r="CB51" s="100">
        <v>11</v>
      </c>
      <c r="CC51" s="100">
        <v>9398.4</v>
      </c>
      <c r="CD51" s="100">
        <v>8</v>
      </c>
      <c r="CE51" s="100">
        <v>6835.2</v>
      </c>
      <c r="CF51" s="100">
        <v>5.0145516757977022</v>
      </c>
      <c r="CG51" s="100">
        <v>4284.4329518015566</v>
      </c>
      <c r="CH51" s="100">
        <v>7</v>
      </c>
      <c r="CI51" s="100">
        <v>5980.8</v>
      </c>
      <c r="CJ51" s="100">
        <v>10</v>
      </c>
      <c r="CK51" s="100">
        <v>8544</v>
      </c>
      <c r="CL51" s="100">
        <v>9</v>
      </c>
      <c r="CM51" s="100">
        <v>7689.5999999999995</v>
      </c>
      <c r="CN51" s="100">
        <v>1.0510044140568433</v>
      </c>
      <c r="CO51" s="100">
        <v>897.97817137016693</v>
      </c>
      <c r="CP51" s="100">
        <v>1.5434512124124411</v>
      </c>
      <c r="CQ51" s="100">
        <v>1318.7247158851897</v>
      </c>
      <c r="CR51" s="100">
        <v>10</v>
      </c>
      <c r="CS51" s="100">
        <v>8544</v>
      </c>
      <c r="CT51" s="100">
        <v>10</v>
      </c>
      <c r="CU51" s="100">
        <v>8544</v>
      </c>
    </row>
    <row r="52" spans="2:99">
      <c r="C52" s="99" t="s">
        <v>218</v>
      </c>
      <c r="D52" s="100">
        <v>6</v>
      </c>
      <c r="E52" s="100">
        <v>3240</v>
      </c>
      <c r="F52" s="100">
        <v>10</v>
      </c>
      <c r="G52" s="100">
        <v>5400</v>
      </c>
      <c r="H52" s="100">
        <v>9</v>
      </c>
      <c r="I52" s="100">
        <v>4860</v>
      </c>
      <c r="J52" s="100">
        <v>6.1544358205846246</v>
      </c>
      <c r="K52" s="100">
        <v>3323.3953431156974</v>
      </c>
      <c r="L52" s="100">
        <v>8</v>
      </c>
      <c r="M52" s="100">
        <v>4320</v>
      </c>
      <c r="N52" s="100">
        <v>8</v>
      </c>
      <c r="O52" s="100">
        <v>4320</v>
      </c>
      <c r="P52" s="100">
        <v>9</v>
      </c>
      <c r="Q52" s="100">
        <v>4860</v>
      </c>
      <c r="R52" s="100">
        <v>7</v>
      </c>
      <c r="S52" s="100">
        <v>3780</v>
      </c>
      <c r="T52" s="100">
        <v>10</v>
      </c>
      <c r="U52" s="100">
        <v>5400</v>
      </c>
      <c r="V52" s="100">
        <v>8</v>
      </c>
      <c r="W52" s="100">
        <v>4320</v>
      </c>
      <c r="X52" s="100">
        <v>8</v>
      </c>
      <c r="Y52" s="100">
        <v>4320</v>
      </c>
      <c r="Z52" s="100">
        <v>7</v>
      </c>
      <c r="AA52" s="100">
        <v>3780</v>
      </c>
      <c r="AB52" s="100">
        <v>3.6288913771186859</v>
      </c>
      <c r="AC52" s="100">
        <v>1959.6013436440903</v>
      </c>
      <c r="AD52" s="100">
        <v>6</v>
      </c>
      <c r="AE52" s="100">
        <v>3240</v>
      </c>
      <c r="AF52" s="100">
        <v>7</v>
      </c>
      <c r="AG52" s="100">
        <v>3780</v>
      </c>
      <c r="AH52" s="100">
        <v>10.038566600624531</v>
      </c>
      <c r="AI52" s="100">
        <v>5420.8259643372467</v>
      </c>
      <c r="AJ52" s="100">
        <v>1.7552525379228777E-4</v>
      </c>
      <c r="AK52" s="100">
        <v>9.4783637047835392E-2</v>
      </c>
      <c r="AL52" s="100">
        <v>2.5560783031681691E-4</v>
      </c>
      <c r="AM52" s="100">
        <v>0.13802822837108114</v>
      </c>
      <c r="AN52" s="100">
        <v>1.4882948477646678</v>
      </c>
      <c r="AO52" s="100">
        <v>803.67921779292067</v>
      </c>
      <c r="AP52" s="100">
        <v>7</v>
      </c>
      <c r="AQ52" s="100">
        <v>3780</v>
      </c>
      <c r="AR52" s="100">
        <v>9</v>
      </c>
      <c r="AS52" s="100">
        <v>4860</v>
      </c>
      <c r="AT52" s="100">
        <v>7</v>
      </c>
      <c r="AU52" s="100">
        <v>3780</v>
      </c>
      <c r="AV52" s="100">
        <v>4.2349986353521212</v>
      </c>
      <c r="AW52" s="100">
        <v>2286.8992630901453</v>
      </c>
      <c r="AX52" s="100">
        <v>7</v>
      </c>
      <c r="AY52" s="100">
        <v>3780</v>
      </c>
      <c r="AZ52" s="100">
        <v>10</v>
      </c>
      <c r="BA52" s="100">
        <v>5400</v>
      </c>
      <c r="BB52" s="100">
        <v>4.574416925683594</v>
      </c>
      <c r="BC52" s="100">
        <v>2470.1851398691406</v>
      </c>
      <c r="BD52" s="100">
        <v>9.7056666144528005</v>
      </c>
      <c r="BE52" s="100">
        <v>5241.0599718045123</v>
      </c>
      <c r="BF52" s="100">
        <v>10</v>
      </c>
      <c r="BG52" s="100">
        <v>5400</v>
      </c>
      <c r="BH52" s="100">
        <v>9.8760951667334211</v>
      </c>
      <c r="BI52" s="100">
        <v>5333.0913900360474</v>
      </c>
      <c r="BJ52" s="100">
        <v>7</v>
      </c>
      <c r="BK52" s="100">
        <v>3780</v>
      </c>
      <c r="BL52" s="100">
        <v>7.7502466465137418</v>
      </c>
      <c r="BM52" s="100">
        <v>4185.1331891174204</v>
      </c>
      <c r="BN52" s="100">
        <v>0.32688741647663255</v>
      </c>
      <c r="BO52" s="100">
        <v>176.51920489738157</v>
      </c>
      <c r="BP52" s="100">
        <v>9</v>
      </c>
      <c r="BQ52" s="100">
        <v>4860</v>
      </c>
      <c r="BR52" s="100">
        <v>6</v>
      </c>
      <c r="BS52" s="100">
        <v>3240</v>
      </c>
      <c r="BT52" s="100">
        <v>4.630008274926757</v>
      </c>
      <c r="BU52" s="100">
        <v>2500.2044684604489</v>
      </c>
      <c r="BV52" s="100">
        <v>0.29510010602099518</v>
      </c>
      <c r="BW52" s="100">
        <v>159.35405725133739</v>
      </c>
      <c r="BX52" s="100">
        <v>8</v>
      </c>
      <c r="BY52" s="100">
        <v>4320</v>
      </c>
      <c r="BZ52" s="100">
        <v>9</v>
      </c>
      <c r="CA52" s="100">
        <v>4860</v>
      </c>
      <c r="CB52" s="100">
        <v>10</v>
      </c>
      <c r="CC52" s="100">
        <v>5400</v>
      </c>
      <c r="CD52" s="100">
        <v>7</v>
      </c>
      <c r="CE52" s="100">
        <v>3780</v>
      </c>
      <c r="CF52" s="100">
        <v>5.7309162009116594</v>
      </c>
      <c r="CG52" s="100">
        <v>3094.6947484922962</v>
      </c>
      <c r="CH52" s="100">
        <v>7</v>
      </c>
      <c r="CI52" s="100">
        <v>3780</v>
      </c>
      <c r="CJ52" s="100">
        <v>10</v>
      </c>
      <c r="CK52" s="100">
        <v>5400</v>
      </c>
      <c r="CL52" s="100">
        <v>10</v>
      </c>
      <c r="CM52" s="100">
        <v>5400</v>
      </c>
      <c r="CN52" s="100">
        <v>0.95545855823349368</v>
      </c>
      <c r="CO52" s="100">
        <v>515.9476214460866</v>
      </c>
      <c r="CP52" s="100">
        <v>1.5434512124124411</v>
      </c>
      <c r="CQ52" s="100">
        <v>833.46365470271815</v>
      </c>
      <c r="CR52" s="100">
        <v>9</v>
      </c>
      <c r="CS52" s="100">
        <v>4860</v>
      </c>
      <c r="CT52" s="100">
        <v>11</v>
      </c>
      <c r="CU52" s="100">
        <v>5940</v>
      </c>
    </row>
    <row r="53" spans="2:99">
      <c r="C53" s="99" t="s">
        <v>219</v>
      </c>
      <c r="D53" s="100">
        <v>6</v>
      </c>
      <c r="E53" s="100">
        <v>2440.8000000000002</v>
      </c>
      <c r="F53" s="100">
        <v>11</v>
      </c>
      <c r="G53" s="100">
        <v>4474.8</v>
      </c>
      <c r="H53" s="100">
        <v>9</v>
      </c>
      <c r="I53" s="100">
        <v>3661.2000000000003</v>
      </c>
      <c r="J53" s="100">
        <v>6.1544358205846246</v>
      </c>
      <c r="K53" s="100">
        <v>2503.6244918138254</v>
      </c>
      <c r="L53" s="100">
        <v>8</v>
      </c>
      <c r="M53" s="100">
        <v>3254.4</v>
      </c>
      <c r="N53" s="100">
        <v>8</v>
      </c>
      <c r="O53" s="100">
        <v>3254.4</v>
      </c>
      <c r="P53" s="100">
        <v>10</v>
      </c>
      <c r="Q53" s="100">
        <v>4068</v>
      </c>
      <c r="R53" s="100">
        <v>7</v>
      </c>
      <c r="S53" s="100">
        <v>2847.6</v>
      </c>
      <c r="T53" s="100">
        <v>11</v>
      </c>
      <c r="U53" s="100">
        <v>4474.8</v>
      </c>
      <c r="V53" s="100">
        <v>9</v>
      </c>
      <c r="W53" s="100">
        <v>3661.2000000000003</v>
      </c>
      <c r="X53" s="100">
        <v>8</v>
      </c>
      <c r="Y53" s="100">
        <v>3254.4</v>
      </c>
      <c r="Z53" s="100">
        <v>7</v>
      </c>
      <c r="AA53" s="100">
        <v>2847.6</v>
      </c>
      <c r="AB53" s="100">
        <v>3.6288913771186859</v>
      </c>
      <c r="AC53" s="100">
        <v>1476.2330122118815</v>
      </c>
      <c r="AD53" s="100">
        <v>6</v>
      </c>
      <c r="AE53" s="100">
        <v>2440.8000000000002</v>
      </c>
      <c r="AF53" s="100">
        <v>8</v>
      </c>
      <c r="AG53" s="100">
        <v>3254.4</v>
      </c>
      <c r="AH53" s="100">
        <v>8.2133726732382542</v>
      </c>
      <c r="AI53" s="100">
        <v>3341.2000034733219</v>
      </c>
      <c r="AJ53" s="100">
        <v>2.0060029004832886E-4</v>
      </c>
      <c r="AK53" s="100">
        <v>8.1604197991660188E-2</v>
      </c>
      <c r="AL53" s="100">
        <v>2.3237075483346995E-4</v>
      </c>
      <c r="AM53" s="100">
        <v>9.4528423066255585E-2</v>
      </c>
      <c r="AN53" s="100">
        <v>1.7363439890587793</v>
      </c>
      <c r="AO53" s="100">
        <v>706.34473474911147</v>
      </c>
      <c r="AP53" s="100">
        <v>7</v>
      </c>
      <c r="AQ53" s="100">
        <v>2847.6</v>
      </c>
      <c r="AR53" s="100">
        <v>10</v>
      </c>
      <c r="AS53" s="100">
        <v>4068</v>
      </c>
      <c r="AT53" s="100">
        <v>7</v>
      </c>
      <c r="AU53" s="100">
        <v>2847.6</v>
      </c>
      <c r="AV53" s="100">
        <v>4.9408317412441409</v>
      </c>
      <c r="AW53" s="100">
        <v>2009.9303523381166</v>
      </c>
      <c r="AX53" s="100">
        <v>6</v>
      </c>
      <c r="AY53" s="100">
        <v>2440.8000000000002</v>
      </c>
      <c r="AZ53" s="100">
        <v>10</v>
      </c>
      <c r="BA53" s="100">
        <v>4068</v>
      </c>
      <c r="BB53" s="100">
        <v>4.1932155152099613</v>
      </c>
      <c r="BC53" s="100">
        <v>1705.8000715874123</v>
      </c>
      <c r="BD53" s="100">
        <v>9.7056666144528005</v>
      </c>
      <c r="BE53" s="100">
        <v>3948.2651787593995</v>
      </c>
      <c r="BF53" s="100">
        <v>10</v>
      </c>
      <c r="BG53" s="100">
        <v>4068</v>
      </c>
      <c r="BH53" s="100">
        <v>10.863704683406763</v>
      </c>
      <c r="BI53" s="100">
        <v>4419.3550652098711</v>
      </c>
      <c r="BJ53" s="100">
        <v>7</v>
      </c>
      <c r="BK53" s="100">
        <v>2847.6</v>
      </c>
      <c r="BL53" s="100">
        <v>6.9752219818623669</v>
      </c>
      <c r="BM53" s="100">
        <v>2837.520302221611</v>
      </c>
      <c r="BN53" s="100">
        <v>0.32688741647663255</v>
      </c>
      <c r="BO53" s="100">
        <v>132.97780102269414</v>
      </c>
      <c r="BP53" s="100">
        <v>11</v>
      </c>
      <c r="BQ53" s="100">
        <v>4474.8</v>
      </c>
      <c r="BR53" s="100">
        <v>7</v>
      </c>
      <c r="BS53" s="100">
        <v>2847.6</v>
      </c>
      <c r="BT53" s="100">
        <v>4.630008274926757</v>
      </c>
      <c r="BU53" s="100">
        <v>1883.4873662402049</v>
      </c>
      <c r="BV53" s="100">
        <v>0.33198761927361958</v>
      </c>
      <c r="BW53" s="100">
        <v>135.05256352050844</v>
      </c>
      <c r="BX53" s="100">
        <v>8</v>
      </c>
      <c r="BY53" s="100">
        <v>3254.4</v>
      </c>
      <c r="BZ53" s="100">
        <v>10</v>
      </c>
      <c r="CA53" s="100">
        <v>4068</v>
      </c>
      <c r="CB53" s="100">
        <v>11</v>
      </c>
      <c r="CC53" s="100">
        <v>4474.8</v>
      </c>
      <c r="CD53" s="100">
        <v>7</v>
      </c>
      <c r="CE53" s="100">
        <v>2847.6</v>
      </c>
      <c r="CF53" s="100">
        <v>5.7309162009116594</v>
      </c>
      <c r="CG53" s="100">
        <v>2331.336710530863</v>
      </c>
      <c r="CH53" s="100">
        <v>7</v>
      </c>
      <c r="CI53" s="100">
        <v>2847.6</v>
      </c>
      <c r="CJ53" s="100">
        <v>10</v>
      </c>
      <c r="CK53" s="100">
        <v>4068</v>
      </c>
      <c r="CL53" s="100">
        <v>9</v>
      </c>
      <c r="CM53" s="100">
        <v>3661.2000000000003</v>
      </c>
      <c r="CN53" s="100">
        <v>1.0510044140568433</v>
      </c>
      <c r="CO53" s="100">
        <v>427.54859563832389</v>
      </c>
      <c r="CP53" s="100">
        <v>1.5434512124124411</v>
      </c>
      <c r="CQ53" s="100">
        <v>627.87595320938101</v>
      </c>
      <c r="CR53" s="100">
        <v>10</v>
      </c>
      <c r="CS53" s="100">
        <v>4068</v>
      </c>
      <c r="CT53" s="100">
        <v>10</v>
      </c>
      <c r="CU53" s="100">
        <v>4068</v>
      </c>
    </row>
    <row r="54" spans="2:99">
      <c r="C54" s="99" t="s">
        <v>220</v>
      </c>
      <c r="D54" s="100">
        <v>5</v>
      </c>
      <c r="E54" s="100">
        <v>1674</v>
      </c>
      <c r="F54" s="100">
        <v>12</v>
      </c>
      <c r="G54" s="100">
        <v>4017.6000000000004</v>
      </c>
      <c r="H54" s="100">
        <v>9</v>
      </c>
      <c r="I54" s="100">
        <v>3013.2000000000003</v>
      </c>
      <c r="J54" s="100">
        <v>6.7139299860923174</v>
      </c>
      <c r="K54" s="100">
        <v>2247.8237593437079</v>
      </c>
      <c r="L54" s="100">
        <v>8</v>
      </c>
      <c r="M54" s="100">
        <v>2678.4</v>
      </c>
      <c r="N54" s="100">
        <v>9</v>
      </c>
      <c r="O54" s="100">
        <v>3013.2000000000003</v>
      </c>
      <c r="P54" s="100">
        <v>9</v>
      </c>
      <c r="Q54" s="100">
        <v>3013.2000000000003</v>
      </c>
      <c r="R54" s="100">
        <v>7</v>
      </c>
      <c r="S54" s="100">
        <v>2343.6</v>
      </c>
      <c r="T54" s="100">
        <v>10</v>
      </c>
      <c r="U54" s="100">
        <v>3348</v>
      </c>
      <c r="V54" s="100">
        <v>9</v>
      </c>
      <c r="W54" s="100">
        <v>3013.2000000000003</v>
      </c>
      <c r="X54" s="100">
        <v>7</v>
      </c>
      <c r="Y54" s="100">
        <v>2343.6</v>
      </c>
      <c r="Z54" s="100">
        <v>8</v>
      </c>
      <c r="AA54" s="100">
        <v>2678.4</v>
      </c>
      <c r="AB54" s="100">
        <v>3.9917805148305541</v>
      </c>
      <c r="AC54" s="100">
        <v>1336.4481163652695</v>
      </c>
      <c r="AD54" s="100">
        <v>6</v>
      </c>
      <c r="AE54" s="100">
        <v>2008.8000000000002</v>
      </c>
      <c r="AF54" s="100">
        <v>8</v>
      </c>
      <c r="AG54" s="100">
        <v>2678.4</v>
      </c>
      <c r="AH54" s="100">
        <v>10.038566600624531</v>
      </c>
      <c r="AI54" s="100">
        <v>3360.9120978890933</v>
      </c>
      <c r="AJ54" s="100">
        <v>1.7552525379228777E-4</v>
      </c>
      <c r="AK54" s="100">
        <v>5.876585496965795E-2</v>
      </c>
      <c r="AL54" s="100">
        <v>2.3237075483346995E-4</v>
      </c>
      <c r="AM54" s="100">
        <v>7.7797728718245737E-2</v>
      </c>
      <c r="AN54" s="100">
        <v>1.4882948477646678</v>
      </c>
      <c r="AO54" s="100">
        <v>498.2811150316108</v>
      </c>
      <c r="AP54" s="100">
        <v>7</v>
      </c>
      <c r="AQ54" s="100">
        <v>2343.6</v>
      </c>
      <c r="AR54" s="100">
        <v>9</v>
      </c>
      <c r="AS54" s="100">
        <v>3013.2000000000003</v>
      </c>
      <c r="AT54" s="100">
        <v>8</v>
      </c>
      <c r="AU54" s="100">
        <v>2678.4</v>
      </c>
      <c r="AV54" s="100">
        <v>4.2349986353521212</v>
      </c>
      <c r="AW54" s="100">
        <v>1417.8775431158901</v>
      </c>
      <c r="AX54" s="100">
        <v>7</v>
      </c>
      <c r="AY54" s="100">
        <v>2343.6</v>
      </c>
      <c r="AZ54" s="100">
        <v>11</v>
      </c>
      <c r="BA54" s="100">
        <v>3682.8</v>
      </c>
      <c r="BB54" s="100">
        <v>4.574416925683594</v>
      </c>
      <c r="BC54" s="100">
        <v>1531.5147867188673</v>
      </c>
      <c r="BD54" s="100">
        <v>9.7056666144528005</v>
      </c>
      <c r="BE54" s="100">
        <v>3249.4571825187977</v>
      </c>
      <c r="BF54" s="100">
        <v>12</v>
      </c>
      <c r="BG54" s="100">
        <v>4017.6000000000004</v>
      </c>
      <c r="BH54" s="100">
        <v>9.8760951667334211</v>
      </c>
      <c r="BI54" s="100">
        <v>3306.5166618223493</v>
      </c>
      <c r="BJ54" s="100">
        <v>7</v>
      </c>
      <c r="BK54" s="100">
        <v>2343.6</v>
      </c>
      <c r="BL54" s="100">
        <v>7.7502466465137418</v>
      </c>
      <c r="BM54" s="100">
        <v>2594.7825772528008</v>
      </c>
      <c r="BN54" s="100">
        <v>0.32688741647663255</v>
      </c>
      <c r="BO54" s="100">
        <v>109.44190703637658</v>
      </c>
      <c r="BP54" s="100">
        <v>10</v>
      </c>
      <c r="BQ54" s="100">
        <v>3348</v>
      </c>
      <c r="BR54" s="100">
        <v>6</v>
      </c>
      <c r="BS54" s="100">
        <v>2008.8000000000002</v>
      </c>
      <c r="BT54" s="100">
        <v>5.2914380284877218</v>
      </c>
      <c r="BU54" s="100">
        <v>1771.5734519376892</v>
      </c>
      <c r="BV54" s="100">
        <v>0.29510010602099518</v>
      </c>
      <c r="BW54" s="100">
        <v>98.799515495829183</v>
      </c>
      <c r="BX54" s="100">
        <v>8</v>
      </c>
      <c r="BY54" s="100">
        <v>2678.4</v>
      </c>
      <c r="BZ54" s="100">
        <v>10</v>
      </c>
      <c r="CA54" s="100">
        <v>3348</v>
      </c>
      <c r="CB54" s="100">
        <v>10</v>
      </c>
      <c r="CC54" s="100">
        <v>3348</v>
      </c>
      <c r="CD54" s="100">
        <v>7</v>
      </c>
      <c r="CE54" s="100">
        <v>2343.6</v>
      </c>
      <c r="CF54" s="100">
        <v>5.0145516757977022</v>
      </c>
      <c r="CG54" s="100">
        <v>1678.8719010570708</v>
      </c>
      <c r="CH54" s="100">
        <v>7</v>
      </c>
      <c r="CI54" s="100">
        <v>2343.6</v>
      </c>
      <c r="CJ54" s="100">
        <v>11</v>
      </c>
      <c r="CK54" s="100">
        <v>3682.8</v>
      </c>
      <c r="CL54" s="100">
        <v>10</v>
      </c>
      <c r="CM54" s="100">
        <v>3348</v>
      </c>
      <c r="CN54" s="100">
        <v>1.0510044140568433</v>
      </c>
      <c r="CO54" s="100">
        <v>351.87627782623116</v>
      </c>
      <c r="CP54" s="100">
        <v>1.5434512124124411</v>
      </c>
      <c r="CQ54" s="100">
        <v>516.74746591568532</v>
      </c>
      <c r="CR54" s="100">
        <v>10</v>
      </c>
      <c r="CS54" s="100">
        <v>3348</v>
      </c>
      <c r="CT54" s="100">
        <v>10</v>
      </c>
      <c r="CU54" s="100">
        <v>3348</v>
      </c>
    </row>
    <row r="55" spans="2:99">
      <c r="C55" s="99" t="s">
        <v>221</v>
      </c>
      <c r="D55" s="100">
        <v>6</v>
      </c>
      <c r="E55" s="100">
        <v>3981.6000000000004</v>
      </c>
      <c r="F55" s="100">
        <v>10</v>
      </c>
      <c r="G55" s="100">
        <v>6636</v>
      </c>
      <c r="H55" s="100">
        <v>8</v>
      </c>
      <c r="I55" s="100">
        <v>5308.8</v>
      </c>
      <c r="J55" s="100">
        <v>6.1544358205846246</v>
      </c>
      <c r="K55" s="100">
        <v>4084.0836105399571</v>
      </c>
      <c r="L55" s="100">
        <v>8</v>
      </c>
      <c r="M55" s="100">
        <v>5308.8</v>
      </c>
      <c r="N55" s="100">
        <v>7</v>
      </c>
      <c r="O55" s="100">
        <v>4645.2</v>
      </c>
      <c r="P55" s="100">
        <v>10</v>
      </c>
      <c r="Q55" s="100">
        <v>6636</v>
      </c>
      <c r="R55" s="100">
        <v>6</v>
      </c>
      <c r="S55" s="100">
        <v>3981.6000000000004</v>
      </c>
      <c r="T55" s="100">
        <v>11</v>
      </c>
      <c r="U55" s="100">
        <v>7299.6</v>
      </c>
      <c r="V55" s="100">
        <v>9</v>
      </c>
      <c r="W55" s="100">
        <v>5972.4000000000005</v>
      </c>
      <c r="X55" s="100">
        <v>8</v>
      </c>
      <c r="Y55" s="100">
        <v>5308.8</v>
      </c>
      <c r="Z55" s="100">
        <v>7</v>
      </c>
      <c r="AA55" s="100">
        <v>4645.2</v>
      </c>
      <c r="AB55" s="100">
        <v>3.6288913771186859</v>
      </c>
      <c r="AC55" s="100">
        <v>2408.1323178559601</v>
      </c>
      <c r="AD55" s="100">
        <v>6</v>
      </c>
      <c r="AE55" s="100">
        <v>3981.6000000000004</v>
      </c>
      <c r="AF55" s="100">
        <v>7</v>
      </c>
      <c r="AG55" s="100">
        <v>4645.2</v>
      </c>
      <c r="AH55" s="100">
        <v>10.038566600624531</v>
      </c>
      <c r="AI55" s="100">
        <v>6661.5927961744392</v>
      </c>
      <c r="AJ55" s="100">
        <v>2.0060029004832886E-4</v>
      </c>
      <c r="AK55" s="100">
        <v>0.13311835247607104</v>
      </c>
      <c r="AL55" s="100">
        <v>2.3237075483346995E-4</v>
      </c>
      <c r="AM55" s="100">
        <v>0.15420123290749066</v>
      </c>
      <c r="AN55" s="100">
        <v>1.4882948477646678</v>
      </c>
      <c r="AO55" s="100">
        <v>987.63246097663364</v>
      </c>
      <c r="AP55" s="100">
        <v>7</v>
      </c>
      <c r="AQ55" s="100">
        <v>4645.2</v>
      </c>
      <c r="AR55" s="100">
        <v>8</v>
      </c>
      <c r="AS55" s="100">
        <v>5308.8</v>
      </c>
      <c r="AT55" s="100">
        <v>7</v>
      </c>
      <c r="AU55" s="100">
        <v>4645.2</v>
      </c>
      <c r="AV55" s="100">
        <v>4.9408317412441409</v>
      </c>
      <c r="AW55" s="100">
        <v>3278.7359434896121</v>
      </c>
      <c r="AX55" s="100">
        <v>6</v>
      </c>
      <c r="AY55" s="100">
        <v>3981.6000000000004</v>
      </c>
      <c r="AZ55" s="100">
        <v>10</v>
      </c>
      <c r="BA55" s="100">
        <v>6636</v>
      </c>
      <c r="BB55" s="100">
        <v>4.1932155152099613</v>
      </c>
      <c r="BC55" s="100">
        <v>2782.6178158933303</v>
      </c>
      <c r="BD55" s="100">
        <v>8.73509995300752</v>
      </c>
      <c r="BE55" s="100">
        <v>5796.6123288157905</v>
      </c>
      <c r="BF55" s="100">
        <v>11</v>
      </c>
      <c r="BG55" s="100">
        <v>7299.6</v>
      </c>
      <c r="BH55" s="100">
        <v>9.8760951667334211</v>
      </c>
      <c r="BI55" s="100">
        <v>6553.7767526442985</v>
      </c>
      <c r="BJ55" s="100">
        <v>7</v>
      </c>
      <c r="BK55" s="100">
        <v>4645.2</v>
      </c>
      <c r="BL55" s="100">
        <v>6.9752219818623669</v>
      </c>
      <c r="BM55" s="100">
        <v>4628.7573071638672</v>
      </c>
      <c r="BN55" s="100">
        <v>0.36774834353621161</v>
      </c>
      <c r="BO55" s="100">
        <v>244.03780077063004</v>
      </c>
      <c r="BP55" s="100">
        <v>10</v>
      </c>
      <c r="BQ55" s="100">
        <v>6636</v>
      </c>
      <c r="BR55" s="100">
        <v>7</v>
      </c>
      <c r="BS55" s="100">
        <v>4645.2</v>
      </c>
      <c r="BT55" s="100">
        <v>4.630008274926757</v>
      </c>
      <c r="BU55" s="100">
        <v>3072.473491241396</v>
      </c>
      <c r="BV55" s="100">
        <v>0.29510010602099518</v>
      </c>
      <c r="BW55" s="100">
        <v>195.82843035553242</v>
      </c>
      <c r="BX55" s="100">
        <v>8</v>
      </c>
      <c r="BY55" s="100">
        <v>5308.8</v>
      </c>
      <c r="BZ55" s="100">
        <v>10</v>
      </c>
      <c r="CA55" s="100">
        <v>6636</v>
      </c>
      <c r="CB55" s="100">
        <v>10</v>
      </c>
      <c r="CC55" s="100">
        <v>6636</v>
      </c>
      <c r="CD55" s="100">
        <v>7</v>
      </c>
      <c r="CE55" s="100">
        <v>4645.2</v>
      </c>
      <c r="CF55" s="100">
        <v>5.0145516757977022</v>
      </c>
      <c r="CG55" s="100">
        <v>3327.6564920593555</v>
      </c>
      <c r="CH55" s="100">
        <v>7</v>
      </c>
      <c r="CI55" s="100">
        <v>4645.2</v>
      </c>
      <c r="CJ55" s="100">
        <v>11</v>
      </c>
      <c r="CK55" s="100">
        <v>7299.6</v>
      </c>
      <c r="CL55" s="100">
        <v>9</v>
      </c>
      <c r="CM55" s="100">
        <v>5972.4000000000005</v>
      </c>
      <c r="CN55" s="100">
        <v>1.0510044140568433</v>
      </c>
      <c r="CO55" s="100">
        <v>697.44652916812129</v>
      </c>
      <c r="CP55" s="100">
        <v>1.5434512124124411</v>
      </c>
      <c r="CQ55" s="100">
        <v>1024.2342245568959</v>
      </c>
      <c r="CR55" s="100">
        <v>9</v>
      </c>
      <c r="CS55" s="100">
        <v>5972.4000000000005</v>
      </c>
      <c r="CT55" s="100">
        <v>10</v>
      </c>
      <c r="CU55" s="100">
        <v>6636</v>
      </c>
    </row>
    <row r="56" spans="2:99">
      <c r="C56" s="99" t="s">
        <v>222</v>
      </c>
      <c r="D56" s="100">
        <v>4.722222222222217</v>
      </c>
      <c r="E56" s="100">
        <v>4635.3333333333276</v>
      </c>
      <c r="F56" s="100">
        <v>0.72483615749514563</v>
      </c>
      <c r="G56" s="100">
        <v>711.49917219723488</v>
      </c>
      <c r="H56" s="100">
        <v>9</v>
      </c>
      <c r="I56" s="100">
        <v>8834.4</v>
      </c>
      <c r="J56" s="100">
        <v>11</v>
      </c>
      <c r="K56" s="100">
        <v>10797.599999999999</v>
      </c>
      <c r="L56" s="100">
        <v>8</v>
      </c>
      <c r="M56" s="100">
        <v>7852.7999999999993</v>
      </c>
      <c r="N56" s="100">
        <v>8</v>
      </c>
      <c r="O56" s="100">
        <v>7852.7999999999993</v>
      </c>
      <c r="P56" s="100">
        <v>8</v>
      </c>
      <c r="Q56" s="100">
        <v>7852.7999999999993</v>
      </c>
      <c r="R56" s="100">
        <v>3.7447406470696545</v>
      </c>
      <c r="S56" s="100">
        <v>3675.8374191635726</v>
      </c>
      <c r="T56" s="100">
        <v>8.3482142857142865</v>
      </c>
      <c r="U56" s="100">
        <v>8194.6071428571431</v>
      </c>
      <c r="V56" s="100">
        <v>7.4271844660194191</v>
      </c>
      <c r="W56" s="100">
        <v>7290.5242718446607</v>
      </c>
      <c r="X56" s="100">
        <v>8</v>
      </c>
      <c r="Y56" s="100">
        <v>7852.7999999999993</v>
      </c>
      <c r="Z56" s="100">
        <v>7</v>
      </c>
      <c r="AA56" s="100">
        <v>6871.1999999999989</v>
      </c>
      <c r="AB56" s="100">
        <v>9</v>
      </c>
      <c r="AC56" s="100">
        <v>8834.4</v>
      </c>
      <c r="AD56" s="100">
        <v>4.4430379746835484</v>
      </c>
      <c r="AE56" s="100">
        <v>4361.2860759493706</v>
      </c>
      <c r="AF56" s="100">
        <v>7</v>
      </c>
      <c r="AG56" s="100">
        <v>6871.1999999999989</v>
      </c>
      <c r="AH56" s="100">
        <v>10</v>
      </c>
      <c r="AI56" s="100">
        <v>9816</v>
      </c>
      <c r="AJ56" s="100">
        <v>6.8389997007967906</v>
      </c>
      <c r="AK56" s="100">
        <v>6713.1621063021294</v>
      </c>
      <c r="AL56" s="100">
        <v>2.475830476174945</v>
      </c>
      <c r="AM56" s="100">
        <v>2430.2751954133259</v>
      </c>
      <c r="AN56" s="100">
        <v>6</v>
      </c>
      <c r="AO56" s="100">
        <v>5889.5999999999995</v>
      </c>
      <c r="AP56" s="100">
        <v>5.2127659574468108</v>
      </c>
      <c r="AQ56" s="100">
        <v>5116.8510638297894</v>
      </c>
      <c r="AR56" s="100">
        <v>8</v>
      </c>
      <c r="AS56" s="100">
        <v>7852.7999999999993</v>
      </c>
      <c r="AT56" s="100">
        <v>5.3820754716981147</v>
      </c>
      <c r="AU56" s="100">
        <v>5283.0452830188688</v>
      </c>
      <c r="AV56" s="100">
        <v>6</v>
      </c>
      <c r="AW56" s="100">
        <v>5889.5999999999995</v>
      </c>
      <c r="AX56" s="100">
        <v>4.6367082867203653</v>
      </c>
      <c r="AY56" s="100">
        <v>4551.3928542447102</v>
      </c>
      <c r="AZ56" s="100">
        <v>6.3551401869158886</v>
      </c>
      <c r="BA56" s="100">
        <v>6238.205607476636</v>
      </c>
      <c r="BB56" s="100">
        <v>3.4116033517873134</v>
      </c>
      <c r="BC56" s="100">
        <v>3348.8298501144268</v>
      </c>
      <c r="BD56" s="100">
        <v>8.7136217642964819</v>
      </c>
      <c r="BE56" s="100">
        <v>8553.2911238334254</v>
      </c>
      <c r="BF56" s="100">
        <v>3.9272072335134105</v>
      </c>
      <c r="BG56" s="100">
        <v>3854.9466204167634</v>
      </c>
      <c r="BH56" s="100">
        <v>12</v>
      </c>
      <c r="BI56" s="100">
        <v>11779.199999999999</v>
      </c>
      <c r="BJ56" s="100">
        <v>7.939439317708735</v>
      </c>
      <c r="BK56" s="100">
        <v>7793.3536342628931</v>
      </c>
      <c r="BL56" s="100">
        <v>7.9574468085106389</v>
      </c>
      <c r="BM56" s="100">
        <v>7811.0297872340425</v>
      </c>
      <c r="BN56" s="100">
        <v>4.4881854872099414</v>
      </c>
      <c r="BO56" s="100">
        <v>4405.6028742452781</v>
      </c>
      <c r="BP56" s="100">
        <v>10</v>
      </c>
      <c r="BQ56" s="100">
        <v>9816</v>
      </c>
      <c r="BR56" s="100">
        <v>6</v>
      </c>
      <c r="BS56" s="100">
        <v>5889.5999999999995</v>
      </c>
      <c r="BT56" s="100">
        <v>6.1474761021728099</v>
      </c>
      <c r="BU56" s="100">
        <v>6034.3625418928295</v>
      </c>
      <c r="BV56" s="100">
        <v>2.3985729363419424</v>
      </c>
      <c r="BW56" s="100">
        <v>2354.4391943132505</v>
      </c>
      <c r="BX56" s="100">
        <v>2.9370988128904698</v>
      </c>
      <c r="BY56" s="100">
        <v>2883.0561947332849</v>
      </c>
      <c r="BZ56" s="100">
        <v>6.4150943396226436</v>
      </c>
      <c r="CA56" s="100">
        <v>6297.0566037735862</v>
      </c>
      <c r="CB56" s="100">
        <v>6.6669421972815526</v>
      </c>
      <c r="CC56" s="100">
        <v>6544.2704608515714</v>
      </c>
      <c r="CD56" s="100">
        <v>5.9945058424918569</v>
      </c>
      <c r="CE56" s="100">
        <v>5884.2069349900066</v>
      </c>
      <c r="CF56" s="100">
        <v>7</v>
      </c>
      <c r="CG56" s="100">
        <v>6871.1999999999989</v>
      </c>
      <c r="CH56" s="100">
        <v>7</v>
      </c>
      <c r="CI56" s="100">
        <v>6871.1999999999989</v>
      </c>
      <c r="CJ56" s="100">
        <v>9.4308954727322671</v>
      </c>
      <c r="CK56" s="100">
        <v>9257.3669960339921</v>
      </c>
      <c r="CL56" s="100">
        <v>6.144578313253013</v>
      </c>
      <c r="CM56" s="100">
        <v>6031.5180722891573</v>
      </c>
      <c r="CN56" s="100">
        <v>6.2335909544582515</v>
      </c>
      <c r="CO56" s="100">
        <v>6118.8928808962191</v>
      </c>
      <c r="CP56" s="100">
        <v>5.281567040836272</v>
      </c>
      <c r="CQ56" s="100">
        <v>5184.3862072848842</v>
      </c>
      <c r="CR56" s="100">
        <v>9</v>
      </c>
      <c r="CS56" s="100">
        <v>8834.4</v>
      </c>
      <c r="CT56" s="100">
        <v>9.1758241758241788</v>
      </c>
      <c r="CU56" s="100">
        <v>9006.989010989013</v>
      </c>
    </row>
    <row r="57" spans="2:99">
      <c r="C57" s="99" t="s">
        <v>223</v>
      </c>
      <c r="D57" s="100">
        <v>6</v>
      </c>
      <c r="E57" s="100">
        <v>8467.2000000000007</v>
      </c>
      <c r="F57" s="100">
        <v>11</v>
      </c>
      <c r="G57" s="100">
        <v>15523.2</v>
      </c>
      <c r="H57" s="100">
        <v>8</v>
      </c>
      <c r="I57" s="100">
        <v>11289.6</v>
      </c>
      <c r="J57" s="100">
        <v>6.1544358205846246</v>
      </c>
      <c r="K57" s="100">
        <v>8685.1398300090223</v>
      </c>
      <c r="L57" s="100">
        <v>7</v>
      </c>
      <c r="M57" s="100">
        <v>9878.4</v>
      </c>
      <c r="N57" s="100">
        <v>8</v>
      </c>
      <c r="O57" s="100">
        <v>11289.6</v>
      </c>
      <c r="P57" s="100">
        <v>8</v>
      </c>
      <c r="Q57" s="100">
        <v>11289.6</v>
      </c>
      <c r="R57" s="100">
        <v>6</v>
      </c>
      <c r="S57" s="100">
        <v>8467.2000000000007</v>
      </c>
      <c r="T57" s="100">
        <v>11</v>
      </c>
      <c r="U57" s="100">
        <v>15523.2</v>
      </c>
      <c r="V57" s="100">
        <v>9</v>
      </c>
      <c r="W57" s="100">
        <v>12700.800000000001</v>
      </c>
      <c r="X57" s="100">
        <v>8</v>
      </c>
      <c r="Y57" s="100">
        <v>11289.6</v>
      </c>
      <c r="Z57" s="100">
        <v>7</v>
      </c>
      <c r="AA57" s="100">
        <v>9878.4</v>
      </c>
      <c r="AB57" s="100">
        <v>3.6288913771186859</v>
      </c>
      <c r="AC57" s="100">
        <v>5121.09151138989</v>
      </c>
      <c r="AD57" s="100">
        <v>6</v>
      </c>
      <c r="AE57" s="100">
        <v>8467.2000000000007</v>
      </c>
      <c r="AF57" s="100">
        <v>7</v>
      </c>
      <c r="AG57" s="100">
        <v>9878.4</v>
      </c>
      <c r="AH57" s="100">
        <v>8.2133726732382542</v>
      </c>
      <c r="AI57" s="100">
        <v>11590.711516473824</v>
      </c>
      <c r="AJ57" s="100">
        <v>1.7552525379228777E-4</v>
      </c>
      <c r="AK57" s="100">
        <v>0.24770123815167652</v>
      </c>
      <c r="AL57" s="100">
        <v>2.3237075483346995E-4</v>
      </c>
      <c r="AM57" s="100">
        <v>0.32792160922099278</v>
      </c>
      <c r="AN57" s="100">
        <v>1.7363439890587793</v>
      </c>
      <c r="AO57" s="100">
        <v>2450.3286373597493</v>
      </c>
      <c r="AP57" s="100">
        <v>7</v>
      </c>
      <c r="AQ57" s="100">
        <v>9878.4</v>
      </c>
      <c r="AR57" s="100">
        <v>9</v>
      </c>
      <c r="AS57" s="100">
        <v>12700.800000000001</v>
      </c>
      <c r="AT57" s="100">
        <v>7</v>
      </c>
      <c r="AU57" s="100">
        <v>9878.4</v>
      </c>
      <c r="AV57" s="100">
        <v>4.9408317412441409</v>
      </c>
      <c r="AW57" s="100">
        <v>6972.5017532437323</v>
      </c>
      <c r="AX57" s="100">
        <v>6</v>
      </c>
      <c r="AY57" s="100">
        <v>8467.2000000000007</v>
      </c>
      <c r="AZ57" s="100">
        <v>10</v>
      </c>
      <c r="BA57" s="100">
        <v>14112</v>
      </c>
      <c r="BB57" s="100">
        <v>4.1932155152099613</v>
      </c>
      <c r="BC57" s="100">
        <v>5917.4657350642974</v>
      </c>
      <c r="BD57" s="100">
        <v>9.7056666144528005</v>
      </c>
      <c r="BE57" s="100">
        <v>13696.636726315792</v>
      </c>
      <c r="BF57" s="100">
        <v>10</v>
      </c>
      <c r="BG57" s="100">
        <v>14112</v>
      </c>
      <c r="BH57" s="100">
        <v>10.863704683406763</v>
      </c>
      <c r="BI57" s="100">
        <v>15330.860049223624</v>
      </c>
      <c r="BJ57" s="100">
        <v>7</v>
      </c>
      <c r="BK57" s="100">
        <v>9878.4</v>
      </c>
      <c r="BL57" s="100">
        <v>7.7502466465137418</v>
      </c>
      <c r="BM57" s="100">
        <v>10937.148067560192</v>
      </c>
      <c r="BN57" s="100">
        <v>0.2860264894170535</v>
      </c>
      <c r="BO57" s="100">
        <v>403.64058186534589</v>
      </c>
      <c r="BP57" s="100">
        <v>10</v>
      </c>
      <c r="BQ57" s="100">
        <v>14112</v>
      </c>
      <c r="BR57" s="100">
        <v>7</v>
      </c>
      <c r="BS57" s="100">
        <v>9878.4</v>
      </c>
      <c r="BT57" s="100">
        <v>4.630008274926757</v>
      </c>
      <c r="BU57" s="100">
        <v>6533.8676775766398</v>
      </c>
      <c r="BV57" s="100">
        <v>0.33198761927361958</v>
      </c>
      <c r="BW57" s="100">
        <v>468.50092831893198</v>
      </c>
      <c r="BX57" s="100">
        <v>8</v>
      </c>
      <c r="BY57" s="100">
        <v>11289.6</v>
      </c>
      <c r="BZ57" s="100">
        <v>8</v>
      </c>
      <c r="CA57" s="100">
        <v>11289.6</v>
      </c>
      <c r="CB57" s="100">
        <v>9</v>
      </c>
      <c r="CC57" s="100">
        <v>12700.800000000001</v>
      </c>
      <c r="CD57" s="100">
        <v>7</v>
      </c>
      <c r="CE57" s="100">
        <v>9878.4</v>
      </c>
      <c r="CF57" s="100">
        <v>5.0145516757977022</v>
      </c>
      <c r="CG57" s="100">
        <v>7076.5353248857173</v>
      </c>
      <c r="CH57" s="100">
        <v>6</v>
      </c>
      <c r="CI57" s="100">
        <v>8467.2000000000007</v>
      </c>
      <c r="CJ57" s="100">
        <v>11</v>
      </c>
      <c r="CK57" s="100">
        <v>15523.2</v>
      </c>
      <c r="CL57" s="100">
        <v>10</v>
      </c>
      <c r="CM57" s="100">
        <v>14112</v>
      </c>
      <c r="CN57" s="100">
        <v>0.95545855823349368</v>
      </c>
      <c r="CO57" s="100">
        <v>1348.3431173791064</v>
      </c>
      <c r="CP57" s="100">
        <v>1.5434512124124411</v>
      </c>
      <c r="CQ57" s="100">
        <v>2178.1183509564371</v>
      </c>
      <c r="CR57" s="100">
        <v>8</v>
      </c>
      <c r="CS57" s="100">
        <v>11289.6</v>
      </c>
      <c r="CT57" s="100">
        <v>10</v>
      </c>
      <c r="CU57" s="100">
        <v>14112</v>
      </c>
    </row>
    <row r="58" spans="2:99">
      <c r="C58" s="99" t="s">
        <v>224</v>
      </c>
      <c r="D58" s="100">
        <v>5.5265708596938259</v>
      </c>
      <c r="E58" s="100">
        <v>6505.8792160315725</v>
      </c>
      <c r="F58" s="100">
        <v>9.5296809132003091</v>
      </c>
      <c r="G58" s="100">
        <v>11218.340371019403</v>
      </c>
      <c r="H58" s="100">
        <v>8</v>
      </c>
      <c r="I58" s="100">
        <v>9417.6</v>
      </c>
      <c r="J58" s="100">
        <v>4.2070735182169932</v>
      </c>
      <c r="K58" s="100">
        <v>4952.5669456450441</v>
      </c>
      <c r="L58" s="100">
        <v>7</v>
      </c>
      <c r="M58" s="100">
        <v>8240.4</v>
      </c>
      <c r="N58" s="100">
        <v>7</v>
      </c>
      <c r="O58" s="100">
        <v>8240.4</v>
      </c>
      <c r="P58" s="100">
        <v>8</v>
      </c>
      <c r="Q58" s="100">
        <v>9417.6</v>
      </c>
      <c r="R58" s="100">
        <v>6</v>
      </c>
      <c r="S58" s="100">
        <v>7063.2000000000007</v>
      </c>
      <c r="T58" s="100">
        <v>11</v>
      </c>
      <c r="U58" s="100">
        <v>12949.2</v>
      </c>
      <c r="V58" s="100">
        <v>9</v>
      </c>
      <c r="W58" s="100">
        <v>10594.800000000001</v>
      </c>
      <c r="X58" s="100">
        <v>7</v>
      </c>
      <c r="Y58" s="100">
        <v>8240.4</v>
      </c>
      <c r="Z58" s="100">
        <v>8</v>
      </c>
      <c r="AA58" s="100">
        <v>9417.6</v>
      </c>
      <c r="AB58" s="100">
        <v>10</v>
      </c>
      <c r="AC58" s="100">
        <v>11772</v>
      </c>
      <c r="AD58" s="100">
        <v>6</v>
      </c>
      <c r="AE58" s="100">
        <v>7063.2000000000007</v>
      </c>
      <c r="AF58" s="100">
        <v>7</v>
      </c>
      <c r="AG58" s="100">
        <v>8240.4</v>
      </c>
      <c r="AH58" s="100">
        <v>2.7196013928431033</v>
      </c>
      <c r="AI58" s="100">
        <v>3201.5147596549014</v>
      </c>
      <c r="AJ58" s="100">
        <v>3.9313680585372195</v>
      </c>
      <c r="AK58" s="100">
        <v>4628.0064785100149</v>
      </c>
      <c r="AL58" s="100">
        <v>1.5505446010113201E-4</v>
      </c>
      <c r="AM58" s="100">
        <v>0.18253011043105261</v>
      </c>
      <c r="AN58" s="100">
        <v>4.8614105460880159</v>
      </c>
      <c r="AO58" s="100">
        <v>5722.8524948548129</v>
      </c>
      <c r="AP58" s="100">
        <v>6.9407008510723802</v>
      </c>
      <c r="AQ58" s="100">
        <v>8170.5930418824064</v>
      </c>
      <c r="AR58" s="100">
        <v>10</v>
      </c>
      <c r="AS58" s="100">
        <v>11772</v>
      </c>
      <c r="AT58" s="100">
        <v>5.9268292682926678</v>
      </c>
      <c r="AU58" s="100">
        <v>6977.063414634129</v>
      </c>
      <c r="AV58" s="100">
        <v>3.1918618132873799</v>
      </c>
      <c r="AW58" s="100">
        <v>3757.4597266019036</v>
      </c>
      <c r="AX58" s="100">
        <v>3.2789498262485259</v>
      </c>
      <c r="AY58" s="100">
        <v>3859.9797354597649</v>
      </c>
      <c r="AZ58" s="100">
        <v>10</v>
      </c>
      <c r="BA58" s="100">
        <v>11772</v>
      </c>
      <c r="BB58" s="100">
        <v>11</v>
      </c>
      <c r="BC58" s="100">
        <v>12949.2</v>
      </c>
      <c r="BD58" s="100">
        <v>10.590202907040876</v>
      </c>
      <c r="BE58" s="100">
        <v>12466.786862168519</v>
      </c>
      <c r="BF58" s="100">
        <v>11</v>
      </c>
      <c r="BG58" s="100">
        <v>12949.2</v>
      </c>
      <c r="BH58" s="100">
        <v>4.2114131398621355</v>
      </c>
      <c r="BI58" s="100">
        <v>4957.6755482457065</v>
      </c>
      <c r="BJ58" s="100">
        <v>7</v>
      </c>
      <c r="BK58" s="100">
        <v>8240.4</v>
      </c>
      <c r="BL58" s="100">
        <v>10</v>
      </c>
      <c r="BM58" s="100">
        <v>11772</v>
      </c>
      <c r="BN58" s="100">
        <v>7</v>
      </c>
      <c r="BO58" s="100">
        <v>8240.4</v>
      </c>
      <c r="BP58" s="100">
        <v>9</v>
      </c>
      <c r="BQ58" s="100">
        <v>10594.800000000001</v>
      </c>
      <c r="BR58" s="100">
        <v>7</v>
      </c>
      <c r="BS58" s="100">
        <v>8240.4</v>
      </c>
      <c r="BT58" s="100">
        <v>7</v>
      </c>
      <c r="BU58" s="100">
        <v>8240.4</v>
      </c>
      <c r="BV58" s="100">
        <v>7</v>
      </c>
      <c r="BW58" s="100">
        <v>8240.4</v>
      </c>
      <c r="BX58" s="100">
        <v>8</v>
      </c>
      <c r="BY58" s="100">
        <v>9417.6</v>
      </c>
      <c r="BZ58" s="100">
        <v>10</v>
      </c>
      <c r="CA58" s="100">
        <v>11772</v>
      </c>
      <c r="CB58" s="100">
        <v>0.86296428174025019</v>
      </c>
      <c r="CC58" s="100">
        <v>1015.8815524646226</v>
      </c>
      <c r="CD58" s="100">
        <v>7</v>
      </c>
      <c r="CE58" s="100">
        <v>8240.4</v>
      </c>
      <c r="CF58" s="100">
        <v>8</v>
      </c>
      <c r="CG58" s="100">
        <v>9417.6</v>
      </c>
      <c r="CH58" s="100">
        <v>7</v>
      </c>
      <c r="CI58" s="100">
        <v>8240.4</v>
      </c>
      <c r="CJ58" s="100">
        <v>10</v>
      </c>
      <c r="CK58" s="100">
        <v>11772</v>
      </c>
      <c r="CL58" s="100">
        <v>9</v>
      </c>
      <c r="CM58" s="100">
        <v>10594.800000000001</v>
      </c>
      <c r="CN58" s="100">
        <v>11</v>
      </c>
      <c r="CO58" s="100">
        <v>12949.2</v>
      </c>
      <c r="CP58" s="100">
        <v>6</v>
      </c>
      <c r="CQ58" s="100">
        <v>7063.2000000000007</v>
      </c>
      <c r="CR58" s="100">
        <v>9</v>
      </c>
      <c r="CS58" s="100">
        <v>10594.800000000001</v>
      </c>
      <c r="CT58" s="100">
        <v>10</v>
      </c>
      <c r="CU58" s="100">
        <v>11772</v>
      </c>
    </row>
    <row r="59" spans="2:99">
      <c r="C59" s="99" t="s">
        <v>225</v>
      </c>
      <c r="D59" s="100">
        <v>5</v>
      </c>
      <c r="E59" s="100">
        <v>1517.9999999999998</v>
      </c>
      <c r="F59" s="100">
        <v>12</v>
      </c>
      <c r="G59" s="100">
        <v>3643.2</v>
      </c>
      <c r="H59" s="100">
        <v>9</v>
      </c>
      <c r="I59" s="100">
        <v>2732.3999999999996</v>
      </c>
      <c r="J59" s="100">
        <v>6.1544358205846246</v>
      </c>
      <c r="K59" s="100">
        <v>1868.4867151294918</v>
      </c>
      <c r="L59" s="100">
        <v>7</v>
      </c>
      <c r="M59" s="100">
        <v>2125.1999999999998</v>
      </c>
      <c r="N59" s="100">
        <v>9</v>
      </c>
      <c r="O59" s="100">
        <v>2732.3999999999996</v>
      </c>
      <c r="P59" s="100">
        <v>8</v>
      </c>
      <c r="Q59" s="100">
        <v>2428.7999999999997</v>
      </c>
      <c r="R59" s="100">
        <v>7</v>
      </c>
      <c r="S59" s="100">
        <v>2125.1999999999998</v>
      </c>
      <c r="T59" s="100">
        <v>11</v>
      </c>
      <c r="U59" s="100">
        <v>3339.5999999999995</v>
      </c>
      <c r="V59" s="100">
        <v>9</v>
      </c>
      <c r="W59" s="100">
        <v>2732.3999999999996</v>
      </c>
      <c r="X59" s="100">
        <v>8</v>
      </c>
      <c r="Y59" s="100">
        <v>2428.7999999999997</v>
      </c>
      <c r="Z59" s="100">
        <v>8</v>
      </c>
      <c r="AA59" s="100">
        <v>2428.7999999999997</v>
      </c>
      <c r="AB59" s="100">
        <v>3.2660022394068173</v>
      </c>
      <c r="AC59" s="100">
        <v>991.55827988390968</v>
      </c>
      <c r="AD59" s="100">
        <v>6</v>
      </c>
      <c r="AE59" s="100">
        <v>1821.6</v>
      </c>
      <c r="AF59" s="100">
        <v>7</v>
      </c>
      <c r="AG59" s="100">
        <v>2125.1999999999998</v>
      </c>
      <c r="AH59" s="100">
        <v>9.1259696369313925</v>
      </c>
      <c r="AI59" s="100">
        <v>2770.6443817723703</v>
      </c>
      <c r="AJ59" s="100">
        <v>1.7552525379228777E-4</v>
      </c>
      <c r="AK59" s="100">
        <v>5.3289467051338565E-2</v>
      </c>
      <c r="AL59" s="100">
        <v>2.3237075483346995E-4</v>
      </c>
      <c r="AM59" s="100">
        <v>7.0547761167441464E-2</v>
      </c>
      <c r="AN59" s="100">
        <v>1.7363439890587793</v>
      </c>
      <c r="AO59" s="100">
        <v>527.15403507824533</v>
      </c>
      <c r="AP59" s="100">
        <v>8</v>
      </c>
      <c r="AQ59" s="100">
        <v>2428.7999999999997</v>
      </c>
      <c r="AR59" s="100">
        <v>10</v>
      </c>
      <c r="AS59" s="100">
        <v>3035.9999999999995</v>
      </c>
      <c r="AT59" s="100">
        <v>7</v>
      </c>
      <c r="AU59" s="100">
        <v>2125.1999999999998</v>
      </c>
      <c r="AV59" s="100">
        <v>4.9408317412441409</v>
      </c>
      <c r="AW59" s="100">
        <v>1500.0365166417209</v>
      </c>
      <c r="AX59" s="100">
        <v>7</v>
      </c>
      <c r="AY59" s="100">
        <v>2125.1999999999998</v>
      </c>
      <c r="AZ59" s="100">
        <v>11</v>
      </c>
      <c r="BA59" s="100">
        <v>3339.5999999999995</v>
      </c>
      <c r="BB59" s="100">
        <v>4.574416925683594</v>
      </c>
      <c r="BC59" s="100">
        <v>1388.7929786375389</v>
      </c>
      <c r="BD59" s="100">
        <v>9.7056666144528005</v>
      </c>
      <c r="BE59" s="100">
        <v>2946.64038414787</v>
      </c>
      <c r="BF59" s="100">
        <v>10</v>
      </c>
      <c r="BG59" s="100">
        <v>3035.9999999999995</v>
      </c>
      <c r="BH59" s="100">
        <v>10.863704683406763</v>
      </c>
      <c r="BI59" s="100">
        <v>3298.2207418822927</v>
      </c>
      <c r="BJ59" s="100">
        <v>8</v>
      </c>
      <c r="BK59" s="100">
        <v>2428.7999999999997</v>
      </c>
      <c r="BL59" s="100">
        <v>8.5252713111651151</v>
      </c>
      <c r="BM59" s="100">
        <v>2588.2723700697288</v>
      </c>
      <c r="BN59" s="100">
        <v>0.36774834353621161</v>
      </c>
      <c r="BO59" s="100">
        <v>111.64839709759383</v>
      </c>
      <c r="BP59" s="100">
        <v>9</v>
      </c>
      <c r="BQ59" s="100">
        <v>2732.3999999999996</v>
      </c>
      <c r="BR59" s="100">
        <v>6</v>
      </c>
      <c r="BS59" s="100">
        <v>1821.6</v>
      </c>
      <c r="BT59" s="100">
        <v>5.2914380284877218</v>
      </c>
      <c r="BU59" s="100">
        <v>1606.4805854488723</v>
      </c>
      <c r="BV59" s="100">
        <v>0.29510010602099518</v>
      </c>
      <c r="BW59" s="100">
        <v>89.592392187974127</v>
      </c>
      <c r="BX59" s="100">
        <v>9</v>
      </c>
      <c r="BY59" s="100">
        <v>2732.3999999999996</v>
      </c>
      <c r="BZ59" s="100">
        <v>9</v>
      </c>
      <c r="CA59" s="100">
        <v>2732.3999999999996</v>
      </c>
      <c r="CB59" s="100">
        <v>10</v>
      </c>
      <c r="CC59" s="100">
        <v>3035.9999999999995</v>
      </c>
      <c r="CD59" s="100">
        <v>8</v>
      </c>
      <c r="CE59" s="100">
        <v>2428.7999999999997</v>
      </c>
      <c r="CF59" s="100">
        <v>5.0145516757977022</v>
      </c>
      <c r="CG59" s="100">
        <v>1522.4178887721823</v>
      </c>
      <c r="CH59" s="100">
        <v>7</v>
      </c>
      <c r="CI59" s="100">
        <v>2125.1999999999998</v>
      </c>
      <c r="CJ59" s="100">
        <v>11</v>
      </c>
      <c r="CK59" s="100">
        <v>3339.5999999999995</v>
      </c>
      <c r="CL59" s="100">
        <v>9</v>
      </c>
      <c r="CM59" s="100">
        <v>2732.3999999999996</v>
      </c>
      <c r="CN59" s="100">
        <v>1.0510044140568433</v>
      </c>
      <c r="CO59" s="100">
        <v>319.08494010765759</v>
      </c>
      <c r="CP59" s="100">
        <v>1.5434512124124411</v>
      </c>
      <c r="CQ59" s="100">
        <v>468.59178808841705</v>
      </c>
      <c r="CR59" s="100">
        <v>10</v>
      </c>
      <c r="CS59" s="100">
        <v>3035.9999999999995</v>
      </c>
      <c r="CT59" s="100">
        <v>10</v>
      </c>
      <c r="CU59" s="100">
        <v>3035.9999999999995</v>
      </c>
    </row>
    <row r="60" spans="2:99">
      <c r="C60" s="99" t="s">
        <v>226</v>
      </c>
      <c r="D60" s="100">
        <v>5</v>
      </c>
      <c r="E60" s="100">
        <v>3258</v>
      </c>
      <c r="F60" s="100">
        <v>12</v>
      </c>
      <c r="G60" s="100">
        <v>7819.2000000000007</v>
      </c>
      <c r="H60" s="100">
        <v>8</v>
      </c>
      <c r="I60" s="100">
        <v>5212.8</v>
      </c>
      <c r="J60" s="100">
        <v>6.1544358205846246</v>
      </c>
      <c r="K60" s="100">
        <v>4010.2303806929417</v>
      </c>
      <c r="L60" s="100">
        <v>7</v>
      </c>
      <c r="M60" s="100">
        <v>4561.2</v>
      </c>
      <c r="N60" s="100">
        <v>8</v>
      </c>
      <c r="O60" s="100">
        <v>5212.8</v>
      </c>
      <c r="P60" s="100">
        <v>9</v>
      </c>
      <c r="Q60" s="100">
        <v>5864.4000000000005</v>
      </c>
      <c r="R60" s="100">
        <v>6</v>
      </c>
      <c r="S60" s="100">
        <v>3909.6000000000004</v>
      </c>
      <c r="T60" s="100">
        <v>11</v>
      </c>
      <c r="U60" s="100">
        <v>7167.6</v>
      </c>
      <c r="V60" s="100">
        <v>8</v>
      </c>
      <c r="W60" s="100">
        <v>5212.8</v>
      </c>
      <c r="X60" s="100">
        <v>8</v>
      </c>
      <c r="Y60" s="100">
        <v>5212.8</v>
      </c>
      <c r="Z60" s="100">
        <v>7</v>
      </c>
      <c r="AA60" s="100">
        <v>4561.2</v>
      </c>
      <c r="AB60" s="100">
        <v>3.2660022394068173</v>
      </c>
      <c r="AC60" s="100">
        <v>2128.1270591974821</v>
      </c>
      <c r="AD60" s="100">
        <v>6</v>
      </c>
      <c r="AE60" s="100">
        <v>3909.6000000000004</v>
      </c>
      <c r="AF60" s="100">
        <v>7</v>
      </c>
      <c r="AG60" s="100">
        <v>4561.2</v>
      </c>
      <c r="AH60" s="100">
        <v>10.038566600624531</v>
      </c>
      <c r="AI60" s="100">
        <v>6541.1299969669444</v>
      </c>
      <c r="AJ60" s="100">
        <v>1.7552525379228777E-4</v>
      </c>
      <c r="AK60" s="100">
        <v>0.11437225537105472</v>
      </c>
      <c r="AL60" s="100">
        <v>2.0913367935012297E-4</v>
      </c>
      <c r="AM60" s="100">
        <v>0.13627150546454014</v>
      </c>
      <c r="AN60" s="100">
        <v>1.7363439890587793</v>
      </c>
      <c r="AO60" s="100">
        <v>1131.4017432707005</v>
      </c>
      <c r="AP60" s="100">
        <v>7</v>
      </c>
      <c r="AQ60" s="100">
        <v>4561.2</v>
      </c>
      <c r="AR60" s="100">
        <v>10</v>
      </c>
      <c r="AS60" s="100">
        <v>6516</v>
      </c>
      <c r="AT60" s="100">
        <v>7</v>
      </c>
      <c r="AU60" s="100">
        <v>4561.2</v>
      </c>
      <c r="AV60" s="100">
        <v>4.9408317412441409</v>
      </c>
      <c r="AW60" s="100">
        <v>3219.4459625946824</v>
      </c>
      <c r="AX60" s="100">
        <v>7</v>
      </c>
      <c r="AY60" s="100">
        <v>4561.2</v>
      </c>
      <c r="AZ60" s="100">
        <v>12</v>
      </c>
      <c r="BA60" s="100">
        <v>7819.2000000000007</v>
      </c>
      <c r="BB60" s="100">
        <v>4.1932155152099613</v>
      </c>
      <c r="BC60" s="100">
        <v>2732.2992297108108</v>
      </c>
      <c r="BD60" s="100">
        <v>10.676233275898079</v>
      </c>
      <c r="BE60" s="100">
        <v>6956.6336025751889</v>
      </c>
      <c r="BF60" s="100">
        <v>10</v>
      </c>
      <c r="BG60" s="100">
        <v>6516</v>
      </c>
      <c r="BH60" s="100">
        <v>10.863704683406763</v>
      </c>
      <c r="BI60" s="100">
        <v>7078.7899717078471</v>
      </c>
      <c r="BJ60" s="100">
        <v>8</v>
      </c>
      <c r="BK60" s="100">
        <v>5212.8</v>
      </c>
      <c r="BL60" s="100">
        <v>7.7502466465137418</v>
      </c>
      <c r="BM60" s="100">
        <v>5050.0607148683548</v>
      </c>
      <c r="BN60" s="100">
        <v>0.32688741647663255</v>
      </c>
      <c r="BO60" s="100">
        <v>212.99984057617377</v>
      </c>
      <c r="BP60" s="100">
        <v>9</v>
      </c>
      <c r="BQ60" s="100">
        <v>5864.4000000000005</v>
      </c>
      <c r="BR60" s="100">
        <v>6</v>
      </c>
      <c r="BS60" s="100">
        <v>3909.6000000000004</v>
      </c>
      <c r="BT60" s="100">
        <v>4.630008274926757</v>
      </c>
      <c r="BU60" s="100">
        <v>3016.9133919422752</v>
      </c>
      <c r="BV60" s="100">
        <v>0.33198761927361958</v>
      </c>
      <c r="BW60" s="100">
        <v>216.32313271869052</v>
      </c>
      <c r="BX60" s="100">
        <v>7</v>
      </c>
      <c r="BY60" s="100">
        <v>4561.2</v>
      </c>
      <c r="BZ60" s="100">
        <v>9</v>
      </c>
      <c r="CA60" s="100">
        <v>5864.4000000000005</v>
      </c>
      <c r="CB60" s="100">
        <v>10</v>
      </c>
      <c r="CC60" s="100">
        <v>6516</v>
      </c>
      <c r="CD60" s="100">
        <v>7</v>
      </c>
      <c r="CE60" s="100">
        <v>4561.2</v>
      </c>
      <c r="CF60" s="100">
        <v>5.0145516757977022</v>
      </c>
      <c r="CG60" s="100">
        <v>3267.481871949783</v>
      </c>
      <c r="CH60" s="100">
        <v>7</v>
      </c>
      <c r="CI60" s="100">
        <v>4561.2</v>
      </c>
      <c r="CJ60" s="100">
        <v>11</v>
      </c>
      <c r="CK60" s="100">
        <v>7167.6</v>
      </c>
      <c r="CL60" s="100">
        <v>10</v>
      </c>
      <c r="CM60" s="100">
        <v>6516</v>
      </c>
      <c r="CN60" s="100">
        <v>1.0510044140568433</v>
      </c>
      <c r="CO60" s="100">
        <v>684.83447619943911</v>
      </c>
      <c r="CP60" s="100">
        <v>1.5434512124124411</v>
      </c>
      <c r="CQ60" s="100">
        <v>1005.7128100079467</v>
      </c>
      <c r="CR60" s="100">
        <v>9</v>
      </c>
      <c r="CS60" s="100">
        <v>5864.4000000000005</v>
      </c>
      <c r="CT60" s="100">
        <v>11</v>
      </c>
      <c r="CU60" s="100">
        <v>7167.6</v>
      </c>
    </row>
    <row r="61" spans="2:99">
      <c r="C61" s="99" t="s">
        <v>227</v>
      </c>
      <c r="D61" s="100">
        <v>5</v>
      </c>
      <c r="E61" s="100">
        <v>4758</v>
      </c>
      <c r="F61" s="100">
        <v>11</v>
      </c>
      <c r="G61" s="100">
        <v>10467.599999999999</v>
      </c>
      <c r="H61" s="100">
        <v>8</v>
      </c>
      <c r="I61" s="100">
        <v>7612.7999999999993</v>
      </c>
      <c r="J61" s="100">
        <v>6.1544358205846246</v>
      </c>
      <c r="K61" s="100">
        <v>5856.5611268683278</v>
      </c>
      <c r="L61" s="100">
        <v>7</v>
      </c>
      <c r="M61" s="100">
        <v>6661.1999999999989</v>
      </c>
      <c r="N61" s="100">
        <v>8</v>
      </c>
      <c r="O61" s="100">
        <v>7612.7999999999993</v>
      </c>
      <c r="P61" s="100">
        <v>9</v>
      </c>
      <c r="Q61" s="100">
        <v>8564.4</v>
      </c>
      <c r="R61" s="100">
        <v>7</v>
      </c>
      <c r="S61" s="100">
        <v>6661.1999999999989</v>
      </c>
      <c r="T61" s="100">
        <v>10</v>
      </c>
      <c r="U61" s="100">
        <v>9516</v>
      </c>
      <c r="V61" s="100">
        <v>9</v>
      </c>
      <c r="W61" s="100">
        <v>8564.4</v>
      </c>
      <c r="X61" s="100">
        <v>8</v>
      </c>
      <c r="Y61" s="100">
        <v>7612.7999999999993</v>
      </c>
      <c r="Z61" s="100">
        <v>7</v>
      </c>
      <c r="AA61" s="100">
        <v>6661.1999999999989</v>
      </c>
      <c r="AB61" s="100">
        <v>3.2660022394068173</v>
      </c>
      <c r="AC61" s="100">
        <v>3107.9277310195271</v>
      </c>
      <c r="AD61" s="100">
        <v>6</v>
      </c>
      <c r="AE61" s="100">
        <v>5709.5999999999995</v>
      </c>
      <c r="AF61" s="100">
        <v>7</v>
      </c>
      <c r="AG61" s="100">
        <v>6661.1999999999989</v>
      </c>
      <c r="AH61" s="100">
        <v>9.1259696369313925</v>
      </c>
      <c r="AI61" s="100">
        <v>8684.2727065039126</v>
      </c>
      <c r="AJ61" s="100">
        <v>1.7552525379228777E-4</v>
      </c>
      <c r="AK61" s="100">
        <v>0.16702983150874104</v>
      </c>
      <c r="AL61" s="100">
        <v>2.0913367935012297E-4</v>
      </c>
      <c r="AM61" s="100">
        <v>0.19901160926957701</v>
      </c>
      <c r="AN61" s="100">
        <v>1.4882948477646678</v>
      </c>
      <c r="AO61" s="100">
        <v>1416.2613771328577</v>
      </c>
      <c r="AP61" s="100">
        <v>7</v>
      </c>
      <c r="AQ61" s="100">
        <v>6661.1999999999989</v>
      </c>
      <c r="AR61" s="100">
        <v>9</v>
      </c>
      <c r="AS61" s="100">
        <v>8564.4</v>
      </c>
      <c r="AT61" s="100">
        <v>6</v>
      </c>
      <c r="AU61" s="100">
        <v>5709.5999999999995</v>
      </c>
      <c r="AV61" s="100">
        <v>4.2349986353521212</v>
      </c>
      <c r="AW61" s="100">
        <v>4030.0247014010783</v>
      </c>
      <c r="AX61" s="100">
        <v>7</v>
      </c>
      <c r="AY61" s="100">
        <v>6661.1999999999989</v>
      </c>
      <c r="AZ61" s="100">
        <v>11</v>
      </c>
      <c r="BA61" s="100">
        <v>10467.599999999999</v>
      </c>
      <c r="BB61" s="100">
        <v>4.1932155152099613</v>
      </c>
      <c r="BC61" s="100">
        <v>3990.2638842737988</v>
      </c>
      <c r="BD61" s="100">
        <v>8.73509995300752</v>
      </c>
      <c r="BE61" s="100">
        <v>8312.3211152819549</v>
      </c>
      <c r="BF61" s="100">
        <v>10</v>
      </c>
      <c r="BG61" s="100">
        <v>9516</v>
      </c>
      <c r="BH61" s="100">
        <v>10.863704683406763</v>
      </c>
      <c r="BI61" s="100">
        <v>10337.901376729875</v>
      </c>
      <c r="BJ61" s="100">
        <v>8</v>
      </c>
      <c r="BK61" s="100">
        <v>7612.7999999999993</v>
      </c>
      <c r="BL61" s="100">
        <v>7.7502466465137418</v>
      </c>
      <c r="BM61" s="100">
        <v>7375.1347088224757</v>
      </c>
      <c r="BN61" s="100">
        <v>0.32688741647663255</v>
      </c>
      <c r="BO61" s="100">
        <v>311.06606551916349</v>
      </c>
      <c r="BP61" s="100">
        <v>11</v>
      </c>
      <c r="BQ61" s="100">
        <v>10467.599999999999</v>
      </c>
      <c r="BR61" s="100">
        <v>6</v>
      </c>
      <c r="BS61" s="100">
        <v>5709.5999999999995</v>
      </c>
      <c r="BT61" s="100">
        <v>4.630008274926757</v>
      </c>
      <c r="BU61" s="100">
        <v>4405.9158744203014</v>
      </c>
      <c r="BV61" s="100">
        <v>0.29510010602099518</v>
      </c>
      <c r="BW61" s="100">
        <v>280.81726088957896</v>
      </c>
      <c r="BX61" s="100">
        <v>7</v>
      </c>
      <c r="BY61" s="100">
        <v>6661.1999999999989</v>
      </c>
      <c r="BZ61" s="100">
        <v>9</v>
      </c>
      <c r="CA61" s="100">
        <v>8564.4</v>
      </c>
      <c r="CB61" s="100">
        <v>10</v>
      </c>
      <c r="CC61" s="100">
        <v>9516</v>
      </c>
      <c r="CD61" s="100">
        <v>8</v>
      </c>
      <c r="CE61" s="100">
        <v>7612.7999999999993</v>
      </c>
      <c r="CF61" s="100">
        <v>4.2981871506837441</v>
      </c>
      <c r="CG61" s="100">
        <v>4090.1548925906504</v>
      </c>
      <c r="CH61" s="100">
        <v>7</v>
      </c>
      <c r="CI61" s="100">
        <v>6661.1999999999989</v>
      </c>
      <c r="CJ61" s="100">
        <v>11</v>
      </c>
      <c r="CK61" s="100">
        <v>10467.599999999999</v>
      </c>
      <c r="CL61" s="100">
        <v>9</v>
      </c>
      <c r="CM61" s="100">
        <v>8564.4</v>
      </c>
      <c r="CN61" s="100">
        <v>1.0510044140568433</v>
      </c>
      <c r="CO61" s="100">
        <v>1000.135800416492</v>
      </c>
      <c r="CP61" s="100">
        <v>1.5434512124124411</v>
      </c>
      <c r="CQ61" s="100">
        <v>1468.7481737316789</v>
      </c>
      <c r="CR61" s="100">
        <v>8</v>
      </c>
      <c r="CS61" s="100">
        <v>7612.7999999999993</v>
      </c>
      <c r="CT61" s="100">
        <v>12</v>
      </c>
      <c r="CU61" s="100">
        <v>11419.199999999999</v>
      </c>
    </row>
    <row r="62" spans="2:99">
      <c r="C62" s="99" t="s">
        <v>228</v>
      </c>
      <c r="D62" s="100">
        <v>4.722222222222217</v>
      </c>
      <c r="E62" s="100">
        <v>7882.3333333333248</v>
      </c>
      <c r="F62" s="100">
        <v>0.72483615749514563</v>
      </c>
      <c r="G62" s="100">
        <v>1209.8965140908972</v>
      </c>
      <c r="H62" s="100">
        <v>8</v>
      </c>
      <c r="I62" s="100">
        <v>13353.6</v>
      </c>
      <c r="J62" s="100">
        <v>9</v>
      </c>
      <c r="K62" s="100">
        <v>15022.800000000001</v>
      </c>
      <c r="L62" s="100">
        <v>7</v>
      </c>
      <c r="M62" s="100">
        <v>11684.4</v>
      </c>
      <c r="N62" s="100">
        <v>8</v>
      </c>
      <c r="O62" s="100">
        <v>13353.6</v>
      </c>
      <c r="P62" s="100">
        <v>8</v>
      </c>
      <c r="Q62" s="100">
        <v>13353.6</v>
      </c>
      <c r="R62" s="100">
        <v>4.3688640882479302</v>
      </c>
      <c r="S62" s="100">
        <v>7292.507936103445</v>
      </c>
      <c r="T62" s="100">
        <v>7.5892857142857153</v>
      </c>
      <c r="U62" s="100">
        <v>12668.035714285716</v>
      </c>
      <c r="V62" s="100">
        <v>6.6019417475728162</v>
      </c>
      <c r="W62" s="100">
        <v>11019.961165048546</v>
      </c>
      <c r="X62" s="100">
        <v>7</v>
      </c>
      <c r="Y62" s="100">
        <v>11684.4</v>
      </c>
      <c r="Z62" s="100">
        <v>7</v>
      </c>
      <c r="AA62" s="100">
        <v>11684.4</v>
      </c>
      <c r="AB62" s="100">
        <v>9</v>
      </c>
      <c r="AC62" s="100">
        <v>15022.800000000001</v>
      </c>
      <c r="AD62" s="100">
        <v>4.4430379746835484</v>
      </c>
      <c r="AE62" s="100">
        <v>7416.3189873417796</v>
      </c>
      <c r="AF62" s="100">
        <v>7</v>
      </c>
      <c r="AG62" s="100">
        <v>11684.4</v>
      </c>
      <c r="AH62" s="100">
        <v>10</v>
      </c>
      <c r="AI62" s="100">
        <v>16692</v>
      </c>
      <c r="AJ62" s="100">
        <v>5.8619997435401059</v>
      </c>
      <c r="AK62" s="100">
        <v>9784.849971917145</v>
      </c>
      <c r="AL62" s="100">
        <v>2.7509227513054944</v>
      </c>
      <c r="AM62" s="100">
        <v>4591.8402564791313</v>
      </c>
      <c r="AN62" s="100">
        <v>6</v>
      </c>
      <c r="AO62" s="100">
        <v>10015.200000000001</v>
      </c>
      <c r="AP62" s="100">
        <v>5.2127659574468108</v>
      </c>
      <c r="AQ62" s="100">
        <v>8701.148936170217</v>
      </c>
      <c r="AR62" s="100">
        <v>10</v>
      </c>
      <c r="AS62" s="100">
        <v>16692</v>
      </c>
      <c r="AT62" s="100">
        <v>4.6132075471698126</v>
      </c>
      <c r="AU62" s="100">
        <v>7700.366037735851</v>
      </c>
      <c r="AV62" s="100">
        <v>6</v>
      </c>
      <c r="AW62" s="100">
        <v>10015.200000000001</v>
      </c>
      <c r="AX62" s="100">
        <v>4.6367082867203653</v>
      </c>
      <c r="AY62" s="100">
        <v>7739.5934721936337</v>
      </c>
      <c r="AZ62" s="100">
        <v>6.9906542056074779</v>
      </c>
      <c r="BA62" s="100">
        <v>11668.800000000003</v>
      </c>
      <c r="BB62" s="100">
        <v>3.1014575925339214</v>
      </c>
      <c r="BC62" s="100">
        <v>5176.9530134576216</v>
      </c>
      <c r="BD62" s="100">
        <v>7.9214743311786195</v>
      </c>
      <c r="BE62" s="100">
        <v>13222.524953603352</v>
      </c>
      <c r="BF62" s="100">
        <v>4.3199279568647508</v>
      </c>
      <c r="BG62" s="100">
        <v>7210.8237455986427</v>
      </c>
      <c r="BH62" s="100">
        <v>10</v>
      </c>
      <c r="BI62" s="100">
        <v>16692</v>
      </c>
      <c r="BJ62" s="100">
        <v>5.954579488281551</v>
      </c>
      <c r="BK62" s="100">
        <v>9939.3840818395656</v>
      </c>
      <c r="BL62" s="100">
        <v>7.2340425531914905</v>
      </c>
      <c r="BM62" s="100">
        <v>12075.063829787236</v>
      </c>
      <c r="BN62" s="100">
        <v>3.9894982108532813</v>
      </c>
      <c r="BO62" s="100">
        <v>6659.2704135562972</v>
      </c>
      <c r="BP62" s="100">
        <v>10</v>
      </c>
      <c r="BQ62" s="100">
        <v>16692</v>
      </c>
      <c r="BR62" s="100">
        <v>6</v>
      </c>
      <c r="BS62" s="100">
        <v>10015.200000000001</v>
      </c>
      <c r="BT62" s="100">
        <v>6.1474761021728099</v>
      </c>
      <c r="BU62" s="100">
        <v>10261.367109746854</v>
      </c>
      <c r="BV62" s="100">
        <v>2.0987513192991996</v>
      </c>
      <c r="BW62" s="100">
        <v>3503.2357021742241</v>
      </c>
      <c r="BX62" s="100">
        <v>2.5699614612791613</v>
      </c>
      <c r="BY62" s="100">
        <v>4289.7796711671763</v>
      </c>
      <c r="BZ62" s="100">
        <v>5.7735849056603783</v>
      </c>
      <c r="CA62" s="100">
        <v>9637.2679245283034</v>
      </c>
      <c r="CB62" s="100">
        <v>6.0608565429832293</v>
      </c>
      <c r="CC62" s="100">
        <v>10116.781741547607</v>
      </c>
      <c r="CD62" s="100">
        <v>5.2451926121803751</v>
      </c>
      <c r="CE62" s="100">
        <v>8755.2755082514832</v>
      </c>
      <c r="CF62" s="100">
        <v>7</v>
      </c>
      <c r="CG62" s="100">
        <v>11684.4</v>
      </c>
      <c r="CH62" s="100">
        <v>7</v>
      </c>
      <c r="CI62" s="100">
        <v>11684.4</v>
      </c>
      <c r="CJ62" s="100">
        <v>7.7161872049627638</v>
      </c>
      <c r="CK62" s="100">
        <v>12879.859682523846</v>
      </c>
      <c r="CL62" s="100">
        <v>6.144578313253013</v>
      </c>
      <c r="CM62" s="100">
        <v>10256.53012048193</v>
      </c>
      <c r="CN62" s="100">
        <v>5.6669008676893204</v>
      </c>
      <c r="CO62" s="100">
        <v>9459.1909283470141</v>
      </c>
      <c r="CP62" s="100">
        <v>5.281567040836272</v>
      </c>
      <c r="CQ62" s="100">
        <v>8815.9917045639049</v>
      </c>
      <c r="CR62" s="100">
        <v>9</v>
      </c>
      <c r="CS62" s="100">
        <v>15022.800000000001</v>
      </c>
      <c r="CT62" s="100">
        <v>9.1758241758241788</v>
      </c>
      <c r="CU62" s="100">
        <v>15316.285714285719</v>
      </c>
    </row>
    <row r="63" spans="2:99">
      <c r="C63" s="99" t="s">
        <v>229</v>
      </c>
      <c r="D63" s="100">
        <v>6</v>
      </c>
      <c r="E63" s="100">
        <v>4773.6000000000004</v>
      </c>
      <c r="F63" s="100">
        <v>12</v>
      </c>
      <c r="G63" s="100">
        <v>9547.2000000000007</v>
      </c>
      <c r="H63" s="100">
        <v>8</v>
      </c>
      <c r="I63" s="100">
        <v>6364.8</v>
      </c>
      <c r="J63" s="100">
        <v>5.5949416550769309</v>
      </c>
      <c r="K63" s="100">
        <v>4451.3355807792059</v>
      </c>
      <c r="L63" s="100">
        <v>7</v>
      </c>
      <c r="M63" s="100">
        <v>5569.2</v>
      </c>
      <c r="N63" s="100">
        <v>8</v>
      </c>
      <c r="O63" s="100">
        <v>6364.8</v>
      </c>
      <c r="P63" s="100">
        <v>8</v>
      </c>
      <c r="Q63" s="100">
        <v>6364.8</v>
      </c>
      <c r="R63" s="100">
        <v>7</v>
      </c>
      <c r="S63" s="100">
        <v>5569.2</v>
      </c>
      <c r="T63" s="100">
        <v>11</v>
      </c>
      <c r="U63" s="100">
        <v>8751.6</v>
      </c>
      <c r="V63" s="100">
        <v>9</v>
      </c>
      <c r="W63" s="100">
        <v>7160.4000000000005</v>
      </c>
      <c r="X63" s="100">
        <v>8</v>
      </c>
      <c r="Y63" s="100">
        <v>6364.8</v>
      </c>
      <c r="Z63" s="100">
        <v>7</v>
      </c>
      <c r="AA63" s="100">
        <v>5569.2</v>
      </c>
      <c r="AB63" s="100">
        <v>3.6288913771186859</v>
      </c>
      <c r="AC63" s="100">
        <v>2887.1459796356266</v>
      </c>
      <c r="AD63" s="100">
        <v>6</v>
      </c>
      <c r="AE63" s="100">
        <v>4773.6000000000004</v>
      </c>
      <c r="AF63" s="100">
        <v>6</v>
      </c>
      <c r="AG63" s="100">
        <v>4773.6000000000004</v>
      </c>
      <c r="AH63" s="100">
        <v>8.2133726732382542</v>
      </c>
      <c r="AI63" s="100">
        <v>6534.5592988283552</v>
      </c>
      <c r="AJ63" s="100">
        <v>1.7552525379228777E-4</v>
      </c>
      <c r="AK63" s="100">
        <v>0.13964789191714416</v>
      </c>
      <c r="AL63" s="100">
        <v>2.0913367935012297E-4</v>
      </c>
      <c r="AM63" s="100">
        <v>0.16638675529095784</v>
      </c>
      <c r="AN63" s="100">
        <v>1.7363439890587793</v>
      </c>
      <c r="AO63" s="100">
        <v>1381.4352776951648</v>
      </c>
      <c r="AP63" s="100">
        <v>8</v>
      </c>
      <c r="AQ63" s="100">
        <v>6364.8</v>
      </c>
      <c r="AR63" s="100">
        <v>9</v>
      </c>
      <c r="AS63" s="100">
        <v>7160.4000000000005</v>
      </c>
      <c r="AT63" s="100">
        <v>6</v>
      </c>
      <c r="AU63" s="100">
        <v>4773.6000000000004</v>
      </c>
      <c r="AV63" s="100">
        <v>4.9408317412441409</v>
      </c>
      <c r="AW63" s="100">
        <v>3930.9257333338387</v>
      </c>
      <c r="AX63" s="100">
        <v>7</v>
      </c>
      <c r="AY63" s="100">
        <v>5569.2</v>
      </c>
      <c r="AZ63" s="100">
        <v>10</v>
      </c>
      <c r="BA63" s="100">
        <v>7956</v>
      </c>
      <c r="BB63" s="100">
        <v>3.8120141047363285</v>
      </c>
      <c r="BC63" s="100">
        <v>3032.8384217282232</v>
      </c>
      <c r="BD63" s="100">
        <v>8.73509995300752</v>
      </c>
      <c r="BE63" s="100">
        <v>6949.6455226127828</v>
      </c>
      <c r="BF63" s="100">
        <v>10</v>
      </c>
      <c r="BG63" s="100">
        <v>7956</v>
      </c>
      <c r="BH63" s="100">
        <v>11.851314200080106</v>
      </c>
      <c r="BI63" s="100">
        <v>9428.9055775837332</v>
      </c>
      <c r="BJ63" s="100">
        <v>8</v>
      </c>
      <c r="BK63" s="100">
        <v>6364.8</v>
      </c>
      <c r="BL63" s="100">
        <v>6.9752219818623669</v>
      </c>
      <c r="BM63" s="100">
        <v>5549.4866087696992</v>
      </c>
      <c r="BN63" s="100">
        <v>0.32688741647663255</v>
      </c>
      <c r="BO63" s="100">
        <v>260.07162854880886</v>
      </c>
      <c r="BP63" s="100">
        <v>10</v>
      </c>
      <c r="BQ63" s="100">
        <v>7956</v>
      </c>
      <c r="BR63" s="100">
        <v>7</v>
      </c>
      <c r="BS63" s="100">
        <v>5569.2</v>
      </c>
      <c r="BT63" s="100">
        <v>5.2914380284877218</v>
      </c>
      <c r="BU63" s="100">
        <v>4209.8680954648316</v>
      </c>
      <c r="BV63" s="100">
        <v>0.29510010602099518</v>
      </c>
      <c r="BW63" s="100">
        <v>234.78164435030376</v>
      </c>
      <c r="BX63" s="100">
        <v>8</v>
      </c>
      <c r="BY63" s="100">
        <v>6364.8</v>
      </c>
      <c r="BZ63" s="100">
        <v>10</v>
      </c>
      <c r="CA63" s="100">
        <v>7956</v>
      </c>
      <c r="CB63" s="100">
        <v>10</v>
      </c>
      <c r="CC63" s="100">
        <v>7956</v>
      </c>
      <c r="CD63" s="100">
        <v>8</v>
      </c>
      <c r="CE63" s="100">
        <v>6364.8</v>
      </c>
      <c r="CF63" s="100">
        <v>5.0145516757977022</v>
      </c>
      <c r="CG63" s="100">
        <v>3989.5773132646518</v>
      </c>
      <c r="CH63" s="100">
        <v>6</v>
      </c>
      <c r="CI63" s="100">
        <v>4773.6000000000004</v>
      </c>
      <c r="CJ63" s="100">
        <v>10</v>
      </c>
      <c r="CK63" s="100">
        <v>7956</v>
      </c>
      <c r="CL63" s="100">
        <v>10</v>
      </c>
      <c r="CM63" s="100">
        <v>7956</v>
      </c>
      <c r="CN63" s="100">
        <v>1.0510044140568433</v>
      </c>
      <c r="CO63" s="100">
        <v>836.17911182362457</v>
      </c>
      <c r="CP63" s="100">
        <v>1.5434512124124411</v>
      </c>
      <c r="CQ63" s="100">
        <v>1227.9697845953381</v>
      </c>
      <c r="CR63" s="100">
        <v>8</v>
      </c>
      <c r="CS63" s="100">
        <v>6364.8</v>
      </c>
      <c r="CT63" s="100">
        <v>10</v>
      </c>
      <c r="CU63" s="100">
        <v>7956</v>
      </c>
    </row>
    <row r="64" spans="2:99">
      <c r="C64" s="99" t="s">
        <v>230</v>
      </c>
      <c r="D64" s="100">
        <v>6</v>
      </c>
      <c r="E64" s="100">
        <v>6055.1999999999989</v>
      </c>
      <c r="F64" s="100">
        <v>10</v>
      </c>
      <c r="G64" s="100">
        <v>10091.999999999998</v>
      </c>
      <c r="H64" s="100">
        <v>9</v>
      </c>
      <c r="I64" s="100">
        <v>9082.7999999999993</v>
      </c>
      <c r="J64" s="100">
        <v>5.5949416550769309</v>
      </c>
      <c r="K64" s="100">
        <v>5646.4151183036374</v>
      </c>
      <c r="L64" s="100">
        <v>8</v>
      </c>
      <c r="M64" s="100">
        <v>8073.5999999999985</v>
      </c>
      <c r="N64" s="100">
        <v>9</v>
      </c>
      <c r="O64" s="100">
        <v>9082.7999999999993</v>
      </c>
      <c r="P64" s="100">
        <v>9</v>
      </c>
      <c r="Q64" s="100">
        <v>9082.7999999999993</v>
      </c>
      <c r="R64" s="100">
        <v>7</v>
      </c>
      <c r="S64" s="100">
        <v>7064.3999999999987</v>
      </c>
      <c r="T64" s="100">
        <v>11</v>
      </c>
      <c r="U64" s="100">
        <v>11101.199999999997</v>
      </c>
      <c r="V64" s="100">
        <v>8</v>
      </c>
      <c r="W64" s="100">
        <v>8073.5999999999985</v>
      </c>
      <c r="X64" s="100">
        <v>7</v>
      </c>
      <c r="Y64" s="100">
        <v>7064.3999999999987</v>
      </c>
      <c r="Z64" s="100">
        <v>7</v>
      </c>
      <c r="AA64" s="100">
        <v>7064.3999999999987</v>
      </c>
      <c r="AB64" s="100">
        <v>3.6288913771186859</v>
      </c>
      <c r="AC64" s="100">
        <v>3662.2771777881771</v>
      </c>
      <c r="AD64" s="100">
        <v>6</v>
      </c>
      <c r="AE64" s="100">
        <v>6055.1999999999989</v>
      </c>
      <c r="AF64" s="100">
        <v>7</v>
      </c>
      <c r="AG64" s="100">
        <v>7064.3999999999987</v>
      </c>
      <c r="AH64" s="100">
        <v>8.2133726732382542</v>
      </c>
      <c r="AI64" s="100">
        <v>8288.9357018320443</v>
      </c>
      <c r="AJ64" s="100">
        <v>2.0060029004832886E-4</v>
      </c>
      <c r="AK64" s="100">
        <v>0.20244581271677345</v>
      </c>
      <c r="AL64" s="100">
        <v>2.3237075483346995E-4</v>
      </c>
      <c r="AM64" s="100">
        <v>0.23450856577793783</v>
      </c>
      <c r="AN64" s="100">
        <v>1.4882948477646678</v>
      </c>
      <c r="AO64" s="100">
        <v>1501.9871603641025</v>
      </c>
      <c r="AP64" s="100">
        <v>7</v>
      </c>
      <c r="AQ64" s="100">
        <v>7064.3999999999987</v>
      </c>
      <c r="AR64" s="100">
        <v>9</v>
      </c>
      <c r="AS64" s="100">
        <v>9082.7999999999993</v>
      </c>
      <c r="AT64" s="100">
        <v>7</v>
      </c>
      <c r="AU64" s="100">
        <v>7064.3999999999987</v>
      </c>
      <c r="AV64" s="100">
        <v>4.9408317412441409</v>
      </c>
      <c r="AW64" s="100">
        <v>4986.2873932635857</v>
      </c>
      <c r="AX64" s="100">
        <v>7</v>
      </c>
      <c r="AY64" s="100">
        <v>7064.3999999999987</v>
      </c>
      <c r="AZ64" s="100">
        <v>10</v>
      </c>
      <c r="BA64" s="100">
        <v>10091.999999999998</v>
      </c>
      <c r="BB64" s="100">
        <v>3.8120141047363285</v>
      </c>
      <c r="BC64" s="100">
        <v>3847.0846344999022</v>
      </c>
      <c r="BD64" s="100">
        <v>9.7056666144528005</v>
      </c>
      <c r="BE64" s="100">
        <v>9794.9587473057654</v>
      </c>
      <c r="BF64" s="100">
        <v>10</v>
      </c>
      <c r="BG64" s="100">
        <v>10091.999999999998</v>
      </c>
      <c r="BH64" s="100">
        <v>11.851314200080106</v>
      </c>
      <c r="BI64" s="100">
        <v>11960.346290720841</v>
      </c>
      <c r="BJ64" s="100">
        <v>7</v>
      </c>
      <c r="BK64" s="100">
        <v>7064.3999999999987</v>
      </c>
      <c r="BL64" s="100">
        <v>7.7502466465137418</v>
      </c>
      <c r="BM64" s="100">
        <v>7821.5489156616668</v>
      </c>
      <c r="BN64" s="100">
        <v>0.32688741647663255</v>
      </c>
      <c r="BO64" s="100">
        <v>329.89478070821752</v>
      </c>
      <c r="BP64" s="100">
        <v>10</v>
      </c>
      <c r="BQ64" s="100">
        <v>10091.999999999998</v>
      </c>
      <c r="BR64" s="100">
        <v>6</v>
      </c>
      <c r="BS64" s="100">
        <v>6055.1999999999989</v>
      </c>
      <c r="BT64" s="100">
        <v>4.630008274926757</v>
      </c>
      <c r="BU64" s="100">
        <v>4672.6043510560821</v>
      </c>
      <c r="BV64" s="100">
        <v>0.29510010602099518</v>
      </c>
      <c r="BW64" s="100">
        <v>297.81502699638827</v>
      </c>
      <c r="BX64" s="100">
        <v>8</v>
      </c>
      <c r="BY64" s="100">
        <v>8073.5999999999985</v>
      </c>
      <c r="BZ64" s="100">
        <v>9</v>
      </c>
      <c r="CA64" s="100">
        <v>9082.7999999999993</v>
      </c>
      <c r="CB64" s="100">
        <v>11</v>
      </c>
      <c r="CC64" s="100">
        <v>11101.199999999997</v>
      </c>
      <c r="CD64" s="100">
        <v>7</v>
      </c>
      <c r="CE64" s="100">
        <v>7064.3999999999987</v>
      </c>
      <c r="CF64" s="100">
        <v>5.0145516757977022</v>
      </c>
      <c r="CG64" s="100">
        <v>5060.6855512150405</v>
      </c>
      <c r="CH64" s="100">
        <v>6</v>
      </c>
      <c r="CI64" s="100">
        <v>6055.1999999999989</v>
      </c>
      <c r="CJ64" s="100">
        <v>10</v>
      </c>
      <c r="CK64" s="100">
        <v>10091.999999999998</v>
      </c>
      <c r="CL64" s="100">
        <v>10</v>
      </c>
      <c r="CM64" s="100">
        <v>10091.999999999998</v>
      </c>
      <c r="CN64" s="100">
        <v>0.95545855823349368</v>
      </c>
      <c r="CO64" s="100">
        <v>964.2487769692417</v>
      </c>
      <c r="CP64" s="100">
        <v>1.8006930811478481</v>
      </c>
      <c r="CQ64" s="100">
        <v>1817.259457494408</v>
      </c>
      <c r="CR64" s="100">
        <v>8</v>
      </c>
      <c r="CS64" s="100">
        <v>8073.5999999999985</v>
      </c>
      <c r="CT64" s="100">
        <v>10</v>
      </c>
      <c r="CU64" s="100">
        <v>10091.999999999998</v>
      </c>
    </row>
    <row r="65" spans="2:99">
      <c r="C65" s="99" t="s">
        <v>231</v>
      </c>
      <c r="D65" s="100">
        <v>6</v>
      </c>
      <c r="E65" s="100">
        <v>6156</v>
      </c>
      <c r="F65" s="100">
        <v>10</v>
      </c>
      <c r="G65" s="100">
        <v>10260</v>
      </c>
      <c r="H65" s="100">
        <v>8</v>
      </c>
      <c r="I65" s="100">
        <v>8208</v>
      </c>
      <c r="J65" s="100">
        <v>5.5949416550769309</v>
      </c>
      <c r="K65" s="100">
        <v>5740.4101381089313</v>
      </c>
      <c r="L65" s="100">
        <v>7</v>
      </c>
      <c r="M65" s="100">
        <v>7182</v>
      </c>
      <c r="N65" s="100">
        <v>9</v>
      </c>
      <c r="O65" s="100">
        <v>9234</v>
      </c>
      <c r="P65" s="100">
        <v>9</v>
      </c>
      <c r="Q65" s="100">
        <v>9234</v>
      </c>
      <c r="R65" s="100">
        <v>7</v>
      </c>
      <c r="S65" s="100">
        <v>7182</v>
      </c>
      <c r="T65" s="100">
        <v>11</v>
      </c>
      <c r="U65" s="100">
        <v>11286</v>
      </c>
      <c r="V65" s="100">
        <v>8</v>
      </c>
      <c r="W65" s="100">
        <v>8208</v>
      </c>
      <c r="X65" s="100">
        <v>7</v>
      </c>
      <c r="Y65" s="100">
        <v>7182</v>
      </c>
      <c r="Z65" s="100">
        <v>8</v>
      </c>
      <c r="AA65" s="100">
        <v>8208</v>
      </c>
      <c r="AB65" s="100">
        <v>3.2660022394068173</v>
      </c>
      <c r="AC65" s="100">
        <v>3350.9182976313946</v>
      </c>
      <c r="AD65" s="100">
        <v>5</v>
      </c>
      <c r="AE65" s="100">
        <v>5130</v>
      </c>
      <c r="AF65" s="100">
        <v>7</v>
      </c>
      <c r="AG65" s="100">
        <v>7182</v>
      </c>
      <c r="AH65" s="100">
        <v>9.1259696369313925</v>
      </c>
      <c r="AI65" s="100">
        <v>9363.2448474916091</v>
      </c>
      <c r="AJ65" s="100">
        <v>1.7552525379228777E-4</v>
      </c>
      <c r="AK65" s="100">
        <v>0.18008891039088726</v>
      </c>
      <c r="AL65" s="100">
        <v>2.0913367935012297E-4</v>
      </c>
      <c r="AM65" s="100">
        <v>0.21457115501322616</v>
      </c>
      <c r="AN65" s="100">
        <v>1.4882948477646678</v>
      </c>
      <c r="AO65" s="100">
        <v>1526.9905138065492</v>
      </c>
      <c r="AP65" s="100">
        <v>7</v>
      </c>
      <c r="AQ65" s="100">
        <v>7182</v>
      </c>
      <c r="AR65" s="100">
        <v>9</v>
      </c>
      <c r="AS65" s="100">
        <v>9234</v>
      </c>
      <c r="AT65" s="100">
        <v>6</v>
      </c>
      <c r="AU65" s="100">
        <v>6156</v>
      </c>
      <c r="AV65" s="100">
        <v>4.9408317412441409</v>
      </c>
      <c r="AW65" s="100">
        <v>5069.2933665164883</v>
      </c>
      <c r="AX65" s="100">
        <v>6</v>
      </c>
      <c r="AY65" s="100">
        <v>6156</v>
      </c>
      <c r="AZ65" s="100">
        <v>12</v>
      </c>
      <c r="BA65" s="100">
        <v>12312</v>
      </c>
      <c r="BB65" s="100">
        <v>4.1932155152099613</v>
      </c>
      <c r="BC65" s="100">
        <v>4302.2391186054201</v>
      </c>
      <c r="BD65" s="100">
        <v>8.73509995300752</v>
      </c>
      <c r="BE65" s="100">
        <v>8962.2125517857148</v>
      </c>
      <c r="BF65" s="100">
        <v>10</v>
      </c>
      <c r="BG65" s="100">
        <v>10260</v>
      </c>
      <c r="BH65" s="100">
        <v>9.8760951667334211</v>
      </c>
      <c r="BI65" s="100">
        <v>10132.873641068491</v>
      </c>
      <c r="BJ65" s="100">
        <v>7</v>
      </c>
      <c r="BK65" s="100">
        <v>7182</v>
      </c>
      <c r="BL65" s="100">
        <v>8.5252713111651151</v>
      </c>
      <c r="BM65" s="100">
        <v>8746.9283652554077</v>
      </c>
      <c r="BN65" s="100">
        <v>0.36774834353621161</v>
      </c>
      <c r="BO65" s="100">
        <v>377.30980046815313</v>
      </c>
      <c r="BP65" s="100">
        <v>11</v>
      </c>
      <c r="BQ65" s="100">
        <v>11286</v>
      </c>
      <c r="BR65" s="100">
        <v>7</v>
      </c>
      <c r="BS65" s="100">
        <v>7182</v>
      </c>
      <c r="BT65" s="100">
        <v>5.2914380284877218</v>
      </c>
      <c r="BU65" s="100">
        <v>5429.0154172284028</v>
      </c>
      <c r="BV65" s="100">
        <v>0.29510010602099518</v>
      </c>
      <c r="BW65" s="100">
        <v>302.77270877754103</v>
      </c>
      <c r="BX65" s="100">
        <v>7</v>
      </c>
      <c r="BY65" s="100">
        <v>7182</v>
      </c>
      <c r="BZ65" s="100">
        <v>9</v>
      </c>
      <c r="CA65" s="100">
        <v>9234</v>
      </c>
      <c r="CB65" s="100">
        <v>11</v>
      </c>
      <c r="CC65" s="100">
        <v>11286</v>
      </c>
      <c r="CD65" s="100">
        <v>7</v>
      </c>
      <c r="CE65" s="100">
        <v>7182</v>
      </c>
      <c r="CF65" s="100">
        <v>5.0145516757977022</v>
      </c>
      <c r="CG65" s="100">
        <v>5144.9300193684421</v>
      </c>
      <c r="CH65" s="100">
        <v>7</v>
      </c>
      <c r="CI65" s="100">
        <v>7182</v>
      </c>
      <c r="CJ65" s="100">
        <v>10</v>
      </c>
      <c r="CK65" s="100">
        <v>10260</v>
      </c>
      <c r="CL65" s="100">
        <v>10</v>
      </c>
      <c r="CM65" s="100">
        <v>10260</v>
      </c>
      <c r="CN65" s="100">
        <v>0.95545855823349368</v>
      </c>
      <c r="CO65" s="100">
        <v>980.30048074756451</v>
      </c>
      <c r="CP65" s="100">
        <v>1.8006930811478481</v>
      </c>
      <c r="CQ65" s="100">
        <v>1847.5111012576922</v>
      </c>
      <c r="CR65" s="100">
        <v>9</v>
      </c>
      <c r="CS65" s="100">
        <v>9234</v>
      </c>
      <c r="CT65" s="100">
        <v>11</v>
      </c>
      <c r="CU65" s="100">
        <v>11286</v>
      </c>
    </row>
    <row r="66" spans="2:99">
      <c r="C66" s="99" t="s">
        <v>232</v>
      </c>
      <c r="D66" s="100">
        <v>6</v>
      </c>
      <c r="E66" s="100">
        <v>7142.4</v>
      </c>
      <c r="F66" s="100">
        <v>9</v>
      </c>
      <c r="G66" s="100">
        <v>10713.599999999999</v>
      </c>
      <c r="H66" s="100">
        <v>8</v>
      </c>
      <c r="I66" s="100">
        <v>9523.1999999999989</v>
      </c>
      <c r="J66" s="100">
        <v>6.1544358205846246</v>
      </c>
      <c r="K66" s="100">
        <v>7326.2404008239364</v>
      </c>
      <c r="L66" s="100">
        <v>8</v>
      </c>
      <c r="M66" s="100">
        <v>9523.1999999999989</v>
      </c>
      <c r="N66" s="100">
        <v>8</v>
      </c>
      <c r="O66" s="100">
        <v>9523.1999999999989</v>
      </c>
      <c r="P66" s="100">
        <v>8</v>
      </c>
      <c r="Q66" s="100">
        <v>9523.1999999999989</v>
      </c>
      <c r="R66" s="100">
        <v>6</v>
      </c>
      <c r="S66" s="100">
        <v>7142.4</v>
      </c>
      <c r="T66" s="100">
        <v>11</v>
      </c>
      <c r="U66" s="100">
        <v>13094.399999999998</v>
      </c>
      <c r="V66" s="100">
        <v>8</v>
      </c>
      <c r="W66" s="100">
        <v>9523.1999999999989</v>
      </c>
      <c r="X66" s="100">
        <v>8</v>
      </c>
      <c r="Y66" s="100">
        <v>9523.1999999999989</v>
      </c>
      <c r="Z66" s="100">
        <v>8</v>
      </c>
      <c r="AA66" s="100">
        <v>9523.1999999999989</v>
      </c>
      <c r="AB66" s="100">
        <v>3.6288913771186859</v>
      </c>
      <c r="AC66" s="100">
        <v>4319.8322953220832</v>
      </c>
      <c r="AD66" s="100">
        <v>6</v>
      </c>
      <c r="AE66" s="100">
        <v>7142.4</v>
      </c>
      <c r="AF66" s="100">
        <v>7</v>
      </c>
      <c r="AG66" s="100">
        <v>8332.7999999999993</v>
      </c>
      <c r="AH66" s="100">
        <v>9.1259696369313925</v>
      </c>
      <c r="AI66" s="100">
        <v>10863.554255803128</v>
      </c>
      <c r="AJ66" s="100">
        <v>1.7552525379228777E-4</v>
      </c>
      <c r="AK66" s="100">
        <v>0.20894526211433934</v>
      </c>
      <c r="AL66" s="100">
        <v>2.3237075483346995E-4</v>
      </c>
      <c r="AM66" s="100">
        <v>0.2766141465537626</v>
      </c>
      <c r="AN66" s="100">
        <v>1.7363439890587793</v>
      </c>
      <c r="AO66" s="100">
        <v>2066.9438845755708</v>
      </c>
      <c r="AP66" s="100">
        <v>7</v>
      </c>
      <c r="AQ66" s="100">
        <v>8332.7999999999993</v>
      </c>
      <c r="AR66" s="100">
        <v>9</v>
      </c>
      <c r="AS66" s="100">
        <v>10713.599999999999</v>
      </c>
      <c r="AT66" s="100">
        <v>6</v>
      </c>
      <c r="AU66" s="100">
        <v>7142.4</v>
      </c>
      <c r="AV66" s="100">
        <v>4.9408317412441409</v>
      </c>
      <c r="AW66" s="100">
        <v>5881.5661047770245</v>
      </c>
      <c r="AX66" s="100">
        <v>7</v>
      </c>
      <c r="AY66" s="100">
        <v>8332.7999999999993</v>
      </c>
      <c r="AZ66" s="100">
        <v>11</v>
      </c>
      <c r="BA66" s="100">
        <v>13094.399999999998</v>
      </c>
      <c r="BB66" s="100">
        <v>4.1932155152099613</v>
      </c>
      <c r="BC66" s="100">
        <v>4991.6037493059375</v>
      </c>
      <c r="BD66" s="100">
        <v>8.73509995300752</v>
      </c>
      <c r="BE66" s="100">
        <v>10398.262984060151</v>
      </c>
      <c r="BF66" s="100">
        <v>11</v>
      </c>
      <c r="BG66" s="100">
        <v>13094.399999999998</v>
      </c>
      <c r="BH66" s="100">
        <v>10.863704683406763</v>
      </c>
      <c r="BI66" s="100">
        <v>12932.154055127408</v>
      </c>
      <c r="BJ66" s="100">
        <v>7</v>
      </c>
      <c r="BK66" s="100">
        <v>8332.7999999999993</v>
      </c>
      <c r="BL66" s="100">
        <v>6.9752219818623669</v>
      </c>
      <c r="BM66" s="100">
        <v>8303.3042472089601</v>
      </c>
      <c r="BN66" s="100">
        <v>0.32688741647663255</v>
      </c>
      <c r="BO66" s="100">
        <v>389.12678057378332</v>
      </c>
      <c r="BP66" s="100">
        <v>9</v>
      </c>
      <c r="BQ66" s="100">
        <v>10713.599999999999</v>
      </c>
      <c r="BR66" s="100">
        <v>7</v>
      </c>
      <c r="BS66" s="100">
        <v>8332.7999999999993</v>
      </c>
      <c r="BT66" s="100">
        <v>4.630008274926757</v>
      </c>
      <c r="BU66" s="100">
        <v>5511.5618504728109</v>
      </c>
      <c r="BV66" s="100">
        <v>0.25821259276837077</v>
      </c>
      <c r="BW66" s="100">
        <v>307.37627043146853</v>
      </c>
      <c r="BX66" s="100">
        <v>7</v>
      </c>
      <c r="BY66" s="100">
        <v>8332.7999999999993</v>
      </c>
      <c r="BZ66" s="100">
        <v>9</v>
      </c>
      <c r="CA66" s="100">
        <v>10713.599999999999</v>
      </c>
      <c r="CB66" s="100">
        <v>10</v>
      </c>
      <c r="CC66" s="100">
        <v>11903.999999999998</v>
      </c>
      <c r="CD66" s="100">
        <v>8</v>
      </c>
      <c r="CE66" s="100">
        <v>9523.1999999999989</v>
      </c>
      <c r="CF66" s="100">
        <v>5.0145516757977022</v>
      </c>
      <c r="CG66" s="100">
        <v>5969.3223148695843</v>
      </c>
      <c r="CH66" s="100">
        <v>7</v>
      </c>
      <c r="CI66" s="100">
        <v>8332.7999999999993</v>
      </c>
      <c r="CJ66" s="100">
        <v>11</v>
      </c>
      <c r="CK66" s="100">
        <v>13094.399999999998</v>
      </c>
      <c r="CL66" s="100">
        <v>9</v>
      </c>
      <c r="CM66" s="100">
        <v>10713.599999999999</v>
      </c>
      <c r="CN66" s="100">
        <v>0.95545855823349368</v>
      </c>
      <c r="CO66" s="100">
        <v>1137.3778677211508</v>
      </c>
      <c r="CP66" s="100">
        <v>1.5434512124124411</v>
      </c>
      <c r="CQ66" s="100">
        <v>1837.3243232557697</v>
      </c>
      <c r="CR66" s="100">
        <v>9</v>
      </c>
      <c r="CS66" s="100">
        <v>10713.599999999999</v>
      </c>
      <c r="CT66" s="100">
        <v>11</v>
      </c>
      <c r="CU66" s="100">
        <v>13094.399999999998</v>
      </c>
    </row>
    <row r="67" spans="2:99">
      <c r="C67" s="99" t="s">
        <v>233</v>
      </c>
      <c r="D67" s="100">
        <v>6</v>
      </c>
      <c r="E67" s="100">
        <v>6739.2000000000007</v>
      </c>
      <c r="F67" s="100">
        <v>10</v>
      </c>
      <c r="G67" s="100">
        <v>11232</v>
      </c>
      <c r="H67" s="100">
        <v>8</v>
      </c>
      <c r="I67" s="100">
        <v>8985.6</v>
      </c>
      <c r="J67" s="100">
        <v>6.1544358205846246</v>
      </c>
      <c r="K67" s="100">
        <v>6912.6623136806502</v>
      </c>
      <c r="L67" s="100">
        <v>7</v>
      </c>
      <c r="M67" s="100">
        <v>7862.4000000000005</v>
      </c>
      <c r="N67" s="100">
        <v>8</v>
      </c>
      <c r="O67" s="100">
        <v>8985.6</v>
      </c>
      <c r="P67" s="100">
        <v>8</v>
      </c>
      <c r="Q67" s="100">
        <v>8985.6</v>
      </c>
      <c r="R67" s="100">
        <v>6</v>
      </c>
      <c r="S67" s="100">
        <v>6739.2000000000007</v>
      </c>
      <c r="T67" s="100">
        <v>11</v>
      </c>
      <c r="U67" s="100">
        <v>12355.2</v>
      </c>
      <c r="V67" s="100">
        <v>9</v>
      </c>
      <c r="W67" s="100">
        <v>10108.800000000001</v>
      </c>
      <c r="X67" s="100">
        <v>7</v>
      </c>
      <c r="Y67" s="100">
        <v>7862.4000000000005</v>
      </c>
      <c r="Z67" s="100">
        <v>7</v>
      </c>
      <c r="AA67" s="100">
        <v>7862.4000000000005</v>
      </c>
      <c r="AB67" s="100">
        <v>3.6288913771186859</v>
      </c>
      <c r="AC67" s="100">
        <v>4075.9707947797083</v>
      </c>
      <c r="AD67" s="100">
        <v>6</v>
      </c>
      <c r="AE67" s="100">
        <v>6739.2000000000007</v>
      </c>
      <c r="AF67" s="100">
        <v>7</v>
      </c>
      <c r="AG67" s="100">
        <v>7862.4000000000005</v>
      </c>
      <c r="AH67" s="100">
        <v>10.038566600624531</v>
      </c>
      <c r="AI67" s="100">
        <v>11275.318005821473</v>
      </c>
      <c r="AJ67" s="100">
        <v>1.7552525379228777E-4</v>
      </c>
      <c r="AK67" s="100">
        <v>0.19714996505949764</v>
      </c>
      <c r="AL67" s="100">
        <v>2.0913367935012297E-4</v>
      </c>
      <c r="AM67" s="100">
        <v>0.23489894864605812</v>
      </c>
      <c r="AN67" s="100">
        <v>1.7363439890587793</v>
      </c>
      <c r="AO67" s="100">
        <v>1950.261568510821</v>
      </c>
      <c r="AP67" s="100">
        <v>6</v>
      </c>
      <c r="AQ67" s="100">
        <v>6739.2000000000007</v>
      </c>
      <c r="AR67" s="100">
        <v>9</v>
      </c>
      <c r="AS67" s="100">
        <v>10108.800000000001</v>
      </c>
      <c r="AT67" s="100">
        <v>6</v>
      </c>
      <c r="AU67" s="100">
        <v>6739.2000000000007</v>
      </c>
      <c r="AV67" s="100">
        <v>4.2349986353521212</v>
      </c>
      <c r="AW67" s="100">
        <v>4756.7504672275027</v>
      </c>
      <c r="AX67" s="100">
        <v>6</v>
      </c>
      <c r="AY67" s="100">
        <v>6739.2000000000007</v>
      </c>
      <c r="AZ67" s="100">
        <v>10</v>
      </c>
      <c r="BA67" s="100">
        <v>11232</v>
      </c>
      <c r="BB67" s="100">
        <v>3.8120141047363285</v>
      </c>
      <c r="BC67" s="100">
        <v>4281.654242439844</v>
      </c>
      <c r="BD67" s="100">
        <v>9.7056666144528005</v>
      </c>
      <c r="BE67" s="100">
        <v>10901.404741353386</v>
      </c>
      <c r="BF67" s="100">
        <v>11</v>
      </c>
      <c r="BG67" s="100">
        <v>12355.2</v>
      </c>
      <c r="BH67" s="100">
        <v>9.8760951667334211</v>
      </c>
      <c r="BI67" s="100">
        <v>11092.830091274978</v>
      </c>
      <c r="BJ67" s="100">
        <v>7</v>
      </c>
      <c r="BK67" s="100">
        <v>7862.4000000000005</v>
      </c>
      <c r="BL67" s="100">
        <v>6.9752219818623669</v>
      </c>
      <c r="BM67" s="100">
        <v>7834.5693300278108</v>
      </c>
      <c r="BN67" s="100">
        <v>0.32688741647663255</v>
      </c>
      <c r="BO67" s="100">
        <v>367.15994618655373</v>
      </c>
      <c r="BP67" s="100">
        <v>9</v>
      </c>
      <c r="BQ67" s="100">
        <v>10108.800000000001</v>
      </c>
      <c r="BR67" s="100">
        <v>6</v>
      </c>
      <c r="BS67" s="100">
        <v>6739.2000000000007</v>
      </c>
      <c r="BT67" s="100">
        <v>3.9685785213657909</v>
      </c>
      <c r="BU67" s="100">
        <v>4457.5073951980567</v>
      </c>
      <c r="BV67" s="100">
        <v>0.25821259276837077</v>
      </c>
      <c r="BW67" s="100">
        <v>290.02438419743407</v>
      </c>
      <c r="BX67" s="100">
        <v>7</v>
      </c>
      <c r="BY67" s="100">
        <v>7862.4000000000005</v>
      </c>
      <c r="BZ67" s="100">
        <v>9</v>
      </c>
      <c r="CA67" s="100">
        <v>10108.800000000001</v>
      </c>
      <c r="CB67" s="100">
        <v>11</v>
      </c>
      <c r="CC67" s="100">
        <v>12355.2</v>
      </c>
      <c r="CD67" s="100">
        <v>8</v>
      </c>
      <c r="CE67" s="100">
        <v>8985.6</v>
      </c>
      <c r="CF67" s="100">
        <v>4.2981871506837441</v>
      </c>
      <c r="CG67" s="100">
        <v>4827.7238076479816</v>
      </c>
      <c r="CH67" s="100">
        <v>6</v>
      </c>
      <c r="CI67" s="100">
        <v>6739.2000000000007</v>
      </c>
      <c r="CJ67" s="100">
        <v>9</v>
      </c>
      <c r="CK67" s="100">
        <v>10108.800000000001</v>
      </c>
      <c r="CL67" s="100">
        <v>9</v>
      </c>
      <c r="CM67" s="100">
        <v>10108.800000000001</v>
      </c>
      <c r="CN67" s="100">
        <v>1.0510044140568433</v>
      </c>
      <c r="CO67" s="100">
        <v>1180.4881578686463</v>
      </c>
      <c r="CP67" s="100">
        <v>1.5434512124124411</v>
      </c>
      <c r="CQ67" s="100">
        <v>1733.6044017816539</v>
      </c>
      <c r="CR67" s="100">
        <v>8</v>
      </c>
      <c r="CS67" s="100">
        <v>8985.6</v>
      </c>
      <c r="CT67" s="100">
        <v>10</v>
      </c>
      <c r="CU67" s="100">
        <v>11232</v>
      </c>
    </row>
    <row r="68" spans="2:99">
      <c r="C68" s="99" t="s">
        <v>234</v>
      </c>
      <c r="D68" s="100">
        <v>6</v>
      </c>
      <c r="E68" s="100">
        <v>6199.2000000000007</v>
      </c>
      <c r="F68" s="100">
        <v>10</v>
      </c>
      <c r="G68" s="100">
        <v>10332</v>
      </c>
      <c r="H68" s="100">
        <v>9</v>
      </c>
      <c r="I68" s="100">
        <v>9298.8000000000011</v>
      </c>
      <c r="J68" s="100">
        <v>5.5949416550769309</v>
      </c>
      <c r="K68" s="100">
        <v>5780.6937180254854</v>
      </c>
      <c r="L68" s="100">
        <v>7</v>
      </c>
      <c r="M68" s="100">
        <v>7232.4000000000005</v>
      </c>
      <c r="N68" s="100">
        <v>8</v>
      </c>
      <c r="O68" s="100">
        <v>8265.6</v>
      </c>
      <c r="P68" s="100">
        <v>9</v>
      </c>
      <c r="Q68" s="100">
        <v>9298.8000000000011</v>
      </c>
      <c r="R68" s="100">
        <v>7</v>
      </c>
      <c r="S68" s="100">
        <v>7232.4000000000005</v>
      </c>
      <c r="T68" s="100">
        <v>10</v>
      </c>
      <c r="U68" s="100">
        <v>10332</v>
      </c>
      <c r="V68" s="100">
        <v>9</v>
      </c>
      <c r="W68" s="100">
        <v>9298.8000000000011</v>
      </c>
      <c r="X68" s="100">
        <v>7</v>
      </c>
      <c r="Y68" s="100">
        <v>7232.4000000000005</v>
      </c>
      <c r="Z68" s="100">
        <v>8</v>
      </c>
      <c r="AA68" s="100">
        <v>8265.6</v>
      </c>
      <c r="AB68" s="100">
        <v>3.6288913771186859</v>
      </c>
      <c r="AC68" s="100">
        <v>3749.3705708390266</v>
      </c>
      <c r="AD68" s="100">
        <v>6</v>
      </c>
      <c r="AE68" s="100">
        <v>6199.2000000000007</v>
      </c>
      <c r="AF68" s="100">
        <v>7</v>
      </c>
      <c r="AG68" s="100">
        <v>7232.4000000000005</v>
      </c>
      <c r="AH68" s="100">
        <v>8.2133726732382542</v>
      </c>
      <c r="AI68" s="100">
        <v>8486.0566459897655</v>
      </c>
      <c r="AJ68" s="100">
        <v>1.5045021753624664E-4</v>
      </c>
      <c r="AK68" s="100">
        <v>0.15544516475845002</v>
      </c>
      <c r="AL68" s="100">
        <v>2.3237075483346995E-4</v>
      </c>
      <c r="AM68" s="100">
        <v>0.24008546389394117</v>
      </c>
      <c r="AN68" s="100">
        <v>1.7363439890587793</v>
      </c>
      <c r="AO68" s="100">
        <v>1793.9906094955309</v>
      </c>
      <c r="AP68" s="100">
        <v>7</v>
      </c>
      <c r="AQ68" s="100">
        <v>7232.4000000000005</v>
      </c>
      <c r="AR68" s="100">
        <v>9</v>
      </c>
      <c r="AS68" s="100">
        <v>9298.8000000000011</v>
      </c>
      <c r="AT68" s="100">
        <v>6</v>
      </c>
      <c r="AU68" s="100">
        <v>6199.2000000000007</v>
      </c>
      <c r="AV68" s="100">
        <v>4.9408317412441409</v>
      </c>
      <c r="AW68" s="100">
        <v>5104.8673550534468</v>
      </c>
      <c r="AX68" s="100">
        <v>7</v>
      </c>
      <c r="AY68" s="100">
        <v>7232.4000000000005</v>
      </c>
      <c r="AZ68" s="100">
        <v>10</v>
      </c>
      <c r="BA68" s="100">
        <v>10332</v>
      </c>
      <c r="BB68" s="100">
        <v>4.1932155152099613</v>
      </c>
      <c r="BC68" s="100">
        <v>4332.4302703149324</v>
      </c>
      <c r="BD68" s="100">
        <v>8.73509995300752</v>
      </c>
      <c r="BE68" s="100">
        <v>9025.1052714473699</v>
      </c>
      <c r="BF68" s="100">
        <v>10</v>
      </c>
      <c r="BG68" s="100">
        <v>10332</v>
      </c>
      <c r="BH68" s="100">
        <v>10.863704683406763</v>
      </c>
      <c r="BI68" s="100">
        <v>11224.379678895868</v>
      </c>
      <c r="BJ68" s="100">
        <v>7</v>
      </c>
      <c r="BK68" s="100">
        <v>7232.4000000000005</v>
      </c>
      <c r="BL68" s="100">
        <v>6.9752219818623669</v>
      </c>
      <c r="BM68" s="100">
        <v>7206.7993516601973</v>
      </c>
      <c r="BN68" s="100">
        <v>0.2860264894170535</v>
      </c>
      <c r="BO68" s="100">
        <v>295.52256886569967</v>
      </c>
      <c r="BP68" s="100">
        <v>9</v>
      </c>
      <c r="BQ68" s="100">
        <v>9298.8000000000011</v>
      </c>
      <c r="BR68" s="100">
        <v>6</v>
      </c>
      <c r="BS68" s="100">
        <v>6199.2000000000007</v>
      </c>
      <c r="BT68" s="100">
        <v>5.2914380284877218</v>
      </c>
      <c r="BU68" s="100">
        <v>5467.1137710335142</v>
      </c>
      <c r="BV68" s="100">
        <v>0.25821259276837077</v>
      </c>
      <c r="BW68" s="100">
        <v>266.78525084828067</v>
      </c>
      <c r="BX68" s="100">
        <v>7</v>
      </c>
      <c r="BY68" s="100">
        <v>7232.4000000000005</v>
      </c>
      <c r="BZ68" s="100">
        <v>9</v>
      </c>
      <c r="CA68" s="100">
        <v>9298.8000000000011</v>
      </c>
      <c r="CB68" s="100">
        <v>10</v>
      </c>
      <c r="CC68" s="100">
        <v>10332</v>
      </c>
      <c r="CD68" s="100">
        <v>8</v>
      </c>
      <c r="CE68" s="100">
        <v>8265.6</v>
      </c>
      <c r="CF68" s="100">
        <v>5.0145516757977022</v>
      </c>
      <c r="CG68" s="100">
        <v>5181.0347914341864</v>
      </c>
      <c r="CH68" s="100">
        <v>7</v>
      </c>
      <c r="CI68" s="100">
        <v>7232.4000000000005</v>
      </c>
      <c r="CJ68" s="100">
        <v>11</v>
      </c>
      <c r="CK68" s="100">
        <v>11365.2</v>
      </c>
      <c r="CL68" s="100">
        <v>10</v>
      </c>
      <c r="CM68" s="100">
        <v>10332</v>
      </c>
      <c r="CN68" s="100">
        <v>0.95545855823349368</v>
      </c>
      <c r="CO68" s="100">
        <v>987.17978236684576</v>
      </c>
      <c r="CP68" s="100">
        <v>1.5434512124124411</v>
      </c>
      <c r="CQ68" s="100">
        <v>1594.6937926645342</v>
      </c>
      <c r="CR68" s="100">
        <v>9</v>
      </c>
      <c r="CS68" s="100">
        <v>9298.8000000000011</v>
      </c>
      <c r="CT68" s="100">
        <v>11</v>
      </c>
      <c r="CU68" s="100">
        <v>11365.2</v>
      </c>
    </row>
    <row r="69" spans="2:99">
      <c r="C69" s="99" t="s">
        <v>235</v>
      </c>
      <c r="D69" s="100">
        <v>6</v>
      </c>
      <c r="E69" s="100">
        <v>4550.3999999999996</v>
      </c>
      <c r="F69" s="100">
        <v>11</v>
      </c>
      <c r="G69" s="100">
        <v>8342.4</v>
      </c>
      <c r="H69" s="100">
        <v>9</v>
      </c>
      <c r="I69" s="100">
        <v>6825.5999999999995</v>
      </c>
      <c r="J69" s="100">
        <v>6.7139299860923174</v>
      </c>
      <c r="K69" s="100">
        <v>5091.8445014524132</v>
      </c>
      <c r="L69" s="100">
        <v>7</v>
      </c>
      <c r="M69" s="100">
        <v>5308.8</v>
      </c>
      <c r="N69" s="100">
        <v>7</v>
      </c>
      <c r="O69" s="100">
        <v>5308.8</v>
      </c>
      <c r="P69" s="100">
        <v>9</v>
      </c>
      <c r="Q69" s="100">
        <v>6825.5999999999995</v>
      </c>
      <c r="R69" s="100">
        <v>7</v>
      </c>
      <c r="S69" s="100">
        <v>5308.8</v>
      </c>
      <c r="T69" s="100">
        <v>10</v>
      </c>
      <c r="U69" s="100">
        <v>7584</v>
      </c>
      <c r="V69" s="100">
        <v>9</v>
      </c>
      <c r="W69" s="100">
        <v>6825.5999999999995</v>
      </c>
      <c r="X69" s="100">
        <v>7</v>
      </c>
      <c r="Y69" s="100">
        <v>5308.8</v>
      </c>
      <c r="Z69" s="100">
        <v>8</v>
      </c>
      <c r="AA69" s="100">
        <v>6067.2</v>
      </c>
      <c r="AB69" s="100">
        <v>3.6288913771186859</v>
      </c>
      <c r="AC69" s="100">
        <v>2752.1512204068113</v>
      </c>
      <c r="AD69" s="100">
        <v>7</v>
      </c>
      <c r="AE69" s="100">
        <v>5308.8</v>
      </c>
      <c r="AF69" s="100">
        <v>7</v>
      </c>
      <c r="AG69" s="100">
        <v>5308.8</v>
      </c>
      <c r="AH69" s="100">
        <v>10.038566600624531</v>
      </c>
      <c r="AI69" s="100">
        <v>7613.2489099136437</v>
      </c>
      <c r="AJ69" s="100">
        <v>1.5045021753624664E-4</v>
      </c>
      <c r="AK69" s="100">
        <v>0.11410144497948944</v>
      </c>
      <c r="AL69" s="100">
        <v>2.0913367935012297E-4</v>
      </c>
      <c r="AM69" s="100">
        <v>0.15860698241913326</v>
      </c>
      <c r="AN69" s="100">
        <v>1.7363439890587793</v>
      </c>
      <c r="AO69" s="100">
        <v>1316.8432813021782</v>
      </c>
      <c r="AP69" s="100">
        <v>7</v>
      </c>
      <c r="AQ69" s="100">
        <v>5308.8</v>
      </c>
      <c r="AR69" s="100">
        <v>8</v>
      </c>
      <c r="AS69" s="100">
        <v>6067.2</v>
      </c>
      <c r="AT69" s="100">
        <v>6</v>
      </c>
      <c r="AU69" s="100">
        <v>4550.3999999999996</v>
      </c>
      <c r="AV69" s="100">
        <v>4.2349986353521212</v>
      </c>
      <c r="AW69" s="100">
        <v>3211.8229650510484</v>
      </c>
      <c r="AX69" s="100">
        <v>7</v>
      </c>
      <c r="AY69" s="100">
        <v>5308.8</v>
      </c>
      <c r="AZ69" s="100">
        <v>10</v>
      </c>
      <c r="BA69" s="100">
        <v>7584</v>
      </c>
      <c r="BB69" s="100">
        <v>4.574416925683594</v>
      </c>
      <c r="BC69" s="100">
        <v>3469.2377964384377</v>
      </c>
      <c r="BD69" s="100">
        <v>9.7056666144528005</v>
      </c>
      <c r="BE69" s="100">
        <v>7360.7775604010039</v>
      </c>
      <c r="BF69" s="100">
        <v>10</v>
      </c>
      <c r="BG69" s="100">
        <v>7584</v>
      </c>
      <c r="BH69" s="100">
        <v>9.8760951667334211</v>
      </c>
      <c r="BI69" s="100">
        <v>7490.0305744506268</v>
      </c>
      <c r="BJ69" s="100">
        <v>8</v>
      </c>
      <c r="BK69" s="100">
        <v>6067.2</v>
      </c>
      <c r="BL69" s="100">
        <v>8.5252713111651151</v>
      </c>
      <c r="BM69" s="100">
        <v>6465.5657623876232</v>
      </c>
      <c r="BN69" s="100">
        <v>0.36774834353621161</v>
      </c>
      <c r="BO69" s="100">
        <v>278.9003437378629</v>
      </c>
      <c r="BP69" s="100">
        <v>11</v>
      </c>
      <c r="BQ69" s="100">
        <v>8342.4</v>
      </c>
      <c r="BR69" s="100">
        <v>6</v>
      </c>
      <c r="BS69" s="100">
        <v>4550.3999999999996</v>
      </c>
      <c r="BT69" s="100">
        <v>4.630008274926757</v>
      </c>
      <c r="BU69" s="100">
        <v>3511.3982757044523</v>
      </c>
      <c r="BV69" s="100">
        <v>0.29510010602099518</v>
      </c>
      <c r="BW69" s="100">
        <v>223.80392040632273</v>
      </c>
      <c r="BX69" s="100">
        <v>7</v>
      </c>
      <c r="BY69" s="100">
        <v>5308.8</v>
      </c>
      <c r="BZ69" s="100">
        <v>9</v>
      </c>
      <c r="CA69" s="100">
        <v>6825.5999999999995</v>
      </c>
      <c r="CB69" s="100">
        <v>9</v>
      </c>
      <c r="CC69" s="100">
        <v>6825.5999999999995</v>
      </c>
      <c r="CD69" s="100">
        <v>8</v>
      </c>
      <c r="CE69" s="100">
        <v>6067.2</v>
      </c>
      <c r="CF69" s="100">
        <v>5.0145516757977022</v>
      </c>
      <c r="CG69" s="100">
        <v>3803.0359909249773</v>
      </c>
      <c r="CH69" s="100">
        <v>7</v>
      </c>
      <c r="CI69" s="100">
        <v>5308.8</v>
      </c>
      <c r="CJ69" s="100">
        <v>10</v>
      </c>
      <c r="CK69" s="100">
        <v>7584</v>
      </c>
      <c r="CL69" s="100">
        <v>10</v>
      </c>
      <c r="CM69" s="100">
        <v>7584</v>
      </c>
      <c r="CN69" s="100">
        <v>0.95545855823349368</v>
      </c>
      <c r="CO69" s="100">
        <v>724.61977056428157</v>
      </c>
      <c r="CP69" s="100">
        <v>1.8006930811478481</v>
      </c>
      <c r="CQ69" s="100">
        <v>1365.6456327425281</v>
      </c>
      <c r="CR69" s="100">
        <v>8</v>
      </c>
      <c r="CS69" s="100">
        <v>6067.2</v>
      </c>
      <c r="CT69" s="100">
        <v>11</v>
      </c>
      <c r="CU69" s="100">
        <v>8342.4</v>
      </c>
    </row>
    <row r="70" spans="2:99">
      <c r="C70" s="99" t="s">
        <v>236</v>
      </c>
      <c r="D70" s="100">
        <v>6</v>
      </c>
      <c r="E70" s="100">
        <v>3211.2</v>
      </c>
      <c r="F70" s="100">
        <v>10</v>
      </c>
      <c r="G70" s="100">
        <v>5351.9999999999991</v>
      </c>
      <c r="H70" s="100">
        <v>8</v>
      </c>
      <c r="I70" s="100">
        <v>4281.5999999999995</v>
      </c>
      <c r="J70" s="100">
        <v>6.1544358205846246</v>
      </c>
      <c r="K70" s="100">
        <v>3293.8540511768906</v>
      </c>
      <c r="L70" s="100">
        <v>7</v>
      </c>
      <c r="M70" s="100">
        <v>3746.3999999999996</v>
      </c>
      <c r="N70" s="100">
        <v>8</v>
      </c>
      <c r="O70" s="100">
        <v>4281.5999999999995</v>
      </c>
      <c r="P70" s="100">
        <v>8</v>
      </c>
      <c r="Q70" s="100">
        <v>4281.5999999999995</v>
      </c>
      <c r="R70" s="100">
        <v>7</v>
      </c>
      <c r="S70" s="100">
        <v>3746.3999999999996</v>
      </c>
      <c r="T70" s="100">
        <v>10</v>
      </c>
      <c r="U70" s="100">
        <v>5351.9999999999991</v>
      </c>
      <c r="V70" s="100">
        <v>8</v>
      </c>
      <c r="W70" s="100">
        <v>4281.5999999999995</v>
      </c>
      <c r="X70" s="100">
        <v>9</v>
      </c>
      <c r="Y70" s="100">
        <v>4816.7999999999993</v>
      </c>
      <c r="Z70" s="100">
        <v>7</v>
      </c>
      <c r="AA70" s="100">
        <v>3746.3999999999996</v>
      </c>
      <c r="AB70" s="100">
        <v>3.9917805148305541</v>
      </c>
      <c r="AC70" s="100">
        <v>2136.4009315373123</v>
      </c>
      <c r="AD70" s="100">
        <v>7</v>
      </c>
      <c r="AE70" s="100">
        <v>3746.3999999999996</v>
      </c>
      <c r="AF70" s="100">
        <v>7</v>
      </c>
      <c r="AG70" s="100">
        <v>3746.3999999999996</v>
      </c>
      <c r="AH70" s="100">
        <v>9.1259696369313925</v>
      </c>
      <c r="AI70" s="100">
        <v>4884.2189496856809</v>
      </c>
      <c r="AJ70" s="100">
        <v>2.0060029004832886E-4</v>
      </c>
      <c r="AK70" s="100">
        <v>0.10736127523386559</v>
      </c>
      <c r="AL70" s="100">
        <v>2.3237075483346995E-4</v>
      </c>
      <c r="AM70" s="100">
        <v>0.12436482798687311</v>
      </c>
      <c r="AN70" s="100">
        <v>1.7363439890587793</v>
      </c>
      <c r="AO70" s="100">
        <v>929.29130294425852</v>
      </c>
      <c r="AP70" s="100">
        <v>7</v>
      </c>
      <c r="AQ70" s="100">
        <v>3746.3999999999996</v>
      </c>
      <c r="AR70" s="100">
        <v>9</v>
      </c>
      <c r="AS70" s="100">
        <v>4816.7999999999993</v>
      </c>
      <c r="AT70" s="100">
        <v>7</v>
      </c>
      <c r="AU70" s="100">
        <v>3746.3999999999996</v>
      </c>
      <c r="AV70" s="100">
        <v>4.9408317412441409</v>
      </c>
      <c r="AW70" s="100">
        <v>2644.3331479138637</v>
      </c>
      <c r="AX70" s="100">
        <v>7</v>
      </c>
      <c r="AY70" s="100">
        <v>3746.3999999999996</v>
      </c>
      <c r="AZ70" s="100">
        <v>11</v>
      </c>
      <c r="BA70" s="100">
        <v>5887.1999999999989</v>
      </c>
      <c r="BB70" s="100">
        <v>4.1932155152099613</v>
      </c>
      <c r="BC70" s="100">
        <v>2244.2089437403711</v>
      </c>
      <c r="BD70" s="100">
        <v>10.676233275898079</v>
      </c>
      <c r="BE70" s="100">
        <v>5713.9200492606515</v>
      </c>
      <c r="BF70" s="100">
        <v>10</v>
      </c>
      <c r="BG70" s="100">
        <v>5351.9999999999991</v>
      </c>
      <c r="BH70" s="100">
        <v>9.8760951667334211</v>
      </c>
      <c r="BI70" s="100">
        <v>5285.6861332357266</v>
      </c>
      <c r="BJ70" s="100">
        <v>7</v>
      </c>
      <c r="BK70" s="100">
        <v>3746.3999999999996</v>
      </c>
      <c r="BL70" s="100">
        <v>7.7502466465137418</v>
      </c>
      <c r="BM70" s="100">
        <v>4147.9320052141538</v>
      </c>
      <c r="BN70" s="100">
        <v>0.36774834353621161</v>
      </c>
      <c r="BO70" s="100">
        <v>196.81891346058043</v>
      </c>
      <c r="BP70" s="100">
        <v>9</v>
      </c>
      <c r="BQ70" s="100">
        <v>4816.7999999999993</v>
      </c>
      <c r="BR70" s="100">
        <v>6</v>
      </c>
      <c r="BS70" s="100">
        <v>3211.2</v>
      </c>
      <c r="BT70" s="100">
        <v>4.630008274926757</v>
      </c>
      <c r="BU70" s="100">
        <v>2477.9804287408001</v>
      </c>
      <c r="BV70" s="100">
        <v>0.29510010602099518</v>
      </c>
      <c r="BW70" s="100">
        <v>157.93757674243659</v>
      </c>
      <c r="BX70" s="100">
        <v>8</v>
      </c>
      <c r="BY70" s="100">
        <v>4281.5999999999995</v>
      </c>
      <c r="BZ70" s="100">
        <v>9</v>
      </c>
      <c r="CA70" s="100">
        <v>4816.7999999999993</v>
      </c>
      <c r="CB70" s="100">
        <v>10</v>
      </c>
      <c r="CC70" s="100">
        <v>5351.9999999999991</v>
      </c>
      <c r="CD70" s="100">
        <v>8</v>
      </c>
      <c r="CE70" s="100">
        <v>4281.5999999999995</v>
      </c>
      <c r="CF70" s="100">
        <v>5.0145516757977022</v>
      </c>
      <c r="CG70" s="100">
        <v>2683.78805688693</v>
      </c>
      <c r="CH70" s="100">
        <v>7</v>
      </c>
      <c r="CI70" s="100">
        <v>3746.3999999999996</v>
      </c>
      <c r="CJ70" s="100">
        <v>11</v>
      </c>
      <c r="CK70" s="100">
        <v>5887.1999999999989</v>
      </c>
      <c r="CL70" s="100">
        <v>11</v>
      </c>
      <c r="CM70" s="100">
        <v>5887.1999999999989</v>
      </c>
      <c r="CN70" s="100">
        <v>0.95545855823349368</v>
      </c>
      <c r="CO70" s="100">
        <v>511.36142036656577</v>
      </c>
      <c r="CP70" s="100">
        <v>1.8006930811478481</v>
      </c>
      <c r="CQ70" s="100">
        <v>963.73093703032816</v>
      </c>
      <c r="CR70" s="100">
        <v>10</v>
      </c>
      <c r="CS70" s="100">
        <v>5351.9999999999991</v>
      </c>
      <c r="CT70" s="100">
        <v>11</v>
      </c>
      <c r="CU70" s="100">
        <v>5887.1999999999989</v>
      </c>
    </row>
    <row r="71" spans="2:99">
      <c r="B71" s="99" t="s">
        <v>130</v>
      </c>
      <c r="C71" s="99" t="s">
        <v>237</v>
      </c>
      <c r="D71" s="100">
        <v>12.895332005952261</v>
      </c>
      <c r="E71" s="100">
        <v>7272.9672513570749</v>
      </c>
      <c r="F71" s="100">
        <v>9.5296809132003091</v>
      </c>
      <c r="G71" s="100">
        <v>5374.7400350449743</v>
      </c>
      <c r="H71" s="100">
        <v>12</v>
      </c>
      <c r="I71" s="100">
        <v>6768</v>
      </c>
      <c r="J71" s="100">
        <v>5.0484882218603913</v>
      </c>
      <c r="K71" s="100">
        <v>2847.3473571292607</v>
      </c>
      <c r="L71" s="100">
        <v>12</v>
      </c>
      <c r="M71" s="100">
        <v>6768</v>
      </c>
      <c r="N71" s="100">
        <v>10</v>
      </c>
      <c r="O71" s="100">
        <v>5640</v>
      </c>
      <c r="P71" s="100">
        <v>9</v>
      </c>
      <c r="Q71" s="100">
        <v>5076</v>
      </c>
      <c r="R71" s="100">
        <v>9</v>
      </c>
      <c r="S71" s="100">
        <v>5076</v>
      </c>
      <c r="T71" s="100">
        <v>7</v>
      </c>
      <c r="U71" s="100">
        <v>3948</v>
      </c>
      <c r="V71" s="100">
        <v>13</v>
      </c>
      <c r="W71" s="100">
        <v>7332</v>
      </c>
      <c r="X71" s="100">
        <v>12</v>
      </c>
      <c r="Y71" s="100">
        <v>6768</v>
      </c>
      <c r="Z71" s="100">
        <v>12</v>
      </c>
      <c r="AA71" s="100">
        <v>6768</v>
      </c>
      <c r="AB71" s="100">
        <v>10</v>
      </c>
      <c r="AC71" s="100">
        <v>5640</v>
      </c>
      <c r="AD71" s="100">
        <v>13</v>
      </c>
      <c r="AE71" s="100">
        <v>7332</v>
      </c>
      <c r="AF71" s="100">
        <v>13</v>
      </c>
      <c r="AG71" s="100">
        <v>7332</v>
      </c>
      <c r="AH71" s="100">
        <v>2.115245527766858</v>
      </c>
      <c r="AI71" s="100">
        <v>1192.9984776605079</v>
      </c>
      <c r="AJ71" s="100">
        <v>7.2075081073182359</v>
      </c>
      <c r="AK71" s="100">
        <v>4065.0345725274851</v>
      </c>
      <c r="AL71" s="100">
        <v>1.7055990611124518E-4</v>
      </c>
      <c r="AM71" s="100">
        <v>9.6195787046742282E-2</v>
      </c>
      <c r="AN71" s="100">
        <v>7.6393594295668823</v>
      </c>
      <c r="AO71" s="100">
        <v>4308.5987182757217</v>
      </c>
      <c r="AP71" s="100">
        <v>12.889873009134421</v>
      </c>
      <c r="AQ71" s="100">
        <v>7269.8883771518131</v>
      </c>
      <c r="AR71" s="100">
        <v>11</v>
      </c>
      <c r="AS71" s="100">
        <v>6204</v>
      </c>
      <c r="AT71" s="100">
        <v>9.8780487804877808</v>
      </c>
      <c r="AU71" s="100">
        <v>5571.2195121951081</v>
      </c>
      <c r="AV71" s="100">
        <v>6.9157005954559905</v>
      </c>
      <c r="AW71" s="100">
        <v>3900.4551358371787</v>
      </c>
      <c r="AX71" s="100">
        <v>6.5578996524970519</v>
      </c>
      <c r="AY71" s="100">
        <v>3698.6554040083374</v>
      </c>
      <c r="AZ71" s="100">
        <v>11</v>
      </c>
      <c r="BA71" s="100">
        <v>6204</v>
      </c>
      <c r="BB71" s="100">
        <v>9</v>
      </c>
      <c r="BC71" s="100">
        <v>5076</v>
      </c>
      <c r="BD71" s="100">
        <v>9.6274571882189761</v>
      </c>
      <c r="BE71" s="100">
        <v>5429.8858541555028</v>
      </c>
      <c r="BF71" s="100">
        <v>11</v>
      </c>
      <c r="BG71" s="100">
        <v>6204</v>
      </c>
      <c r="BH71" s="100">
        <v>3.3691305118897077</v>
      </c>
      <c r="BI71" s="100">
        <v>1900.1896087057951</v>
      </c>
      <c r="BJ71" s="100">
        <v>8</v>
      </c>
      <c r="BK71" s="100">
        <v>4512</v>
      </c>
      <c r="BL71" s="100">
        <v>12</v>
      </c>
      <c r="BM71" s="100">
        <v>6768</v>
      </c>
      <c r="BN71" s="100">
        <v>10</v>
      </c>
      <c r="BO71" s="100">
        <v>5640</v>
      </c>
      <c r="BP71" s="100">
        <v>9</v>
      </c>
      <c r="BQ71" s="100">
        <v>5076</v>
      </c>
      <c r="BR71" s="100">
        <v>8</v>
      </c>
      <c r="BS71" s="100">
        <v>4512</v>
      </c>
      <c r="BT71" s="100">
        <v>8</v>
      </c>
      <c r="BU71" s="100">
        <v>4512</v>
      </c>
      <c r="BV71" s="100">
        <v>12</v>
      </c>
      <c r="BW71" s="100">
        <v>6768</v>
      </c>
      <c r="BX71" s="100">
        <v>14</v>
      </c>
      <c r="BY71" s="100">
        <v>7896</v>
      </c>
      <c r="BZ71" s="100">
        <v>9</v>
      </c>
      <c r="CA71" s="100">
        <v>5076</v>
      </c>
      <c r="CB71" s="100">
        <v>1.3423888827070558</v>
      </c>
      <c r="CC71" s="100">
        <v>757.10732984677952</v>
      </c>
      <c r="CD71" s="100">
        <v>13</v>
      </c>
      <c r="CE71" s="100">
        <v>7332</v>
      </c>
      <c r="CF71" s="100">
        <v>8</v>
      </c>
      <c r="CG71" s="100">
        <v>4512</v>
      </c>
      <c r="CH71" s="100">
        <v>11</v>
      </c>
      <c r="CI71" s="100">
        <v>6204</v>
      </c>
      <c r="CJ71" s="100">
        <v>13</v>
      </c>
      <c r="CK71" s="100">
        <v>7332</v>
      </c>
      <c r="CL71" s="100">
        <v>8</v>
      </c>
      <c r="CM71" s="100">
        <v>4512</v>
      </c>
      <c r="CN71" s="100">
        <v>8</v>
      </c>
      <c r="CO71" s="100">
        <v>4512</v>
      </c>
      <c r="CP71" s="100">
        <v>10</v>
      </c>
      <c r="CQ71" s="100">
        <v>5640</v>
      </c>
      <c r="CR71" s="100">
        <v>15</v>
      </c>
      <c r="CS71" s="100">
        <v>8460</v>
      </c>
      <c r="CT71" s="100">
        <v>10</v>
      </c>
      <c r="CU71" s="100">
        <v>5640</v>
      </c>
    </row>
    <row r="72" spans="2:99">
      <c r="C72" s="99" t="s">
        <v>238</v>
      </c>
      <c r="D72" s="100">
        <v>12.895332005952261</v>
      </c>
      <c r="E72" s="100">
        <v>959.41270124284813</v>
      </c>
      <c r="F72" s="100">
        <v>11.262350170145819</v>
      </c>
      <c r="G72" s="100">
        <v>837.91885265884878</v>
      </c>
      <c r="H72" s="100">
        <v>13</v>
      </c>
      <c r="I72" s="100">
        <v>967.19999999999993</v>
      </c>
      <c r="J72" s="100">
        <v>5.4691955736820912</v>
      </c>
      <c r="K72" s="100">
        <v>406.90815068194752</v>
      </c>
      <c r="L72" s="100">
        <v>13</v>
      </c>
      <c r="M72" s="100">
        <v>967.19999999999993</v>
      </c>
      <c r="N72" s="100">
        <v>10</v>
      </c>
      <c r="O72" s="100">
        <v>743.99999999999989</v>
      </c>
      <c r="P72" s="100">
        <v>9</v>
      </c>
      <c r="Q72" s="100">
        <v>669.59999999999991</v>
      </c>
      <c r="R72" s="100">
        <v>8</v>
      </c>
      <c r="S72" s="100">
        <v>595.19999999999993</v>
      </c>
      <c r="T72" s="100">
        <v>8</v>
      </c>
      <c r="U72" s="100">
        <v>595.19999999999993</v>
      </c>
      <c r="V72" s="100">
        <v>11</v>
      </c>
      <c r="W72" s="100">
        <v>818.39999999999986</v>
      </c>
      <c r="X72" s="100">
        <v>12</v>
      </c>
      <c r="Y72" s="100">
        <v>892.8</v>
      </c>
      <c r="Z72" s="100">
        <v>12</v>
      </c>
      <c r="AA72" s="100">
        <v>892.8</v>
      </c>
      <c r="AB72" s="100">
        <v>11</v>
      </c>
      <c r="AC72" s="100">
        <v>818.39999999999986</v>
      </c>
      <c r="AD72" s="100">
        <v>14</v>
      </c>
      <c r="AE72" s="100">
        <v>1041.5999999999999</v>
      </c>
      <c r="AF72" s="100">
        <v>14</v>
      </c>
      <c r="AG72" s="100">
        <v>1041.5999999999999</v>
      </c>
      <c r="AH72" s="100">
        <v>2.115245527766858</v>
      </c>
      <c r="AI72" s="100">
        <v>157.37426726585423</v>
      </c>
      <c r="AJ72" s="100">
        <v>7.862736117074439</v>
      </c>
      <c r="AK72" s="100">
        <v>584.9875671103382</v>
      </c>
      <c r="AL72" s="100">
        <v>1.7055990611124518E-4</v>
      </c>
      <c r="AM72" s="100">
        <v>1.268965701467664E-2</v>
      </c>
      <c r="AN72" s="100">
        <v>6.9448722086971655</v>
      </c>
      <c r="AO72" s="100">
        <v>516.69849232706906</v>
      </c>
      <c r="AP72" s="100">
        <v>13.88140170214476</v>
      </c>
      <c r="AQ72" s="100">
        <v>1032.7762866395701</v>
      </c>
      <c r="AR72" s="100">
        <v>11</v>
      </c>
      <c r="AS72" s="100">
        <v>818.39999999999986</v>
      </c>
      <c r="AT72" s="100">
        <v>8.8902439024390034</v>
      </c>
      <c r="AU72" s="100">
        <v>661.43414634146177</v>
      </c>
      <c r="AV72" s="100">
        <v>7.4476775643372211</v>
      </c>
      <c r="AW72" s="100">
        <v>554.10721078668917</v>
      </c>
      <c r="AX72" s="100">
        <v>7.0263210562468403</v>
      </c>
      <c r="AY72" s="100">
        <v>522.75828658476485</v>
      </c>
      <c r="AZ72" s="100">
        <v>9</v>
      </c>
      <c r="BA72" s="100">
        <v>669.59999999999991</v>
      </c>
      <c r="BB72" s="100">
        <v>10</v>
      </c>
      <c r="BC72" s="100">
        <v>743.99999999999989</v>
      </c>
      <c r="BD72" s="100">
        <v>9.6274571882189761</v>
      </c>
      <c r="BE72" s="100">
        <v>716.28281480349176</v>
      </c>
      <c r="BF72" s="100">
        <v>11</v>
      </c>
      <c r="BG72" s="100">
        <v>818.39999999999986</v>
      </c>
      <c r="BH72" s="100">
        <v>3.7902718258759212</v>
      </c>
      <c r="BI72" s="100">
        <v>281.99622384516852</v>
      </c>
      <c r="BJ72" s="100">
        <v>9</v>
      </c>
      <c r="BK72" s="100">
        <v>669.59999999999991</v>
      </c>
      <c r="BL72" s="100">
        <v>12</v>
      </c>
      <c r="BM72" s="100">
        <v>892.8</v>
      </c>
      <c r="BN72" s="100">
        <v>10</v>
      </c>
      <c r="BO72" s="100">
        <v>743.99999999999989</v>
      </c>
      <c r="BP72" s="100">
        <v>10</v>
      </c>
      <c r="BQ72" s="100">
        <v>743.99999999999989</v>
      </c>
      <c r="BR72" s="100">
        <v>8</v>
      </c>
      <c r="BS72" s="100">
        <v>595.19999999999993</v>
      </c>
      <c r="BT72" s="100">
        <v>9</v>
      </c>
      <c r="BU72" s="100">
        <v>669.59999999999991</v>
      </c>
      <c r="BV72" s="100">
        <v>15</v>
      </c>
      <c r="BW72" s="100">
        <v>1115.9999999999998</v>
      </c>
      <c r="BX72" s="100">
        <v>16</v>
      </c>
      <c r="BY72" s="100">
        <v>1190.3999999999999</v>
      </c>
      <c r="BZ72" s="100">
        <v>10</v>
      </c>
      <c r="CA72" s="100">
        <v>743.99999999999989</v>
      </c>
      <c r="CB72" s="100">
        <v>1.2465039625136947</v>
      </c>
      <c r="CC72" s="100">
        <v>92.739894811018871</v>
      </c>
      <c r="CD72" s="100">
        <v>14</v>
      </c>
      <c r="CE72" s="100">
        <v>1041.5999999999999</v>
      </c>
      <c r="CF72" s="100">
        <v>8</v>
      </c>
      <c r="CG72" s="100">
        <v>595.19999999999993</v>
      </c>
      <c r="CH72" s="100">
        <v>12</v>
      </c>
      <c r="CI72" s="100">
        <v>892.8</v>
      </c>
      <c r="CJ72" s="100">
        <v>14</v>
      </c>
      <c r="CK72" s="100">
        <v>1041.5999999999999</v>
      </c>
      <c r="CL72" s="100">
        <v>10</v>
      </c>
      <c r="CM72" s="100">
        <v>743.99999999999989</v>
      </c>
      <c r="CN72" s="100">
        <v>9</v>
      </c>
      <c r="CO72" s="100">
        <v>669.59999999999991</v>
      </c>
      <c r="CP72" s="100">
        <v>9</v>
      </c>
      <c r="CQ72" s="100">
        <v>669.59999999999991</v>
      </c>
      <c r="CR72" s="100">
        <v>14</v>
      </c>
      <c r="CS72" s="100">
        <v>1041.5999999999999</v>
      </c>
      <c r="CT72" s="100">
        <v>9</v>
      </c>
      <c r="CU72" s="100">
        <v>669.59999999999991</v>
      </c>
    </row>
    <row r="73" spans="2:99">
      <c r="C73" s="99" t="s">
        <v>239</v>
      </c>
      <c r="D73" s="100">
        <v>11.053141719387652</v>
      </c>
      <c r="E73" s="100">
        <v>6180.916849481574</v>
      </c>
      <c r="F73" s="100">
        <v>10.396015541673064</v>
      </c>
      <c r="G73" s="100">
        <v>5813.4518909035769</v>
      </c>
      <c r="H73" s="100">
        <v>13</v>
      </c>
      <c r="I73" s="100">
        <v>7269.5999999999995</v>
      </c>
      <c r="J73" s="100">
        <v>4.6277808700386922</v>
      </c>
      <c r="K73" s="100">
        <v>2587.8550625256362</v>
      </c>
      <c r="L73" s="100">
        <v>13</v>
      </c>
      <c r="M73" s="100">
        <v>7269.5999999999995</v>
      </c>
      <c r="N73" s="100">
        <v>10</v>
      </c>
      <c r="O73" s="100">
        <v>5591.9999999999991</v>
      </c>
      <c r="P73" s="100">
        <v>8</v>
      </c>
      <c r="Q73" s="100">
        <v>4473.5999999999995</v>
      </c>
      <c r="R73" s="100">
        <v>8</v>
      </c>
      <c r="S73" s="100">
        <v>4473.5999999999995</v>
      </c>
      <c r="T73" s="100">
        <v>7</v>
      </c>
      <c r="U73" s="100">
        <v>3914.3999999999996</v>
      </c>
      <c r="V73" s="100">
        <v>11</v>
      </c>
      <c r="W73" s="100">
        <v>6151.1999999999989</v>
      </c>
      <c r="X73" s="100">
        <v>11</v>
      </c>
      <c r="Y73" s="100">
        <v>6151.1999999999989</v>
      </c>
      <c r="Z73" s="100">
        <v>11</v>
      </c>
      <c r="AA73" s="100">
        <v>6151.1999999999989</v>
      </c>
      <c r="AB73" s="100">
        <v>10</v>
      </c>
      <c r="AC73" s="100">
        <v>5591.9999999999991</v>
      </c>
      <c r="AD73" s="100">
        <v>13</v>
      </c>
      <c r="AE73" s="100">
        <v>7269.5999999999995</v>
      </c>
      <c r="AF73" s="100">
        <v>14</v>
      </c>
      <c r="AG73" s="100">
        <v>7828.7999999999993</v>
      </c>
      <c r="AH73" s="100">
        <v>2.115245527766858</v>
      </c>
      <c r="AI73" s="100">
        <v>1182.8452991272268</v>
      </c>
      <c r="AJ73" s="100">
        <v>8.517964126830643</v>
      </c>
      <c r="AK73" s="100">
        <v>4763.2455397236954</v>
      </c>
      <c r="AL73" s="100">
        <v>1.860653521213584E-4</v>
      </c>
      <c r="AM73" s="100">
        <v>0.1040477449062636</v>
      </c>
      <c r="AN73" s="100">
        <v>6.9448722086971655</v>
      </c>
      <c r="AO73" s="100">
        <v>3883.5725391034543</v>
      </c>
      <c r="AP73" s="100">
        <v>13.88140170214476</v>
      </c>
      <c r="AQ73" s="100">
        <v>7762.4798318393487</v>
      </c>
      <c r="AR73" s="100">
        <v>12</v>
      </c>
      <c r="AS73" s="100">
        <v>6710.4</v>
      </c>
      <c r="AT73" s="100">
        <v>9.8780487804877808</v>
      </c>
      <c r="AU73" s="100">
        <v>5523.8048780487661</v>
      </c>
      <c r="AV73" s="100">
        <v>6.9157005954559905</v>
      </c>
      <c r="AW73" s="100">
        <v>3867.2597729789895</v>
      </c>
      <c r="AX73" s="100">
        <v>6.5578996524970519</v>
      </c>
      <c r="AY73" s="100">
        <v>3667.1774856763509</v>
      </c>
      <c r="AZ73" s="100">
        <v>10</v>
      </c>
      <c r="BA73" s="100">
        <v>5591.9999999999991</v>
      </c>
      <c r="BB73" s="100">
        <v>8</v>
      </c>
      <c r="BC73" s="100">
        <v>4473.5999999999995</v>
      </c>
      <c r="BD73" s="100">
        <v>10.590202907040876</v>
      </c>
      <c r="BE73" s="100">
        <v>5922.041465617257</v>
      </c>
      <c r="BF73" s="100">
        <v>11</v>
      </c>
      <c r="BG73" s="100">
        <v>6151.1999999999989</v>
      </c>
      <c r="BH73" s="100">
        <v>3.3691305118897077</v>
      </c>
      <c r="BI73" s="100">
        <v>1884.0177822487244</v>
      </c>
      <c r="BJ73" s="100">
        <v>7</v>
      </c>
      <c r="BK73" s="100">
        <v>3914.3999999999996</v>
      </c>
      <c r="BL73" s="100">
        <v>12</v>
      </c>
      <c r="BM73" s="100">
        <v>6710.4</v>
      </c>
      <c r="BN73" s="100">
        <v>11</v>
      </c>
      <c r="BO73" s="100">
        <v>6151.1999999999989</v>
      </c>
      <c r="BP73" s="100">
        <v>10</v>
      </c>
      <c r="BQ73" s="100">
        <v>5591.9999999999991</v>
      </c>
      <c r="BR73" s="100">
        <v>9</v>
      </c>
      <c r="BS73" s="100">
        <v>5032.7999999999993</v>
      </c>
      <c r="BT73" s="100">
        <v>9</v>
      </c>
      <c r="BU73" s="100">
        <v>5032.7999999999993</v>
      </c>
      <c r="BV73" s="100">
        <v>14</v>
      </c>
      <c r="BW73" s="100">
        <v>7828.7999999999993</v>
      </c>
      <c r="BX73" s="100">
        <v>14</v>
      </c>
      <c r="BY73" s="100">
        <v>7828.7999999999993</v>
      </c>
      <c r="BZ73" s="100">
        <v>10</v>
      </c>
      <c r="CA73" s="100">
        <v>5591.9999999999991</v>
      </c>
      <c r="CB73" s="100">
        <v>1.2465039625136947</v>
      </c>
      <c r="CC73" s="100">
        <v>697.04501583765796</v>
      </c>
      <c r="CD73" s="100">
        <v>13</v>
      </c>
      <c r="CE73" s="100">
        <v>7269.5999999999995</v>
      </c>
      <c r="CF73" s="100">
        <v>9</v>
      </c>
      <c r="CG73" s="100">
        <v>5032.7999999999993</v>
      </c>
      <c r="CH73" s="100">
        <v>11</v>
      </c>
      <c r="CI73" s="100">
        <v>6151.1999999999989</v>
      </c>
      <c r="CJ73" s="100">
        <v>15</v>
      </c>
      <c r="CK73" s="100">
        <v>8387.9999999999982</v>
      </c>
      <c r="CL73" s="100">
        <v>10</v>
      </c>
      <c r="CM73" s="100">
        <v>5591.9999999999991</v>
      </c>
      <c r="CN73" s="100">
        <v>9</v>
      </c>
      <c r="CO73" s="100">
        <v>5032.7999999999993</v>
      </c>
      <c r="CP73" s="100">
        <v>10</v>
      </c>
      <c r="CQ73" s="100">
        <v>5591.9999999999991</v>
      </c>
      <c r="CR73" s="100">
        <v>13</v>
      </c>
      <c r="CS73" s="100">
        <v>7269.5999999999995</v>
      </c>
      <c r="CT73" s="100">
        <v>10</v>
      </c>
      <c r="CU73" s="100">
        <v>5591.9999999999991</v>
      </c>
    </row>
    <row r="74" spans="2:99">
      <c r="C74" s="99" t="s">
        <v>240</v>
      </c>
      <c r="D74" s="100">
        <v>11.053141719387652</v>
      </c>
      <c r="E74" s="100">
        <v>4456.6267412571015</v>
      </c>
      <c r="F74" s="100">
        <v>9.5296809132003091</v>
      </c>
      <c r="G74" s="100">
        <v>3842.3673442023646</v>
      </c>
      <c r="H74" s="100">
        <v>12</v>
      </c>
      <c r="I74" s="100">
        <v>4838.3999999999996</v>
      </c>
      <c r="J74" s="100">
        <v>5.4691955736820912</v>
      </c>
      <c r="K74" s="100">
        <v>2205.1796553086192</v>
      </c>
      <c r="L74" s="100">
        <v>12</v>
      </c>
      <c r="M74" s="100">
        <v>4838.3999999999996</v>
      </c>
      <c r="N74" s="100">
        <v>11</v>
      </c>
      <c r="O74" s="100">
        <v>4435.2</v>
      </c>
      <c r="P74" s="100">
        <v>9</v>
      </c>
      <c r="Q74" s="100">
        <v>3628.7999999999997</v>
      </c>
      <c r="R74" s="100">
        <v>8</v>
      </c>
      <c r="S74" s="100">
        <v>3225.6</v>
      </c>
      <c r="T74" s="100">
        <v>8</v>
      </c>
      <c r="U74" s="100">
        <v>3225.6</v>
      </c>
      <c r="V74" s="100">
        <v>11</v>
      </c>
      <c r="W74" s="100">
        <v>4435.2</v>
      </c>
      <c r="X74" s="100">
        <v>12</v>
      </c>
      <c r="Y74" s="100">
        <v>4838.3999999999996</v>
      </c>
      <c r="Z74" s="100">
        <v>12</v>
      </c>
      <c r="AA74" s="100">
        <v>4838.3999999999996</v>
      </c>
      <c r="AB74" s="100">
        <v>11</v>
      </c>
      <c r="AC74" s="100">
        <v>4435.2</v>
      </c>
      <c r="AD74" s="100">
        <v>12</v>
      </c>
      <c r="AE74" s="100">
        <v>4838.3999999999996</v>
      </c>
      <c r="AF74" s="100">
        <v>14</v>
      </c>
      <c r="AG74" s="100">
        <v>5644.8</v>
      </c>
      <c r="AH74" s="100">
        <v>2.4174234603049807</v>
      </c>
      <c r="AI74" s="100">
        <v>974.70513919496818</v>
      </c>
      <c r="AJ74" s="100">
        <v>8.517964126830643</v>
      </c>
      <c r="AK74" s="100">
        <v>3434.4431359381151</v>
      </c>
      <c r="AL74" s="100">
        <v>2.0157079813147159E-4</v>
      </c>
      <c r="AM74" s="100">
        <v>8.1273345806609346E-2</v>
      </c>
      <c r="AN74" s="100">
        <v>7.6393594295668823</v>
      </c>
      <c r="AO74" s="100">
        <v>3080.189722001367</v>
      </c>
      <c r="AP74" s="100">
        <v>15.864459088165439</v>
      </c>
      <c r="AQ74" s="100">
        <v>6396.5499043483051</v>
      </c>
      <c r="AR74" s="100">
        <v>12</v>
      </c>
      <c r="AS74" s="100">
        <v>4838.3999999999996</v>
      </c>
      <c r="AT74" s="100">
        <v>8.8902439024390034</v>
      </c>
      <c r="AU74" s="100">
        <v>3584.546341463406</v>
      </c>
      <c r="AV74" s="100">
        <v>7.4476775643372211</v>
      </c>
      <c r="AW74" s="100">
        <v>3002.9035939407672</v>
      </c>
      <c r="AX74" s="100">
        <v>6.0894782487472625</v>
      </c>
      <c r="AY74" s="100">
        <v>2455.2776298948961</v>
      </c>
      <c r="AZ74" s="100">
        <v>11</v>
      </c>
      <c r="BA74" s="100">
        <v>4435.2</v>
      </c>
      <c r="BB74" s="100">
        <v>10</v>
      </c>
      <c r="BC74" s="100">
        <v>4032</v>
      </c>
      <c r="BD74" s="100">
        <v>8.6647114693970781</v>
      </c>
      <c r="BE74" s="100">
        <v>3493.6116644609019</v>
      </c>
      <c r="BF74" s="100">
        <v>12</v>
      </c>
      <c r="BG74" s="100">
        <v>4838.3999999999996</v>
      </c>
      <c r="BH74" s="100">
        <v>3.3691305118897077</v>
      </c>
      <c r="BI74" s="100">
        <v>1358.4334223939302</v>
      </c>
      <c r="BJ74" s="100">
        <v>9</v>
      </c>
      <c r="BK74" s="100">
        <v>3628.7999999999997</v>
      </c>
      <c r="BL74" s="100">
        <v>12</v>
      </c>
      <c r="BM74" s="100">
        <v>4838.3999999999996</v>
      </c>
      <c r="BN74" s="100">
        <v>11</v>
      </c>
      <c r="BO74" s="100">
        <v>4435.2</v>
      </c>
      <c r="BP74" s="100">
        <v>9</v>
      </c>
      <c r="BQ74" s="100">
        <v>3628.7999999999997</v>
      </c>
      <c r="BR74" s="100">
        <v>9</v>
      </c>
      <c r="BS74" s="100">
        <v>3628.7999999999997</v>
      </c>
      <c r="BT74" s="100">
        <v>9</v>
      </c>
      <c r="BU74" s="100">
        <v>3628.7999999999997</v>
      </c>
      <c r="BV74" s="100">
        <v>15</v>
      </c>
      <c r="BW74" s="100">
        <v>6048</v>
      </c>
      <c r="BX74" s="100">
        <v>16</v>
      </c>
      <c r="BY74" s="100">
        <v>6451.2</v>
      </c>
      <c r="BZ74" s="100">
        <v>9</v>
      </c>
      <c r="CA74" s="100">
        <v>3628.7999999999997</v>
      </c>
      <c r="CB74" s="100">
        <v>1.2465039625136947</v>
      </c>
      <c r="CC74" s="100">
        <v>502.59039768552168</v>
      </c>
      <c r="CD74" s="100">
        <v>11</v>
      </c>
      <c r="CE74" s="100">
        <v>4435.2</v>
      </c>
      <c r="CF74" s="100">
        <v>8</v>
      </c>
      <c r="CG74" s="100">
        <v>3225.6</v>
      </c>
      <c r="CH74" s="100">
        <v>10</v>
      </c>
      <c r="CI74" s="100">
        <v>4032</v>
      </c>
      <c r="CJ74" s="100">
        <v>13</v>
      </c>
      <c r="CK74" s="100">
        <v>5241.5999999999995</v>
      </c>
      <c r="CL74" s="100">
        <v>10</v>
      </c>
      <c r="CM74" s="100">
        <v>4032</v>
      </c>
      <c r="CN74" s="100">
        <v>9</v>
      </c>
      <c r="CO74" s="100">
        <v>3628.7999999999997</v>
      </c>
      <c r="CP74" s="100">
        <v>9</v>
      </c>
      <c r="CQ74" s="100">
        <v>3628.7999999999997</v>
      </c>
      <c r="CR74" s="100">
        <v>16</v>
      </c>
      <c r="CS74" s="100">
        <v>6451.2</v>
      </c>
      <c r="CT74" s="100">
        <v>10</v>
      </c>
      <c r="CU74" s="100">
        <v>4032</v>
      </c>
    </row>
    <row r="75" spans="2:99">
      <c r="C75" s="99" t="s">
        <v>241</v>
      </c>
      <c r="D75" s="100">
        <v>11.974236862669956</v>
      </c>
      <c r="E75" s="100">
        <v>7701.8291500693149</v>
      </c>
      <c r="F75" s="100">
        <v>10.396015541673064</v>
      </c>
      <c r="G75" s="100">
        <v>6686.7171964041145</v>
      </c>
      <c r="H75" s="100">
        <v>14</v>
      </c>
      <c r="I75" s="100">
        <v>9004.7999999999993</v>
      </c>
      <c r="J75" s="100">
        <v>5.0484882218603913</v>
      </c>
      <c r="K75" s="100">
        <v>3247.1876243006031</v>
      </c>
      <c r="L75" s="100">
        <v>12</v>
      </c>
      <c r="M75" s="100">
        <v>7718.4</v>
      </c>
      <c r="N75" s="100">
        <v>10</v>
      </c>
      <c r="O75" s="100">
        <v>6431.9999999999991</v>
      </c>
      <c r="P75" s="100">
        <v>8</v>
      </c>
      <c r="Q75" s="100">
        <v>5145.5999999999995</v>
      </c>
      <c r="R75" s="100">
        <v>8</v>
      </c>
      <c r="S75" s="100">
        <v>5145.5999999999995</v>
      </c>
      <c r="T75" s="100">
        <v>8</v>
      </c>
      <c r="U75" s="100">
        <v>5145.5999999999995</v>
      </c>
      <c r="V75" s="100">
        <v>12</v>
      </c>
      <c r="W75" s="100">
        <v>7718.4</v>
      </c>
      <c r="X75" s="100">
        <v>11</v>
      </c>
      <c r="Y75" s="100">
        <v>7075.1999999999989</v>
      </c>
      <c r="Z75" s="100">
        <v>12</v>
      </c>
      <c r="AA75" s="100">
        <v>7718.4</v>
      </c>
      <c r="AB75" s="100">
        <v>10</v>
      </c>
      <c r="AC75" s="100">
        <v>6431.9999999999991</v>
      </c>
      <c r="AD75" s="100">
        <v>12</v>
      </c>
      <c r="AE75" s="100">
        <v>7718.4</v>
      </c>
      <c r="AF75" s="100">
        <v>14</v>
      </c>
      <c r="AG75" s="100">
        <v>9004.7999999999993</v>
      </c>
      <c r="AH75" s="100">
        <v>2.115245527766858</v>
      </c>
      <c r="AI75" s="100">
        <v>1360.5259234596429</v>
      </c>
      <c r="AJ75" s="100">
        <v>7.862736117074439</v>
      </c>
      <c r="AK75" s="100">
        <v>5057.3118705022789</v>
      </c>
      <c r="AL75" s="100">
        <v>1.7055990611124518E-4</v>
      </c>
      <c r="AM75" s="100">
        <v>0.10970413161075289</v>
      </c>
      <c r="AN75" s="100">
        <v>7.6393594295668823</v>
      </c>
      <c r="AO75" s="100">
        <v>4913.6359850974186</v>
      </c>
      <c r="AP75" s="100">
        <v>14.872930395155102</v>
      </c>
      <c r="AQ75" s="100">
        <v>9566.2688301637609</v>
      </c>
      <c r="AR75" s="100">
        <v>12</v>
      </c>
      <c r="AS75" s="100">
        <v>7718.4</v>
      </c>
      <c r="AT75" s="100">
        <v>8.8902439024390034</v>
      </c>
      <c r="AU75" s="100">
        <v>5718.2048780487667</v>
      </c>
      <c r="AV75" s="100">
        <v>7.9796545332184499</v>
      </c>
      <c r="AW75" s="100">
        <v>5132.5137957661063</v>
      </c>
      <c r="AX75" s="100">
        <v>6.5578996524970519</v>
      </c>
      <c r="AY75" s="100">
        <v>4218.0410564861031</v>
      </c>
      <c r="AZ75" s="100">
        <v>10</v>
      </c>
      <c r="BA75" s="100">
        <v>6431.9999999999991</v>
      </c>
      <c r="BB75" s="100">
        <v>9</v>
      </c>
      <c r="BC75" s="100">
        <v>5788.7999999999993</v>
      </c>
      <c r="BD75" s="100">
        <v>9.6274571882189761</v>
      </c>
      <c r="BE75" s="100">
        <v>6192.3804634624448</v>
      </c>
      <c r="BF75" s="100">
        <v>10</v>
      </c>
      <c r="BG75" s="100">
        <v>6431.9999999999991</v>
      </c>
      <c r="BH75" s="100">
        <v>3.3691305118897077</v>
      </c>
      <c r="BI75" s="100">
        <v>2167.0247452474596</v>
      </c>
      <c r="BJ75" s="100">
        <v>8</v>
      </c>
      <c r="BK75" s="100">
        <v>5145.5999999999995</v>
      </c>
      <c r="BL75" s="100">
        <v>13</v>
      </c>
      <c r="BM75" s="100">
        <v>8361.5999999999985</v>
      </c>
      <c r="BN75" s="100">
        <v>10</v>
      </c>
      <c r="BO75" s="100">
        <v>6431.9999999999991</v>
      </c>
      <c r="BP75" s="100">
        <v>9</v>
      </c>
      <c r="BQ75" s="100">
        <v>5788.7999999999993</v>
      </c>
      <c r="BR75" s="100">
        <v>7</v>
      </c>
      <c r="BS75" s="100">
        <v>4502.3999999999996</v>
      </c>
      <c r="BT75" s="100">
        <v>8</v>
      </c>
      <c r="BU75" s="100">
        <v>5145.5999999999995</v>
      </c>
      <c r="BV75" s="100">
        <v>12</v>
      </c>
      <c r="BW75" s="100">
        <v>7718.4</v>
      </c>
      <c r="BX75" s="100">
        <v>14</v>
      </c>
      <c r="BY75" s="100">
        <v>9004.7999999999993</v>
      </c>
      <c r="BZ75" s="100">
        <v>9</v>
      </c>
      <c r="CA75" s="100">
        <v>5788.7999999999993</v>
      </c>
      <c r="CB75" s="100">
        <v>1.2465039625136947</v>
      </c>
      <c r="CC75" s="100">
        <v>801.75134868880832</v>
      </c>
      <c r="CD75" s="100">
        <v>11</v>
      </c>
      <c r="CE75" s="100">
        <v>7075.1999999999989</v>
      </c>
      <c r="CF75" s="100">
        <v>8</v>
      </c>
      <c r="CG75" s="100">
        <v>5145.5999999999995</v>
      </c>
      <c r="CH75" s="100">
        <v>11</v>
      </c>
      <c r="CI75" s="100">
        <v>7075.1999999999989</v>
      </c>
      <c r="CJ75" s="100">
        <v>14</v>
      </c>
      <c r="CK75" s="100">
        <v>9004.7999999999993</v>
      </c>
      <c r="CL75" s="100">
        <v>8</v>
      </c>
      <c r="CM75" s="100">
        <v>5145.5999999999995</v>
      </c>
      <c r="CN75" s="100">
        <v>9</v>
      </c>
      <c r="CO75" s="100">
        <v>5788.7999999999993</v>
      </c>
      <c r="CP75" s="100">
        <v>9</v>
      </c>
      <c r="CQ75" s="100">
        <v>5788.7999999999993</v>
      </c>
      <c r="CR75" s="100">
        <v>14</v>
      </c>
      <c r="CS75" s="100">
        <v>9004.7999999999993</v>
      </c>
      <c r="CT75" s="100">
        <v>10</v>
      </c>
      <c r="CU75" s="100">
        <v>6431.9999999999991</v>
      </c>
    </row>
    <row r="76" spans="2:99">
      <c r="C76" s="99" t="s">
        <v>242</v>
      </c>
      <c r="D76" s="100">
        <v>12.895332005952261</v>
      </c>
      <c r="E76" s="100">
        <v>10042.88456623562</v>
      </c>
      <c r="F76" s="100">
        <v>9.5296809132003091</v>
      </c>
      <c r="G76" s="100">
        <v>7421.7154952004003</v>
      </c>
      <c r="H76" s="100">
        <v>13</v>
      </c>
      <c r="I76" s="100">
        <v>10124.4</v>
      </c>
      <c r="J76" s="100">
        <v>4.6277808700386922</v>
      </c>
      <c r="K76" s="100">
        <v>3604.1157415861335</v>
      </c>
      <c r="L76" s="100">
        <v>13</v>
      </c>
      <c r="M76" s="100">
        <v>10124.4</v>
      </c>
      <c r="N76" s="100">
        <v>11</v>
      </c>
      <c r="O76" s="100">
        <v>8566.7999999999993</v>
      </c>
      <c r="P76" s="100">
        <v>8</v>
      </c>
      <c r="Q76" s="100">
        <v>6230.4</v>
      </c>
      <c r="R76" s="100">
        <v>9</v>
      </c>
      <c r="S76" s="100">
        <v>7009.2</v>
      </c>
      <c r="T76" s="100">
        <v>7</v>
      </c>
      <c r="U76" s="100">
        <v>5451.5999999999995</v>
      </c>
      <c r="V76" s="100">
        <v>12</v>
      </c>
      <c r="W76" s="100">
        <v>9345.5999999999985</v>
      </c>
      <c r="X76" s="100">
        <v>11</v>
      </c>
      <c r="Y76" s="100">
        <v>8566.7999999999993</v>
      </c>
      <c r="Z76" s="100">
        <v>13</v>
      </c>
      <c r="AA76" s="100">
        <v>10124.4</v>
      </c>
      <c r="AB76" s="100">
        <v>10</v>
      </c>
      <c r="AC76" s="100">
        <v>7788</v>
      </c>
      <c r="AD76" s="100">
        <v>13</v>
      </c>
      <c r="AE76" s="100">
        <v>10124.4</v>
      </c>
      <c r="AF76" s="100">
        <v>13</v>
      </c>
      <c r="AG76" s="100">
        <v>10124.4</v>
      </c>
      <c r="AH76" s="100">
        <v>2.4174234603049807</v>
      </c>
      <c r="AI76" s="100">
        <v>1882.6893908855188</v>
      </c>
      <c r="AJ76" s="100">
        <v>8.517964126830643</v>
      </c>
      <c r="AK76" s="100">
        <v>6633.7904619757046</v>
      </c>
      <c r="AL76" s="100">
        <v>1.7055990611124518E-4</v>
      </c>
      <c r="AM76" s="100">
        <v>0.13283205487943772</v>
      </c>
      <c r="AN76" s="100">
        <v>6.9448722086971655</v>
      </c>
      <c r="AO76" s="100">
        <v>5408.6664761333523</v>
      </c>
      <c r="AP76" s="100">
        <v>12.889873009134421</v>
      </c>
      <c r="AQ76" s="100">
        <v>10038.633099513887</v>
      </c>
      <c r="AR76" s="100">
        <v>12</v>
      </c>
      <c r="AS76" s="100">
        <v>9345.5999999999985</v>
      </c>
      <c r="AT76" s="100">
        <v>8.8902439024390034</v>
      </c>
      <c r="AU76" s="100">
        <v>6923.7219512194952</v>
      </c>
      <c r="AV76" s="100">
        <v>6.9157005954559905</v>
      </c>
      <c r="AW76" s="100">
        <v>5385.9476237411254</v>
      </c>
      <c r="AX76" s="100">
        <v>6.5578996524970519</v>
      </c>
      <c r="AY76" s="100">
        <v>5107.2922493647038</v>
      </c>
      <c r="AZ76" s="100">
        <v>10</v>
      </c>
      <c r="BA76" s="100">
        <v>7788</v>
      </c>
      <c r="BB76" s="100">
        <v>9</v>
      </c>
      <c r="BC76" s="100">
        <v>7009.2</v>
      </c>
      <c r="BD76" s="100">
        <v>9.6274571882189761</v>
      </c>
      <c r="BE76" s="100">
        <v>7497.8636581849378</v>
      </c>
      <c r="BF76" s="100">
        <v>11</v>
      </c>
      <c r="BG76" s="100">
        <v>8566.7999999999993</v>
      </c>
      <c r="BH76" s="100">
        <v>3.3691305118897077</v>
      </c>
      <c r="BI76" s="100">
        <v>2623.8788426597043</v>
      </c>
      <c r="BJ76" s="100">
        <v>9</v>
      </c>
      <c r="BK76" s="100">
        <v>7009.2</v>
      </c>
      <c r="BL76" s="100">
        <v>12</v>
      </c>
      <c r="BM76" s="100">
        <v>9345.5999999999985</v>
      </c>
      <c r="BN76" s="100">
        <v>10</v>
      </c>
      <c r="BO76" s="100">
        <v>7788</v>
      </c>
      <c r="BP76" s="100">
        <v>9</v>
      </c>
      <c r="BQ76" s="100">
        <v>7009.2</v>
      </c>
      <c r="BR76" s="100">
        <v>7</v>
      </c>
      <c r="BS76" s="100">
        <v>5451.5999999999995</v>
      </c>
      <c r="BT76" s="100">
        <v>10</v>
      </c>
      <c r="BU76" s="100">
        <v>7788</v>
      </c>
      <c r="BV76" s="100">
        <v>13</v>
      </c>
      <c r="BW76" s="100">
        <v>10124.4</v>
      </c>
      <c r="BX76" s="100">
        <v>15</v>
      </c>
      <c r="BY76" s="100">
        <v>11682</v>
      </c>
      <c r="BZ76" s="100">
        <v>9</v>
      </c>
      <c r="CA76" s="100">
        <v>7009.2</v>
      </c>
      <c r="CB76" s="100">
        <v>1.2465039625136947</v>
      </c>
      <c r="CC76" s="100">
        <v>970.77728600566536</v>
      </c>
      <c r="CD76" s="100">
        <v>13</v>
      </c>
      <c r="CE76" s="100">
        <v>10124.4</v>
      </c>
      <c r="CF76" s="100">
        <v>8</v>
      </c>
      <c r="CG76" s="100">
        <v>6230.4</v>
      </c>
      <c r="CH76" s="100">
        <v>11</v>
      </c>
      <c r="CI76" s="100">
        <v>8566.7999999999993</v>
      </c>
      <c r="CJ76" s="100">
        <v>15</v>
      </c>
      <c r="CK76" s="100">
        <v>11682</v>
      </c>
      <c r="CL76" s="100">
        <v>8</v>
      </c>
      <c r="CM76" s="100">
        <v>6230.4</v>
      </c>
      <c r="CN76" s="100">
        <v>9</v>
      </c>
      <c r="CO76" s="100">
        <v>7009.2</v>
      </c>
      <c r="CP76" s="100">
        <v>10</v>
      </c>
      <c r="CQ76" s="100">
        <v>7788</v>
      </c>
      <c r="CR76" s="100">
        <v>13</v>
      </c>
      <c r="CS76" s="100">
        <v>10124.4</v>
      </c>
      <c r="CT76" s="100">
        <v>9</v>
      </c>
      <c r="CU76" s="100">
        <v>7009.2</v>
      </c>
    </row>
    <row r="77" spans="2:99">
      <c r="C77" s="99" t="s">
        <v>243</v>
      </c>
      <c r="D77" s="100">
        <v>11.053141719387652</v>
      </c>
      <c r="E77" s="100">
        <v>3077.1946546775221</v>
      </c>
      <c r="F77" s="100">
        <v>10.396015541673064</v>
      </c>
      <c r="G77" s="100">
        <v>2894.2507268017807</v>
      </c>
      <c r="H77" s="100">
        <v>12</v>
      </c>
      <c r="I77" s="100">
        <v>3340.7999999999997</v>
      </c>
      <c r="J77" s="100">
        <v>5.4691955736820912</v>
      </c>
      <c r="K77" s="100">
        <v>1522.6240477130941</v>
      </c>
      <c r="L77" s="100">
        <v>12</v>
      </c>
      <c r="M77" s="100">
        <v>3340.7999999999997</v>
      </c>
      <c r="N77" s="100">
        <v>10</v>
      </c>
      <c r="O77" s="100">
        <v>2784</v>
      </c>
      <c r="P77" s="100">
        <v>9</v>
      </c>
      <c r="Q77" s="100">
        <v>2505.6</v>
      </c>
      <c r="R77" s="100">
        <v>9</v>
      </c>
      <c r="S77" s="100">
        <v>2505.6</v>
      </c>
      <c r="T77" s="100">
        <v>7</v>
      </c>
      <c r="U77" s="100">
        <v>1948.7999999999997</v>
      </c>
      <c r="V77" s="100">
        <v>12</v>
      </c>
      <c r="W77" s="100">
        <v>3340.7999999999997</v>
      </c>
      <c r="X77" s="100">
        <v>12</v>
      </c>
      <c r="Y77" s="100">
        <v>3340.7999999999997</v>
      </c>
      <c r="Z77" s="100">
        <v>12</v>
      </c>
      <c r="AA77" s="100">
        <v>3340.7999999999997</v>
      </c>
      <c r="AB77" s="100">
        <v>10</v>
      </c>
      <c r="AC77" s="100">
        <v>2784</v>
      </c>
      <c r="AD77" s="100">
        <v>12</v>
      </c>
      <c r="AE77" s="100">
        <v>3340.7999999999997</v>
      </c>
      <c r="AF77" s="100">
        <v>13</v>
      </c>
      <c r="AG77" s="100">
        <v>3619.2</v>
      </c>
      <c r="AH77" s="100">
        <v>2.4174234603049807</v>
      </c>
      <c r="AI77" s="100">
        <v>673.01069134890656</v>
      </c>
      <c r="AJ77" s="100">
        <v>7.862736117074439</v>
      </c>
      <c r="AK77" s="100">
        <v>2188.9857349935237</v>
      </c>
      <c r="AL77" s="100">
        <v>1.860653521213584E-4</v>
      </c>
      <c r="AM77" s="100">
        <v>5.1800594030586171E-2</v>
      </c>
      <c r="AN77" s="100">
        <v>8.3338466504365982</v>
      </c>
      <c r="AO77" s="100">
        <v>2320.1429074815487</v>
      </c>
      <c r="AP77" s="100">
        <v>13.88140170214476</v>
      </c>
      <c r="AQ77" s="100">
        <v>3864.5822338771009</v>
      </c>
      <c r="AR77" s="100">
        <v>11</v>
      </c>
      <c r="AS77" s="100">
        <v>3062.3999999999996</v>
      </c>
      <c r="AT77" s="100">
        <v>9.8780487804877808</v>
      </c>
      <c r="AU77" s="100">
        <v>2750.048780487798</v>
      </c>
      <c r="AV77" s="100">
        <v>7.4476775643372211</v>
      </c>
      <c r="AW77" s="100">
        <v>2073.4334339114821</v>
      </c>
      <c r="AX77" s="100">
        <v>6.5578996524970519</v>
      </c>
      <c r="AY77" s="100">
        <v>1825.7192632551792</v>
      </c>
      <c r="AZ77" s="100">
        <v>11</v>
      </c>
      <c r="BA77" s="100">
        <v>3062.3999999999996</v>
      </c>
      <c r="BB77" s="100">
        <v>9</v>
      </c>
      <c r="BC77" s="100">
        <v>2505.6</v>
      </c>
      <c r="BD77" s="100">
        <v>10.590202907040876</v>
      </c>
      <c r="BE77" s="100">
        <v>2948.3124893201798</v>
      </c>
      <c r="BF77" s="100">
        <v>11</v>
      </c>
      <c r="BG77" s="100">
        <v>3062.3999999999996</v>
      </c>
      <c r="BH77" s="100">
        <v>2.9479891979034942</v>
      </c>
      <c r="BI77" s="100">
        <v>820.72019269633267</v>
      </c>
      <c r="BJ77" s="100">
        <v>7</v>
      </c>
      <c r="BK77" s="100">
        <v>1948.7999999999997</v>
      </c>
      <c r="BL77" s="100">
        <v>13</v>
      </c>
      <c r="BM77" s="100">
        <v>3619.2</v>
      </c>
      <c r="BN77" s="100">
        <v>12</v>
      </c>
      <c r="BO77" s="100">
        <v>3340.7999999999997</v>
      </c>
      <c r="BP77" s="100">
        <v>10</v>
      </c>
      <c r="BQ77" s="100">
        <v>2784</v>
      </c>
      <c r="BR77" s="100">
        <v>9</v>
      </c>
      <c r="BS77" s="100">
        <v>2505.6</v>
      </c>
      <c r="BT77" s="100">
        <v>9</v>
      </c>
      <c r="BU77" s="100">
        <v>2505.6</v>
      </c>
      <c r="BV77" s="100">
        <v>14</v>
      </c>
      <c r="BW77" s="100">
        <v>3897.5999999999995</v>
      </c>
      <c r="BX77" s="100">
        <v>15</v>
      </c>
      <c r="BY77" s="100">
        <v>4176</v>
      </c>
      <c r="BZ77" s="100">
        <v>9</v>
      </c>
      <c r="CA77" s="100">
        <v>2505.6</v>
      </c>
      <c r="CB77" s="100">
        <v>1.3423888827070558</v>
      </c>
      <c r="CC77" s="100">
        <v>373.72106494564429</v>
      </c>
      <c r="CD77" s="100">
        <v>12</v>
      </c>
      <c r="CE77" s="100">
        <v>3340.7999999999997</v>
      </c>
      <c r="CF77" s="100">
        <v>8</v>
      </c>
      <c r="CG77" s="100">
        <v>2227.1999999999998</v>
      </c>
      <c r="CH77" s="100">
        <v>11</v>
      </c>
      <c r="CI77" s="100">
        <v>3062.3999999999996</v>
      </c>
      <c r="CJ77" s="100">
        <v>13</v>
      </c>
      <c r="CK77" s="100">
        <v>3619.2</v>
      </c>
      <c r="CL77" s="100">
        <v>10</v>
      </c>
      <c r="CM77" s="100">
        <v>2784</v>
      </c>
      <c r="CN77" s="100">
        <v>9</v>
      </c>
      <c r="CO77" s="100">
        <v>2505.6</v>
      </c>
      <c r="CP77" s="100">
        <v>9</v>
      </c>
      <c r="CQ77" s="100">
        <v>2505.6</v>
      </c>
      <c r="CR77" s="100">
        <v>14</v>
      </c>
      <c r="CS77" s="100">
        <v>3897.5999999999995</v>
      </c>
      <c r="CT77" s="100">
        <v>9</v>
      </c>
      <c r="CU77" s="100">
        <v>2505.6</v>
      </c>
    </row>
    <row r="78" spans="2:99">
      <c r="C78" s="99" t="s">
        <v>244</v>
      </c>
      <c r="D78" s="100">
        <v>11.053141719387652</v>
      </c>
      <c r="E78" s="100">
        <v>6101.3342291019835</v>
      </c>
      <c r="F78" s="100">
        <v>9.5296809132003091</v>
      </c>
      <c r="G78" s="100">
        <v>5260.3838640865706</v>
      </c>
      <c r="H78" s="100">
        <v>13</v>
      </c>
      <c r="I78" s="100">
        <v>7176</v>
      </c>
      <c r="J78" s="100">
        <v>5.0484882218603913</v>
      </c>
      <c r="K78" s="100">
        <v>2786.7654984669362</v>
      </c>
      <c r="L78" s="100">
        <v>13</v>
      </c>
      <c r="M78" s="100">
        <v>7176</v>
      </c>
      <c r="N78" s="100">
        <v>11</v>
      </c>
      <c r="O78" s="100">
        <v>6072</v>
      </c>
      <c r="P78" s="100">
        <v>9</v>
      </c>
      <c r="Q78" s="100">
        <v>4968</v>
      </c>
      <c r="R78" s="100">
        <v>9</v>
      </c>
      <c r="S78" s="100">
        <v>4968</v>
      </c>
      <c r="T78" s="100">
        <v>8</v>
      </c>
      <c r="U78" s="100">
        <v>4416</v>
      </c>
      <c r="V78" s="100">
        <v>13</v>
      </c>
      <c r="W78" s="100">
        <v>7176</v>
      </c>
      <c r="X78" s="100">
        <v>12</v>
      </c>
      <c r="Y78" s="100">
        <v>6624</v>
      </c>
      <c r="Z78" s="100">
        <v>12</v>
      </c>
      <c r="AA78" s="100">
        <v>6624</v>
      </c>
      <c r="AB78" s="100">
        <v>12</v>
      </c>
      <c r="AC78" s="100">
        <v>6624</v>
      </c>
      <c r="AD78" s="100">
        <v>14</v>
      </c>
      <c r="AE78" s="100">
        <v>7728</v>
      </c>
      <c r="AF78" s="100">
        <v>13</v>
      </c>
      <c r="AG78" s="100">
        <v>7176</v>
      </c>
      <c r="AH78" s="100">
        <v>2.4174234603049807</v>
      </c>
      <c r="AI78" s="100">
        <v>1334.4177500883493</v>
      </c>
      <c r="AJ78" s="100">
        <v>8.517964126830643</v>
      </c>
      <c r="AK78" s="100">
        <v>4701.9161980105146</v>
      </c>
      <c r="AL78" s="100">
        <v>1.860653521213584E-4</v>
      </c>
      <c r="AM78" s="100">
        <v>0.10270807437098983</v>
      </c>
      <c r="AN78" s="100">
        <v>7.6393594295668823</v>
      </c>
      <c r="AO78" s="100">
        <v>4216.9264051209193</v>
      </c>
      <c r="AP78" s="100">
        <v>13.88140170214476</v>
      </c>
      <c r="AQ78" s="100">
        <v>7662.5337395839078</v>
      </c>
      <c r="AR78" s="100">
        <v>11</v>
      </c>
      <c r="AS78" s="100">
        <v>6072</v>
      </c>
      <c r="AT78" s="100">
        <v>9.8780487804877808</v>
      </c>
      <c r="AU78" s="100">
        <v>5452.6829268292549</v>
      </c>
      <c r="AV78" s="100">
        <v>7.4476775643372211</v>
      </c>
      <c r="AW78" s="100">
        <v>4111.1180155141465</v>
      </c>
      <c r="AX78" s="100">
        <v>7.0263210562468403</v>
      </c>
      <c r="AY78" s="100">
        <v>3878.529223048256</v>
      </c>
      <c r="AZ78" s="100">
        <v>9</v>
      </c>
      <c r="BA78" s="100">
        <v>4968</v>
      </c>
      <c r="BB78" s="100">
        <v>9</v>
      </c>
      <c r="BC78" s="100">
        <v>4968</v>
      </c>
      <c r="BD78" s="100">
        <v>10.590202907040876</v>
      </c>
      <c r="BE78" s="100">
        <v>5845.7920046865638</v>
      </c>
      <c r="BF78" s="100">
        <v>12</v>
      </c>
      <c r="BG78" s="100">
        <v>6624</v>
      </c>
      <c r="BH78" s="100">
        <v>3.3691305118897077</v>
      </c>
      <c r="BI78" s="100">
        <v>1859.7600425631185</v>
      </c>
      <c r="BJ78" s="100">
        <v>8</v>
      </c>
      <c r="BK78" s="100">
        <v>4416</v>
      </c>
      <c r="BL78" s="100">
        <v>11</v>
      </c>
      <c r="BM78" s="100">
        <v>6072</v>
      </c>
      <c r="BN78" s="100">
        <v>10</v>
      </c>
      <c r="BO78" s="100">
        <v>5520</v>
      </c>
      <c r="BP78" s="100">
        <v>9</v>
      </c>
      <c r="BQ78" s="100">
        <v>4968</v>
      </c>
      <c r="BR78" s="100">
        <v>8</v>
      </c>
      <c r="BS78" s="100">
        <v>4416</v>
      </c>
      <c r="BT78" s="100">
        <v>10</v>
      </c>
      <c r="BU78" s="100">
        <v>5520</v>
      </c>
      <c r="BV78" s="100">
        <v>13</v>
      </c>
      <c r="BW78" s="100">
        <v>7176</v>
      </c>
      <c r="BX78" s="100">
        <v>16</v>
      </c>
      <c r="BY78" s="100">
        <v>8832</v>
      </c>
      <c r="BZ78" s="100">
        <v>9</v>
      </c>
      <c r="CA78" s="100">
        <v>4968</v>
      </c>
      <c r="CB78" s="100">
        <v>1.2465039625136947</v>
      </c>
      <c r="CC78" s="100">
        <v>688.07018730755942</v>
      </c>
      <c r="CD78" s="100">
        <v>11</v>
      </c>
      <c r="CE78" s="100">
        <v>6072</v>
      </c>
      <c r="CF78" s="100">
        <v>8</v>
      </c>
      <c r="CG78" s="100">
        <v>4416</v>
      </c>
      <c r="CH78" s="100">
        <v>12</v>
      </c>
      <c r="CI78" s="100">
        <v>6624</v>
      </c>
      <c r="CJ78" s="100">
        <v>14</v>
      </c>
      <c r="CK78" s="100">
        <v>7728</v>
      </c>
      <c r="CL78" s="100">
        <v>8</v>
      </c>
      <c r="CM78" s="100">
        <v>4416</v>
      </c>
      <c r="CN78" s="100">
        <v>9</v>
      </c>
      <c r="CO78" s="100">
        <v>4968</v>
      </c>
      <c r="CP78" s="100">
        <v>10</v>
      </c>
      <c r="CQ78" s="100">
        <v>5520</v>
      </c>
      <c r="CR78" s="100">
        <v>14</v>
      </c>
      <c r="CS78" s="100">
        <v>7728</v>
      </c>
      <c r="CT78" s="100">
        <v>11</v>
      </c>
      <c r="CU78" s="100">
        <v>6072</v>
      </c>
    </row>
    <row r="79" spans="2:99">
      <c r="C79" s="99" t="s">
        <v>245</v>
      </c>
      <c r="D79" s="100">
        <v>12.895332005952261</v>
      </c>
      <c r="E79" s="100">
        <v>9764.3453949070517</v>
      </c>
      <c r="F79" s="100">
        <v>9.5296809132003091</v>
      </c>
      <c r="G79" s="100">
        <v>7215.8743874752736</v>
      </c>
      <c r="H79" s="100">
        <v>13</v>
      </c>
      <c r="I79" s="100">
        <v>9843.5999999999985</v>
      </c>
      <c r="J79" s="100">
        <v>4.6277808700386922</v>
      </c>
      <c r="K79" s="100">
        <v>3504.1556747932973</v>
      </c>
      <c r="L79" s="100">
        <v>13</v>
      </c>
      <c r="M79" s="100">
        <v>9843.5999999999985</v>
      </c>
      <c r="N79" s="100">
        <v>10</v>
      </c>
      <c r="O79" s="100">
        <v>7571.9999999999991</v>
      </c>
      <c r="P79" s="100">
        <v>9</v>
      </c>
      <c r="Q79" s="100">
        <v>6814.7999999999993</v>
      </c>
      <c r="R79" s="100">
        <v>8</v>
      </c>
      <c r="S79" s="100">
        <v>6057.5999999999995</v>
      </c>
      <c r="T79" s="100">
        <v>7</v>
      </c>
      <c r="U79" s="100">
        <v>5300.4</v>
      </c>
      <c r="V79" s="100">
        <v>12</v>
      </c>
      <c r="W79" s="100">
        <v>9086.4</v>
      </c>
      <c r="X79" s="100">
        <v>10</v>
      </c>
      <c r="Y79" s="100">
        <v>7571.9999999999991</v>
      </c>
      <c r="Z79" s="100">
        <v>12</v>
      </c>
      <c r="AA79" s="100">
        <v>9086.4</v>
      </c>
      <c r="AB79" s="100">
        <v>10</v>
      </c>
      <c r="AC79" s="100">
        <v>7571.9999999999991</v>
      </c>
      <c r="AD79" s="100">
        <v>13</v>
      </c>
      <c r="AE79" s="100">
        <v>9843.5999999999985</v>
      </c>
      <c r="AF79" s="100">
        <v>14</v>
      </c>
      <c r="AG79" s="100">
        <v>10600.8</v>
      </c>
      <c r="AH79" s="100">
        <v>2.115245527766858</v>
      </c>
      <c r="AI79" s="100">
        <v>1601.6639136250647</v>
      </c>
      <c r="AJ79" s="100">
        <v>7.862736117074439</v>
      </c>
      <c r="AK79" s="100">
        <v>5953.6637878487645</v>
      </c>
      <c r="AL79" s="100">
        <v>2.0157079813147159E-4</v>
      </c>
      <c r="AM79" s="100">
        <v>0.15262940834515029</v>
      </c>
      <c r="AN79" s="100">
        <v>6.9448722086971655</v>
      </c>
      <c r="AO79" s="100">
        <v>5258.6572364254935</v>
      </c>
      <c r="AP79" s="100">
        <v>13.88140170214476</v>
      </c>
      <c r="AQ79" s="100">
        <v>10510.997368864011</v>
      </c>
      <c r="AR79" s="100">
        <v>11</v>
      </c>
      <c r="AS79" s="100">
        <v>8329.1999999999989</v>
      </c>
      <c r="AT79" s="100">
        <v>9.8780487804877808</v>
      </c>
      <c r="AU79" s="100">
        <v>7479.6585365853471</v>
      </c>
      <c r="AV79" s="100">
        <v>6.9157005954559905</v>
      </c>
      <c r="AW79" s="100">
        <v>5236.5684908792755</v>
      </c>
      <c r="AX79" s="100">
        <v>6.5578996524970519</v>
      </c>
      <c r="AY79" s="100">
        <v>4965.6416168707674</v>
      </c>
      <c r="AZ79" s="100">
        <v>9</v>
      </c>
      <c r="BA79" s="100">
        <v>6814.7999999999993</v>
      </c>
      <c r="BB79" s="100">
        <v>8</v>
      </c>
      <c r="BC79" s="100">
        <v>6057.5999999999995</v>
      </c>
      <c r="BD79" s="100">
        <v>9.6274571882189761</v>
      </c>
      <c r="BE79" s="100">
        <v>7289.9105829194077</v>
      </c>
      <c r="BF79" s="100">
        <v>12</v>
      </c>
      <c r="BG79" s="100">
        <v>9086.4</v>
      </c>
      <c r="BH79" s="100">
        <v>2.9479891979034942</v>
      </c>
      <c r="BI79" s="100">
        <v>2232.2174206525256</v>
      </c>
      <c r="BJ79" s="100">
        <v>8</v>
      </c>
      <c r="BK79" s="100">
        <v>6057.5999999999995</v>
      </c>
      <c r="BL79" s="100">
        <v>13</v>
      </c>
      <c r="BM79" s="100">
        <v>9843.5999999999985</v>
      </c>
      <c r="BN79" s="100">
        <v>11</v>
      </c>
      <c r="BO79" s="100">
        <v>8329.1999999999989</v>
      </c>
      <c r="BP79" s="100">
        <v>8</v>
      </c>
      <c r="BQ79" s="100">
        <v>6057.5999999999995</v>
      </c>
      <c r="BR79" s="100">
        <v>8</v>
      </c>
      <c r="BS79" s="100">
        <v>6057.5999999999995</v>
      </c>
      <c r="BT79" s="100">
        <v>10</v>
      </c>
      <c r="BU79" s="100">
        <v>7571.9999999999991</v>
      </c>
      <c r="BV79" s="100">
        <v>14</v>
      </c>
      <c r="BW79" s="100">
        <v>10600.8</v>
      </c>
      <c r="BX79" s="100">
        <v>16</v>
      </c>
      <c r="BY79" s="100">
        <v>12115.199999999999</v>
      </c>
      <c r="BZ79" s="100">
        <v>8</v>
      </c>
      <c r="CA79" s="100">
        <v>6057.5999999999995</v>
      </c>
      <c r="CB79" s="100">
        <v>1.3423888827070558</v>
      </c>
      <c r="CC79" s="100">
        <v>1016.4568619857826</v>
      </c>
      <c r="CD79" s="100">
        <v>13</v>
      </c>
      <c r="CE79" s="100">
        <v>9843.5999999999985</v>
      </c>
      <c r="CF79" s="100">
        <v>8</v>
      </c>
      <c r="CG79" s="100">
        <v>6057.5999999999995</v>
      </c>
      <c r="CH79" s="100">
        <v>10</v>
      </c>
      <c r="CI79" s="100">
        <v>7571.9999999999991</v>
      </c>
      <c r="CJ79" s="100">
        <v>15</v>
      </c>
      <c r="CK79" s="100">
        <v>11357.999999999998</v>
      </c>
      <c r="CL79" s="100">
        <v>8</v>
      </c>
      <c r="CM79" s="100">
        <v>6057.5999999999995</v>
      </c>
      <c r="CN79" s="100">
        <v>9</v>
      </c>
      <c r="CO79" s="100">
        <v>6814.7999999999993</v>
      </c>
      <c r="CP79" s="100">
        <v>9</v>
      </c>
      <c r="CQ79" s="100">
        <v>6814.7999999999993</v>
      </c>
      <c r="CR79" s="100">
        <v>14</v>
      </c>
      <c r="CS79" s="100">
        <v>10600.8</v>
      </c>
      <c r="CT79" s="100">
        <v>10</v>
      </c>
      <c r="CU79" s="100">
        <v>7571.9999999999991</v>
      </c>
    </row>
    <row r="80" spans="2:99">
      <c r="C80" s="99" t="s">
        <v>246</v>
      </c>
      <c r="D80" s="100">
        <v>11.974236862669956</v>
      </c>
      <c r="E80" s="100">
        <v>9641.6555218218473</v>
      </c>
      <c r="F80" s="100">
        <v>9.5296809132003091</v>
      </c>
      <c r="G80" s="100">
        <v>7673.2990713088884</v>
      </c>
      <c r="H80" s="100">
        <v>14</v>
      </c>
      <c r="I80" s="100">
        <v>11272.8</v>
      </c>
      <c r="J80" s="100">
        <v>5.4691955736820912</v>
      </c>
      <c r="K80" s="100">
        <v>4403.7962759288193</v>
      </c>
      <c r="L80" s="100">
        <v>13</v>
      </c>
      <c r="M80" s="100">
        <v>10467.599999999999</v>
      </c>
      <c r="N80" s="100">
        <v>10</v>
      </c>
      <c r="O80" s="100">
        <v>8051.9999999999991</v>
      </c>
      <c r="P80" s="100">
        <v>9</v>
      </c>
      <c r="Q80" s="100">
        <v>7246.7999999999993</v>
      </c>
      <c r="R80" s="100">
        <v>8</v>
      </c>
      <c r="S80" s="100">
        <v>6441.5999999999995</v>
      </c>
      <c r="T80" s="100">
        <v>7</v>
      </c>
      <c r="U80" s="100">
        <v>5636.4</v>
      </c>
      <c r="V80" s="100">
        <v>13</v>
      </c>
      <c r="W80" s="100">
        <v>10467.599999999999</v>
      </c>
      <c r="X80" s="100">
        <v>12</v>
      </c>
      <c r="Y80" s="100">
        <v>9662.4</v>
      </c>
      <c r="Z80" s="100">
        <v>11</v>
      </c>
      <c r="AA80" s="100">
        <v>8857.1999999999989</v>
      </c>
      <c r="AB80" s="100">
        <v>10</v>
      </c>
      <c r="AC80" s="100">
        <v>8051.9999999999991</v>
      </c>
      <c r="AD80" s="100">
        <v>13</v>
      </c>
      <c r="AE80" s="100">
        <v>10467.599999999999</v>
      </c>
      <c r="AF80" s="100">
        <v>13</v>
      </c>
      <c r="AG80" s="100">
        <v>10467.599999999999</v>
      </c>
      <c r="AH80" s="100">
        <v>2.115245527766858</v>
      </c>
      <c r="AI80" s="100">
        <v>1703.1956989578739</v>
      </c>
      <c r="AJ80" s="100">
        <v>7.862736117074439</v>
      </c>
      <c r="AK80" s="100">
        <v>6331.0751214683378</v>
      </c>
      <c r="AL80" s="100">
        <v>1.860653521213584E-4</v>
      </c>
      <c r="AM80" s="100">
        <v>0.14981982152811776</v>
      </c>
      <c r="AN80" s="100">
        <v>6.9448722086971655</v>
      </c>
      <c r="AO80" s="100">
        <v>5592.0111024429571</v>
      </c>
      <c r="AP80" s="100">
        <v>12.889873009134421</v>
      </c>
      <c r="AQ80" s="100">
        <v>10378.925746955036</v>
      </c>
      <c r="AR80" s="100">
        <v>10</v>
      </c>
      <c r="AS80" s="100">
        <v>8051.9999999999991</v>
      </c>
      <c r="AT80" s="100">
        <v>8.8902439024390034</v>
      </c>
      <c r="AU80" s="100">
        <v>7158.4243902438848</v>
      </c>
      <c r="AV80" s="100">
        <v>7.4476775643372211</v>
      </c>
      <c r="AW80" s="100">
        <v>5996.86997480433</v>
      </c>
      <c r="AX80" s="100">
        <v>6.0894782487472625</v>
      </c>
      <c r="AY80" s="100">
        <v>4903.2478858912955</v>
      </c>
      <c r="AZ80" s="100">
        <v>11</v>
      </c>
      <c r="BA80" s="100">
        <v>8857.1999999999989</v>
      </c>
      <c r="BB80" s="100">
        <v>8</v>
      </c>
      <c r="BC80" s="100">
        <v>6441.5999999999995</v>
      </c>
      <c r="BD80" s="100">
        <v>10.590202907040876</v>
      </c>
      <c r="BE80" s="100">
        <v>8527.2313807493119</v>
      </c>
      <c r="BF80" s="100">
        <v>10</v>
      </c>
      <c r="BG80" s="100">
        <v>8051.9999999999991</v>
      </c>
      <c r="BH80" s="100">
        <v>3.3691305118897077</v>
      </c>
      <c r="BI80" s="100">
        <v>2712.8238881735924</v>
      </c>
      <c r="BJ80" s="100">
        <v>8</v>
      </c>
      <c r="BK80" s="100">
        <v>6441.5999999999995</v>
      </c>
      <c r="BL80" s="100">
        <v>13</v>
      </c>
      <c r="BM80" s="100">
        <v>10467.599999999999</v>
      </c>
      <c r="BN80" s="100">
        <v>11</v>
      </c>
      <c r="BO80" s="100">
        <v>8857.1999999999989</v>
      </c>
      <c r="BP80" s="100">
        <v>10</v>
      </c>
      <c r="BQ80" s="100">
        <v>8051.9999999999991</v>
      </c>
      <c r="BR80" s="100">
        <v>8</v>
      </c>
      <c r="BS80" s="100">
        <v>6441.5999999999995</v>
      </c>
      <c r="BT80" s="100">
        <v>9</v>
      </c>
      <c r="BU80" s="100">
        <v>7246.7999999999993</v>
      </c>
      <c r="BV80" s="100">
        <v>13</v>
      </c>
      <c r="BW80" s="100">
        <v>10467.599999999999</v>
      </c>
      <c r="BX80" s="100">
        <v>15</v>
      </c>
      <c r="BY80" s="100">
        <v>12077.999999999998</v>
      </c>
      <c r="BZ80" s="100">
        <v>10</v>
      </c>
      <c r="CA80" s="100">
        <v>8051.9999999999991</v>
      </c>
      <c r="CB80" s="100">
        <v>1.1506190423203335</v>
      </c>
      <c r="CC80" s="100">
        <v>926.47845287633243</v>
      </c>
      <c r="CD80" s="100">
        <v>12</v>
      </c>
      <c r="CE80" s="100">
        <v>9662.4</v>
      </c>
      <c r="CF80" s="100">
        <v>8</v>
      </c>
      <c r="CG80" s="100">
        <v>6441.5999999999995</v>
      </c>
      <c r="CH80" s="100">
        <v>10</v>
      </c>
      <c r="CI80" s="100">
        <v>8051.9999999999991</v>
      </c>
      <c r="CJ80" s="100">
        <v>14</v>
      </c>
      <c r="CK80" s="100">
        <v>11272.8</v>
      </c>
      <c r="CL80" s="100">
        <v>8</v>
      </c>
      <c r="CM80" s="100">
        <v>6441.5999999999995</v>
      </c>
      <c r="CN80" s="100">
        <v>10</v>
      </c>
      <c r="CO80" s="100">
        <v>8051.9999999999991</v>
      </c>
      <c r="CP80" s="100">
        <v>8</v>
      </c>
      <c r="CQ80" s="100">
        <v>6441.5999999999995</v>
      </c>
      <c r="CR80" s="100">
        <v>13</v>
      </c>
      <c r="CS80" s="100">
        <v>10467.599999999999</v>
      </c>
      <c r="CT80" s="100">
        <v>10</v>
      </c>
      <c r="CU80" s="100">
        <v>8051.9999999999991</v>
      </c>
    </row>
    <row r="81" spans="2:99">
      <c r="C81" s="99" t="s">
        <v>247</v>
      </c>
      <c r="D81" s="100">
        <v>11.974236862669956</v>
      </c>
      <c r="E81" s="100">
        <v>9023.78489970808</v>
      </c>
      <c r="F81" s="100">
        <v>9.5296809132003091</v>
      </c>
      <c r="G81" s="100">
        <v>7181.5675361877529</v>
      </c>
      <c r="H81" s="100">
        <v>13</v>
      </c>
      <c r="I81" s="100">
        <v>9796.8000000000011</v>
      </c>
      <c r="J81" s="100">
        <v>5.0484882218603913</v>
      </c>
      <c r="K81" s="100">
        <v>3804.5407239939909</v>
      </c>
      <c r="L81" s="100">
        <v>12</v>
      </c>
      <c r="M81" s="100">
        <v>9043.2000000000007</v>
      </c>
      <c r="N81" s="100">
        <v>10</v>
      </c>
      <c r="O81" s="100">
        <v>7536</v>
      </c>
      <c r="P81" s="100">
        <v>8</v>
      </c>
      <c r="Q81" s="100">
        <v>6028.8</v>
      </c>
      <c r="R81" s="100">
        <v>9</v>
      </c>
      <c r="S81" s="100">
        <v>6782.4000000000005</v>
      </c>
      <c r="T81" s="100">
        <v>7</v>
      </c>
      <c r="U81" s="100">
        <v>5275.2</v>
      </c>
      <c r="V81" s="100">
        <v>11</v>
      </c>
      <c r="W81" s="100">
        <v>8289.6</v>
      </c>
      <c r="X81" s="100">
        <v>12</v>
      </c>
      <c r="Y81" s="100">
        <v>9043.2000000000007</v>
      </c>
      <c r="Z81" s="100">
        <v>12</v>
      </c>
      <c r="AA81" s="100">
        <v>9043.2000000000007</v>
      </c>
      <c r="AB81" s="100">
        <v>10</v>
      </c>
      <c r="AC81" s="100">
        <v>7536</v>
      </c>
      <c r="AD81" s="100">
        <v>13</v>
      </c>
      <c r="AE81" s="100">
        <v>9796.8000000000011</v>
      </c>
      <c r="AF81" s="100">
        <v>14</v>
      </c>
      <c r="AG81" s="100">
        <v>10550.4</v>
      </c>
      <c r="AH81" s="100">
        <v>2.115245527766858</v>
      </c>
      <c r="AI81" s="100">
        <v>1594.0490297251042</v>
      </c>
      <c r="AJ81" s="100">
        <v>8.517964126830643</v>
      </c>
      <c r="AK81" s="100">
        <v>6419.1377659795726</v>
      </c>
      <c r="AL81" s="100">
        <v>1.860653521213584E-4</v>
      </c>
      <c r="AM81" s="100">
        <v>0.14021884935865569</v>
      </c>
      <c r="AN81" s="100">
        <v>6.9448722086971655</v>
      </c>
      <c r="AO81" s="100">
        <v>5233.655696474184</v>
      </c>
      <c r="AP81" s="100">
        <v>12.889873009134421</v>
      </c>
      <c r="AQ81" s="100">
        <v>9713.8082996837002</v>
      </c>
      <c r="AR81" s="100">
        <v>11</v>
      </c>
      <c r="AS81" s="100">
        <v>8289.6</v>
      </c>
      <c r="AT81" s="100">
        <v>8.8902439024390034</v>
      </c>
      <c r="AU81" s="100">
        <v>6699.6878048780336</v>
      </c>
      <c r="AV81" s="100">
        <v>6.9157005954559905</v>
      </c>
      <c r="AW81" s="100">
        <v>5211.6719687356344</v>
      </c>
      <c r="AX81" s="100">
        <v>6.0894782487472625</v>
      </c>
      <c r="AY81" s="100">
        <v>4589.0308082559368</v>
      </c>
      <c r="AZ81" s="100">
        <v>10</v>
      </c>
      <c r="BA81" s="100">
        <v>7536</v>
      </c>
      <c r="BB81" s="100">
        <v>10</v>
      </c>
      <c r="BC81" s="100">
        <v>7536</v>
      </c>
      <c r="BD81" s="100">
        <v>9.6274571882189761</v>
      </c>
      <c r="BE81" s="100">
        <v>7255.2517370418209</v>
      </c>
      <c r="BF81" s="100">
        <v>12</v>
      </c>
      <c r="BG81" s="100">
        <v>9043.2000000000007</v>
      </c>
      <c r="BH81" s="100">
        <v>3.3691305118897077</v>
      </c>
      <c r="BI81" s="100">
        <v>2538.9767537600837</v>
      </c>
      <c r="BJ81" s="100">
        <v>8</v>
      </c>
      <c r="BK81" s="100">
        <v>6028.8</v>
      </c>
      <c r="BL81" s="100">
        <v>11</v>
      </c>
      <c r="BM81" s="100">
        <v>8289.6</v>
      </c>
      <c r="BN81" s="100">
        <v>10</v>
      </c>
      <c r="BO81" s="100">
        <v>7536</v>
      </c>
      <c r="BP81" s="100">
        <v>9</v>
      </c>
      <c r="BQ81" s="100">
        <v>6782.4000000000005</v>
      </c>
      <c r="BR81" s="100">
        <v>7</v>
      </c>
      <c r="BS81" s="100">
        <v>5275.2</v>
      </c>
      <c r="BT81" s="100">
        <v>9</v>
      </c>
      <c r="BU81" s="100">
        <v>6782.4000000000005</v>
      </c>
      <c r="BV81" s="100">
        <v>13</v>
      </c>
      <c r="BW81" s="100">
        <v>9796.8000000000011</v>
      </c>
      <c r="BX81" s="100">
        <v>16</v>
      </c>
      <c r="BY81" s="100">
        <v>12057.6</v>
      </c>
      <c r="BZ81" s="100">
        <v>9</v>
      </c>
      <c r="CA81" s="100">
        <v>6782.4000000000005</v>
      </c>
      <c r="CB81" s="100">
        <v>1.2465039625136947</v>
      </c>
      <c r="CC81" s="100">
        <v>939.36538615032032</v>
      </c>
      <c r="CD81" s="100">
        <v>13</v>
      </c>
      <c r="CE81" s="100">
        <v>9796.8000000000011</v>
      </c>
      <c r="CF81" s="100">
        <v>8</v>
      </c>
      <c r="CG81" s="100">
        <v>6028.8</v>
      </c>
      <c r="CH81" s="100">
        <v>10</v>
      </c>
      <c r="CI81" s="100">
        <v>7536</v>
      </c>
      <c r="CJ81" s="100">
        <v>15</v>
      </c>
      <c r="CK81" s="100">
        <v>11304</v>
      </c>
      <c r="CL81" s="100">
        <v>9</v>
      </c>
      <c r="CM81" s="100">
        <v>6782.4000000000005</v>
      </c>
      <c r="CN81" s="100">
        <v>9</v>
      </c>
      <c r="CO81" s="100">
        <v>6782.4000000000005</v>
      </c>
      <c r="CP81" s="100">
        <v>9</v>
      </c>
      <c r="CQ81" s="100">
        <v>6782.4000000000005</v>
      </c>
      <c r="CR81" s="100">
        <v>14</v>
      </c>
      <c r="CS81" s="100">
        <v>10550.4</v>
      </c>
      <c r="CT81" s="100">
        <v>10</v>
      </c>
      <c r="CU81" s="100">
        <v>7536</v>
      </c>
    </row>
    <row r="82" spans="2:99">
      <c r="C82" s="99" t="s">
        <v>248</v>
      </c>
      <c r="D82" s="100">
        <v>11.053141719387652</v>
      </c>
      <c r="E82" s="100">
        <v>5623.8385068244361</v>
      </c>
      <c r="F82" s="100">
        <v>9.5296809132003091</v>
      </c>
      <c r="G82" s="100">
        <v>4848.7016486363163</v>
      </c>
      <c r="H82" s="100">
        <v>13</v>
      </c>
      <c r="I82" s="100">
        <v>6614.3999999999987</v>
      </c>
      <c r="J82" s="100">
        <v>5.0484882218603913</v>
      </c>
      <c r="K82" s="100">
        <v>2568.6708072825663</v>
      </c>
      <c r="L82" s="100">
        <v>14</v>
      </c>
      <c r="M82" s="100">
        <v>7123.1999999999989</v>
      </c>
      <c r="N82" s="100">
        <v>10</v>
      </c>
      <c r="O82" s="100">
        <v>5087.9999999999991</v>
      </c>
      <c r="P82" s="100">
        <v>8</v>
      </c>
      <c r="Q82" s="100">
        <v>4070.3999999999992</v>
      </c>
      <c r="R82" s="100">
        <v>9</v>
      </c>
      <c r="S82" s="100">
        <v>4579.1999999999989</v>
      </c>
      <c r="T82" s="100">
        <v>8</v>
      </c>
      <c r="U82" s="100">
        <v>4070.3999999999992</v>
      </c>
      <c r="V82" s="100">
        <v>11</v>
      </c>
      <c r="W82" s="100">
        <v>5596.7999999999993</v>
      </c>
      <c r="X82" s="100">
        <v>12</v>
      </c>
      <c r="Y82" s="100">
        <v>6105.5999999999985</v>
      </c>
      <c r="Z82" s="100">
        <v>13</v>
      </c>
      <c r="AA82" s="100">
        <v>6614.3999999999987</v>
      </c>
      <c r="AB82" s="100">
        <v>10</v>
      </c>
      <c r="AC82" s="100">
        <v>5087.9999999999991</v>
      </c>
      <c r="AD82" s="100">
        <v>13</v>
      </c>
      <c r="AE82" s="100">
        <v>6614.3999999999987</v>
      </c>
      <c r="AF82" s="100">
        <v>13</v>
      </c>
      <c r="AG82" s="100">
        <v>6614.3999999999987</v>
      </c>
      <c r="AH82" s="100">
        <v>2.115245527766858</v>
      </c>
      <c r="AI82" s="100">
        <v>1076.2369245277771</v>
      </c>
      <c r="AJ82" s="100">
        <v>8.517964126830643</v>
      </c>
      <c r="AK82" s="100">
        <v>4333.9401477314304</v>
      </c>
      <c r="AL82" s="100">
        <v>2.0157079813147159E-4</v>
      </c>
      <c r="AM82" s="100">
        <v>0.10255922208929273</v>
      </c>
      <c r="AN82" s="100">
        <v>6.9448722086971655</v>
      </c>
      <c r="AO82" s="100">
        <v>3533.5509797851173</v>
      </c>
      <c r="AP82" s="100">
        <v>13.88140170214476</v>
      </c>
      <c r="AQ82" s="100">
        <v>7062.8571860512529</v>
      </c>
      <c r="AR82" s="100">
        <v>12</v>
      </c>
      <c r="AS82" s="100">
        <v>6105.5999999999985</v>
      </c>
      <c r="AT82" s="100">
        <v>9.8780487804877808</v>
      </c>
      <c r="AU82" s="100">
        <v>5025.9512195121815</v>
      </c>
      <c r="AV82" s="100">
        <v>7.9796545332184499</v>
      </c>
      <c r="AW82" s="100">
        <v>4060.0482265015467</v>
      </c>
      <c r="AX82" s="100">
        <v>7.0263210562468403</v>
      </c>
      <c r="AY82" s="100">
        <v>3574.9921534183918</v>
      </c>
      <c r="AZ82" s="100">
        <v>11</v>
      </c>
      <c r="BA82" s="100">
        <v>5596.7999999999993</v>
      </c>
      <c r="BB82" s="100">
        <v>9</v>
      </c>
      <c r="BC82" s="100">
        <v>4579.1999999999989</v>
      </c>
      <c r="BD82" s="100">
        <v>10.590202907040876</v>
      </c>
      <c r="BE82" s="100">
        <v>5388.2952391023964</v>
      </c>
      <c r="BF82" s="100">
        <v>11</v>
      </c>
      <c r="BG82" s="100">
        <v>5596.7999999999993</v>
      </c>
      <c r="BH82" s="100">
        <v>2.9479891979034942</v>
      </c>
      <c r="BI82" s="100">
        <v>1499.9369038932975</v>
      </c>
      <c r="BJ82" s="100">
        <v>8</v>
      </c>
      <c r="BK82" s="100">
        <v>4070.3999999999992</v>
      </c>
      <c r="BL82" s="100">
        <v>12</v>
      </c>
      <c r="BM82" s="100">
        <v>6105.5999999999985</v>
      </c>
      <c r="BN82" s="100">
        <v>11</v>
      </c>
      <c r="BO82" s="100">
        <v>5596.7999999999993</v>
      </c>
      <c r="BP82" s="100">
        <v>8</v>
      </c>
      <c r="BQ82" s="100">
        <v>4070.3999999999992</v>
      </c>
      <c r="BR82" s="100">
        <v>9</v>
      </c>
      <c r="BS82" s="100">
        <v>4579.1999999999989</v>
      </c>
      <c r="BT82" s="100">
        <v>8</v>
      </c>
      <c r="BU82" s="100">
        <v>4070.3999999999992</v>
      </c>
      <c r="BV82" s="100">
        <v>14</v>
      </c>
      <c r="BW82" s="100">
        <v>7123.1999999999989</v>
      </c>
      <c r="BX82" s="100">
        <v>15</v>
      </c>
      <c r="BY82" s="100">
        <v>7631.9999999999982</v>
      </c>
      <c r="BZ82" s="100">
        <v>9</v>
      </c>
      <c r="CA82" s="100">
        <v>4579.1999999999989</v>
      </c>
      <c r="CB82" s="100">
        <v>1.1506190423203335</v>
      </c>
      <c r="CC82" s="100">
        <v>585.43496873258562</v>
      </c>
      <c r="CD82" s="100">
        <v>13</v>
      </c>
      <c r="CE82" s="100">
        <v>6614.3999999999987</v>
      </c>
      <c r="CF82" s="100">
        <v>8</v>
      </c>
      <c r="CG82" s="100">
        <v>4070.3999999999992</v>
      </c>
      <c r="CH82" s="100">
        <v>11</v>
      </c>
      <c r="CI82" s="100">
        <v>5596.7999999999993</v>
      </c>
      <c r="CJ82" s="100">
        <v>15</v>
      </c>
      <c r="CK82" s="100">
        <v>7631.9999999999982</v>
      </c>
      <c r="CL82" s="100">
        <v>10</v>
      </c>
      <c r="CM82" s="100">
        <v>5087.9999999999991</v>
      </c>
      <c r="CN82" s="100">
        <v>8</v>
      </c>
      <c r="CO82" s="100">
        <v>4070.3999999999992</v>
      </c>
      <c r="CP82" s="100">
        <v>10</v>
      </c>
      <c r="CQ82" s="100">
        <v>5087.9999999999991</v>
      </c>
      <c r="CR82" s="100">
        <v>14</v>
      </c>
      <c r="CS82" s="100">
        <v>7123.1999999999989</v>
      </c>
      <c r="CT82" s="100">
        <v>9</v>
      </c>
      <c r="CU82" s="100">
        <v>4579.1999999999989</v>
      </c>
    </row>
    <row r="83" spans="2:99">
      <c r="C83" s="99" t="s">
        <v>249</v>
      </c>
      <c r="D83" s="100">
        <v>11.053141719387652</v>
      </c>
      <c r="E83" s="100">
        <v>9510.1231353611347</v>
      </c>
      <c r="F83" s="100">
        <v>9.5296809132003091</v>
      </c>
      <c r="G83" s="100">
        <v>8199.3374577175455</v>
      </c>
      <c r="H83" s="100">
        <v>13</v>
      </c>
      <c r="I83" s="100">
        <v>11185.199999999999</v>
      </c>
      <c r="J83" s="100">
        <v>4.6277808700386922</v>
      </c>
      <c r="K83" s="100">
        <v>3981.7426605812907</v>
      </c>
      <c r="L83" s="100">
        <v>13</v>
      </c>
      <c r="M83" s="100">
        <v>11185.199999999999</v>
      </c>
      <c r="N83" s="100">
        <v>11</v>
      </c>
      <c r="O83" s="100">
        <v>9464.4</v>
      </c>
      <c r="P83" s="100">
        <v>9</v>
      </c>
      <c r="Q83" s="100">
        <v>7743.5999999999995</v>
      </c>
      <c r="R83" s="100">
        <v>8</v>
      </c>
      <c r="S83" s="100">
        <v>6883.2</v>
      </c>
      <c r="T83" s="100">
        <v>8</v>
      </c>
      <c r="U83" s="100">
        <v>6883.2</v>
      </c>
      <c r="V83" s="100">
        <v>13</v>
      </c>
      <c r="W83" s="100">
        <v>11185.199999999999</v>
      </c>
      <c r="X83" s="100">
        <v>12</v>
      </c>
      <c r="Y83" s="100">
        <v>10324.799999999999</v>
      </c>
      <c r="Z83" s="100">
        <v>11</v>
      </c>
      <c r="AA83" s="100">
        <v>9464.4</v>
      </c>
      <c r="AB83" s="100">
        <v>11</v>
      </c>
      <c r="AC83" s="100">
        <v>9464.4</v>
      </c>
      <c r="AD83" s="100">
        <v>14</v>
      </c>
      <c r="AE83" s="100">
        <v>12045.6</v>
      </c>
      <c r="AF83" s="100">
        <v>14</v>
      </c>
      <c r="AG83" s="100">
        <v>12045.6</v>
      </c>
      <c r="AH83" s="100">
        <v>2.115245527766858</v>
      </c>
      <c r="AI83" s="100">
        <v>1819.9572520906047</v>
      </c>
      <c r="AJ83" s="100">
        <v>7.862736117074439</v>
      </c>
      <c r="AK83" s="100">
        <v>6765.0981551308469</v>
      </c>
      <c r="AL83" s="100">
        <v>1.7055990611124518E-4</v>
      </c>
      <c r="AM83" s="100">
        <v>0.14674974321811535</v>
      </c>
      <c r="AN83" s="100">
        <v>6.9448722086971655</v>
      </c>
      <c r="AO83" s="100">
        <v>5975.3680483630415</v>
      </c>
      <c r="AP83" s="100">
        <v>14.872930395155102</v>
      </c>
      <c r="AQ83" s="100">
        <v>12796.669311991449</v>
      </c>
      <c r="AR83" s="100">
        <v>10</v>
      </c>
      <c r="AS83" s="100">
        <v>8604</v>
      </c>
      <c r="AT83" s="100">
        <v>8.8902439024390034</v>
      </c>
      <c r="AU83" s="100">
        <v>7649.1658536585182</v>
      </c>
      <c r="AV83" s="100">
        <v>7.4476775643372211</v>
      </c>
      <c r="AW83" s="100">
        <v>6407.9817763557448</v>
      </c>
      <c r="AX83" s="100">
        <v>6.0894782487472625</v>
      </c>
      <c r="AY83" s="100">
        <v>5239.3870852221444</v>
      </c>
      <c r="AZ83" s="100">
        <v>9</v>
      </c>
      <c r="BA83" s="100">
        <v>7743.5999999999995</v>
      </c>
      <c r="BB83" s="100">
        <v>8</v>
      </c>
      <c r="BC83" s="100">
        <v>6883.2</v>
      </c>
      <c r="BD83" s="100">
        <v>10.590202907040876</v>
      </c>
      <c r="BE83" s="100">
        <v>9111.8105812179692</v>
      </c>
      <c r="BF83" s="100">
        <v>11</v>
      </c>
      <c r="BG83" s="100">
        <v>9464.4</v>
      </c>
      <c r="BH83" s="100">
        <v>3.3691305118897077</v>
      </c>
      <c r="BI83" s="100">
        <v>2898.7998924299045</v>
      </c>
      <c r="BJ83" s="100">
        <v>8</v>
      </c>
      <c r="BK83" s="100">
        <v>6883.2</v>
      </c>
      <c r="BL83" s="100">
        <v>12</v>
      </c>
      <c r="BM83" s="100">
        <v>10324.799999999999</v>
      </c>
      <c r="BN83" s="100">
        <v>11</v>
      </c>
      <c r="BO83" s="100">
        <v>9464.4</v>
      </c>
      <c r="BP83" s="100">
        <v>9</v>
      </c>
      <c r="BQ83" s="100">
        <v>7743.5999999999995</v>
      </c>
      <c r="BR83" s="100">
        <v>8</v>
      </c>
      <c r="BS83" s="100">
        <v>6883.2</v>
      </c>
      <c r="BT83" s="100">
        <v>8</v>
      </c>
      <c r="BU83" s="100">
        <v>6883.2</v>
      </c>
      <c r="BV83" s="100">
        <v>13</v>
      </c>
      <c r="BW83" s="100">
        <v>11185.199999999999</v>
      </c>
      <c r="BX83" s="100">
        <v>16</v>
      </c>
      <c r="BY83" s="100">
        <v>13766.4</v>
      </c>
      <c r="BZ83" s="100">
        <v>10</v>
      </c>
      <c r="CA83" s="100">
        <v>8604</v>
      </c>
      <c r="CB83" s="100">
        <v>1.3423888827070558</v>
      </c>
      <c r="CC83" s="100">
        <v>1154.9913946811507</v>
      </c>
      <c r="CD83" s="100">
        <v>12</v>
      </c>
      <c r="CE83" s="100">
        <v>10324.799999999999</v>
      </c>
      <c r="CF83" s="100">
        <v>7</v>
      </c>
      <c r="CG83" s="100">
        <v>6022.8</v>
      </c>
      <c r="CH83" s="100">
        <v>10</v>
      </c>
      <c r="CI83" s="100">
        <v>8604</v>
      </c>
      <c r="CJ83" s="100">
        <v>15</v>
      </c>
      <c r="CK83" s="100">
        <v>12906</v>
      </c>
      <c r="CL83" s="100">
        <v>9</v>
      </c>
      <c r="CM83" s="100">
        <v>7743.5999999999995</v>
      </c>
      <c r="CN83" s="100">
        <v>8</v>
      </c>
      <c r="CO83" s="100">
        <v>6883.2</v>
      </c>
      <c r="CP83" s="100">
        <v>9</v>
      </c>
      <c r="CQ83" s="100">
        <v>7743.5999999999995</v>
      </c>
      <c r="CR83" s="100">
        <v>15</v>
      </c>
      <c r="CS83" s="100">
        <v>12906</v>
      </c>
      <c r="CT83" s="100">
        <v>10</v>
      </c>
      <c r="CU83" s="100">
        <v>8604</v>
      </c>
    </row>
    <row r="84" spans="2:99">
      <c r="C84" s="99" t="s">
        <v>250</v>
      </c>
      <c r="D84" s="100">
        <v>11.974236862669956</v>
      </c>
      <c r="E84" s="100">
        <v>9354.2738371177693</v>
      </c>
      <c r="F84" s="100">
        <v>9.5296809132003091</v>
      </c>
      <c r="G84" s="100">
        <v>7444.586729392081</v>
      </c>
      <c r="H84" s="100">
        <v>13</v>
      </c>
      <c r="I84" s="100">
        <v>10155.599999999999</v>
      </c>
      <c r="J84" s="100">
        <v>5.4691955736820912</v>
      </c>
      <c r="K84" s="100">
        <v>4272.5355821604489</v>
      </c>
      <c r="L84" s="100">
        <v>12</v>
      </c>
      <c r="M84" s="100">
        <v>9374.4</v>
      </c>
      <c r="N84" s="100">
        <v>10</v>
      </c>
      <c r="O84" s="100">
        <v>7811.9999999999991</v>
      </c>
      <c r="P84" s="100">
        <v>9</v>
      </c>
      <c r="Q84" s="100">
        <v>7030.7999999999993</v>
      </c>
      <c r="R84" s="100">
        <v>9</v>
      </c>
      <c r="S84" s="100">
        <v>7030.7999999999993</v>
      </c>
      <c r="T84" s="100">
        <v>6</v>
      </c>
      <c r="U84" s="100">
        <v>4687.2</v>
      </c>
      <c r="V84" s="100">
        <v>11</v>
      </c>
      <c r="W84" s="100">
        <v>8593.1999999999989</v>
      </c>
      <c r="X84" s="100">
        <v>12</v>
      </c>
      <c r="Y84" s="100">
        <v>9374.4</v>
      </c>
      <c r="Z84" s="100">
        <v>12</v>
      </c>
      <c r="AA84" s="100">
        <v>9374.4</v>
      </c>
      <c r="AB84" s="100">
        <v>10</v>
      </c>
      <c r="AC84" s="100">
        <v>7811.9999999999991</v>
      </c>
      <c r="AD84" s="100">
        <v>14</v>
      </c>
      <c r="AE84" s="100">
        <v>10936.8</v>
      </c>
      <c r="AF84" s="100">
        <v>14</v>
      </c>
      <c r="AG84" s="100">
        <v>10936.8</v>
      </c>
      <c r="AH84" s="100">
        <v>2.115245527766858</v>
      </c>
      <c r="AI84" s="100">
        <v>1652.4298062914693</v>
      </c>
      <c r="AJ84" s="100">
        <v>8.517964126830643</v>
      </c>
      <c r="AK84" s="100">
        <v>6654.2335758800973</v>
      </c>
      <c r="AL84" s="100">
        <v>1.860653521213584E-4</v>
      </c>
      <c r="AM84" s="100">
        <v>0.14535425307720518</v>
      </c>
      <c r="AN84" s="100">
        <v>6.9448722086971655</v>
      </c>
      <c r="AO84" s="100">
        <v>5425.3341694342253</v>
      </c>
      <c r="AP84" s="100">
        <v>12.889873009134421</v>
      </c>
      <c r="AQ84" s="100">
        <v>10069.568794735809</v>
      </c>
      <c r="AR84" s="100">
        <v>11</v>
      </c>
      <c r="AS84" s="100">
        <v>8593.1999999999989</v>
      </c>
      <c r="AT84" s="100">
        <v>8.8902439024390034</v>
      </c>
      <c r="AU84" s="100">
        <v>6945.0585365853485</v>
      </c>
      <c r="AV84" s="100">
        <v>7.4476775643372211</v>
      </c>
      <c r="AW84" s="100">
        <v>5818.1257132602368</v>
      </c>
      <c r="AX84" s="100">
        <v>6.0894782487472625</v>
      </c>
      <c r="AY84" s="100">
        <v>4757.1004079213608</v>
      </c>
      <c r="AZ84" s="100">
        <v>9</v>
      </c>
      <c r="BA84" s="100">
        <v>7030.7999999999993</v>
      </c>
      <c r="BB84" s="100">
        <v>9</v>
      </c>
      <c r="BC84" s="100">
        <v>7030.7999999999993</v>
      </c>
      <c r="BD84" s="100">
        <v>9.6274571882189761</v>
      </c>
      <c r="BE84" s="100">
        <v>7520.9695554366635</v>
      </c>
      <c r="BF84" s="100">
        <v>11</v>
      </c>
      <c r="BG84" s="100">
        <v>8593.1999999999989</v>
      </c>
      <c r="BH84" s="100">
        <v>3.3691305118897077</v>
      </c>
      <c r="BI84" s="100">
        <v>2631.9647558882393</v>
      </c>
      <c r="BJ84" s="100">
        <v>8</v>
      </c>
      <c r="BK84" s="100">
        <v>6249.5999999999995</v>
      </c>
      <c r="BL84" s="100">
        <v>13</v>
      </c>
      <c r="BM84" s="100">
        <v>10155.599999999999</v>
      </c>
      <c r="BN84" s="100">
        <v>11</v>
      </c>
      <c r="BO84" s="100">
        <v>8593.1999999999989</v>
      </c>
      <c r="BP84" s="100">
        <v>10</v>
      </c>
      <c r="BQ84" s="100">
        <v>7811.9999999999991</v>
      </c>
      <c r="BR84" s="100">
        <v>8</v>
      </c>
      <c r="BS84" s="100">
        <v>6249.5999999999995</v>
      </c>
      <c r="BT84" s="100">
        <v>10</v>
      </c>
      <c r="BU84" s="100">
        <v>7811.9999999999991</v>
      </c>
      <c r="BV84" s="100">
        <v>12</v>
      </c>
      <c r="BW84" s="100">
        <v>9374.4</v>
      </c>
      <c r="BX84" s="100">
        <v>14</v>
      </c>
      <c r="BY84" s="100">
        <v>10936.8</v>
      </c>
      <c r="BZ84" s="100">
        <v>9</v>
      </c>
      <c r="CA84" s="100">
        <v>7030.7999999999993</v>
      </c>
      <c r="CB84" s="100">
        <v>1.1506190423203335</v>
      </c>
      <c r="CC84" s="100">
        <v>898.86359586064441</v>
      </c>
      <c r="CD84" s="100">
        <v>13</v>
      </c>
      <c r="CE84" s="100">
        <v>10155.599999999999</v>
      </c>
      <c r="CF84" s="100">
        <v>8</v>
      </c>
      <c r="CG84" s="100">
        <v>6249.5999999999995</v>
      </c>
      <c r="CH84" s="100">
        <v>11</v>
      </c>
      <c r="CI84" s="100">
        <v>8593.1999999999989</v>
      </c>
      <c r="CJ84" s="100">
        <v>13</v>
      </c>
      <c r="CK84" s="100">
        <v>10155.599999999999</v>
      </c>
      <c r="CL84" s="100">
        <v>8</v>
      </c>
      <c r="CM84" s="100">
        <v>6249.5999999999995</v>
      </c>
      <c r="CN84" s="100">
        <v>9</v>
      </c>
      <c r="CO84" s="100">
        <v>7030.7999999999993</v>
      </c>
      <c r="CP84" s="100">
        <v>9</v>
      </c>
      <c r="CQ84" s="100">
        <v>7030.7999999999993</v>
      </c>
      <c r="CR84" s="100">
        <v>15</v>
      </c>
      <c r="CS84" s="100">
        <v>11717.999999999998</v>
      </c>
      <c r="CT84" s="100">
        <v>10</v>
      </c>
      <c r="CU84" s="100">
        <v>7811.9999999999991</v>
      </c>
    </row>
    <row r="85" spans="2:99">
      <c r="C85" s="99" t="s">
        <v>251</v>
      </c>
      <c r="D85" s="100">
        <v>12.895332005952261</v>
      </c>
      <c r="E85" s="100">
        <v>1934.2998008928391</v>
      </c>
      <c r="F85" s="100">
        <v>11.262350170145819</v>
      </c>
      <c r="G85" s="100">
        <v>1689.3525255218728</v>
      </c>
      <c r="H85" s="100">
        <v>14</v>
      </c>
      <c r="I85" s="100">
        <v>2100</v>
      </c>
      <c r="J85" s="100">
        <v>5.4691955736820912</v>
      </c>
      <c r="K85" s="100">
        <v>820.37933605231365</v>
      </c>
      <c r="L85" s="100">
        <v>12</v>
      </c>
      <c r="M85" s="100">
        <v>1800</v>
      </c>
      <c r="N85" s="100">
        <v>10</v>
      </c>
      <c r="O85" s="100">
        <v>1500</v>
      </c>
      <c r="P85" s="100">
        <v>8</v>
      </c>
      <c r="Q85" s="100">
        <v>1200</v>
      </c>
      <c r="R85" s="100">
        <v>8</v>
      </c>
      <c r="S85" s="100">
        <v>1200</v>
      </c>
      <c r="T85" s="100">
        <v>7</v>
      </c>
      <c r="U85" s="100">
        <v>1050</v>
      </c>
      <c r="V85" s="100">
        <v>12</v>
      </c>
      <c r="W85" s="100">
        <v>1800</v>
      </c>
      <c r="X85" s="100">
        <v>11</v>
      </c>
      <c r="Y85" s="100">
        <v>1650</v>
      </c>
      <c r="Z85" s="100">
        <v>13</v>
      </c>
      <c r="AA85" s="100">
        <v>1950</v>
      </c>
      <c r="AB85" s="100">
        <v>11</v>
      </c>
      <c r="AC85" s="100">
        <v>1650</v>
      </c>
      <c r="AD85" s="100">
        <v>14</v>
      </c>
      <c r="AE85" s="100">
        <v>2100</v>
      </c>
      <c r="AF85" s="100">
        <v>12</v>
      </c>
      <c r="AG85" s="100">
        <v>1800</v>
      </c>
      <c r="AH85" s="100">
        <v>2.115245527766858</v>
      </c>
      <c r="AI85" s="100">
        <v>317.28682916502868</v>
      </c>
      <c r="AJ85" s="100">
        <v>8.517964126830643</v>
      </c>
      <c r="AK85" s="100">
        <v>1277.6946190245965</v>
      </c>
      <c r="AL85" s="100">
        <v>1.860653521213584E-4</v>
      </c>
      <c r="AM85" s="100">
        <v>2.7909802818203759E-2</v>
      </c>
      <c r="AN85" s="100">
        <v>7.6393594295668823</v>
      </c>
      <c r="AO85" s="100">
        <v>1145.9039144350324</v>
      </c>
      <c r="AP85" s="100">
        <v>13.88140170214476</v>
      </c>
      <c r="AQ85" s="100">
        <v>2082.2102553217142</v>
      </c>
      <c r="AR85" s="100">
        <v>12</v>
      </c>
      <c r="AS85" s="100">
        <v>1800</v>
      </c>
      <c r="AT85" s="100">
        <v>9.8780487804877808</v>
      </c>
      <c r="AU85" s="100">
        <v>1481.7073170731671</v>
      </c>
      <c r="AV85" s="100">
        <v>7.9796545332184499</v>
      </c>
      <c r="AW85" s="100">
        <v>1196.9481799827674</v>
      </c>
      <c r="AX85" s="100">
        <v>7.0263210562468403</v>
      </c>
      <c r="AY85" s="100">
        <v>1053.948158437026</v>
      </c>
      <c r="AZ85" s="100">
        <v>11</v>
      </c>
      <c r="BA85" s="100">
        <v>1650</v>
      </c>
      <c r="BB85" s="100">
        <v>10</v>
      </c>
      <c r="BC85" s="100">
        <v>1500</v>
      </c>
      <c r="BD85" s="100">
        <v>10.590202907040876</v>
      </c>
      <c r="BE85" s="100">
        <v>1588.5304360561313</v>
      </c>
      <c r="BF85" s="100">
        <v>11</v>
      </c>
      <c r="BG85" s="100">
        <v>1650</v>
      </c>
      <c r="BH85" s="100">
        <v>3.7902718258759212</v>
      </c>
      <c r="BI85" s="100">
        <v>568.54077388138819</v>
      </c>
      <c r="BJ85" s="100">
        <v>8</v>
      </c>
      <c r="BK85" s="100">
        <v>1200</v>
      </c>
      <c r="BL85" s="100">
        <v>13</v>
      </c>
      <c r="BM85" s="100">
        <v>1950</v>
      </c>
      <c r="BN85" s="100">
        <v>11</v>
      </c>
      <c r="BO85" s="100">
        <v>1650</v>
      </c>
      <c r="BP85" s="100">
        <v>10</v>
      </c>
      <c r="BQ85" s="100">
        <v>1500</v>
      </c>
      <c r="BR85" s="100">
        <v>8</v>
      </c>
      <c r="BS85" s="100">
        <v>1200</v>
      </c>
      <c r="BT85" s="100">
        <v>10</v>
      </c>
      <c r="BU85" s="100">
        <v>1500</v>
      </c>
      <c r="BV85" s="100">
        <v>14</v>
      </c>
      <c r="BW85" s="100">
        <v>2100</v>
      </c>
      <c r="BX85" s="100">
        <v>15</v>
      </c>
      <c r="BY85" s="100">
        <v>2250</v>
      </c>
      <c r="BZ85" s="100">
        <v>9</v>
      </c>
      <c r="CA85" s="100">
        <v>1350</v>
      </c>
      <c r="CB85" s="100">
        <v>1.2465039625136947</v>
      </c>
      <c r="CC85" s="100">
        <v>186.97559437705419</v>
      </c>
      <c r="CD85" s="100">
        <v>12</v>
      </c>
      <c r="CE85" s="100">
        <v>1800</v>
      </c>
      <c r="CF85" s="100">
        <v>9</v>
      </c>
      <c r="CG85" s="100">
        <v>1350</v>
      </c>
      <c r="CH85" s="100">
        <v>12</v>
      </c>
      <c r="CI85" s="100">
        <v>1800</v>
      </c>
      <c r="CJ85" s="100">
        <v>15</v>
      </c>
      <c r="CK85" s="100">
        <v>2250</v>
      </c>
      <c r="CL85" s="100">
        <v>9</v>
      </c>
      <c r="CM85" s="100">
        <v>1350</v>
      </c>
      <c r="CN85" s="100">
        <v>8</v>
      </c>
      <c r="CO85" s="100">
        <v>1200</v>
      </c>
      <c r="CP85" s="100">
        <v>10</v>
      </c>
      <c r="CQ85" s="100">
        <v>1500</v>
      </c>
      <c r="CR85" s="100">
        <v>14</v>
      </c>
      <c r="CS85" s="100">
        <v>2100</v>
      </c>
      <c r="CT85" s="100">
        <v>10</v>
      </c>
      <c r="CU85" s="100">
        <v>1500</v>
      </c>
    </row>
    <row r="86" spans="2:99">
      <c r="C86" s="99" t="s">
        <v>252</v>
      </c>
      <c r="D86" s="100">
        <v>11.053141719387652</v>
      </c>
      <c r="E86" s="100">
        <v>5968.6965284693324</v>
      </c>
      <c r="F86" s="100">
        <v>10.396015541673064</v>
      </c>
      <c r="G86" s="100">
        <v>5613.8483925034543</v>
      </c>
      <c r="H86" s="100">
        <v>12</v>
      </c>
      <c r="I86" s="100">
        <v>6480</v>
      </c>
      <c r="J86" s="100">
        <v>5.8899029255037902</v>
      </c>
      <c r="K86" s="100">
        <v>3180.5475797720469</v>
      </c>
      <c r="L86" s="100">
        <v>12</v>
      </c>
      <c r="M86" s="100">
        <v>6480</v>
      </c>
      <c r="N86" s="100">
        <v>10</v>
      </c>
      <c r="O86" s="100">
        <v>5400</v>
      </c>
      <c r="P86" s="100">
        <v>8</v>
      </c>
      <c r="Q86" s="100">
        <v>4320</v>
      </c>
      <c r="R86" s="100">
        <v>9</v>
      </c>
      <c r="S86" s="100">
        <v>4860</v>
      </c>
      <c r="T86" s="100">
        <v>8</v>
      </c>
      <c r="U86" s="100">
        <v>4320</v>
      </c>
      <c r="V86" s="100">
        <v>12</v>
      </c>
      <c r="W86" s="100">
        <v>6480</v>
      </c>
      <c r="X86" s="100">
        <v>11</v>
      </c>
      <c r="Y86" s="100">
        <v>5940</v>
      </c>
      <c r="Z86" s="100">
        <v>11</v>
      </c>
      <c r="AA86" s="100">
        <v>5940</v>
      </c>
      <c r="AB86" s="100">
        <v>11</v>
      </c>
      <c r="AC86" s="100">
        <v>5940</v>
      </c>
      <c r="AD86" s="100">
        <v>14</v>
      </c>
      <c r="AE86" s="100">
        <v>7560</v>
      </c>
      <c r="AF86" s="100">
        <v>14</v>
      </c>
      <c r="AG86" s="100">
        <v>7560</v>
      </c>
      <c r="AH86" s="100">
        <v>2.4174234603049807</v>
      </c>
      <c r="AI86" s="100">
        <v>1305.4086685646896</v>
      </c>
      <c r="AJ86" s="100">
        <v>8.517964126830643</v>
      </c>
      <c r="AK86" s="100">
        <v>4599.7006284885474</v>
      </c>
      <c r="AL86" s="100">
        <v>1.860653521213584E-4</v>
      </c>
      <c r="AM86" s="100">
        <v>0.10047529014553354</v>
      </c>
      <c r="AN86" s="100">
        <v>6.9448722086971655</v>
      </c>
      <c r="AO86" s="100">
        <v>3750.2309926964695</v>
      </c>
      <c r="AP86" s="100">
        <v>13.88140170214476</v>
      </c>
      <c r="AQ86" s="100">
        <v>7495.9569191581704</v>
      </c>
      <c r="AR86" s="100">
        <v>11</v>
      </c>
      <c r="AS86" s="100">
        <v>5940</v>
      </c>
      <c r="AT86" s="100">
        <v>8.8902439024390034</v>
      </c>
      <c r="AU86" s="100">
        <v>4800.7317073170616</v>
      </c>
      <c r="AV86" s="100">
        <v>7.9796545332184499</v>
      </c>
      <c r="AW86" s="100">
        <v>4309.0134479379631</v>
      </c>
      <c r="AX86" s="100">
        <v>6.0894782487472625</v>
      </c>
      <c r="AY86" s="100">
        <v>3288.3182543235216</v>
      </c>
      <c r="AZ86" s="100">
        <v>9</v>
      </c>
      <c r="BA86" s="100">
        <v>4860</v>
      </c>
      <c r="BB86" s="100">
        <v>10</v>
      </c>
      <c r="BC86" s="100">
        <v>5400</v>
      </c>
      <c r="BD86" s="100">
        <v>9.6274571882189761</v>
      </c>
      <c r="BE86" s="100">
        <v>5198.826881638247</v>
      </c>
      <c r="BF86" s="100">
        <v>12</v>
      </c>
      <c r="BG86" s="100">
        <v>6480</v>
      </c>
      <c r="BH86" s="100">
        <v>3.3691305118897077</v>
      </c>
      <c r="BI86" s="100">
        <v>1819.3304764204422</v>
      </c>
      <c r="BJ86" s="100">
        <v>9</v>
      </c>
      <c r="BK86" s="100">
        <v>4860</v>
      </c>
      <c r="BL86" s="100">
        <v>12</v>
      </c>
      <c r="BM86" s="100">
        <v>6480</v>
      </c>
      <c r="BN86" s="100">
        <v>10</v>
      </c>
      <c r="BO86" s="100">
        <v>5400</v>
      </c>
      <c r="BP86" s="100">
        <v>10</v>
      </c>
      <c r="BQ86" s="100">
        <v>5400</v>
      </c>
      <c r="BR86" s="100">
        <v>8</v>
      </c>
      <c r="BS86" s="100">
        <v>4320</v>
      </c>
      <c r="BT86" s="100">
        <v>10</v>
      </c>
      <c r="BU86" s="100">
        <v>5400</v>
      </c>
      <c r="BV86" s="100">
        <v>12</v>
      </c>
      <c r="BW86" s="100">
        <v>6480</v>
      </c>
      <c r="BX86" s="100">
        <v>17</v>
      </c>
      <c r="BY86" s="100">
        <v>9180</v>
      </c>
      <c r="BZ86" s="100">
        <v>9</v>
      </c>
      <c r="CA86" s="100">
        <v>4860</v>
      </c>
      <c r="CB86" s="100">
        <v>1.2465039625136947</v>
      </c>
      <c r="CC86" s="100">
        <v>673.11213975739508</v>
      </c>
      <c r="CD86" s="100">
        <v>13</v>
      </c>
      <c r="CE86" s="100">
        <v>7020</v>
      </c>
      <c r="CF86" s="100">
        <v>7</v>
      </c>
      <c r="CG86" s="100">
        <v>3780</v>
      </c>
      <c r="CH86" s="100">
        <v>10</v>
      </c>
      <c r="CI86" s="100">
        <v>5400</v>
      </c>
      <c r="CJ86" s="100">
        <v>14</v>
      </c>
      <c r="CK86" s="100">
        <v>7560</v>
      </c>
      <c r="CL86" s="100">
        <v>8</v>
      </c>
      <c r="CM86" s="100">
        <v>4320</v>
      </c>
      <c r="CN86" s="100">
        <v>9</v>
      </c>
      <c r="CO86" s="100">
        <v>4860</v>
      </c>
      <c r="CP86" s="100">
        <v>10</v>
      </c>
      <c r="CQ86" s="100">
        <v>5400</v>
      </c>
      <c r="CR86" s="100">
        <v>13</v>
      </c>
      <c r="CS86" s="100">
        <v>7020</v>
      </c>
      <c r="CT86" s="100">
        <v>10</v>
      </c>
      <c r="CU86" s="100">
        <v>5400</v>
      </c>
    </row>
    <row r="87" spans="2:99">
      <c r="B87" s="99" t="s">
        <v>131</v>
      </c>
      <c r="C87" s="99" t="s">
        <v>253</v>
      </c>
      <c r="D87" s="100">
        <v>5.6666666666666607</v>
      </c>
      <c r="E87" s="100">
        <v>6085.9999999999936</v>
      </c>
      <c r="F87" s="100">
        <v>0.46125937295145636</v>
      </c>
      <c r="G87" s="100">
        <v>495.39256654986411</v>
      </c>
      <c r="H87" s="100">
        <v>8</v>
      </c>
      <c r="I87" s="100">
        <v>8592</v>
      </c>
      <c r="J87" s="100">
        <v>7</v>
      </c>
      <c r="K87" s="100">
        <v>7518</v>
      </c>
      <c r="L87" s="100">
        <v>8</v>
      </c>
      <c r="M87" s="100">
        <v>8592</v>
      </c>
      <c r="N87" s="100">
        <v>8</v>
      </c>
      <c r="O87" s="100">
        <v>8592</v>
      </c>
      <c r="P87" s="100">
        <v>6</v>
      </c>
      <c r="Q87" s="100">
        <v>6444</v>
      </c>
      <c r="R87" s="100">
        <v>4.9929875294262063</v>
      </c>
      <c r="S87" s="100">
        <v>5362.4686066037457</v>
      </c>
      <c r="T87" s="100">
        <v>7.5892857142857153</v>
      </c>
      <c r="U87" s="100">
        <v>8150.8928571428578</v>
      </c>
      <c r="V87" s="100">
        <v>9.0776699029126231</v>
      </c>
      <c r="W87" s="100">
        <v>9749.417475728158</v>
      </c>
      <c r="X87" s="100">
        <v>9</v>
      </c>
      <c r="Y87" s="100">
        <v>9666</v>
      </c>
      <c r="Z87" s="100">
        <v>6</v>
      </c>
      <c r="AA87" s="100">
        <v>6444</v>
      </c>
      <c r="AB87" s="100">
        <v>9</v>
      </c>
      <c r="AC87" s="100">
        <v>9666</v>
      </c>
      <c r="AD87" s="100">
        <v>6.6645569620253227</v>
      </c>
      <c r="AE87" s="100">
        <v>7157.7341772151967</v>
      </c>
      <c r="AF87" s="100">
        <v>10</v>
      </c>
      <c r="AG87" s="100">
        <v>10740</v>
      </c>
      <c r="AH87" s="100">
        <v>8</v>
      </c>
      <c r="AI87" s="100">
        <v>8592</v>
      </c>
      <c r="AJ87" s="100">
        <v>9.769999572566844</v>
      </c>
      <c r="AK87" s="100">
        <v>10492.979540936791</v>
      </c>
      <c r="AL87" s="100">
        <v>2.7509227513054944</v>
      </c>
      <c r="AM87" s="100">
        <v>2954.4910349021011</v>
      </c>
      <c r="AN87" s="100">
        <v>6</v>
      </c>
      <c r="AO87" s="100">
        <v>6444</v>
      </c>
      <c r="AP87" s="100">
        <v>7.4468085106383004</v>
      </c>
      <c r="AQ87" s="100">
        <v>7997.8723404255343</v>
      </c>
      <c r="AR87" s="100">
        <v>10</v>
      </c>
      <c r="AS87" s="100">
        <v>10740</v>
      </c>
      <c r="AT87" s="100">
        <v>6.1509433962264168</v>
      </c>
      <c r="AU87" s="100">
        <v>6606.1132075471714</v>
      </c>
      <c r="AV87" s="100">
        <v>7</v>
      </c>
      <c r="AW87" s="100">
        <v>7518</v>
      </c>
      <c r="AX87" s="100">
        <v>7.7278471445339409</v>
      </c>
      <c r="AY87" s="100">
        <v>8299.7078332294532</v>
      </c>
      <c r="AZ87" s="100">
        <v>4.4485981308411215</v>
      </c>
      <c r="BA87" s="100">
        <v>4777.7943925233649</v>
      </c>
      <c r="BB87" s="100">
        <v>3.1014575925339214</v>
      </c>
      <c r="BC87" s="100">
        <v>3330.9654543814318</v>
      </c>
      <c r="BD87" s="100">
        <v>8.7136217642964819</v>
      </c>
      <c r="BE87" s="100">
        <v>9358.4297748544213</v>
      </c>
      <c r="BF87" s="100">
        <v>2.356324340108046</v>
      </c>
      <c r="BG87" s="100">
        <v>2530.6923412760416</v>
      </c>
      <c r="BH87" s="100">
        <v>7</v>
      </c>
      <c r="BI87" s="100">
        <v>7518</v>
      </c>
      <c r="BJ87" s="100">
        <v>7.939439317708735</v>
      </c>
      <c r="BK87" s="100">
        <v>8526.9578272191811</v>
      </c>
      <c r="BL87" s="100">
        <v>7.2340425531914905</v>
      </c>
      <c r="BM87" s="100">
        <v>7769.3617021276605</v>
      </c>
      <c r="BN87" s="100">
        <v>4.9868727635666019</v>
      </c>
      <c r="BO87" s="100">
        <v>5355.9013480705307</v>
      </c>
      <c r="BP87" s="100">
        <v>8</v>
      </c>
      <c r="BQ87" s="100">
        <v>8592</v>
      </c>
      <c r="BR87" s="100">
        <v>7</v>
      </c>
      <c r="BS87" s="100">
        <v>7518</v>
      </c>
      <c r="BT87" s="100">
        <v>7.9038978456507563</v>
      </c>
      <c r="BU87" s="100">
        <v>8488.786286228913</v>
      </c>
      <c r="BV87" s="100">
        <v>3.2980377874701703</v>
      </c>
      <c r="BW87" s="100">
        <v>3542.0925837429627</v>
      </c>
      <c r="BX87" s="100">
        <v>2.5699614612791613</v>
      </c>
      <c r="BY87" s="100">
        <v>2760.1386094138193</v>
      </c>
      <c r="BZ87" s="100">
        <v>3.8490566037735858</v>
      </c>
      <c r="CA87" s="100">
        <v>4133.8867924528313</v>
      </c>
      <c r="CB87" s="100">
        <v>6.0608565429832293</v>
      </c>
      <c r="CC87" s="100">
        <v>6509.3599271639887</v>
      </c>
      <c r="CD87" s="100">
        <v>8.9917587637377849</v>
      </c>
      <c r="CE87" s="100">
        <v>9657.1489122543808</v>
      </c>
      <c r="CF87" s="100">
        <v>7</v>
      </c>
      <c r="CG87" s="100">
        <v>7518</v>
      </c>
      <c r="CH87" s="100">
        <v>11</v>
      </c>
      <c r="CI87" s="100">
        <v>11814</v>
      </c>
      <c r="CJ87" s="100">
        <v>7.7161872049627638</v>
      </c>
      <c r="CK87" s="100">
        <v>8287.1850581300077</v>
      </c>
      <c r="CL87" s="100">
        <v>6.8273092369477926</v>
      </c>
      <c r="CM87" s="100">
        <v>7332.5301204819289</v>
      </c>
      <c r="CN87" s="100">
        <v>4.5335206941514556</v>
      </c>
      <c r="CO87" s="100">
        <v>4869.001225518663</v>
      </c>
      <c r="CP87" s="100">
        <v>5.281567040836272</v>
      </c>
      <c r="CQ87" s="100">
        <v>5672.4030018581561</v>
      </c>
      <c r="CR87" s="100">
        <v>9</v>
      </c>
      <c r="CS87" s="100">
        <v>9666</v>
      </c>
      <c r="CT87" s="100">
        <v>6.423076923076926</v>
      </c>
      <c r="CU87" s="100">
        <v>6898.3846153846189</v>
      </c>
    </row>
    <row r="88" spans="2:99">
      <c r="C88" s="99" t="s">
        <v>254</v>
      </c>
      <c r="D88" s="100">
        <v>5.6666666666666607</v>
      </c>
      <c r="E88" s="100">
        <v>5623.599999999994</v>
      </c>
      <c r="F88" s="100">
        <v>0.46125937295145636</v>
      </c>
      <c r="G88" s="100">
        <v>457.75380171702528</v>
      </c>
      <c r="H88" s="100">
        <v>8</v>
      </c>
      <c r="I88" s="100">
        <v>7939.2</v>
      </c>
      <c r="J88" s="100">
        <v>7</v>
      </c>
      <c r="K88" s="100">
        <v>6946.8</v>
      </c>
      <c r="L88" s="100">
        <v>8</v>
      </c>
      <c r="M88" s="100">
        <v>7939.2</v>
      </c>
      <c r="N88" s="100">
        <v>8</v>
      </c>
      <c r="O88" s="100">
        <v>7939.2</v>
      </c>
      <c r="P88" s="100">
        <v>5</v>
      </c>
      <c r="Q88" s="100">
        <v>4962</v>
      </c>
      <c r="R88" s="100">
        <v>5.6171109706044824</v>
      </c>
      <c r="S88" s="100">
        <v>5574.4209272278886</v>
      </c>
      <c r="T88" s="100">
        <v>8.3482142857142865</v>
      </c>
      <c r="U88" s="100">
        <v>8284.7678571428569</v>
      </c>
      <c r="V88" s="100">
        <v>9.0776699029126231</v>
      </c>
      <c r="W88" s="100">
        <v>9008.6796116504865</v>
      </c>
      <c r="X88" s="100">
        <v>11</v>
      </c>
      <c r="Y88" s="100">
        <v>10916.4</v>
      </c>
      <c r="Z88" s="100">
        <v>5</v>
      </c>
      <c r="AA88" s="100">
        <v>4962</v>
      </c>
      <c r="AB88" s="100">
        <v>9</v>
      </c>
      <c r="AC88" s="100">
        <v>8931.6</v>
      </c>
      <c r="AD88" s="100">
        <v>5.9240506329113982</v>
      </c>
      <c r="AE88" s="100">
        <v>5879.027848101271</v>
      </c>
      <c r="AF88" s="100">
        <v>9</v>
      </c>
      <c r="AG88" s="100">
        <v>8931.6</v>
      </c>
      <c r="AH88" s="100">
        <v>8</v>
      </c>
      <c r="AI88" s="100">
        <v>7939.2</v>
      </c>
      <c r="AJ88" s="100">
        <v>9.769999572566844</v>
      </c>
      <c r="AK88" s="100">
        <v>9695.7475758153359</v>
      </c>
      <c r="AL88" s="100">
        <v>2.475830476174945</v>
      </c>
      <c r="AM88" s="100">
        <v>2457.0141645560152</v>
      </c>
      <c r="AN88" s="100">
        <v>7</v>
      </c>
      <c r="AO88" s="100">
        <v>6946.8</v>
      </c>
      <c r="AP88" s="100">
        <v>8.1914893617021303</v>
      </c>
      <c r="AQ88" s="100">
        <v>8129.2340425531938</v>
      </c>
      <c r="AR88" s="100">
        <v>10</v>
      </c>
      <c r="AS88" s="100">
        <v>9924</v>
      </c>
      <c r="AT88" s="100">
        <v>6.9198113207547189</v>
      </c>
      <c r="AU88" s="100">
        <v>6867.2207547169828</v>
      </c>
      <c r="AV88" s="100">
        <v>7</v>
      </c>
      <c r="AW88" s="100">
        <v>6946.8</v>
      </c>
      <c r="AX88" s="100">
        <v>7.7278471445339409</v>
      </c>
      <c r="AY88" s="100">
        <v>7669.1155062354828</v>
      </c>
      <c r="AZ88" s="100">
        <v>4.4485981308411215</v>
      </c>
      <c r="BA88" s="100">
        <v>4414.7887850467287</v>
      </c>
      <c r="BB88" s="100">
        <v>3.1014575925339214</v>
      </c>
      <c r="BC88" s="100">
        <v>3077.8865148306636</v>
      </c>
      <c r="BD88" s="100">
        <v>8.7136217642964819</v>
      </c>
      <c r="BE88" s="100">
        <v>8647.3982388878285</v>
      </c>
      <c r="BF88" s="100">
        <v>2.356324340108046</v>
      </c>
      <c r="BG88" s="100">
        <v>2338.4162751232248</v>
      </c>
      <c r="BH88" s="100">
        <v>6</v>
      </c>
      <c r="BI88" s="100">
        <v>5954.4</v>
      </c>
      <c r="BJ88" s="100">
        <v>7.939439317708735</v>
      </c>
      <c r="BK88" s="100">
        <v>7879.0995788941482</v>
      </c>
      <c r="BL88" s="100">
        <v>6.5106382978723412</v>
      </c>
      <c r="BM88" s="100">
        <v>6461.1574468085109</v>
      </c>
      <c r="BN88" s="100">
        <v>5.4855600399232616</v>
      </c>
      <c r="BO88" s="100">
        <v>5443.8697836198444</v>
      </c>
      <c r="BP88" s="100">
        <v>7</v>
      </c>
      <c r="BQ88" s="100">
        <v>6946.8</v>
      </c>
      <c r="BR88" s="100">
        <v>7</v>
      </c>
      <c r="BS88" s="100">
        <v>6946.8</v>
      </c>
      <c r="BT88" s="100">
        <v>7.9038978456507563</v>
      </c>
      <c r="BU88" s="100">
        <v>7843.8282220238107</v>
      </c>
      <c r="BV88" s="100">
        <v>3.2980377874701703</v>
      </c>
      <c r="BW88" s="100">
        <v>3272.972700285397</v>
      </c>
      <c r="BX88" s="100">
        <v>2.2028241096678527</v>
      </c>
      <c r="BY88" s="100">
        <v>2186.0826464343768</v>
      </c>
      <c r="BZ88" s="100">
        <v>3.8490566037735858</v>
      </c>
      <c r="CA88" s="100">
        <v>3819.8037735849066</v>
      </c>
      <c r="CB88" s="100">
        <v>6.6669421972815526</v>
      </c>
      <c r="CC88" s="100">
        <v>6616.2734365822125</v>
      </c>
      <c r="CD88" s="100">
        <v>8.9917587637377849</v>
      </c>
      <c r="CE88" s="100">
        <v>8923.4213971333775</v>
      </c>
      <c r="CF88" s="100">
        <v>6</v>
      </c>
      <c r="CG88" s="100">
        <v>5954.4</v>
      </c>
      <c r="CH88" s="100">
        <v>9</v>
      </c>
      <c r="CI88" s="100">
        <v>8931.6</v>
      </c>
      <c r="CJ88" s="100">
        <v>7.7161872049627638</v>
      </c>
      <c r="CK88" s="100">
        <v>7657.544182205047</v>
      </c>
      <c r="CL88" s="100">
        <v>7.5100401606425713</v>
      </c>
      <c r="CM88" s="100">
        <v>7452.9638554216872</v>
      </c>
      <c r="CN88" s="100">
        <v>3.9668306073825241</v>
      </c>
      <c r="CO88" s="100">
        <v>3936.6826947664167</v>
      </c>
      <c r="CP88" s="100">
        <v>6.1618282143089838</v>
      </c>
      <c r="CQ88" s="100">
        <v>6114.9983198802356</v>
      </c>
      <c r="CR88" s="100">
        <v>10</v>
      </c>
      <c r="CS88" s="100">
        <v>9924</v>
      </c>
      <c r="CT88" s="100">
        <v>6.423076923076926</v>
      </c>
      <c r="CU88" s="100">
        <v>6374.261538461541</v>
      </c>
    </row>
    <row r="89" spans="2:99">
      <c r="C89" s="99" t="s">
        <v>255</v>
      </c>
      <c r="D89" s="100">
        <v>4.722222222222217</v>
      </c>
      <c r="E89" s="100">
        <v>5014.9999999999945</v>
      </c>
      <c r="F89" s="100">
        <v>0.46125937295145636</v>
      </c>
      <c r="G89" s="100">
        <v>489.85745407444665</v>
      </c>
      <c r="H89" s="100">
        <v>8</v>
      </c>
      <c r="I89" s="100">
        <v>8496</v>
      </c>
      <c r="J89" s="100">
        <v>6</v>
      </c>
      <c r="K89" s="100">
        <v>6372</v>
      </c>
      <c r="L89" s="100">
        <v>8</v>
      </c>
      <c r="M89" s="100">
        <v>8496</v>
      </c>
      <c r="N89" s="100">
        <v>7</v>
      </c>
      <c r="O89" s="100">
        <v>7434</v>
      </c>
      <c r="P89" s="100">
        <v>6</v>
      </c>
      <c r="Q89" s="100">
        <v>6372</v>
      </c>
      <c r="R89" s="100">
        <v>5.6171109706044824</v>
      </c>
      <c r="S89" s="100">
        <v>5965.3718507819603</v>
      </c>
      <c r="T89" s="100">
        <v>8.3482142857142865</v>
      </c>
      <c r="U89" s="100">
        <v>8865.8035714285725</v>
      </c>
      <c r="V89" s="100">
        <v>7.4271844660194191</v>
      </c>
      <c r="W89" s="100">
        <v>7887.669902912623</v>
      </c>
      <c r="X89" s="100">
        <v>11</v>
      </c>
      <c r="Y89" s="100">
        <v>11682</v>
      </c>
      <c r="Z89" s="100">
        <v>5</v>
      </c>
      <c r="AA89" s="100">
        <v>5310</v>
      </c>
      <c r="AB89" s="100">
        <v>9</v>
      </c>
      <c r="AC89" s="100">
        <v>9558</v>
      </c>
      <c r="AD89" s="100">
        <v>6.6645569620253227</v>
      </c>
      <c r="AE89" s="100">
        <v>7077.7594936708929</v>
      </c>
      <c r="AF89" s="100">
        <v>9</v>
      </c>
      <c r="AG89" s="100">
        <v>9558</v>
      </c>
      <c r="AH89" s="100">
        <v>8</v>
      </c>
      <c r="AI89" s="100">
        <v>8496</v>
      </c>
      <c r="AJ89" s="100">
        <v>8.7929996153101602</v>
      </c>
      <c r="AK89" s="100">
        <v>9338.1655914593903</v>
      </c>
      <c r="AL89" s="100">
        <v>2.475830476174945</v>
      </c>
      <c r="AM89" s="100">
        <v>2629.3319656977915</v>
      </c>
      <c r="AN89" s="100">
        <v>7</v>
      </c>
      <c r="AO89" s="100">
        <v>7434</v>
      </c>
      <c r="AP89" s="100">
        <v>8.9361702127659601</v>
      </c>
      <c r="AQ89" s="100">
        <v>9490.2127659574489</v>
      </c>
      <c r="AR89" s="100">
        <v>11</v>
      </c>
      <c r="AS89" s="100">
        <v>11682</v>
      </c>
      <c r="AT89" s="100">
        <v>6.1509433962264168</v>
      </c>
      <c r="AU89" s="100">
        <v>6532.3018867924548</v>
      </c>
      <c r="AV89" s="100">
        <v>7</v>
      </c>
      <c r="AW89" s="100">
        <v>7434</v>
      </c>
      <c r="AX89" s="100">
        <v>8.5006318589873349</v>
      </c>
      <c r="AY89" s="100">
        <v>9027.6710342445494</v>
      </c>
      <c r="AZ89" s="100">
        <v>4.4485981308411215</v>
      </c>
      <c r="BA89" s="100">
        <v>4724.4112149532712</v>
      </c>
      <c r="BB89" s="100">
        <v>3.1014575925339214</v>
      </c>
      <c r="BC89" s="100">
        <v>3293.7479632710247</v>
      </c>
      <c r="BD89" s="100">
        <v>7.9214743311786195</v>
      </c>
      <c r="BE89" s="100">
        <v>8412.6057397116947</v>
      </c>
      <c r="BF89" s="100">
        <v>1.9636036167567053</v>
      </c>
      <c r="BG89" s="100">
        <v>2085.3470409956208</v>
      </c>
      <c r="BH89" s="100">
        <v>6</v>
      </c>
      <c r="BI89" s="100">
        <v>6372</v>
      </c>
      <c r="BJ89" s="100">
        <v>7.939439317708735</v>
      </c>
      <c r="BK89" s="100">
        <v>8431.6845554066767</v>
      </c>
      <c r="BL89" s="100">
        <v>6.5106382978723412</v>
      </c>
      <c r="BM89" s="100">
        <v>6914.2978723404267</v>
      </c>
      <c r="BN89" s="100">
        <v>5.9842473162799221</v>
      </c>
      <c r="BO89" s="100">
        <v>6355.2706498892776</v>
      </c>
      <c r="BP89" s="100">
        <v>7</v>
      </c>
      <c r="BQ89" s="100">
        <v>7434</v>
      </c>
      <c r="BR89" s="100">
        <v>7</v>
      </c>
      <c r="BS89" s="100">
        <v>7434</v>
      </c>
      <c r="BT89" s="100">
        <v>7.9038978456507563</v>
      </c>
      <c r="BU89" s="100">
        <v>8393.9395120811023</v>
      </c>
      <c r="BV89" s="100">
        <v>2.9982161704274275</v>
      </c>
      <c r="BW89" s="100">
        <v>3184.105572993928</v>
      </c>
      <c r="BX89" s="100">
        <v>2.2028241096678527</v>
      </c>
      <c r="BY89" s="100">
        <v>2339.3992044672596</v>
      </c>
      <c r="BZ89" s="100">
        <v>4.4905660377358503</v>
      </c>
      <c r="CA89" s="100">
        <v>4768.9811320754734</v>
      </c>
      <c r="CB89" s="100">
        <v>5.4547708886849069</v>
      </c>
      <c r="CC89" s="100">
        <v>5792.9666837833711</v>
      </c>
      <c r="CD89" s="100">
        <v>8.242445533426304</v>
      </c>
      <c r="CE89" s="100">
        <v>8753.477156498735</v>
      </c>
      <c r="CF89" s="100">
        <v>7</v>
      </c>
      <c r="CG89" s="100">
        <v>7434</v>
      </c>
      <c r="CH89" s="100">
        <v>9</v>
      </c>
      <c r="CI89" s="100">
        <v>9558</v>
      </c>
      <c r="CJ89" s="100">
        <v>8.5735413388475159</v>
      </c>
      <c r="CK89" s="100">
        <v>9105.1009018560617</v>
      </c>
      <c r="CL89" s="100">
        <v>7.5100401606425713</v>
      </c>
      <c r="CM89" s="100">
        <v>7975.6626506024104</v>
      </c>
      <c r="CN89" s="100">
        <v>4.5335206941514556</v>
      </c>
      <c r="CO89" s="100">
        <v>4814.5989771888462</v>
      </c>
      <c r="CP89" s="100">
        <v>5.281567040836272</v>
      </c>
      <c r="CQ89" s="100">
        <v>5609.0241973681213</v>
      </c>
      <c r="CR89" s="100">
        <v>9</v>
      </c>
      <c r="CS89" s="100">
        <v>9558</v>
      </c>
      <c r="CT89" s="100">
        <v>6.423076923076926</v>
      </c>
      <c r="CU89" s="100">
        <v>6821.3076923076951</v>
      </c>
    </row>
    <row r="90" spans="2:99">
      <c r="C90" s="99" t="s">
        <v>256</v>
      </c>
      <c r="D90" s="100">
        <v>4.722222222222217</v>
      </c>
      <c r="E90" s="100">
        <v>5235.9999999999936</v>
      </c>
      <c r="F90" s="100">
        <v>0.46125937295145636</v>
      </c>
      <c r="G90" s="100">
        <v>511.44439272857477</v>
      </c>
      <c r="H90" s="100">
        <v>7</v>
      </c>
      <c r="I90" s="100">
        <v>7761.5999999999995</v>
      </c>
      <c r="J90" s="100">
        <v>7</v>
      </c>
      <c r="K90" s="100">
        <v>7761.5999999999995</v>
      </c>
      <c r="L90" s="100">
        <v>7</v>
      </c>
      <c r="M90" s="100">
        <v>7761.5999999999995</v>
      </c>
      <c r="N90" s="100">
        <v>7</v>
      </c>
      <c r="O90" s="100">
        <v>7761.5999999999995</v>
      </c>
      <c r="P90" s="100">
        <v>6</v>
      </c>
      <c r="Q90" s="100">
        <v>6652.7999999999993</v>
      </c>
      <c r="R90" s="100">
        <v>5.6171109706044824</v>
      </c>
      <c r="S90" s="100">
        <v>6228.2526442062499</v>
      </c>
      <c r="T90" s="100">
        <v>8.3482142857142865</v>
      </c>
      <c r="U90" s="100">
        <v>9256.5</v>
      </c>
      <c r="V90" s="100">
        <v>8.2524271844660202</v>
      </c>
      <c r="W90" s="100">
        <v>9150.2912621359228</v>
      </c>
      <c r="X90" s="100">
        <v>10</v>
      </c>
      <c r="Y90" s="100">
        <v>11088</v>
      </c>
      <c r="Z90" s="100">
        <v>5</v>
      </c>
      <c r="AA90" s="100">
        <v>5544</v>
      </c>
      <c r="AB90" s="100">
        <v>8</v>
      </c>
      <c r="AC90" s="100">
        <v>8870.4</v>
      </c>
      <c r="AD90" s="100">
        <v>6.6645569620253227</v>
      </c>
      <c r="AE90" s="100">
        <v>7389.6607594936777</v>
      </c>
      <c r="AF90" s="100">
        <v>10</v>
      </c>
      <c r="AG90" s="100">
        <v>11088</v>
      </c>
      <c r="AH90" s="100">
        <v>8</v>
      </c>
      <c r="AI90" s="100">
        <v>8870.4</v>
      </c>
      <c r="AJ90" s="100">
        <v>9.769999572566844</v>
      </c>
      <c r="AK90" s="100">
        <v>10832.975526062117</v>
      </c>
      <c r="AL90" s="100">
        <v>2.475830476174945</v>
      </c>
      <c r="AM90" s="100">
        <v>2745.2008319827787</v>
      </c>
      <c r="AN90" s="100">
        <v>6</v>
      </c>
      <c r="AO90" s="100">
        <v>6652.7999999999993</v>
      </c>
      <c r="AP90" s="100">
        <v>7.4468085106383004</v>
      </c>
      <c r="AQ90" s="100">
        <v>8257.0212765957476</v>
      </c>
      <c r="AR90" s="100">
        <v>9</v>
      </c>
      <c r="AS90" s="100">
        <v>9979.1999999999989</v>
      </c>
      <c r="AT90" s="100">
        <v>6.1509433962264168</v>
      </c>
      <c r="AU90" s="100">
        <v>6820.1660377358503</v>
      </c>
      <c r="AV90" s="100">
        <v>7</v>
      </c>
      <c r="AW90" s="100">
        <v>7761.5999999999995</v>
      </c>
      <c r="AX90" s="100">
        <v>8.5006318589873349</v>
      </c>
      <c r="AY90" s="100">
        <v>9425.5006052451572</v>
      </c>
      <c r="AZ90" s="100">
        <v>4.4485981308411215</v>
      </c>
      <c r="BA90" s="100">
        <v>4932.6056074766357</v>
      </c>
      <c r="BB90" s="100">
        <v>3.1014575925339214</v>
      </c>
      <c r="BC90" s="100">
        <v>3438.8961786016121</v>
      </c>
      <c r="BD90" s="100">
        <v>7.9214743311786195</v>
      </c>
      <c r="BE90" s="100">
        <v>8783.3307384108539</v>
      </c>
      <c r="BF90" s="100">
        <v>2.356324340108046</v>
      </c>
      <c r="BG90" s="100">
        <v>2612.6924283118015</v>
      </c>
      <c r="BH90" s="100">
        <v>8</v>
      </c>
      <c r="BI90" s="100">
        <v>8870.4</v>
      </c>
      <c r="BJ90" s="100">
        <v>7.939439317708735</v>
      </c>
      <c r="BK90" s="100">
        <v>8803.2503154754449</v>
      </c>
      <c r="BL90" s="100">
        <v>6.5106382978723412</v>
      </c>
      <c r="BM90" s="100">
        <v>7218.9957446808512</v>
      </c>
      <c r="BN90" s="100">
        <v>5.9842473162799221</v>
      </c>
      <c r="BO90" s="100">
        <v>6635.3334242911769</v>
      </c>
      <c r="BP90" s="100">
        <v>7</v>
      </c>
      <c r="BQ90" s="100">
        <v>7761.5999999999995</v>
      </c>
      <c r="BR90" s="100">
        <v>7</v>
      </c>
      <c r="BS90" s="100">
        <v>7761.5999999999995</v>
      </c>
      <c r="BT90" s="100">
        <v>7.0256869739117827</v>
      </c>
      <c r="BU90" s="100">
        <v>7790.0817166733841</v>
      </c>
      <c r="BV90" s="100">
        <v>3.2980377874701703</v>
      </c>
      <c r="BW90" s="100">
        <v>3656.8642987469248</v>
      </c>
      <c r="BX90" s="100">
        <v>2.2028241096678527</v>
      </c>
      <c r="BY90" s="100">
        <v>2442.491372799715</v>
      </c>
      <c r="BZ90" s="100">
        <v>3.8490566037735858</v>
      </c>
      <c r="CA90" s="100">
        <v>4267.8339622641515</v>
      </c>
      <c r="CB90" s="100">
        <v>5.4547708886849069</v>
      </c>
      <c r="CC90" s="100">
        <v>6048.2499613738246</v>
      </c>
      <c r="CD90" s="100">
        <v>8.242445533426304</v>
      </c>
      <c r="CE90" s="100">
        <v>9139.2236074630855</v>
      </c>
      <c r="CF90" s="100">
        <v>6</v>
      </c>
      <c r="CG90" s="100">
        <v>6652.7999999999993</v>
      </c>
      <c r="CH90" s="100">
        <v>9</v>
      </c>
      <c r="CI90" s="100">
        <v>9979.1999999999989</v>
      </c>
      <c r="CJ90" s="100">
        <v>8.5735413388475159</v>
      </c>
      <c r="CK90" s="100">
        <v>9506.3426365141258</v>
      </c>
      <c r="CL90" s="100">
        <v>7.5100401606425713</v>
      </c>
      <c r="CM90" s="100">
        <v>8327.1325301204834</v>
      </c>
      <c r="CN90" s="100">
        <v>3.9668306073825241</v>
      </c>
      <c r="CO90" s="100">
        <v>4398.4217774657427</v>
      </c>
      <c r="CP90" s="100">
        <v>5.281567040836272</v>
      </c>
      <c r="CQ90" s="100">
        <v>5856.2015348792584</v>
      </c>
      <c r="CR90" s="100">
        <v>10</v>
      </c>
      <c r="CS90" s="100">
        <v>11088</v>
      </c>
      <c r="CT90" s="100">
        <v>5.5054945054945073</v>
      </c>
      <c r="CU90" s="100">
        <v>6104.4923076923096</v>
      </c>
    </row>
    <row r="91" spans="2:99">
      <c r="C91" s="99" t="s">
        <v>257</v>
      </c>
      <c r="D91" s="100">
        <v>5.6666666666666607</v>
      </c>
      <c r="E91" s="100">
        <v>6439.5999999999922</v>
      </c>
      <c r="F91" s="100">
        <v>0.46125937295145636</v>
      </c>
      <c r="G91" s="100">
        <v>524.1751514220349</v>
      </c>
      <c r="H91" s="100">
        <v>7</v>
      </c>
      <c r="I91" s="100">
        <v>7954.7999999999993</v>
      </c>
      <c r="J91" s="100">
        <v>6</v>
      </c>
      <c r="K91" s="100">
        <v>6818.4</v>
      </c>
      <c r="L91" s="100">
        <v>7</v>
      </c>
      <c r="M91" s="100">
        <v>7954.7999999999993</v>
      </c>
      <c r="N91" s="100">
        <v>9</v>
      </c>
      <c r="O91" s="100">
        <v>10227.599999999999</v>
      </c>
      <c r="P91" s="100">
        <v>5</v>
      </c>
      <c r="Q91" s="100">
        <v>5681.9999999999991</v>
      </c>
      <c r="R91" s="100">
        <v>6.2412344117827576</v>
      </c>
      <c r="S91" s="100">
        <v>7092.5387855499248</v>
      </c>
      <c r="T91" s="100">
        <v>8.3482142857142865</v>
      </c>
      <c r="U91" s="100">
        <v>9486.9107142857138</v>
      </c>
      <c r="V91" s="100">
        <v>8.2524271844660202</v>
      </c>
      <c r="W91" s="100">
        <v>9378.0582524271849</v>
      </c>
      <c r="X91" s="100">
        <v>9</v>
      </c>
      <c r="Y91" s="100">
        <v>10227.599999999999</v>
      </c>
      <c r="Z91" s="100">
        <v>6</v>
      </c>
      <c r="AA91" s="100">
        <v>6818.4</v>
      </c>
      <c r="AB91" s="100">
        <v>8</v>
      </c>
      <c r="AC91" s="100">
        <v>9091.1999999999989</v>
      </c>
      <c r="AD91" s="100">
        <v>7.405063291139248</v>
      </c>
      <c r="AE91" s="100">
        <v>8415.11392405064</v>
      </c>
      <c r="AF91" s="100">
        <v>9</v>
      </c>
      <c r="AG91" s="100">
        <v>10227.599999999999</v>
      </c>
      <c r="AH91" s="100">
        <v>9</v>
      </c>
      <c r="AI91" s="100">
        <v>10227.599999999999</v>
      </c>
      <c r="AJ91" s="100">
        <v>8.7929996153101602</v>
      </c>
      <c r="AK91" s="100">
        <v>9992.3647628384642</v>
      </c>
      <c r="AL91" s="100">
        <v>2.7509227513054944</v>
      </c>
      <c r="AM91" s="100">
        <v>3126.1486145835634</v>
      </c>
      <c r="AN91" s="100">
        <v>7</v>
      </c>
      <c r="AO91" s="100">
        <v>7954.7999999999993</v>
      </c>
      <c r="AP91" s="100">
        <v>8.1914893617021303</v>
      </c>
      <c r="AQ91" s="100">
        <v>9308.8085106383005</v>
      </c>
      <c r="AR91" s="100">
        <v>10</v>
      </c>
      <c r="AS91" s="100">
        <v>11363.999999999998</v>
      </c>
      <c r="AT91" s="100">
        <v>6.9198113207547189</v>
      </c>
      <c r="AU91" s="100">
        <v>7863.6735849056613</v>
      </c>
      <c r="AV91" s="100">
        <v>7</v>
      </c>
      <c r="AW91" s="100">
        <v>7954.7999999999993</v>
      </c>
      <c r="AX91" s="100">
        <v>8.5006318589873349</v>
      </c>
      <c r="AY91" s="100">
        <v>9660.1180445532063</v>
      </c>
      <c r="AZ91" s="100">
        <v>4.4485981308411215</v>
      </c>
      <c r="BA91" s="100">
        <v>5055.3869158878497</v>
      </c>
      <c r="BB91" s="100">
        <v>3.1014575925339214</v>
      </c>
      <c r="BC91" s="100">
        <v>3524.4964081555477</v>
      </c>
      <c r="BD91" s="100">
        <v>7.9214743311786195</v>
      </c>
      <c r="BE91" s="100">
        <v>9001.9634299513818</v>
      </c>
      <c r="BF91" s="100">
        <v>2.356324340108046</v>
      </c>
      <c r="BG91" s="100">
        <v>2677.7269800987833</v>
      </c>
      <c r="BH91" s="100">
        <v>7</v>
      </c>
      <c r="BI91" s="100">
        <v>7954.7999999999993</v>
      </c>
      <c r="BJ91" s="100">
        <v>7.939439317708735</v>
      </c>
      <c r="BK91" s="100">
        <v>9022.3788406442054</v>
      </c>
      <c r="BL91" s="100">
        <v>6.5106382978723412</v>
      </c>
      <c r="BM91" s="100">
        <v>7398.6893617021278</v>
      </c>
      <c r="BN91" s="100">
        <v>4.9868727635666019</v>
      </c>
      <c r="BO91" s="100">
        <v>5667.0822085170857</v>
      </c>
      <c r="BP91" s="100">
        <v>8</v>
      </c>
      <c r="BQ91" s="100">
        <v>9091.1999999999989</v>
      </c>
      <c r="BR91" s="100">
        <v>6</v>
      </c>
      <c r="BS91" s="100">
        <v>6818.4</v>
      </c>
      <c r="BT91" s="100">
        <v>7.0256869739117827</v>
      </c>
      <c r="BU91" s="100">
        <v>7983.9906771533488</v>
      </c>
      <c r="BV91" s="100">
        <v>2.9982161704274275</v>
      </c>
      <c r="BW91" s="100">
        <v>3407.1728560737283</v>
      </c>
      <c r="BX91" s="100">
        <v>2.5699614612791613</v>
      </c>
      <c r="BY91" s="100">
        <v>2920.5042045976384</v>
      </c>
      <c r="BZ91" s="100">
        <v>3.8490566037735858</v>
      </c>
      <c r="CA91" s="100">
        <v>4374.0679245283027</v>
      </c>
      <c r="CB91" s="100">
        <v>6.6669421972815526</v>
      </c>
      <c r="CC91" s="100">
        <v>7576.3131129907551</v>
      </c>
      <c r="CD91" s="100">
        <v>8.9917587637377849</v>
      </c>
      <c r="CE91" s="100">
        <v>10218.234659111618</v>
      </c>
      <c r="CF91" s="100">
        <v>6</v>
      </c>
      <c r="CG91" s="100">
        <v>6818.4</v>
      </c>
      <c r="CH91" s="100">
        <v>10</v>
      </c>
      <c r="CI91" s="100">
        <v>11363.999999999998</v>
      </c>
      <c r="CJ91" s="100">
        <v>9.4308954727322671</v>
      </c>
      <c r="CK91" s="100">
        <v>10717.269615212947</v>
      </c>
      <c r="CL91" s="100">
        <v>8.1927710843373518</v>
      </c>
      <c r="CM91" s="100">
        <v>9310.2650602409649</v>
      </c>
      <c r="CN91" s="100">
        <v>3.9668306073825241</v>
      </c>
      <c r="CO91" s="100">
        <v>4507.9063022294995</v>
      </c>
      <c r="CP91" s="100">
        <v>6.1618282143089838</v>
      </c>
      <c r="CQ91" s="100">
        <v>7002.301582740728</v>
      </c>
      <c r="CR91" s="100">
        <v>9</v>
      </c>
      <c r="CS91" s="100">
        <v>10227.599999999999</v>
      </c>
      <c r="CT91" s="100">
        <v>5.5054945054945073</v>
      </c>
      <c r="CU91" s="100">
        <v>6256.4439560439569</v>
      </c>
    </row>
    <row r="92" spans="2:99">
      <c r="C92" s="99" t="s">
        <v>258</v>
      </c>
      <c r="D92" s="100">
        <v>4.722222222222217</v>
      </c>
      <c r="E92" s="100">
        <v>3705.9999999999959</v>
      </c>
      <c r="F92" s="100">
        <v>0.46125937295145636</v>
      </c>
      <c r="G92" s="100">
        <v>361.99635589230292</v>
      </c>
      <c r="H92" s="100">
        <v>7</v>
      </c>
      <c r="I92" s="100">
        <v>5493.5999999999995</v>
      </c>
      <c r="J92" s="100">
        <v>7</v>
      </c>
      <c r="K92" s="100">
        <v>5493.5999999999995</v>
      </c>
      <c r="L92" s="100">
        <v>9</v>
      </c>
      <c r="M92" s="100">
        <v>7063.2</v>
      </c>
      <c r="N92" s="100">
        <v>8</v>
      </c>
      <c r="O92" s="100">
        <v>6278.4</v>
      </c>
      <c r="P92" s="100">
        <v>6</v>
      </c>
      <c r="Q92" s="100">
        <v>4708.7999999999993</v>
      </c>
      <c r="R92" s="100">
        <v>6.2412344117827576</v>
      </c>
      <c r="S92" s="100">
        <v>4898.1207663671075</v>
      </c>
      <c r="T92" s="100">
        <v>7.5892857142857153</v>
      </c>
      <c r="U92" s="100">
        <v>5956.0714285714294</v>
      </c>
      <c r="V92" s="100">
        <v>9.0776699029126231</v>
      </c>
      <c r="W92" s="100">
        <v>7124.1553398058259</v>
      </c>
      <c r="X92" s="100">
        <v>11</v>
      </c>
      <c r="Y92" s="100">
        <v>8632.7999999999993</v>
      </c>
      <c r="Z92" s="100">
        <v>6</v>
      </c>
      <c r="AA92" s="100">
        <v>4708.7999999999993</v>
      </c>
      <c r="AB92" s="100">
        <v>8</v>
      </c>
      <c r="AC92" s="100">
        <v>6278.4</v>
      </c>
      <c r="AD92" s="100">
        <v>7.405063291139248</v>
      </c>
      <c r="AE92" s="100">
        <v>5811.4936708860814</v>
      </c>
      <c r="AF92" s="100">
        <v>10</v>
      </c>
      <c r="AG92" s="100">
        <v>7848</v>
      </c>
      <c r="AH92" s="100">
        <v>9</v>
      </c>
      <c r="AI92" s="100">
        <v>7063.2</v>
      </c>
      <c r="AJ92" s="100">
        <v>10.74699952982353</v>
      </c>
      <c r="AK92" s="100">
        <v>8434.245231005505</v>
      </c>
      <c r="AL92" s="100">
        <v>2.475830476174945</v>
      </c>
      <c r="AM92" s="100">
        <v>1943.0317577020967</v>
      </c>
      <c r="AN92" s="100">
        <v>7</v>
      </c>
      <c r="AO92" s="100">
        <v>5493.5999999999995</v>
      </c>
      <c r="AP92" s="100">
        <v>7.4468085106383004</v>
      </c>
      <c r="AQ92" s="100">
        <v>5844.2553191489378</v>
      </c>
      <c r="AR92" s="100">
        <v>10</v>
      </c>
      <c r="AS92" s="100">
        <v>7848</v>
      </c>
      <c r="AT92" s="100">
        <v>6.9198113207547189</v>
      </c>
      <c r="AU92" s="100">
        <v>5430.667924528303</v>
      </c>
      <c r="AV92" s="100">
        <v>7</v>
      </c>
      <c r="AW92" s="100">
        <v>5493.5999999999995</v>
      </c>
      <c r="AX92" s="100">
        <v>8.5006318589873349</v>
      </c>
      <c r="AY92" s="100">
        <v>6671.2958829332601</v>
      </c>
      <c r="AZ92" s="100">
        <v>4.4485981308411215</v>
      </c>
      <c r="BA92" s="100">
        <v>3491.259813084112</v>
      </c>
      <c r="BB92" s="100">
        <v>2.7913118332805293</v>
      </c>
      <c r="BC92" s="100">
        <v>2190.6215267585594</v>
      </c>
      <c r="BD92" s="100">
        <v>8.7136217642964819</v>
      </c>
      <c r="BE92" s="100">
        <v>6838.4503606198787</v>
      </c>
      <c r="BF92" s="100">
        <v>2.356324340108046</v>
      </c>
      <c r="BG92" s="100">
        <v>1849.2433421167943</v>
      </c>
      <c r="BH92" s="100">
        <v>7</v>
      </c>
      <c r="BI92" s="100">
        <v>5493.5999999999995</v>
      </c>
      <c r="BJ92" s="100">
        <v>7.939439317708735</v>
      </c>
      <c r="BK92" s="100">
        <v>6230.8719765378146</v>
      </c>
      <c r="BL92" s="100">
        <v>7.2340425531914905</v>
      </c>
      <c r="BM92" s="100">
        <v>5677.2765957446818</v>
      </c>
      <c r="BN92" s="100">
        <v>5.4855600399232616</v>
      </c>
      <c r="BO92" s="100">
        <v>4305.0675193317757</v>
      </c>
      <c r="BP92" s="100">
        <v>8</v>
      </c>
      <c r="BQ92" s="100">
        <v>6278.4</v>
      </c>
      <c r="BR92" s="100">
        <v>6</v>
      </c>
      <c r="BS92" s="100">
        <v>4708.7999999999993</v>
      </c>
      <c r="BT92" s="100">
        <v>7.9038978456507563</v>
      </c>
      <c r="BU92" s="100">
        <v>6202.979029266713</v>
      </c>
      <c r="BV92" s="100">
        <v>3.2980377874701703</v>
      </c>
      <c r="BW92" s="100">
        <v>2588.3000556065895</v>
      </c>
      <c r="BX92" s="100">
        <v>2.2028241096678527</v>
      </c>
      <c r="BY92" s="100">
        <v>1728.7763612673307</v>
      </c>
      <c r="BZ92" s="100">
        <v>3.8490566037735858</v>
      </c>
      <c r="CA92" s="100">
        <v>3020.7396226415099</v>
      </c>
      <c r="CB92" s="100">
        <v>5.4547708886849069</v>
      </c>
      <c r="CC92" s="100">
        <v>4280.9041934399147</v>
      </c>
      <c r="CD92" s="100">
        <v>8.242445533426304</v>
      </c>
      <c r="CE92" s="100">
        <v>6468.6712546329627</v>
      </c>
      <c r="CF92" s="100">
        <v>7</v>
      </c>
      <c r="CG92" s="100">
        <v>5493.5999999999995</v>
      </c>
      <c r="CH92" s="100">
        <v>11</v>
      </c>
      <c r="CI92" s="100">
        <v>8632.7999999999993</v>
      </c>
      <c r="CJ92" s="100">
        <v>9.4308954727322671</v>
      </c>
      <c r="CK92" s="100">
        <v>7401.3667670002824</v>
      </c>
      <c r="CL92" s="100">
        <v>7.5100401606425713</v>
      </c>
      <c r="CM92" s="100">
        <v>5893.87951807229</v>
      </c>
      <c r="CN92" s="100">
        <v>3.9668306073825241</v>
      </c>
      <c r="CO92" s="100">
        <v>3113.1686606738049</v>
      </c>
      <c r="CP92" s="100">
        <v>5.281567040836272</v>
      </c>
      <c r="CQ92" s="100">
        <v>4144.9738136483056</v>
      </c>
      <c r="CR92" s="100">
        <v>9</v>
      </c>
      <c r="CS92" s="100">
        <v>7063.2</v>
      </c>
      <c r="CT92" s="100">
        <v>6.423076923076926</v>
      </c>
      <c r="CU92" s="100">
        <v>5040.8307692307717</v>
      </c>
    </row>
    <row r="93" spans="2:99">
      <c r="C93" s="99" t="s">
        <v>259</v>
      </c>
      <c r="D93" s="100">
        <v>4.722222222222217</v>
      </c>
      <c r="E93" s="100">
        <v>3275.3333333333298</v>
      </c>
      <c r="F93" s="100">
        <v>0.46125937295145636</v>
      </c>
      <c r="G93" s="100">
        <v>319.92950107913015</v>
      </c>
      <c r="H93" s="100">
        <v>7</v>
      </c>
      <c r="I93" s="100">
        <v>4855.2</v>
      </c>
      <c r="J93" s="100">
        <v>7</v>
      </c>
      <c r="K93" s="100">
        <v>4855.2</v>
      </c>
      <c r="L93" s="100">
        <v>7</v>
      </c>
      <c r="M93" s="100">
        <v>4855.2</v>
      </c>
      <c r="N93" s="100">
        <v>8</v>
      </c>
      <c r="O93" s="100">
        <v>5548.8</v>
      </c>
      <c r="P93" s="100">
        <v>6</v>
      </c>
      <c r="Q93" s="100">
        <v>4161.6000000000004</v>
      </c>
      <c r="R93" s="100">
        <v>6.2412344117827576</v>
      </c>
      <c r="S93" s="100">
        <v>4328.9201880125211</v>
      </c>
      <c r="T93" s="100">
        <v>7.5892857142857153</v>
      </c>
      <c r="U93" s="100">
        <v>5263.9285714285725</v>
      </c>
      <c r="V93" s="100">
        <v>7.4271844660194191</v>
      </c>
      <c r="W93" s="100">
        <v>5151.4951456310691</v>
      </c>
      <c r="X93" s="100">
        <v>10</v>
      </c>
      <c r="Y93" s="100">
        <v>6936</v>
      </c>
      <c r="Z93" s="100">
        <v>6</v>
      </c>
      <c r="AA93" s="100">
        <v>4161.6000000000004</v>
      </c>
      <c r="AB93" s="100">
        <v>8</v>
      </c>
      <c r="AC93" s="100">
        <v>5548.8</v>
      </c>
      <c r="AD93" s="100">
        <v>6.6645569620253227</v>
      </c>
      <c r="AE93" s="100">
        <v>4622.5367088607636</v>
      </c>
      <c r="AF93" s="100">
        <v>9</v>
      </c>
      <c r="AG93" s="100">
        <v>6242.4000000000005</v>
      </c>
      <c r="AH93" s="100">
        <v>9</v>
      </c>
      <c r="AI93" s="100">
        <v>6242.4000000000005</v>
      </c>
      <c r="AJ93" s="100">
        <v>10.74699952982353</v>
      </c>
      <c r="AK93" s="100">
        <v>7454.1188738856008</v>
      </c>
      <c r="AL93" s="100">
        <v>2.7509227513054944</v>
      </c>
      <c r="AM93" s="100">
        <v>1908.040020305491</v>
      </c>
      <c r="AN93" s="100">
        <v>7</v>
      </c>
      <c r="AO93" s="100">
        <v>4855.2</v>
      </c>
      <c r="AP93" s="100">
        <v>7.4468085106383004</v>
      </c>
      <c r="AQ93" s="100">
        <v>5165.1063829787254</v>
      </c>
      <c r="AR93" s="100">
        <v>10</v>
      </c>
      <c r="AS93" s="100">
        <v>6936</v>
      </c>
      <c r="AT93" s="100">
        <v>6.9198113207547189</v>
      </c>
      <c r="AU93" s="100">
        <v>4799.5811320754729</v>
      </c>
      <c r="AV93" s="100">
        <v>7</v>
      </c>
      <c r="AW93" s="100">
        <v>4855.2</v>
      </c>
      <c r="AX93" s="100">
        <v>7.7278471445339409</v>
      </c>
      <c r="AY93" s="100">
        <v>5360.0347794487416</v>
      </c>
      <c r="AZ93" s="100">
        <v>4.4485981308411215</v>
      </c>
      <c r="BA93" s="100">
        <v>3085.5476635514019</v>
      </c>
      <c r="BB93" s="100">
        <v>2.7913118332805293</v>
      </c>
      <c r="BC93" s="100">
        <v>1936.0538875633752</v>
      </c>
      <c r="BD93" s="100">
        <v>7.9214743311786195</v>
      </c>
      <c r="BE93" s="100">
        <v>5494.3345961054911</v>
      </c>
      <c r="BF93" s="100">
        <v>1.9636036167567053</v>
      </c>
      <c r="BG93" s="100">
        <v>1361.9554685824507</v>
      </c>
      <c r="BH93" s="100">
        <v>7</v>
      </c>
      <c r="BI93" s="100">
        <v>4855.2</v>
      </c>
      <c r="BJ93" s="100">
        <v>7.939439317708735</v>
      </c>
      <c r="BK93" s="100">
        <v>5506.7951107627787</v>
      </c>
      <c r="BL93" s="100">
        <v>7.2340425531914905</v>
      </c>
      <c r="BM93" s="100">
        <v>5017.5319148936178</v>
      </c>
      <c r="BN93" s="100">
        <v>5.4855600399232616</v>
      </c>
      <c r="BO93" s="100">
        <v>3804.7844436907744</v>
      </c>
      <c r="BP93" s="100">
        <v>8</v>
      </c>
      <c r="BQ93" s="100">
        <v>5548.8</v>
      </c>
      <c r="BR93" s="100">
        <v>6</v>
      </c>
      <c r="BS93" s="100">
        <v>4161.6000000000004</v>
      </c>
      <c r="BT93" s="100">
        <v>7.0256869739117827</v>
      </c>
      <c r="BU93" s="100">
        <v>4873.0164851052123</v>
      </c>
      <c r="BV93" s="100">
        <v>3.2980377874701703</v>
      </c>
      <c r="BW93" s="100">
        <v>2287.5190093893102</v>
      </c>
      <c r="BX93" s="100">
        <v>2.2028241096678527</v>
      </c>
      <c r="BY93" s="100">
        <v>1527.8788024656226</v>
      </c>
      <c r="BZ93" s="100">
        <v>3.8490566037735858</v>
      </c>
      <c r="CA93" s="100">
        <v>2669.7056603773594</v>
      </c>
      <c r="CB93" s="100">
        <v>6.6669421972815526</v>
      </c>
      <c r="CC93" s="100">
        <v>4624.1911080344853</v>
      </c>
      <c r="CD93" s="100">
        <v>8.9917587637377849</v>
      </c>
      <c r="CE93" s="100">
        <v>6236.6838785285281</v>
      </c>
      <c r="CF93" s="100">
        <v>7</v>
      </c>
      <c r="CG93" s="100">
        <v>4855.2</v>
      </c>
      <c r="CH93" s="100">
        <v>10</v>
      </c>
      <c r="CI93" s="100">
        <v>6936</v>
      </c>
      <c r="CJ93" s="100">
        <v>8.5735413388475159</v>
      </c>
      <c r="CK93" s="100">
        <v>5946.6082726246368</v>
      </c>
      <c r="CL93" s="100">
        <v>8.1927710843373518</v>
      </c>
      <c r="CM93" s="100">
        <v>5682.5060240963876</v>
      </c>
      <c r="CN93" s="100">
        <v>3.9668306073825241</v>
      </c>
      <c r="CO93" s="100">
        <v>2751.393709280519</v>
      </c>
      <c r="CP93" s="100">
        <v>5.281567040836272</v>
      </c>
      <c r="CQ93" s="100">
        <v>3663.2948995240386</v>
      </c>
      <c r="CR93" s="100">
        <v>9</v>
      </c>
      <c r="CS93" s="100">
        <v>6242.4000000000005</v>
      </c>
      <c r="CT93" s="100">
        <v>6.423076923076926</v>
      </c>
      <c r="CU93" s="100">
        <v>4455.0461538461559</v>
      </c>
    </row>
    <row r="94" spans="2:99">
      <c r="C94" s="99" t="s">
        <v>260</v>
      </c>
      <c r="D94" s="100">
        <v>5.6666666666666607</v>
      </c>
      <c r="E94" s="100">
        <v>6759.1999999999925</v>
      </c>
      <c r="F94" s="100">
        <v>0.46125937295145636</v>
      </c>
      <c r="G94" s="100">
        <v>550.19018005649707</v>
      </c>
      <c r="H94" s="100">
        <v>7</v>
      </c>
      <c r="I94" s="100">
        <v>8349.6</v>
      </c>
      <c r="J94" s="100">
        <v>7</v>
      </c>
      <c r="K94" s="100">
        <v>8349.6</v>
      </c>
      <c r="L94" s="100">
        <v>8</v>
      </c>
      <c r="M94" s="100">
        <v>9542.4</v>
      </c>
      <c r="N94" s="100">
        <v>8</v>
      </c>
      <c r="O94" s="100">
        <v>9542.4</v>
      </c>
      <c r="P94" s="100">
        <v>5</v>
      </c>
      <c r="Q94" s="100">
        <v>5964</v>
      </c>
      <c r="R94" s="100">
        <v>5.6171109706044824</v>
      </c>
      <c r="S94" s="100">
        <v>6700.0899657370264</v>
      </c>
      <c r="T94" s="100">
        <v>7.5892857142857153</v>
      </c>
      <c r="U94" s="100">
        <v>9052.5</v>
      </c>
      <c r="V94" s="100">
        <v>9.0776699029126231</v>
      </c>
      <c r="W94" s="100">
        <v>10827.844660194176</v>
      </c>
      <c r="X94" s="100">
        <v>9</v>
      </c>
      <c r="Y94" s="100">
        <v>10735.199999999999</v>
      </c>
      <c r="Z94" s="100">
        <v>5</v>
      </c>
      <c r="AA94" s="100">
        <v>5964</v>
      </c>
      <c r="AB94" s="100">
        <v>8</v>
      </c>
      <c r="AC94" s="100">
        <v>9542.4</v>
      </c>
      <c r="AD94" s="100">
        <v>6.6645569620253227</v>
      </c>
      <c r="AE94" s="100">
        <v>7949.4835443038046</v>
      </c>
      <c r="AF94" s="100">
        <v>10</v>
      </c>
      <c r="AG94" s="100">
        <v>11928</v>
      </c>
      <c r="AH94" s="100">
        <v>8</v>
      </c>
      <c r="AI94" s="100">
        <v>9542.4</v>
      </c>
      <c r="AJ94" s="100">
        <v>8.7929996153101602</v>
      </c>
      <c r="AK94" s="100">
        <v>10488.289941141958</v>
      </c>
      <c r="AL94" s="100">
        <v>2.7509227513054944</v>
      </c>
      <c r="AM94" s="100">
        <v>3281.3006577571937</v>
      </c>
      <c r="AN94" s="100">
        <v>6</v>
      </c>
      <c r="AO94" s="100">
        <v>7156.7999999999993</v>
      </c>
      <c r="AP94" s="100">
        <v>7.4468085106383004</v>
      </c>
      <c r="AQ94" s="100">
        <v>8882.5531914893636</v>
      </c>
      <c r="AR94" s="100">
        <v>10</v>
      </c>
      <c r="AS94" s="100">
        <v>11928</v>
      </c>
      <c r="AT94" s="100">
        <v>6.9198113207547189</v>
      </c>
      <c r="AU94" s="100">
        <v>8253.9509433962285</v>
      </c>
      <c r="AV94" s="100">
        <v>7</v>
      </c>
      <c r="AW94" s="100">
        <v>8349.6</v>
      </c>
      <c r="AX94" s="100">
        <v>8.5006318589873349</v>
      </c>
      <c r="AY94" s="100">
        <v>10139.553681400093</v>
      </c>
      <c r="AZ94" s="100">
        <v>4.4485981308411215</v>
      </c>
      <c r="BA94" s="100">
        <v>5306.2878504672899</v>
      </c>
      <c r="BB94" s="100">
        <v>2.7913118332805293</v>
      </c>
      <c r="BC94" s="100">
        <v>3329.4767547370152</v>
      </c>
      <c r="BD94" s="100">
        <v>7.9214743311786195</v>
      </c>
      <c r="BE94" s="100">
        <v>9448.7345822298576</v>
      </c>
      <c r="BF94" s="100">
        <v>1.9636036167567053</v>
      </c>
      <c r="BG94" s="100">
        <v>2342.1863940673979</v>
      </c>
      <c r="BH94" s="100">
        <v>7</v>
      </c>
      <c r="BI94" s="100">
        <v>8349.6</v>
      </c>
      <c r="BJ94" s="100">
        <v>7.939439317708735</v>
      </c>
      <c r="BK94" s="100">
        <v>9470.1632181629793</v>
      </c>
      <c r="BL94" s="100">
        <v>6.5106382978723412</v>
      </c>
      <c r="BM94" s="100">
        <v>7765.8893617021286</v>
      </c>
      <c r="BN94" s="100">
        <v>5.9842473162799221</v>
      </c>
      <c r="BO94" s="100">
        <v>7138.0101988586912</v>
      </c>
      <c r="BP94" s="100">
        <v>7</v>
      </c>
      <c r="BQ94" s="100">
        <v>8349.6</v>
      </c>
      <c r="BR94" s="100">
        <v>7</v>
      </c>
      <c r="BS94" s="100">
        <v>8349.6</v>
      </c>
      <c r="BT94" s="100">
        <v>7.9038978456507563</v>
      </c>
      <c r="BU94" s="100">
        <v>9427.7693502922211</v>
      </c>
      <c r="BV94" s="100">
        <v>3.2980377874701703</v>
      </c>
      <c r="BW94" s="100">
        <v>3933.899472894419</v>
      </c>
      <c r="BX94" s="100">
        <v>2.2028241096678527</v>
      </c>
      <c r="BY94" s="100">
        <v>2627.5285980118147</v>
      </c>
      <c r="BZ94" s="100">
        <v>3.8490566037735858</v>
      </c>
      <c r="CA94" s="100">
        <v>4591.1547169811329</v>
      </c>
      <c r="CB94" s="100">
        <v>6.0608565429832293</v>
      </c>
      <c r="CC94" s="100">
        <v>7229.3896844703959</v>
      </c>
      <c r="CD94" s="100">
        <v>8.9917587637377849</v>
      </c>
      <c r="CE94" s="100">
        <v>10725.36985338643</v>
      </c>
      <c r="CF94" s="100">
        <v>6</v>
      </c>
      <c r="CG94" s="100">
        <v>7156.7999999999993</v>
      </c>
      <c r="CH94" s="100">
        <v>11</v>
      </c>
      <c r="CI94" s="100">
        <v>13120.8</v>
      </c>
      <c r="CJ94" s="100">
        <v>9.4308954727322671</v>
      </c>
      <c r="CK94" s="100">
        <v>11249.172119875047</v>
      </c>
      <c r="CL94" s="100">
        <v>7.5100401606425713</v>
      </c>
      <c r="CM94" s="100">
        <v>8957.9759036144587</v>
      </c>
      <c r="CN94" s="100">
        <v>3.9668306073825241</v>
      </c>
      <c r="CO94" s="100">
        <v>4731.635548485875</v>
      </c>
      <c r="CP94" s="100">
        <v>5.281567040836272</v>
      </c>
      <c r="CQ94" s="100">
        <v>6299.8531663095055</v>
      </c>
      <c r="CR94" s="100">
        <v>9</v>
      </c>
      <c r="CS94" s="100">
        <v>10735.199999999999</v>
      </c>
      <c r="CT94" s="100">
        <v>5.5054945054945073</v>
      </c>
      <c r="CU94" s="100">
        <v>6566.9538461538477</v>
      </c>
    </row>
    <row r="95" spans="2:99">
      <c r="B95" s="99" t="s">
        <v>132</v>
      </c>
      <c r="C95" s="99" t="s">
        <v>261</v>
      </c>
      <c r="D95" s="100">
        <v>10.388888888888879</v>
      </c>
      <c r="E95" s="100">
        <v>3415.8666666666636</v>
      </c>
      <c r="F95" s="100">
        <v>0.59304776522330105</v>
      </c>
      <c r="G95" s="100">
        <v>194.99410520542139</v>
      </c>
      <c r="H95" s="100">
        <v>10</v>
      </c>
      <c r="I95" s="100">
        <v>3288</v>
      </c>
      <c r="J95" s="100">
        <v>8</v>
      </c>
      <c r="K95" s="100">
        <v>2630.4</v>
      </c>
      <c r="L95" s="100">
        <v>7</v>
      </c>
      <c r="M95" s="100">
        <v>2301.6</v>
      </c>
      <c r="N95" s="100">
        <v>8</v>
      </c>
      <c r="O95" s="100">
        <v>2630.4</v>
      </c>
      <c r="P95" s="100">
        <v>7</v>
      </c>
      <c r="Q95" s="100">
        <v>2301.6</v>
      </c>
      <c r="R95" s="100">
        <v>6.2412344117827576</v>
      </c>
      <c r="S95" s="100">
        <v>2052.1178745941706</v>
      </c>
      <c r="T95" s="100">
        <v>8.3482142857142865</v>
      </c>
      <c r="U95" s="100">
        <v>2744.8928571428573</v>
      </c>
      <c r="V95" s="100">
        <v>7.4271844660194191</v>
      </c>
      <c r="W95" s="100">
        <v>2442.0582524271849</v>
      </c>
      <c r="X95" s="100">
        <v>9</v>
      </c>
      <c r="Y95" s="100">
        <v>2959.2000000000003</v>
      </c>
      <c r="Z95" s="100">
        <v>12</v>
      </c>
      <c r="AA95" s="100">
        <v>3945.6000000000004</v>
      </c>
      <c r="AB95" s="100">
        <v>9</v>
      </c>
      <c r="AC95" s="100">
        <v>2959.2000000000003</v>
      </c>
      <c r="AD95" s="100">
        <v>5.1835443037974738</v>
      </c>
      <c r="AE95" s="100">
        <v>1704.3493670886094</v>
      </c>
      <c r="AF95" s="100">
        <v>13</v>
      </c>
      <c r="AG95" s="100">
        <v>4274.4000000000005</v>
      </c>
      <c r="AH95" s="100">
        <v>10</v>
      </c>
      <c r="AI95" s="100">
        <v>3288</v>
      </c>
      <c r="AJ95" s="100">
        <v>8.7929996153101602</v>
      </c>
      <c r="AK95" s="100">
        <v>2891.1382735139809</v>
      </c>
      <c r="AL95" s="100">
        <v>3.0260150264360437</v>
      </c>
      <c r="AM95" s="100">
        <v>994.95374069217121</v>
      </c>
      <c r="AN95" s="100">
        <v>10</v>
      </c>
      <c r="AO95" s="100">
        <v>3288</v>
      </c>
      <c r="AP95" s="100">
        <v>9.68085106382979</v>
      </c>
      <c r="AQ95" s="100">
        <v>3183.0638297872351</v>
      </c>
      <c r="AR95" s="100">
        <v>7</v>
      </c>
      <c r="AS95" s="100">
        <v>2301.6</v>
      </c>
      <c r="AT95" s="100">
        <v>8.457547169811324</v>
      </c>
      <c r="AU95" s="100">
        <v>2780.8415094339634</v>
      </c>
      <c r="AV95" s="100">
        <v>14</v>
      </c>
      <c r="AW95" s="100">
        <v>4603.2</v>
      </c>
      <c r="AX95" s="100">
        <v>10.046201287894124</v>
      </c>
      <c r="AY95" s="100">
        <v>3303.1909834595881</v>
      </c>
      <c r="AZ95" s="100">
        <v>8.2616822429906556</v>
      </c>
      <c r="BA95" s="100">
        <v>2716.4411214953275</v>
      </c>
      <c r="BB95" s="100">
        <v>3.1014575925339214</v>
      </c>
      <c r="BC95" s="100">
        <v>1019.7592564251534</v>
      </c>
      <c r="BD95" s="100">
        <v>6.3371794649428965</v>
      </c>
      <c r="BE95" s="100">
        <v>2083.6646080732244</v>
      </c>
      <c r="BF95" s="100">
        <v>4.7126486802160921</v>
      </c>
      <c r="BG95" s="100">
        <v>1549.5188860550511</v>
      </c>
      <c r="BH95" s="100">
        <v>9</v>
      </c>
      <c r="BI95" s="100">
        <v>2959.2000000000003</v>
      </c>
      <c r="BJ95" s="100">
        <v>7.939439317708735</v>
      </c>
      <c r="BK95" s="100">
        <v>2610.4876476626323</v>
      </c>
      <c r="BL95" s="100">
        <v>9.4042553191489375</v>
      </c>
      <c r="BM95" s="100">
        <v>3092.1191489361709</v>
      </c>
      <c r="BN95" s="100">
        <v>6.4829345926365818</v>
      </c>
      <c r="BO95" s="100">
        <v>2131.588894058908</v>
      </c>
      <c r="BP95" s="100">
        <v>10</v>
      </c>
      <c r="BQ95" s="100">
        <v>3288</v>
      </c>
      <c r="BR95" s="100">
        <v>7</v>
      </c>
      <c r="BS95" s="100">
        <v>2301.6</v>
      </c>
      <c r="BT95" s="100">
        <v>10.538530460867674</v>
      </c>
      <c r="BU95" s="100">
        <v>3465.0688155332914</v>
      </c>
      <c r="BV95" s="100">
        <v>3.8976810215556563</v>
      </c>
      <c r="BW95" s="100">
        <v>1281.5575198874999</v>
      </c>
      <c r="BX95" s="100">
        <v>4.4056482193357054</v>
      </c>
      <c r="BY95" s="100">
        <v>1448.5771345175799</v>
      </c>
      <c r="BZ95" s="100">
        <v>7.6981132075471717</v>
      </c>
      <c r="CA95" s="100">
        <v>2531.13962264151</v>
      </c>
      <c r="CB95" s="100">
        <v>4.8486852343865836</v>
      </c>
      <c r="CC95" s="100">
        <v>1594.2477050663088</v>
      </c>
      <c r="CD95" s="100">
        <v>8.9917587637377849</v>
      </c>
      <c r="CE95" s="100">
        <v>2956.4902815169839</v>
      </c>
      <c r="CF95" s="100">
        <v>13</v>
      </c>
      <c r="CG95" s="100">
        <v>4274.4000000000005</v>
      </c>
      <c r="CH95" s="100">
        <v>7</v>
      </c>
      <c r="CI95" s="100">
        <v>2301.6</v>
      </c>
      <c r="CJ95" s="100">
        <v>8.5735413388475159</v>
      </c>
      <c r="CK95" s="100">
        <v>2818.9803922130632</v>
      </c>
      <c r="CL95" s="100">
        <v>8.1927710843373518</v>
      </c>
      <c r="CM95" s="100">
        <v>2693.7831325301213</v>
      </c>
      <c r="CN95" s="100">
        <v>6.8002810412271835</v>
      </c>
      <c r="CO95" s="100">
        <v>2235.9324063554982</v>
      </c>
      <c r="CP95" s="100">
        <v>12.323656428617968</v>
      </c>
      <c r="CQ95" s="100">
        <v>4052.0182337295878</v>
      </c>
      <c r="CR95" s="100">
        <v>7</v>
      </c>
      <c r="CS95" s="100">
        <v>2301.6</v>
      </c>
      <c r="CT95" s="100">
        <v>8.2582417582417609</v>
      </c>
      <c r="CU95" s="100">
        <v>2715.3098901098911</v>
      </c>
    </row>
    <row r="96" spans="2:99">
      <c r="C96" s="99" t="s">
        <v>262</v>
      </c>
      <c r="D96" s="100">
        <v>10.388888888888879</v>
      </c>
      <c r="E96" s="100">
        <v>7218.1999999999925</v>
      </c>
      <c r="F96" s="100">
        <v>0.59304776522330105</v>
      </c>
      <c r="G96" s="100">
        <v>412.04958727714956</v>
      </c>
      <c r="H96" s="100">
        <v>12</v>
      </c>
      <c r="I96" s="100">
        <v>8337.5999999999985</v>
      </c>
      <c r="J96" s="100">
        <v>8</v>
      </c>
      <c r="K96" s="100">
        <v>5558.4</v>
      </c>
      <c r="L96" s="100">
        <v>7</v>
      </c>
      <c r="M96" s="100">
        <v>4863.5999999999995</v>
      </c>
      <c r="N96" s="100">
        <v>7</v>
      </c>
      <c r="O96" s="100">
        <v>4863.5999999999995</v>
      </c>
      <c r="P96" s="100">
        <v>7</v>
      </c>
      <c r="Q96" s="100">
        <v>4863.5999999999995</v>
      </c>
      <c r="R96" s="100">
        <v>5.6171109706044824</v>
      </c>
      <c r="S96" s="100">
        <v>3902.7687023759941</v>
      </c>
      <c r="T96" s="100">
        <v>7.5892857142857153</v>
      </c>
      <c r="U96" s="100">
        <v>5273.0357142857147</v>
      </c>
      <c r="V96" s="100">
        <v>7.4271844660194191</v>
      </c>
      <c r="W96" s="100">
        <v>5160.4077669902917</v>
      </c>
      <c r="X96" s="100">
        <v>10</v>
      </c>
      <c r="Y96" s="100">
        <v>6948</v>
      </c>
      <c r="Z96" s="100">
        <v>11</v>
      </c>
      <c r="AA96" s="100">
        <v>7642.7999999999993</v>
      </c>
      <c r="AB96" s="100">
        <v>8</v>
      </c>
      <c r="AC96" s="100">
        <v>5558.4</v>
      </c>
      <c r="AD96" s="100">
        <v>4.4430379746835484</v>
      </c>
      <c r="AE96" s="100">
        <v>3087.0227848101295</v>
      </c>
      <c r="AF96" s="100">
        <v>12</v>
      </c>
      <c r="AG96" s="100">
        <v>8337.5999999999985</v>
      </c>
      <c r="AH96" s="100">
        <v>11</v>
      </c>
      <c r="AI96" s="100">
        <v>7642.7999999999993</v>
      </c>
      <c r="AJ96" s="100">
        <v>10.74699952982353</v>
      </c>
      <c r="AK96" s="100">
        <v>7467.0152733213881</v>
      </c>
      <c r="AL96" s="100">
        <v>2.7509227513054944</v>
      </c>
      <c r="AM96" s="100">
        <v>1911.3411276070574</v>
      </c>
      <c r="AN96" s="100">
        <v>10</v>
      </c>
      <c r="AO96" s="100">
        <v>6948</v>
      </c>
      <c r="AP96" s="100">
        <v>9.68085106382979</v>
      </c>
      <c r="AQ96" s="100">
        <v>6726.2553191489378</v>
      </c>
      <c r="AR96" s="100">
        <v>7</v>
      </c>
      <c r="AS96" s="100">
        <v>4863.5999999999995</v>
      </c>
      <c r="AT96" s="100">
        <v>8.457547169811324</v>
      </c>
      <c r="AU96" s="100">
        <v>5876.3037735849075</v>
      </c>
      <c r="AV96" s="100">
        <v>13</v>
      </c>
      <c r="AW96" s="100">
        <v>9032.4</v>
      </c>
      <c r="AX96" s="100">
        <v>8.5006318589873349</v>
      </c>
      <c r="AY96" s="100">
        <v>5906.2390156244001</v>
      </c>
      <c r="AZ96" s="100">
        <v>7.6261682242990672</v>
      </c>
      <c r="BA96" s="100">
        <v>5298.6616822429914</v>
      </c>
      <c r="BB96" s="100">
        <v>3.1014575925339214</v>
      </c>
      <c r="BC96" s="100">
        <v>2154.8927352925684</v>
      </c>
      <c r="BD96" s="100">
        <v>6.3371794649428965</v>
      </c>
      <c r="BE96" s="100">
        <v>4403.0722922423238</v>
      </c>
      <c r="BF96" s="100">
        <v>4.7126486802160921</v>
      </c>
      <c r="BG96" s="100">
        <v>3274.3483030141406</v>
      </c>
      <c r="BH96" s="100">
        <v>9</v>
      </c>
      <c r="BI96" s="100">
        <v>6253.2</v>
      </c>
      <c r="BJ96" s="100">
        <v>8.9318692324223274</v>
      </c>
      <c r="BK96" s="100">
        <v>6205.8627426870326</v>
      </c>
      <c r="BL96" s="100">
        <v>9.4042553191489375</v>
      </c>
      <c r="BM96" s="100">
        <v>6534.0765957446811</v>
      </c>
      <c r="BN96" s="100">
        <v>6.4829345926365818</v>
      </c>
      <c r="BO96" s="100">
        <v>4504.3429549638968</v>
      </c>
      <c r="BP96" s="100">
        <v>10</v>
      </c>
      <c r="BQ96" s="100">
        <v>6948</v>
      </c>
      <c r="BR96" s="100">
        <v>8</v>
      </c>
      <c r="BS96" s="100">
        <v>5558.4</v>
      </c>
      <c r="BT96" s="100">
        <v>11.416741332606648</v>
      </c>
      <c r="BU96" s="100">
        <v>7932.3518778950984</v>
      </c>
      <c r="BV96" s="100">
        <v>3.2980377874701703</v>
      </c>
      <c r="BW96" s="100">
        <v>2291.4766547342742</v>
      </c>
      <c r="BX96" s="100">
        <v>3.6713735161130874</v>
      </c>
      <c r="BY96" s="100">
        <v>2550.8703189953731</v>
      </c>
      <c r="BZ96" s="100">
        <v>8.3396226415094361</v>
      </c>
      <c r="CA96" s="100">
        <v>5794.3698113207556</v>
      </c>
      <c r="CB96" s="100">
        <v>4.2425995800882603</v>
      </c>
      <c r="CC96" s="100">
        <v>2947.7581882453233</v>
      </c>
      <c r="CD96" s="100">
        <v>9.7410719940492676</v>
      </c>
      <c r="CE96" s="100">
        <v>6768.0968214654304</v>
      </c>
      <c r="CF96" s="100">
        <v>13</v>
      </c>
      <c r="CG96" s="100">
        <v>9032.4</v>
      </c>
      <c r="CH96" s="100">
        <v>8</v>
      </c>
      <c r="CI96" s="100">
        <v>5558.4</v>
      </c>
      <c r="CJ96" s="100">
        <v>7.7161872049627638</v>
      </c>
      <c r="CK96" s="100">
        <v>5361.2068700081281</v>
      </c>
      <c r="CL96" s="100">
        <v>9.5582329317269092</v>
      </c>
      <c r="CM96" s="100">
        <v>6641.0602409638559</v>
      </c>
      <c r="CN96" s="100">
        <v>6.8002810412271835</v>
      </c>
      <c r="CO96" s="100">
        <v>4724.8352674446469</v>
      </c>
      <c r="CP96" s="100">
        <v>11.443395255145257</v>
      </c>
      <c r="CQ96" s="100">
        <v>7950.8710232749236</v>
      </c>
      <c r="CR96" s="100">
        <v>8</v>
      </c>
      <c r="CS96" s="100">
        <v>5558.4</v>
      </c>
      <c r="CT96" s="100">
        <v>9.1758241758241788</v>
      </c>
      <c r="CU96" s="100">
        <v>6375.3626373626394</v>
      </c>
    </row>
    <row r="97" spans="2:99">
      <c r="C97" s="99" t="s">
        <v>263</v>
      </c>
      <c r="D97" s="100">
        <v>10.388888888888879</v>
      </c>
      <c r="E97" s="100">
        <v>4076.5999999999958</v>
      </c>
      <c r="F97" s="100">
        <v>0.52715356908737865</v>
      </c>
      <c r="G97" s="100">
        <v>206.85506050988738</v>
      </c>
      <c r="H97" s="100">
        <v>11</v>
      </c>
      <c r="I97" s="100">
        <v>4316.3999999999996</v>
      </c>
      <c r="J97" s="100">
        <v>9</v>
      </c>
      <c r="K97" s="100">
        <v>3531.6</v>
      </c>
      <c r="L97" s="100">
        <v>7</v>
      </c>
      <c r="M97" s="100">
        <v>2746.7999999999997</v>
      </c>
      <c r="N97" s="100">
        <v>8</v>
      </c>
      <c r="O97" s="100">
        <v>3139.2</v>
      </c>
      <c r="P97" s="100">
        <v>7</v>
      </c>
      <c r="Q97" s="100">
        <v>2746.7999999999997</v>
      </c>
      <c r="R97" s="100">
        <v>5.6171109706044824</v>
      </c>
      <c r="S97" s="100">
        <v>2204.1543448651987</v>
      </c>
      <c r="T97" s="100">
        <v>8.3482142857142865</v>
      </c>
      <c r="U97" s="100">
        <v>3275.8392857142858</v>
      </c>
      <c r="V97" s="100">
        <v>8.2524271844660202</v>
      </c>
      <c r="W97" s="100">
        <v>3238.2524271844663</v>
      </c>
      <c r="X97" s="100">
        <v>10</v>
      </c>
      <c r="Y97" s="100">
        <v>3924</v>
      </c>
      <c r="Z97" s="100">
        <v>13</v>
      </c>
      <c r="AA97" s="100">
        <v>5101.2</v>
      </c>
      <c r="AB97" s="100">
        <v>9</v>
      </c>
      <c r="AC97" s="100">
        <v>3531.6</v>
      </c>
      <c r="AD97" s="100">
        <v>4.4430379746835484</v>
      </c>
      <c r="AE97" s="100">
        <v>1743.4481012658243</v>
      </c>
      <c r="AF97" s="100">
        <v>13</v>
      </c>
      <c r="AG97" s="100">
        <v>5101.2</v>
      </c>
      <c r="AH97" s="100">
        <v>10</v>
      </c>
      <c r="AI97" s="100">
        <v>3924</v>
      </c>
      <c r="AJ97" s="100">
        <v>9.769999572566844</v>
      </c>
      <c r="AK97" s="100">
        <v>3833.7478322752295</v>
      </c>
      <c r="AL97" s="100">
        <v>2.7509227513054944</v>
      </c>
      <c r="AM97" s="100">
        <v>1079.4620876122758</v>
      </c>
      <c r="AN97" s="100">
        <v>10</v>
      </c>
      <c r="AO97" s="100">
        <v>3924</v>
      </c>
      <c r="AP97" s="100">
        <v>8.9361702127659601</v>
      </c>
      <c r="AQ97" s="100">
        <v>3506.5531914893627</v>
      </c>
      <c r="AR97" s="100">
        <v>8</v>
      </c>
      <c r="AS97" s="100">
        <v>3139.2</v>
      </c>
      <c r="AT97" s="100">
        <v>9.9952830188679282</v>
      </c>
      <c r="AU97" s="100">
        <v>3922.1490566037746</v>
      </c>
      <c r="AV97" s="100">
        <v>13</v>
      </c>
      <c r="AW97" s="100">
        <v>5101.2</v>
      </c>
      <c r="AX97" s="100">
        <v>8.5006318589873349</v>
      </c>
      <c r="AY97" s="100">
        <v>3335.6479414666301</v>
      </c>
      <c r="AZ97" s="100">
        <v>8.8971962616822431</v>
      </c>
      <c r="BA97" s="100">
        <v>3491.259813084112</v>
      </c>
      <c r="BB97" s="100">
        <v>3.7217491110407055</v>
      </c>
      <c r="BC97" s="100">
        <v>1460.4143511723728</v>
      </c>
      <c r="BD97" s="100">
        <v>6.3371794649428965</v>
      </c>
      <c r="BE97" s="100">
        <v>2486.7092220435925</v>
      </c>
      <c r="BF97" s="100">
        <v>4.7126486802160921</v>
      </c>
      <c r="BG97" s="100">
        <v>1849.2433421167943</v>
      </c>
      <c r="BH97" s="100">
        <v>9</v>
      </c>
      <c r="BI97" s="100">
        <v>3531.6</v>
      </c>
      <c r="BJ97" s="100">
        <v>8.9318692324223274</v>
      </c>
      <c r="BK97" s="100">
        <v>3504.865486802521</v>
      </c>
      <c r="BL97" s="100">
        <v>9.4042553191489375</v>
      </c>
      <c r="BM97" s="100">
        <v>3690.2297872340428</v>
      </c>
      <c r="BN97" s="100">
        <v>6.9816218689932423</v>
      </c>
      <c r="BO97" s="100">
        <v>2739.588421392948</v>
      </c>
      <c r="BP97" s="100">
        <v>10</v>
      </c>
      <c r="BQ97" s="100">
        <v>3924</v>
      </c>
      <c r="BR97" s="100">
        <v>7</v>
      </c>
      <c r="BS97" s="100">
        <v>2746.7999999999997</v>
      </c>
      <c r="BT97" s="100">
        <v>12.29495220434562</v>
      </c>
      <c r="BU97" s="100">
        <v>4824.5392449852206</v>
      </c>
      <c r="BV97" s="100">
        <v>3.8976810215556563</v>
      </c>
      <c r="BW97" s="100">
        <v>1529.4500328584395</v>
      </c>
      <c r="BX97" s="100">
        <v>4.0385108677243959</v>
      </c>
      <c r="BY97" s="100">
        <v>1584.7116644950529</v>
      </c>
      <c r="BZ97" s="100">
        <v>8.3396226415094361</v>
      </c>
      <c r="CA97" s="100">
        <v>3272.4679245283023</v>
      </c>
      <c r="CB97" s="100">
        <v>4.8486852343865836</v>
      </c>
      <c r="CC97" s="100">
        <v>1902.6240859732952</v>
      </c>
      <c r="CD97" s="100">
        <v>9.7410719940492676</v>
      </c>
      <c r="CE97" s="100">
        <v>3822.3966504649325</v>
      </c>
      <c r="CF97" s="100">
        <v>12</v>
      </c>
      <c r="CG97" s="100">
        <v>4708.7999999999993</v>
      </c>
      <c r="CH97" s="100">
        <v>8</v>
      </c>
      <c r="CI97" s="100">
        <v>3139.2</v>
      </c>
      <c r="CJ97" s="100">
        <v>7.7161872049627638</v>
      </c>
      <c r="CK97" s="100">
        <v>3027.8318592273881</v>
      </c>
      <c r="CL97" s="100">
        <v>8.1927710843373518</v>
      </c>
      <c r="CM97" s="100">
        <v>3214.8433734939767</v>
      </c>
      <c r="CN97" s="100">
        <v>5.6669008676893204</v>
      </c>
      <c r="CO97" s="100">
        <v>2223.6919004812894</v>
      </c>
      <c r="CP97" s="100">
        <v>11.443395255145257</v>
      </c>
      <c r="CQ97" s="100">
        <v>4490.3882981189981</v>
      </c>
      <c r="CR97" s="100">
        <v>7</v>
      </c>
      <c r="CS97" s="100">
        <v>2746.7999999999997</v>
      </c>
      <c r="CT97" s="100">
        <v>10.093406593406597</v>
      </c>
      <c r="CU97" s="100">
        <v>3960.6527472527482</v>
      </c>
    </row>
    <row r="98" spans="2:99">
      <c r="C98" s="99" t="s">
        <v>264</v>
      </c>
      <c r="D98" s="100">
        <v>11.333333333333321</v>
      </c>
      <c r="E98" s="100">
        <v>5956.7999999999938</v>
      </c>
      <c r="F98" s="100">
        <v>0.59304776522330105</v>
      </c>
      <c r="G98" s="100">
        <v>311.70590540136703</v>
      </c>
      <c r="H98" s="100">
        <v>12</v>
      </c>
      <c r="I98" s="100">
        <v>6307.2000000000007</v>
      </c>
      <c r="J98" s="100">
        <v>7</v>
      </c>
      <c r="K98" s="100">
        <v>3679.2000000000003</v>
      </c>
      <c r="L98" s="100">
        <v>7</v>
      </c>
      <c r="M98" s="100">
        <v>3679.2000000000003</v>
      </c>
      <c r="N98" s="100">
        <v>8</v>
      </c>
      <c r="O98" s="100">
        <v>4204.8</v>
      </c>
      <c r="P98" s="100">
        <v>7</v>
      </c>
      <c r="Q98" s="100">
        <v>3679.2000000000003</v>
      </c>
      <c r="R98" s="100">
        <v>5.6171109706044824</v>
      </c>
      <c r="S98" s="100">
        <v>2952.3535261497159</v>
      </c>
      <c r="T98" s="100">
        <v>8.3482142857142865</v>
      </c>
      <c r="U98" s="100">
        <v>4387.8214285714294</v>
      </c>
      <c r="V98" s="100">
        <v>8.2524271844660202</v>
      </c>
      <c r="W98" s="100">
        <v>4337.4757281553402</v>
      </c>
      <c r="X98" s="100">
        <v>9</v>
      </c>
      <c r="Y98" s="100">
        <v>4730.4000000000005</v>
      </c>
      <c r="Z98" s="100">
        <v>13</v>
      </c>
      <c r="AA98" s="100">
        <v>6832.8</v>
      </c>
      <c r="AB98" s="100">
        <v>8</v>
      </c>
      <c r="AC98" s="100">
        <v>4204.8</v>
      </c>
      <c r="AD98" s="100">
        <v>4.4430379746835484</v>
      </c>
      <c r="AE98" s="100">
        <v>2335.260759493673</v>
      </c>
      <c r="AF98" s="100">
        <v>12</v>
      </c>
      <c r="AG98" s="100">
        <v>6307.2000000000007</v>
      </c>
      <c r="AH98" s="100">
        <v>9</v>
      </c>
      <c r="AI98" s="100">
        <v>4730.4000000000005</v>
      </c>
      <c r="AJ98" s="100">
        <v>9.769999572566844</v>
      </c>
      <c r="AK98" s="100">
        <v>5135.1117753411336</v>
      </c>
      <c r="AL98" s="100">
        <v>3.0260150264360437</v>
      </c>
      <c r="AM98" s="100">
        <v>1590.4734978947847</v>
      </c>
      <c r="AN98" s="100">
        <v>10</v>
      </c>
      <c r="AO98" s="100">
        <v>5256</v>
      </c>
      <c r="AP98" s="100">
        <v>9.68085106382979</v>
      </c>
      <c r="AQ98" s="100">
        <v>5088.2553191489378</v>
      </c>
      <c r="AR98" s="100">
        <v>8</v>
      </c>
      <c r="AS98" s="100">
        <v>4204.8</v>
      </c>
      <c r="AT98" s="100">
        <v>9.2264150943396253</v>
      </c>
      <c r="AU98" s="100">
        <v>4849.403773584907</v>
      </c>
      <c r="AV98" s="100">
        <v>14</v>
      </c>
      <c r="AW98" s="100">
        <v>7358.4000000000005</v>
      </c>
      <c r="AX98" s="100">
        <v>9.2734165734407306</v>
      </c>
      <c r="AY98" s="100">
        <v>4874.1077510004479</v>
      </c>
      <c r="AZ98" s="100">
        <v>7.6261682242990672</v>
      </c>
      <c r="BA98" s="100">
        <v>4008.3140186915898</v>
      </c>
      <c r="BB98" s="100">
        <v>3.4116033517873134</v>
      </c>
      <c r="BC98" s="100">
        <v>1793.1387216994119</v>
      </c>
      <c r="BD98" s="100">
        <v>5.5450320318250341</v>
      </c>
      <c r="BE98" s="100">
        <v>2914.4688359272382</v>
      </c>
      <c r="BF98" s="100">
        <v>4.7126486802160921</v>
      </c>
      <c r="BG98" s="100">
        <v>2476.9681463215779</v>
      </c>
      <c r="BH98" s="100">
        <v>10</v>
      </c>
      <c r="BI98" s="100">
        <v>5256</v>
      </c>
      <c r="BJ98" s="100">
        <v>8.9318692324223274</v>
      </c>
      <c r="BK98" s="100">
        <v>4694.5904685611758</v>
      </c>
      <c r="BL98" s="100">
        <v>10.127659574468087</v>
      </c>
      <c r="BM98" s="100">
        <v>5323.0978723404269</v>
      </c>
      <c r="BN98" s="100">
        <v>6.4829345926365818</v>
      </c>
      <c r="BO98" s="100">
        <v>3407.4304218897873</v>
      </c>
      <c r="BP98" s="100">
        <v>10</v>
      </c>
      <c r="BQ98" s="100">
        <v>5256</v>
      </c>
      <c r="BR98" s="100">
        <v>8</v>
      </c>
      <c r="BS98" s="100">
        <v>4204.8</v>
      </c>
      <c r="BT98" s="100">
        <v>10.538530460867674</v>
      </c>
      <c r="BU98" s="100">
        <v>5539.0516102320498</v>
      </c>
      <c r="BV98" s="100">
        <v>3.8976810215556563</v>
      </c>
      <c r="BW98" s="100">
        <v>2048.6211449296529</v>
      </c>
      <c r="BX98" s="100">
        <v>4.4056482193357054</v>
      </c>
      <c r="BY98" s="100">
        <v>2315.608704082847</v>
      </c>
      <c r="BZ98" s="100">
        <v>8.9811320754717006</v>
      </c>
      <c r="CA98" s="100">
        <v>4720.4830188679261</v>
      </c>
      <c r="CB98" s="100">
        <v>4.8486852343865836</v>
      </c>
      <c r="CC98" s="100">
        <v>2548.4689591935885</v>
      </c>
      <c r="CD98" s="100">
        <v>9.7410719940492676</v>
      </c>
      <c r="CE98" s="100">
        <v>5119.9074400722957</v>
      </c>
      <c r="CF98" s="100">
        <v>12</v>
      </c>
      <c r="CG98" s="100">
        <v>6307.2000000000007</v>
      </c>
      <c r="CH98" s="100">
        <v>8</v>
      </c>
      <c r="CI98" s="100">
        <v>4204.8</v>
      </c>
      <c r="CJ98" s="100">
        <v>8.5735413388475159</v>
      </c>
      <c r="CK98" s="100">
        <v>4506.2533276982549</v>
      </c>
      <c r="CL98" s="100">
        <v>8.1927710843373518</v>
      </c>
      <c r="CM98" s="100">
        <v>4306.1204819277127</v>
      </c>
      <c r="CN98" s="100">
        <v>6.2335909544582515</v>
      </c>
      <c r="CO98" s="100">
        <v>3276.375405663257</v>
      </c>
      <c r="CP98" s="100">
        <v>11.443395255145257</v>
      </c>
      <c r="CQ98" s="100">
        <v>6014.6485461043476</v>
      </c>
      <c r="CR98" s="100">
        <v>7</v>
      </c>
      <c r="CS98" s="100">
        <v>3679.2000000000003</v>
      </c>
      <c r="CT98" s="100">
        <v>10.093406593406597</v>
      </c>
      <c r="CU98" s="100">
        <v>5305.0945054945078</v>
      </c>
    </row>
    <row r="99" spans="2:99">
      <c r="C99" s="99" t="s">
        <v>265</v>
      </c>
      <c r="D99" s="100">
        <v>10.388888888888879</v>
      </c>
      <c r="E99" s="100">
        <v>43720.599999999955</v>
      </c>
      <c r="F99" s="100">
        <v>0.52715356908737865</v>
      </c>
      <c r="G99" s="100">
        <v>2218.4730801473243</v>
      </c>
      <c r="H99" s="100">
        <v>8</v>
      </c>
      <c r="I99" s="100">
        <v>33667.199999999997</v>
      </c>
      <c r="J99" s="100">
        <v>6</v>
      </c>
      <c r="K99" s="100">
        <v>25250.399999999998</v>
      </c>
      <c r="L99" s="100">
        <v>6</v>
      </c>
      <c r="M99" s="100">
        <v>25250.399999999998</v>
      </c>
      <c r="N99" s="100">
        <v>6</v>
      </c>
      <c r="O99" s="100">
        <v>25250.399999999998</v>
      </c>
      <c r="P99" s="100">
        <v>6</v>
      </c>
      <c r="Q99" s="100">
        <v>25250.399999999998</v>
      </c>
      <c r="R99" s="100">
        <v>4.9929875294262063</v>
      </c>
      <c r="S99" s="100">
        <v>21012.488718837245</v>
      </c>
      <c r="T99" s="100">
        <v>6.8303571428571441</v>
      </c>
      <c r="U99" s="100">
        <v>28744.875000000004</v>
      </c>
      <c r="V99" s="100">
        <v>6.6019417475728162</v>
      </c>
      <c r="W99" s="100">
        <v>27783.611650485436</v>
      </c>
      <c r="X99" s="100">
        <v>8</v>
      </c>
      <c r="Y99" s="100">
        <v>33667.199999999997</v>
      </c>
      <c r="Z99" s="100">
        <v>11</v>
      </c>
      <c r="AA99" s="100">
        <v>46292.399999999994</v>
      </c>
      <c r="AB99" s="100">
        <v>7</v>
      </c>
      <c r="AC99" s="100">
        <v>29458.799999999996</v>
      </c>
      <c r="AD99" s="100">
        <v>4.4430379746835484</v>
      </c>
      <c r="AE99" s="100">
        <v>18698.081012658244</v>
      </c>
      <c r="AF99" s="100">
        <v>10</v>
      </c>
      <c r="AG99" s="100">
        <v>42084</v>
      </c>
      <c r="AH99" s="100">
        <v>9</v>
      </c>
      <c r="AI99" s="100">
        <v>37875.599999999999</v>
      </c>
      <c r="AJ99" s="100">
        <v>7.8159996580534754</v>
      </c>
      <c r="AK99" s="100">
        <v>32892.852960952245</v>
      </c>
      <c r="AL99" s="100">
        <v>2.475830476174945</v>
      </c>
      <c r="AM99" s="100">
        <v>10419.284975934637</v>
      </c>
      <c r="AN99" s="100">
        <v>7</v>
      </c>
      <c r="AO99" s="100">
        <v>29458.799999999996</v>
      </c>
      <c r="AP99" s="100">
        <v>7.4468085106383004</v>
      </c>
      <c r="AQ99" s="100">
        <v>31339.148936170222</v>
      </c>
      <c r="AR99" s="100">
        <v>5</v>
      </c>
      <c r="AS99" s="100">
        <v>21042</v>
      </c>
      <c r="AT99" s="100">
        <v>8.457547169811324</v>
      </c>
      <c r="AU99" s="100">
        <v>35592.741509433974</v>
      </c>
      <c r="AV99" s="100">
        <v>10</v>
      </c>
      <c r="AW99" s="100">
        <v>42084</v>
      </c>
      <c r="AX99" s="100">
        <v>6.955062430080547</v>
      </c>
      <c r="AY99" s="100">
        <v>29269.684730750971</v>
      </c>
      <c r="AZ99" s="100">
        <v>6.3551401869158886</v>
      </c>
      <c r="BA99" s="100">
        <v>26744.971962616823</v>
      </c>
      <c r="BB99" s="100">
        <v>3.1014575925339214</v>
      </c>
      <c r="BC99" s="100">
        <v>13052.174132419754</v>
      </c>
      <c r="BD99" s="100">
        <v>4.7528845987071717</v>
      </c>
      <c r="BE99" s="100">
        <v>20002.039545199259</v>
      </c>
      <c r="BF99" s="100">
        <v>3.9272072335134105</v>
      </c>
      <c r="BG99" s="100">
        <v>16527.258921517834</v>
      </c>
      <c r="BH99" s="100">
        <v>8</v>
      </c>
      <c r="BI99" s="100">
        <v>33667.199999999997</v>
      </c>
      <c r="BJ99" s="100">
        <v>7.939439317708735</v>
      </c>
      <c r="BK99" s="100">
        <v>33412.336424645437</v>
      </c>
      <c r="BL99" s="100">
        <v>7.2340425531914905</v>
      </c>
      <c r="BM99" s="100">
        <v>30443.744680851065</v>
      </c>
      <c r="BN99" s="100">
        <v>5.4855600399232616</v>
      </c>
      <c r="BO99" s="100">
        <v>23085.43087201305</v>
      </c>
      <c r="BP99" s="100">
        <v>7</v>
      </c>
      <c r="BQ99" s="100">
        <v>29458.799999999996</v>
      </c>
      <c r="BR99" s="100">
        <v>6</v>
      </c>
      <c r="BS99" s="100">
        <v>25250.399999999998</v>
      </c>
      <c r="BT99" s="100">
        <v>9.6603195891287026</v>
      </c>
      <c r="BU99" s="100">
        <v>40654.488958889226</v>
      </c>
      <c r="BV99" s="100">
        <v>2.9982161704274275</v>
      </c>
      <c r="BW99" s="100">
        <v>12617.692931626785</v>
      </c>
      <c r="BX99" s="100">
        <v>3.6713735161130874</v>
      </c>
      <c r="BY99" s="100">
        <v>15450.608305210315</v>
      </c>
      <c r="BZ99" s="100">
        <v>7.0566037735849072</v>
      </c>
      <c r="CA99" s="100">
        <v>29697.011320754722</v>
      </c>
      <c r="CB99" s="100">
        <v>3.6365139257899384</v>
      </c>
      <c r="CC99" s="100">
        <v>15303.905205294375</v>
      </c>
      <c r="CD99" s="100">
        <v>7.4931323031148214</v>
      </c>
      <c r="CE99" s="100">
        <v>31534.097984428412</v>
      </c>
      <c r="CF99" s="100">
        <v>11</v>
      </c>
      <c r="CG99" s="100">
        <v>46292.399999999994</v>
      </c>
      <c r="CH99" s="100">
        <v>6</v>
      </c>
      <c r="CI99" s="100">
        <v>25250.399999999998</v>
      </c>
      <c r="CJ99" s="100">
        <v>6.8588330710780125</v>
      </c>
      <c r="CK99" s="100">
        <v>28864.713096324707</v>
      </c>
      <c r="CL99" s="100">
        <v>8.1927710843373518</v>
      </c>
      <c r="CM99" s="100">
        <v>34478.457831325308</v>
      </c>
      <c r="CN99" s="100">
        <v>5.1002107809203876</v>
      </c>
      <c r="CO99" s="100">
        <v>21463.727050425357</v>
      </c>
      <c r="CP99" s="100">
        <v>10.563134081672544</v>
      </c>
      <c r="CQ99" s="100">
        <v>44453.893469310729</v>
      </c>
      <c r="CR99" s="100">
        <v>6</v>
      </c>
      <c r="CS99" s="100">
        <v>25250.399999999998</v>
      </c>
      <c r="CT99" s="100">
        <v>7.3406593406593439</v>
      </c>
      <c r="CU99" s="100">
        <v>30892.430769230781</v>
      </c>
    </row>
    <row r="100" spans="2:99">
      <c r="C100" s="99" t="s">
        <v>266</v>
      </c>
      <c r="D100" s="100">
        <v>12.277777777777764</v>
      </c>
      <c r="E100" s="100">
        <v>3977.9999999999955</v>
      </c>
      <c r="F100" s="100">
        <v>0.59304776522330105</v>
      </c>
      <c r="G100" s="100">
        <v>192.14747593234955</v>
      </c>
      <c r="H100" s="100">
        <v>11</v>
      </c>
      <c r="I100" s="100">
        <v>3564</v>
      </c>
      <c r="J100" s="100">
        <v>8</v>
      </c>
      <c r="K100" s="100">
        <v>2592</v>
      </c>
      <c r="L100" s="100">
        <v>7</v>
      </c>
      <c r="M100" s="100">
        <v>2268</v>
      </c>
      <c r="N100" s="100">
        <v>9</v>
      </c>
      <c r="O100" s="100">
        <v>2916</v>
      </c>
      <c r="P100" s="100">
        <v>8</v>
      </c>
      <c r="Q100" s="100">
        <v>2592</v>
      </c>
      <c r="R100" s="100">
        <v>5.6171109706044824</v>
      </c>
      <c r="S100" s="100">
        <v>1819.9439544758523</v>
      </c>
      <c r="T100" s="100">
        <v>7.5892857142857153</v>
      </c>
      <c r="U100" s="100">
        <v>2458.9285714285716</v>
      </c>
      <c r="V100" s="100">
        <v>8.2524271844660202</v>
      </c>
      <c r="W100" s="100">
        <v>2673.7864077669906</v>
      </c>
      <c r="X100" s="100">
        <v>9</v>
      </c>
      <c r="Y100" s="100">
        <v>2916</v>
      </c>
      <c r="Z100" s="100">
        <v>13</v>
      </c>
      <c r="AA100" s="100">
        <v>4212</v>
      </c>
      <c r="AB100" s="100">
        <v>9</v>
      </c>
      <c r="AC100" s="100">
        <v>2916</v>
      </c>
      <c r="AD100" s="100">
        <v>5.1835443037974738</v>
      </c>
      <c r="AE100" s="100">
        <v>1679.4683544303814</v>
      </c>
      <c r="AF100" s="100">
        <v>14</v>
      </c>
      <c r="AG100" s="100">
        <v>4536</v>
      </c>
      <c r="AH100" s="100">
        <v>10</v>
      </c>
      <c r="AI100" s="100">
        <v>3240</v>
      </c>
      <c r="AJ100" s="100">
        <v>10.74699952982353</v>
      </c>
      <c r="AK100" s="100">
        <v>3482.0278476628237</v>
      </c>
      <c r="AL100" s="100">
        <v>2.7509227513054944</v>
      </c>
      <c r="AM100" s="100">
        <v>891.29897142298012</v>
      </c>
      <c r="AN100" s="100">
        <v>9</v>
      </c>
      <c r="AO100" s="100">
        <v>2916</v>
      </c>
      <c r="AP100" s="100">
        <v>8.9361702127659601</v>
      </c>
      <c r="AQ100" s="100">
        <v>2895.3191489361711</v>
      </c>
      <c r="AR100" s="100">
        <v>7</v>
      </c>
      <c r="AS100" s="100">
        <v>2268</v>
      </c>
      <c r="AT100" s="100">
        <v>9.9952830188679282</v>
      </c>
      <c r="AU100" s="100">
        <v>3238.4716981132087</v>
      </c>
      <c r="AV100" s="100">
        <v>13</v>
      </c>
      <c r="AW100" s="100">
        <v>4212</v>
      </c>
      <c r="AX100" s="100">
        <v>10.046201287894124</v>
      </c>
      <c r="AY100" s="100">
        <v>3254.9692172776963</v>
      </c>
      <c r="AZ100" s="100">
        <v>8.2616822429906556</v>
      </c>
      <c r="BA100" s="100">
        <v>2676.7850467289722</v>
      </c>
      <c r="BB100" s="100">
        <v>3.7217491110407055</v>
      </c>
      <c r="BC100" s="100">
        <v>1205.8467119771885</v>
      </c>
      <c r="BD100" s="100">
        <v>6.3371794649428965</v>
      </c>
      <c r="BE100" s="100">
        <v>2053.2461466414984</v>
      </c>
      <c r="BF100" s="100">
        <v>5.4980901269187745</v>
      </c>
      <c r="BG100" s="100">
        <v>1781.381201121683</v>
      </c>
      <c r="BH100" s="100">
        <v>10</v>
      </c>
      <c r="BI100" s="100">
        <v>3240</v>
      </c>
      <c r="BJ100" s="100">
        <v>9.924299147135919</v>
      </c>
      <c r="BK100" s="100">
        <v>3215.4729236720377</v>
      </c>
      <c r="BL100" s="100">
        <v>8.6808510638297882</v>
      </c>
      <c r="BM100" s="100">
        <v>2812.5957446808516</v>
      </c>
      <c r="BN100" s="100">
        <v>6.9816218689932423</v>
      </c>
      <c r="BO100" s="100">
        <v>2262.0454855538105</v>
      </c>
      <c r="BP100" s="100">
        <v>9</v>
      </c>
      <c r="BQ100" s="100">
        <v>2916</v>
      </c>
      <c r="BR100" s="100">
        <v>8</v>
      </c>
      <c r="BS100" s="100">
        <v>2592</v>
      </c>
      <c r="BT100" s="100">
        <v>11.416741332606648</v>
      </c>
      <c r="BU100" s="100">
        <v>3699.024191764554</v>
      </c>
      <c r="BV100" s="100">
        <v>3.8976810215556563</v>
      </c>
      <c r="BW100" s="100">
        <v>1262.8486509840327</v>
      </c>
      <c r="BX100" s="100">
        <v>4.4056482193357054</v>
      </c>
      <c r="BY100" s="100">
        <v>1427.4300230647686</v>
      </c>
      <c r="BZ100" s="100">
        <v>8.3396226415094361</v>
      </c>
      <c r="CA100" s="100">
        <v>2702.0377358490573</v>
      </c>
      <c r="CB100" s="100">
        <v>5.4547708886849069</v>
      </c>
      <c r="CC100" s="100">
        <v>1767.3457679339099</v>
      </c>
      <c r="CD100" s="100">
        <v>9.7410719940492676</v>
      </c>
      <c r="CE100" s="100">
        <v>3156.1073260719627</v>
      </c>
      <c r="CF100" s="100">
        <v>14</v>
      </c>
      <c r="CG100" s="100">
        <v>4536</v>
      </c>
      <c r="CH100" s="100">
        <v>7</v>
      </c>
      <c r="CI100" s="100">
        <v>2268</v>
      </c>
      <c r="CJ100" s="100">
        <v>7.7161872049627638</v>
      </c>
      <c r="CK100" s="100">
        <v>2500.0446544079355</v>
      </c>
      <c r="CL100" s="100">
        <v>8.8755020080321287</v>
      </c>
      <c r="CM100" s="100">
        <v>2875.6626506024095</v>
      </c>
      <c r="CN100" s="100">
        <v>5.6669008676893204</v>
      </c>
      <c r="CO100" s="100">
        <v>1836.0758811313399</v>
      </c>
      <c r="CP100" s="100">
        <v>11.443395255145257</v>
      </c>
      <c r="CQ100" s="100">
        <v>3707.6600626670634</v>
      </c>
      <c r="CR100" s="100">
        <v>7</v>
      </c>
      <c r="CS100" s="100">
        <v>2268</v>
      </c>
      <c r="CT100" s="100">
        <v>9.1758241758241788</v>
      </c>
      <c r="CU100" s="100">
        <v>2972.9670329670339</v>
      </c>
    </row>
    <row r="101" spans="2:99">
      <c r="C101" s="99" t="s">
        <v>267</v>
      </c>
      <c r="D101" s="100">
        <v>11.333333333333321</v>
      </c>
      <c r="E101" s="100">
        <v>8200.799999999992</v>
      </c>
      <c r="F101" s="100">
        <v>0.52715356908737865</v>
      </c>
      <c r="G101" s="100">
        <v>381.44832259162717</v>
      </c>
      <c r="H101" s="100">
        <v>10</v>
      </c>
      <c r="I101" s="100">
        <v>7236</v>
      </c>
      <c r="J101" s="100">
        <v>8</v>
      </c>
      <c r="K101" s="100">
        <v>5788.8</v>
      </c>
      <c r="L101" s="100">
        <v>7</v>
      </c>
      <c r="M101" s="100">
        <v>5065.2</v>
      </c>
      <c r="N101" s="100">
        <v>8</v>
      </c>
      <c r="O101" s="100">
        <v>5788.8</v>
      </c>
      <c r="P101" s="100">
        <v>7</v>
      </c>
      <c r="Q101" s="100">
        <v>5065.2</v>
      </c>
      <c r="R101" s="100">
        <v>5.6171109706044824</v>
      </c>
      <c r="S101" s="100">
        <v>4064.5414983294036</v>
      </c>
      <c r="T101" s="100">
        <v>9.1071428571428577</v>
      </c>
      <c r="U101" s="100">
        <v>6589.9285714285716</v>
      </c>
      <c r="V101" s="100">
        <v>7.4271844660194191</v>
      </c>
      <c r="W101" s="100">
        <v>5374.3106796116517</v>
      </c>
      <c r="X101" s="100">
        <v>9</v>
      </c>
      <c r="Y101" s="100">
        <v>6512.4000000000005</v>
      </c>
      <c r="Z101" s="100">
        <v>12</v>
      </c>
      <c r="AA101" s="100">
        <v>8683.2000000000007</v>
      </c>
      <c r="AB101" s="100">
        <v>8</v>
      </c>
      <c r="AC101" s="100">
        <v>5788.8</v>
      </c>
      <c r="AD101" s="100">
        <v>5.1835443037974738</v>
      </c>
      <c r="AE101" s="100">
        <v>3750.8126582278524</v>
      </c>
      <c r="AF101" s="100">
        <v>12</v>
      </c>
      <c r="AG101" s="100">
        <v>8683.2000000000007</v>
      </c>
      <c r="AH101" s="100">
        <v>11</v>
      </c>
      <c r="AI101" s="100">
        <v>7959.6</v>
      </c>
      <c r="AJ101" s="100">
        <v>9.769999572566844</v>
      </c>
      <c r="AK101" s="100">
        <v>7069.5716907093683</v>
      </c>
      <c r="AL101" s="100">
        <v>2.7509227513054944</v>
      </c>
      <c r="AM101" s="100">
        <v>1990.5677028446557</v>
      </c>
      <c r="AN101" s="100">
        <v>9</v>
      </c>
      <c r="AO101" s="100">
        <v>6512.4000000000005</v>
      </c>
      <c r="AP101" s="100">
        <v>8.9361702127659601</v>
      </c>
      <c r="AQ101" s="100">
        <v>6466.2127659574489</v>
      </c>
      <c r="AR101" s="100">
        <v>7</v>
      </c>
      <c r="AS101" s="100">
        <v>5065.2</v>
      </c>
      <c r="AT101" s="100">
        <v>8.457547169811324</v>
      </c>
      <c r="AU101" s="100">
        <v>6119.8811320754739</v>
      </c>
      <c r="AV101" s="100">
        <v>14</v>
      </c>
      <c r="AW101" s="100">
        <v>10130.4</v>
      </c>
      <c r="AX101" s="100">
        <v>8.5006318589873349</v>
      </c>
      <c r="AY101" s="100">
        <v>6151.0572131632362</v>
      </c>
      <c r="AZ101" s="100">
        <v>7.6261682242990672</v>
      </c>
      <c r="BA101" s="100">
        <v>5518.2953271028055</v>
      </c>
      <c r="BB101" s="100">
        <v>3.4116033517873134</v>
      </c>
      <c r="BC101" s="100">
        <v>2468.6361853532999</v>
      </c>
      <c r="BD101" s="100">
        <v>6.3371794649428965</v>
      </c>
      <c r="BE101" s="100">
        <v>4585.5830608326796</v>
      </c>
      <c r="BF101" s="100">
        <v>5.1053694035674333</v>
      </c>
      <c r="BG101" s="100">
        <v>3694.2453004213949</v>
      </c>
      <c r="BH101" s="100">
        <v>8</v>
      </c>
      <c r="BI101" s="100">
        <v>5788.8</v>
      </c>
      <c r="BJ101" s="100">
        <v>9.924299147135919</v>
      </c>
      <c r="BK101" s="100">
        <v>7181.2228628675512</v>
      </c>
      <c r="BL101" s="100">
        <v>10.127659574468087</v>
      </c>
      <c r="BM101" s="100">
        <v>7328.3744680851078</v>
      </c>
      <c r="BN101" s="100">
        <v>6.4829345926365818</v>
      </c>
      <c r="BO101" s="100">
        <v>4691.0514712318309</v>
      </c>
      <c r="BP101" s="100">
        <v>9</v>
      </c>
      <c r="BQ101" s="100">
        <v>6512.4000000000005</v>
      </c>
      <c r="BR101" s="100">
        <v>8</v>
      </c>
      <c r="BS101" s="100">
        <v>5788.8</v>
      </c>
      <c r="BT101" s="100">
        <v>9.6603195891287026</v>
      </c>
      <c r="BU101" s="100">
        <v>6990.2072546935296</v>
      </c>
      <c r="BV101" s="100">
        <v>3.5978594045129135</v>
      </c>
      <c r="BW101" s="100">
        <v>2603.4110651055444</v>
      </c>
      <c r="BX101" s="100">
        <v>4.4056482193357054</v>
      </c>
      <c r="BY101" s="100">
        <v>3187.9270515113167</v>
      </c>
      <c r="BZ101" s="100">
        <v>8.9811320754717006</v>
      </c>
      <c r="CA101" s="100">
        <v>6498.7471698113231</v>
      </c>
      <c r="CB101" s="100">
        <v>4.8486852343865836</v>
      </c>
      <c r="CC101" s="100">
        <v>3508.508635602132</v>
      </c>
      <c r="CD101" s="100">
        <v>8.9917587637377849</v>
      </c>
      <c r="CE101" s="100">
        <v>6506.4366414406613</v>
      </c>
      <c r="CF101" s="100">
        <v>14</v>
      </c>
      <c r="CG101" s="100">
        <v>10130.4</v>
      </c>
      <c r="CH101" s="100">
        <v>7</v>
      </c>
      <c r="CI101" s="100">
        <v>5065.2</v>
      </c>
      <c r="CJ101" s="100">
        <v>6.8588330710780125</v>
      </c>
      <c r="CK101" s="100">
        <v>4963.0516102320498</v>
      </c>
      <c r="CL101" s="100">
        <v>9.5582329317269092</v>
      </c>
      <c r="CM101" s="100">
        <v>6916.3373493975914</v>
      </c>
      <c r="CN101" s="100">
        <v>6.8002810412271835</v>
      </c>
      <c r="CO101" s="100">
        <v>4920.6833614319903</v>
      </c>
      <c r="CP101" s="100">
        <v>11.443395255145257</v>
      </c>
      <c r="CQ101" s="100">
        <v>8280.4408066231081</v>
      </c>
      <c r="CR101" s="100">
        <v>8</v>
      </c>
      <c r="CS101" s="100">
        <v>5788.8</v>
      </c>
      <c r="CT101" s="100">
        <v>9.1758241758241788</v>
      </c>
      <c r="CU101" s="100">
        <v>6639.6263736263763</v>
      </c>
    </row>
    <row r="102" spans="2:99">
      <c r="C102" s="99" t="s">
        <v>268</v>
      </c>
      <c r="D102" s="100">
        <v>10.388888888888879</v>
      </c>
      <c r="E102" s="100">
        <v>5522.7333333333281</v>
      </c>
      <c r="F102" s="100">
        <v>0.52715356908737865</v>
      </c>
      <c r="G102" s="100">
        <v>280.23483732685048</v>
      </c>
      <c r="H102" s="100">
        <v>10</v>
      </c>
      <c r="I102" s="100">
        <v>5316</v>
      </c>
      <c r="J102" s="100">
        <v>8</v>
      </c>
      <c r="K102" s="100">
        <v>4252.8</v>
      </c>
      <c r="L102" s="100">
        <v>7</v>
      </c>
      <c r="M102" s="100">
        <v>3721.2000000000003</v>
      </c>
      <c r="N102" s="100">
        <v>8</v>
      </c>
      <c r="O102" s="100">
        <v>4252.8</v>
      </c>
      <c r="P102" s="100">
        <v>8</v>
      </c>
      <c r="Q102" s="100">
        <v>4252.8</v>
      </c>
      <c r="R102" s="100">
        <v>5.6171109706044824</v>
      </c>
      <c r="S102" s="100">
        <v>2986.0561919733432</v>
      </c>
      <c r="T102" s="100">
        <v>9.1071428571428577</v>
      </c>
      <c r="U102" s="100">
        <v>4841.3571428571431</v>
      </c>
      <c r="V102" s="100">
        <v>8.2524271844660202</v>
      </c>
      <c r="W102" s="100">
        <v>4386.9902912621365</v>
      </c>
      <c r="X102" s="100">
        <v>9</v>
      </c>
      <c r="Y102" s="100">
        <v>4784.4000000000005</v>
      </c>
      <c r="Z102" s="100">
        <v>11</v>
      </c>
      <c r="AA102" s="100">
        <v>5847.6</v>
      </c>
      <c r="AB102" s="100">
        <v>8</v>
      </c>
      <c r="AC102" s="100">
        <v>4252.8</v>
      </c>
      <c r="AD102" s="100">
        <v>5.1835443037974738</v>
      </c>
      <c r="AE102" s="100">
        <v>2755.572151898737</v>
      </c>
      <c r="AF102" s="100">
        <v>12</v>
      </c>
      <c r="AG102" s="100">
        <v>6379.2000000000007</v>
      </c>
      <c r="AH102" s="100">
        <v>11</v>
      </c>
      <c r="AI102" s="100">
        <v>5847.6</v>
      </c>
      <c r="AJ102" s="100">
        <v>10.74699952982353</v>
      </c>
      <c r="AK102" s="100">
        <v>5713.1049500541885</v>
      </c>
      <c r="AL102" s="100">
        <v>2.475830476174945</v>
      </c>
      <c r="AM102" s="100">
        <v>1316.1514811346008</v>
      </c>
      <c r="AN102" s="100">
        <v>8</v>
      </c>
      <c r="AO102" s="100">
        <v>4252.8</v>
      </c>
      <c r="AP102" s="100">
        <v>8.9361702127659601</v>
      </c>
      <c r="AQ102" s="100">
        <v>4750.4680851063849</v>
      </c>
      <c r="AR102" s="100">
        <v>7</v>
      </c>
      <c r="AS102" s="100">
        <v>3721.2000000000003</v>
      </c>
      <c r="AT102" s="100">
        <v>9.9952830188679282</v>
      </c>
      <c r="AU102" s="100">
        <v>5313.4924528301908</v>
      </c>
      <c r="AV102" s="100">
        <v>14</v>
      </c>
      <c r="AW102" s="100">
        <v>7442.4000000000005</v>
      </c>
      <c r="AX102" s="100">
        <v>8.5006318589873349</v>
      </c>
      <c r="AY102" s="100">
        <v>4518.9358962376673</v>
      </c>
      <c r="AZ102" s="100">
        <v>8.8971962616822431</v>
      </c>
      <c r="BA102" s="100">
        <v>4729.7495327102806</v>
      </c>
      <c r="BB102" s="100">
        <v>3.7217491110407055</v>
      </c>
      <c r="BC102" s="100">
        <v>1978.481827429239</v>
      </c>
      <c r="BD102" s="100">
        <v>6.3371794649428965</v>
      </c>
      <c r="BE102" s="100">
        <v>3368.8446035636439</v>
      </c>
      <c r="BF102" s="100">
        <v>5.1053694035674333</v>
      </c>
      <c r="BG102" s="100">
        <v>2714.0143749364474</v>
      </c>
      <c r="BH102" s="100">
        <v>9</v>
      </c>
      <c r="BI102" s="100">
        <v>4784.4000000000005</v>
      </c>
      <c r="BJ102" s="100">
        <v>8.9318692324223274</v>
      </c>
      <c r="BK102" s="100">
        <v>4748.1816839557096</v>
      </c>
      <c r="BL102" s="100">
        <v>8.6808510638297882</v>
      </c>
      <c r="BM102" s="100">
        <v>4614.7404255319152</v>
      </c>
      <c r="BN102" s="100">
        <v>6.4829345926365818</v>
      </c>
      <c r="BO102" s="100">
        <v>3446.3280294456072</v>
      </c>
      <c r="BP102" s="100">
        <v>10</v>
      </c>
      <c r="BQ102" s="100">
        <v>5316</v>
      </c>
      <c r="BR102" s="100">
        <v>7</v>
      </c>
      <c r="BS102" s="100">
        <v>3721.2000000000003</v>
      </c>
      <c r="BT102" s="100">
        <v>11.416741332606648</v>
      </c>
      <c r="BU102" s="100">
        <v>6069.1396924136943</v>
      </c>
      <c r="BV102" s="100">
        <v>3.2980377874701703</v>
      </c>
      <c r="BW102" s="100">
        <v>1753.2368878191426</v>
      </c>
      <c r="BX102" s="100">
        <v>4.0385108677243959</v>
      </c>
      <c r="BY102" s="100">
        <v>2146.8723772822891</v>
      </c>
      <c r="BZ102" s="100">
        <v>7.6981132075471717</v>
      </c>
      <c r="CA102" s="100">
        <v>4092.3169811320768</v>
      </c>
      <c r="CB102" s="100">
        <v>4.8486852343865836</v>
      </c>
      <c r="CC102" s="100">
        <v>2577.5610705999079</v>
      </c>
      <c r="CD102" s="100">
        <v>8.242445533426304</v>
      </c>
      <c r="CE102" s="100">
        <v>4381.6840455694237</v>
      </c>
      <c r="CF102" s="100">
        <v>13</v>
      </c>
      <c r="CG102" s="100">
        <v>6910.8</v>
      </c>
      <c r="CH102" s="100">
        <v>7</v>
      </c>
      <c r="CI102" s="100">
        <v>3721.2000000000003</v>
      </c>
      <c r="CJ102" s="100">
        <v>7.7161872049627638</v>
      </c>
      <c r="CK102" s="100">
        <v>4101.9251181582058</v>
      </c>
      <c r="CL102" s="100">
        <v>9.5582329317269092</v>
      </c>
      <c r="CM102" s="100">
        <v>5081.1566265060255</v>
      </c>
      <c r="CN102" s="100">
        <v>6.2335909544582515</v>
      </c>
      <c r="CO102" s="100">
        <v>3313.7769513900066</v>
      </c>
      <c r="CP102" s="100">
        <v>12.323656428617968</v>
      </c>
      <c r="CQ102" s="100">
        <v>6551.2557574533121</v>
      </c>
      <c r="CR102" s="100">
        <v>7</v>
      </c>
      <c r="CS102" s="100">
        <v>3721.2000000000003</v>
      </c>
      <c r="CT102" s="100">
        <v>10.093406593406597</v>
      </c>
      <c r="CU102" s="100">
        <v>5365.6549450549473</v>
      </c>
    </row>
    <row r="103" spans="2:99">
      <c r="C103" s="99" t="s">
        <v>269</v>
      </c>
      <c r="D103" s="100">
        <v>10.388888888888879</v>
      </c>
      <c r="E103" s="100">
        <v>6121.1333333333268</v>
      </c>
      <c r="F103" s="100">
        <v>0.52715356908737865</v>
      </c>
      <c r="G103" s="100">
        <v>310.59888290628345</v>
      </c>
      <c r="H103" s="100">
        <v>12</v>
      </c>
      <c r="I103" s="100">
        <v>7070.4</v>
      </c>
      <c r="J103" s="100">
        <v>8</v>
      </c>
      <c r="K103" s="100">
        <v>4713.5999999999995</v>
      </c>
      <c r="L103" s="100">
        <v>8</v>
      </c>
      <c r="M103" s="100">
        <v>4713.5999999999995</v>
      </c>
      <c r="N103" s="100">
        <v>7</v>
      </c>
      <c r="O103" s="100">
        <v>4124.3999999999996</v>
      </c>
      <c r="P103" s="100">
        <v>7</v>
      </c>
      <c r="Q103" s="100">
        <v>4124.3999999999996</v>
      </c>
      <c r="R103" s="100">
        <v>6.2412344117827576</v>
      </c>
      <c r="S103" s="100">
        <v>3677.3353154224005</v>
      </c>
      <c r="T103" s="100">
        <v>8.3482142857142865</v>
      </c>
      <c r="U103" s="100">
        <v>4918.7678571428569</v>
      </c>
      <c r="V103" s="100">
        <v>9.0776699029126231</v>
      </c>
      <c r="W103" s="100">
        <v>5348.5631067961167</v>
      </c>
      <c r="X103" s="100">
        <v>9</v>
      </c>
      <c r="Y103" s="100">
        <v>5302.7999999999993</v>
      </c>
      <c r="Z103" s="100">
        <v>13</v>
      </c>
      <c r="AA103" s="100">
        <v>7659.5999999999995</v>
      </c>
      <c r="AB103" s="100">
        <v>9</v>
      </c>
      <c r="AC103" s="100">
        <v>5302.7999999999993</v>
      </c>
      <c r="AD103" s="100">
        <v>5.1835443037974738</v>
      </c>
      <c r="AE103" s="100">
        <v>3054.1443037974714</v>
      </c>
      <c r="AF103" s="100">
        <v>13</v>
      </c>
      <c r="AG103" s="100">
        <v>7659.5999999999995</v>
      </c>
      <c r="AH103" s="100">
        <v>11</v>
      </c>
      <c r="AI103" s="100">
        <v>6481.1999999999989</v>
      </c>
      <c r="AJ103" s="100">
        <v>9.769999572566844</v>
      </c>
      <c r="AK103" s="100">
        <v>5756.4837481563836</v>
      </c>
      <c r="AL103" s="100">
        <v>3.0260150264360437</v>
      </c>
      <c r="AM103" s="100">
        <v>1782.9280535761168</v>
      </c>
      <c r="AN103" s="100">
        <v>9</v>
      </c>
      <c r="AO103" s="100">
        <v>5302.7999999999993</v>
      </c>
      <c r="AP103" s="100">
        <v>10.425531914893622</v>
      </c>
      <c r="AQ103" s="100">
        <v>6142.7234042553209</v>
      </c>
      <c r="AR103" s="100">
        <v>8</v>
      </c>
      <c r="AS103" s="100">
        <v>4713.5999999999995</v>
      </c>
      <c r="AT103" s="100">
        <v>9.2264150943396253</v>
      </c>
      <c r="AU103" s="100">
        <v>5436.2037735849062</v>
      </c>
      <c r="AV103" s="100">
        <v>14</v>
      </c>
      <c r="AW103" s="100">
        <v>8248.7999999999993</v>
      </c>
      <c r="AX103" s="100">
        <v>9.2734165734407306</v>
      </c>
      <c r="AY103" s="100">
        <v>5463.8970450712777</v>
      </c>
      <c r="AZ103" s="100">
        <v>7.6261682242990672</v>
      </c>
      <c r="BA103" s="100">
        <v>4493.3383177570095</v>
      </c>
      <c r="BB103" s="100">
        <v>3.7217491110407055</v>
      </c>
      <c r="BC103" s="100">
        <v>2192.8545762251833</v>
      </c>
      <c r="BD103" s="100">
        <v>5.5450320318250341</v>
      </c>
      <c r="BE103" s="100">
        <v>3267.1328731513099</v>
      </c>
      <c r="BF103" s="100">
        <v>5.1053694035674333</v>
      </c>
      <c r="BG103" s="100">
        <v>3008.0836525819313</v>
      </c>
      <c r="BH103" s="100">
        <v>9</v>
      </c>
      <c r="BI103" s="100">
        <v>5302.7999999999993</v>
      </c>
      <c r="BJ103" s="100">
        <v>8.9318692324223274</v>
      </c>
      <c r="BK103" s="100">
        <v>5262.6573517432344</v>
      </c>
      <c r="BL103" s="100">
        <v>9.4042553191489375</v>
      </c>
      <c r="BM103" s="100">
        <v>5540.9872340425536</v>
      </c>
      <c r="BN103" s="100">
        <v>5.9842473162799221</v>
      </c>
      <c r="BO103" s="100">
        <v>3525.9185187521298</v>
      </c>
      <c r="BP103" s="100">
        <v>9</v>
      </c>
      <c r="BQ103" s="100">
        <v>5302.7999999999993</v>
      </c>
      <c r="BR103" s="100">
        <v>8</v>
      </c>
      <c r="BS103" s="100">
        <v>4713.5999999999995</v>
      </c>
      <c r="BT103" s="100">
        <v>10.538530460867674</v>
      </c>
      <c r="BU103" s="100">
        <v>6209.3021475432333</v>
      </c>
      <c r="BV103" s="100">
        <v>3.5978594045129135</v>
      </c>
      <c r="BW103" s="100">
        <v>2119.8587611390085</v>
      </c>
      <c r="BX103" s="100">
        <v>4.0385108677243959</v>
      </c>
      <c r="BY103" s="100">
        <v>2379.4906032632139</v>
      </c>
      <c r="BZ103" s="100">
        <v>8.9811320754717006</v>
      </c>
      <c r="CA103" s="100">
        <v>5291.6830188679251</v>
      </c>
      <c r="CB103" s="100">
        <v>4.8486852343865836</v>
      </c>
      <c r="CC103" s="100">
        <v>2856.845340100575</v>
      </c>
      <c r="CD103" s="100">
        <v>8.9917587637377849</v>
      </c>
      <c r="CE103" s="100">
        <v>5297.9442635943024</v>
      </c>
      <c r="CF103" s="100">
        <v>14</v>
      </c>
      <c r="CG103" s="100">
        <v>8248.7999999999993</v>
      </c>
      <c r="CH103" s="100">
        <v>7</v>
      </c>
      <c r="CI103" s="100">
        <v>4124.3999999999996</v>
      </c>
      <c r="CJ103" s="100">
        <v>7.7161872049627638</v>
      </c>
      <c r="CK103" s="100">
        <v>4546.37750116406</v>
      </c>
      <c r="CL103" s="100">
        <v>8.8755020080321287</v>
      </c>
      <c r="CM103" s="100">
        <v>5229.4457831325299</v>
      </c>
      <c r="CN103" s="100">
        <v>6.2335909544582515</v>
      </c>
      <c r="CO103" s="100">
        <v>3672.8317903668012</v>
      </c>
      <c r="CP103" s="100">
        <v>11.443395255145257</v>
      </c>
      <c r="CQ103" s="100">
        <v>6742.448484331584</v>
      </c>
      <c r="CR103" s="100">
        <v>8</v>
      </c>
      <c r="CS103" s="100">
        <v>4713.5999999999995</v>
      </c>
      <c r="CT103" s="100">
        <v>9.1758241758241788</v>
      </c>
      <c r="CU103" s="100">
        <v>5406.3956043956059</v>
      </c>
    </row>
    <row r="104" spans="2:99">
      <c r="C104" s="99" t="s">
        <v>270</v>
      </c>
      <c r="D104" s="100">
        <v>11.333333333333321</v>
      </c>
      <c r="E104" s="100">
        <v>7167.1999999999925</v>
      </c>
      <c r="F104" s="100">
        <v>0.59304776522330105</v>
      </c>
      <c r="G104" s="100">
        <v>375.0434067272156</v>
      </c>
      <c r="H104" s="100">
        <v>11</v>
      </c>
      <c r="I104" s="100">
        <v>6956.4</v>
      </c>
      <c r="J104" s="100">
        <v>9</v>
      </c>
      <c r="K104" s="100">
        <v>5691.5999999999995</v>
      </c>
      <c r="L104" s="100">
        <v>7</v>
      </c>
      <c r="M104" s="100">
        <v>4426.8</v>
      </c>
      <c r="N104" s="100">
        <v>8</v>
      </c>
      <c r="O104" s="100">
        <v>5059.2</v>
      </c>
      <c r="P104" s="100">
        <v>7</v>
      </c>
      <c r="Q104" s="100">
        <v>4426.8</v>
      </c>
      <c r="R104" s="100">
        <v>6.2412344117827576</v>
      </c>
      <c r="S104" s="100">
        <v>3946.9566420114156</v>
      </c>
      <c r="T104" s="100">
        <v>7.5892857142857153</v>
      </c>
      <c r="U104" s="100">
        <v>4799.4642857142862</v>
      </c>
      <c r="V104" s="100">
        <v>8.2524271844660202</v>
      </c>
      <c r="W104" s="100">
        <v>5218.8349514563106</v>
      </c>
      <c r="X104" s="100">
        <v>10</v>
      </c>
      <c r="Y104" s="100">
        <v>6324</v>
      </c>
      <c r="Z104" s="100">
        <v>11</v>
      </c>
      <c r="AA104" s="100">
        <v>6956.4</v>
      </c>
      <c r="AB104" s="100">
        <v>9</v>
      </c>
      <c r="AC104" s="100">
        <v>5691.5999999999995</v>
      </c>
      <c r="AD104" s="100">
        <v>5.1835443037974738</v>
      </c>
      <c r="AE104" s="100">
        <v>3278.0734177215222</v>
      </c>
      <c r="AF104" s="100">
        <v>12</v>
      </c>
      <c r="AG104" s="100">
        <v>7588.7999999999993</v>
      </c>
      <c r="AH104" s="100">
        <v>10</v>
      </c>
      <c r="AI104" s="100">
        <v>6324</v>
      </c>
      <c r="AJ104" s="100">
        <v>10.74699952982353</v>
      </c>
      <c r="AK104" s="100">
        <v>6796.4025026603995</v>
      </c>
      <c r="AL104" s="100">
        <v>2.7509227513054944</v>
      </c>
      <c r="AM104" s="100">
        <v>1739.6835479255947</v>
      </c>
      <c r="AN104" s="100">
        <v>9</v>
      </c>
      <c r="AO104" s="100">
        <v>5691.5999999999995</v>
      </c>
      <c r="AP104" s="100">
        <v>10.425531914893622</v>
      </c>
      <c r="AQ104" s="100">
        <v>6593.1063829787263</v>
      </c>
      <c r="AR104" s="100">
        <v>8</v>
      </c>
      <c r="AS104" s="100">
        <v>5059.2</v>
      </c>
      <c r="AT104" s="100">
        <v>9.2264150943396253</v>
      </c>
      <c r="AU104" s="100">
        <v>5834.7849056603791</v>
      </c>
      <c r="AV104" s="100">
        <v>13</v>
      </c>
      <c r="AW104" s="100">
        <v>8221.1999999999989</v>
      </c>
      <c r="AX104" s="100">
        <v>9.2734165734407306</v>
      </c>
      <c r="AY104" s="100">
        <v>5864.508641043918</v>
      </c>
      <c r="AZ104" s="100">
        <v>7.6261682242990672</v>
      </c>
      <c r="BA104" s="100">
        <v>4822.7887850467296</v>
      </c>
      <c r="BB104" s="100">
        <v>3.1014575925339214</v>
      </c>
      <c r="BC104" s="100">
        <v>1961.3617815184518</v>
      </c>
      <c r="BD104" s="100">
        <v>5.5450320318250341</v>
      </c>
      <c r="BE104" s="100">
        <v>3506.6782569261513</v>
      </c>
      <c r="BF104" s="100">
        <v>4.7126486802160921</v>
      </c>
      <c r="BG104" s="100">
        <v>2980.2790253686567</v>
      </c>
      <c r="BH104" s="100">
        <v>9</v>
      </c>
      <c r="BI104" s="100">
        <v>5691.5999999999995</v>
      </c>
      <c r="BJ104" s="100">
        <v>8.9318692324223274</v>
      </c>
      <c r="BK104" s="100">
        <v>5648.5141025838793</v>
      </c>
      <c r="BL104" s="100">
        <v>8.6808510638297882</v>
      </c>
      <c r="BM104" s="100">
        <v>5489.7702127659577</v>
      </c>
      <c r="BN104" s="100">
        <v>6.9816218689932423</v>
      </c>
      <c r="BO104" s="100">
        <v>4415.1776699513266</v>
      </c>
      <c r="BP104" s="100">
        <v>9</v>
      </c>
      <c r="BQ104" s="100">
        <v>5691.5999999999995</v>
      </c>
      <c r="BR104" s="100">
        <v>8</v>
      </c>
      <c r="BS104" s="100">
        <v>5059.2</v>
      </c>
      <c r="BT104" s="100">
        <v>10.538530460867674</v>
      </c>
      <c r="BU104" s="100">
        <v>6664.566663452717</v>
      </c>
      <c r="BV104" s="100">
        <v>3.2980377874701703</v>
      </c>
      <c r="BW104" s="100">
        <v>2085.6790967961356</v>
      </c>
      <c r="BX104" s="100">
        <v>4.4056482193357054</v>
      </c>
      <c r="BY104" s="100">
        <v>2786.1319339079</v>
      </c>
      <c r="BZ104" s="100">
        <v>8.9811320754717006</v>
      </c>
      <c r="CA104" s="100">
        <v>5679.667924528303</v>
      </c>
      <c r="CB104" s="100">
        <v>4.8486852343865836</v>
      </c>
      <c r="CC104" s="100">
        <v>3066.3085422260756</v>
      </c>
      <c r="CD104" s="100">
        <v>8.9917587637377849</v>
      </c>
      <c r="CE104" s="100">
        <v>5686.3882421877752</v>
      </c>
      <c r="CF104" s="100">
        <v>13</v>
      </c>
      <c r="CG104" s="100">
        <v>8221.1999999999989</v>
      </c>
      <c r="CH104" s="100">
        <v>8</v>
      </c>
      <c r="CI104" s="100">
        <v>5059.2</v>
      </c>
      <c r="CJ104" s="100">
        <v>7.7161872049627638</v>
      </c>
      <c r="CK104" s="100">
        <v>4879.7167884184519</v>
      </c>
      <c r="CL104" s="100">
        <v>9.5582329317269092</v>
      </c>
      <c r="CM104" s="100">
        <v>6044.6265060240976</v>
      </c>
      <c r="CN104" s="100">
        <v>6.8002810412271835</v>
      </c>
      <c r="CO104" s="100">
        <v>4300.4977304720705</v>
      </c>
      <c r="CP104" s="100">
        <v>11.443395255145257</v>
      </c>
      <c r="CQ104" s="100">
        <v>7236.8031593538599</v>
      </c>
      <c r="CR104" s="100">
        <v>8</v>
      </c>
      <c r="CS104" s="100">
        <v>5059.2</v>
      </c>
      <c r="CT104" s="100">
        <v>8.2582417582417609</v>
      </c>
      <c r="CU104" s="100">
        <v>5222.5120879120896</v>
      </c>
    </row>
    <row r="105" spans="2:99">
      <c r="C105" s="99" t="s">
        <v>271</v>
      </c>
      <c r="D105" s="100">
        <v>10.388888888888879</v>
      </c>
      <c r="E105" s="100">
        <v>5784.5333333333274</v>
      </c>
      <c r="F105" s="100">
        <v>0.59304776522330105</v>
      </c>
      <c r="G105" s="100">
        <v>330.20899567633398</v>
      </c>
      <c r="H105" s="100">
        <v>11</v>
      </c>
      <c r="I105" s="100">
        <v>6124.7999999999993</v>
      </c>
      <c r="J105" s="100">
        <v>7</v>
      </c>
      <c r="K105" s="100">
        <v>3897.5999999999995</v>
      </c>
      <c r="L105" s="100">
        <v>8</v>
      </c>
      <c r="M105" s="100">
        <v>4454.3999999999996</v>
      </c>
      <c r="N105" s="100">
        <v>8</v>
      </c>
      <c r="O105" s="100">
        <v>4454.3999999999996</v>
      </c>
      <c r="P105" s="100">
        <v>7</v>
      </c>
      <c r="Q105" s="100">
        <v>3897.5999999999995</v>
      </c>
      <c r="R105" s="100">
        <v>5.6171109706044824</v>
      </c>
      <c r="S105" s="100">
        <v>3127.6073884325756</v>
      </c>
      <c r="T105" s="100">
        <v>9.1071428571428577</v>
      </c>
      <c r="U105" s="100">
        <v>5070.8571428571431</v>
      </c>
      <c r="V105" s="100">
        <v>9.0776699029126231</v>
      </c>
      <c r="W105" s="100">
        <v>5054.4466019417478</v>
      </c>
      <c r="X105" s="100">
        <v>10</v>
      </c>
      <c r="Y105" s="100">
        <v>5568</v>
      </c>
      <c r="Z105" s="100">
        <v>11</v>
      </c>
      <c r="AA105" s="100">
        <v>6124.7999999999993</v>
      </c>
      <c r="AB105" s="100">
        <v>8</v>
      </c>
      <c r="AC105" s="100">
        <v>4454.3999999999996</v>
      </c>
      <c r="AD105" s="100">
        <v>5.1835443037974738</v>
      </c>
      <c r="AE105" s="100">
        <v>2886.1974683544331</v>
      </c>
      <c r="AF105" s="100">
        <v>12</v>
      </c>
      <c r="AG105" s="100">
        <v>6681.5999999999995</v>
      </c>
      <c r="AH105" s="100">
        <v>11</v>
      </c>
      <c r="AI105" s="100">
        <v>6124.7999999999993</v>
      </c>
      <c r="AJ105" s="100">
        <v>9.769999572566844</v>
      </c>
      <c r="AK105" s="100">
        <v>5439.9357620052187</v>
      </c>
      <c r="AL105" s="100">
        <v>2.7509227513054944</v>
      </c>
      <c r="AM105" s="100">
        <v>1531.7137879268992</v>
      </c>
      <c r="AN105" s="100">
        <v>9</v>
      </c>
      <c r="AO105" s="100">
        <v>5011.2</v>
      </c>
      <c r="AP105" s="100">
        <v>8.9361702127659601</v>
      </c>
      <c r="AQ105" s="100">
        <v>4975.6595744680862</v>
      </c>
      <c r="AR105" s="100">
        <v>7</v>
      </c>
      <c r="AS105" s="100">
        <v>3897.5999999999995</v>
      </c>
      <c r="AT105" s="100">
        <v>8.457547169811324</v>
      </c>
      <c r="AU105" s="100">
        <v>4709.1622641509448</v>
      </c>
      <c r="AV105" s="100">
        <v>13</v>
      </c>
      <c r="AW105" s="100">
        <v>7238.4</v>
      </c>
      <c r="AX105" s="100">
        <v>8.5006318589873349</v>
      </c>
      <c r="AY105" s="100">
        <v>4733.151819084148</v>
      </c>
      <c r="AZ105" s="100">
        <v>8.2616822429906556</v>
      </c>
      <c r="BA105" s="100">
        <v>4600.1046728971969</v>
      </c>
      <c r="BB105" s="100">
        <v>3.4116033517873134</v>
      </c>
      <c r="BC105" s="100">
        <v>1899.5807462751759</v>
      </c>
      <c r="BD105" s="100">
        <v>5.5450320318250341</v>
      </c>
      <c r="BE105" s="100">
        <v>3087.4738353201788</v>
      </c>
      <c r="BF105" s="100">
        <v>5.1053694035674333</v>
      </c>
      <c r="BG105" s="100">
        <v>2842.6696839063466</v>
      </c>
      <c r="BH105" s="100">
        <v>9</v>
      </c>
      <c r="BI105" s="100">
        <v>5011.2</v>
      </c>
      <c r="BJ105" s="100">
        <v>8.9318692324223274</v>
      </c>
      <c r="BK105" s="100">
        <v>4973.2647886127515</v>
      </c>
      <c r="BL105" s="100">
        <v>9.4042553191489375</v>
      </c>
      <c r="BM105" s="100">
        <v>5236.2893617021282</v>
      </c>
      <c r="BN105" s="100">
        <v>6.9816218689932423</v>
      </c>
      <c r="BO105" s="100">
        <v>3887.367056655437</v>
      </c>
      <c r="BP105" s="100">
        <v>9</v>
      </c>
      <c r="BQ105" s="100">
        <v>5011.2</v>
      </c>
      <c r="BR105" s="100">
        <v>7</v>
      </c>
      <c r="BS105" s="100">
        <v>3897.5999999999995</v>
      </c>
      <c r="BT105" s="100">
        <v>11.416741332606648</v>
      </c>
      <c r="BU105" s="100">
        <v>6356.8415739953807</v>
      </c>
      <c r="BV105" s="100">
        <v>3.2980377874701703</v>
      </c>
      <c r="BW105" s="100">
        <v>1836.3474400633906</v>
      </c>
      <c r="BX105" s="100">
        <v>4.0385108677243959</v>
      </c>
      <c r="BY105" s="100">
        <v>2248.6428511489435</v>
      </c>
      <c r="BZ105" s="100">
        <v>8.9811320754717006</v>
      </c>
      <c r="CA105" s="100">
        <v>5000.6943396226425</v>
      </c>
      <c r="CB105" s="100">
        <v>4.8486852343865836</v>
      </c>
      <c r="CC105" s="100">
        <v>2699.7479385064494</v>
      </c>
      <c r="CD105" s="100">
        <v>9.7410719940492676</v>
      </c>
      <c r="CE105" s="100">
        <v>5423.828886286632</v>
      </c>
      <c r="CF105" s="100">
        <v>13</v>
      </c>
      <c r="CG105" s="100">
        <v>7238.4</v>
      </c>
      <c r="CH105" s="100">
        <v>8</v>
      </c>
      <c r="CI105" s="100">
        <v>4454.3999999999996</v>
      </c>
      <c r="CJ105" s="100">
        <v>8.5735413388475159</v>
      </c>
      <c r="CK105" s="100">
        <v>4773.7478174702965</v>
      </c>
      <c r="CL105" s="100">
        <v>8.1927710843373518</v>
      </c>
      <c r="CM105" s="100">
        <v>4561.7349397590369</v>
      </c>
      <c r="CN105" s="100">
        <v>6.2335909544582515</v>
      </c>
      <c r="CO105" s="100">
        <v>3470.8634434423543</v>
      </c>
      <c r="CP105" s="100">
        <v>11.443395255145257</v>
      </c>
      <c r="CQ105" s="100">
        <v>6371.6824780648785</v>
      </c>
      <c r="CR105" s="100">
        <v>8</v>
      </c>
      <c r="CS105" s="100">
        <v>4454.3999999999996</v>
      </c>
      <c r="CT105" s="100">
        <v>9.1758241758241788</v>
      </c>
      <c r="CU105" s="100">
        <v>5109.0989010989024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367.2228407023693</v>
      </c>
      <c r="E109" s="100">
        <f>SUM(L$6:L$19)+SUM(N$6:N$19)+SUM(P$6:P$19)+SUM(R$6:R$19)</f>
        <v>463</v>
      </c>
      <c r="F109" s="100">
        <f>SUM(T$6:T$19)+SUM(V$6:V$19)+SUM(X$6:X$19)+SUM(Z$6:Z$19)</f>
        <v>490</v>
      </c>
      <c r="G109" s="100">
        <f>SUM(AB$6:AB$19)+SUM(AD$6:AD$19)+SUM(AF$6:AF$19)+SUM(AH$6:AH$19)</f>
        <v>369.7329000751127</v>
      </c>
      <c r="H109" s="100">
        <f>SUM(AJ$6:AJ$19)+SUM(AL$6:AL$19)+SUM(AN$6:AN$19)+SUM(AP$6:AP$19)</f>
        <v>169.9567749232431</v>
      </c>
      <c r="I109" s="100">
        <f>SUM(AR$6:AR$19)+SUM(AT$6:AT$19)+SUM(AV$6:AV$19)+SUM(AX$6:AX$19)</f>
        <v>509.87580308363869</v>
      </c>
      <c r="J109" s="100">
        <f>SUM(AZ$6:AZ$19)+SUM(BB$6:BB$19)+SUM(BD$6:BD$19)+SUM(BF$6:BF$19)</f>
        <v>465.38497103238927</v>
      </c>
      <c r="K109" s="100">
        <f>SUM(BH$6:BH$19)+SUM(BJ$6:BJ$19)+SUM(BL$6:BL$19)+SUM(BN$6:BN$19)</f>
        <v>320.99781930914469</v>
      </c>
      <c r="L109" s="100">
        <f>SUM(BP$6:BP$19)+SUM(BR$6:BR$19)+SUM(BT$6:BT$19)+SUM(BV$6:BV$19)</f>
        <v>379.8108080439527</v>
      </c>
      <c r="M109" s="100">
        <f>SUM(BX$6:BX$19)+SUM(BZ$6:BZ$19)+SUM(CB$6:CB$19)+SUM(CD$6:CD$19)</f>
        <v>683</v>
      </c>
      <c r="N109" s="100">
        <f>SUM(CF$6:CF$19)+SUM(CH$6:CH$19)+SUM(CJ$6:CJ$19)+SUM(CL$6:CL$19)</f>
        <v>497.23282681276322</v>
      </c>
      <c r="O109" s="100">
        <f>SUM(CN$6:CN$19)+SUM(CP$6:CP$19)+SUM(CR$6:CR$19)+SUM(CT$6:CT$19)</f>
        <v>257.63849071626078</v>
      </c>
    </row>
    <row r="110" spans="2:99">
      <c r="C110" s="99" t="s">
        <v>127</v>
      </c>
      <c r="D110" s="100">
        <f>SUM(D$20:D$36)+SUM(F$20:F$36)+SUM(H$20:H$36)+SUM(J$20:J$36)</f>
        <v>984.77984477052325</v>
      </c>
      <c r="E110" s="100">
        <f>SUM(L$20:L$36)+SUM(N$20:N$36)+SUM(P$20:P$36)+SUM(R$20:R$36)</f>
        <v>1062</v>
      </c>
      <c r="F110" s="100">
        <f>SUM(T$20:T$36)+SUM(V$20:V$36)+SUM(X$20:X$36)+SUM(Z$20:Z$36)</f>
        <v>1220</v>
      </c>
      <c r="G110" s="100">
        <f>SUM(AB$20:AB$36)+SUM(AD$20:AD$36)+SUM(AF$20:AF$36)+SUM(AH$20:AH$36)</f>
        <v>972.46202096222487</v>
      </c>
      <c r="H110" s="100">
        <f>SUM(AJ$20:AJ$36)+SUM(AL$20:AL$36)+SUM(AN$20:AN$36)+SUM(AP$20:AP$36)</f>
        <v>280.78753795870716</v>
      </c>
      <c r="I110" s="100">
        <f>SUM(AR$20:AR$36)+SUM(AT$20:AT$36)+SUM(AV$20:AV$36)+SUM(AX$20:AX$36)</f>
        <v>1079.7532805669487</v>
      </c>
      <c r="J110" s="100">
        <f>SUM(AZ$20:AZ$36)+SUM(BB$20:BB$36)+SUM(BD$20:BD$36)+SUM(BF$20:BF$36)</f>
        <v>1052.6502503695247</v>
      </c>
      <c r="K110" s="100">
        <f>SUM(BH$20:BH$36)+SUM(BJ$20:BJ$36)+SUM(BL$20:BL$36)+SUM(BN$20:BN$36)</f>
        <v>868.29392745510029</v>
      </c>
      <c r="L110" s="100">
        <f>SUM(BP$20:BP$36)+SUM(BR$20:BR$36)+SUM(BT$20:BT$36)+SUM(BV$20:BV$36)</f>
        <v>840.00067316037678</v>
      </c>
      <c r="M110" s="100">
        <f>SUM(BX$20:BX$36)+SUM(BZ$20:BZ$36)+SUM(CB$20:CB$36)+SUM(CD$20:CD$36)</f>
        <v>1220</v>
      </c>
      <c r="N110" s="100">
        <f>SUM(CF$20:CF$36)+SUM(CH$20:CH$36)+SUM(CJ$20:CJ$36)+SUM(CL$20:CL$36)</f>
        <v>1179.5167066939875</v>
      </c>
      <c r="O110" s="100">
        <f>SUM(CN$20:CN$36)+SUM(CP$20:CP$36)+SUM(CR$20:CR$36)+SUM(CT$20:CT$36)</f>
        <v>558.97983100686497</v>
      </c>
    </row>
    <row r="111" spans="2:99">
      <c r="C111" s="99" t="s">
        <v>128</v>
      </c>
      <c r="D111" s="100">
        <f>SUM(D$37:D$48)+SUM(F$37:F$48)+SUM(H$37:H$48)+SUM(J$37:J$48)</f>
        <v>425.84058398470785</v>
      </c>
      <c r="E111" s="100">
        <f>SUM(L$37:L$48)+SUM(N$37:N$48)+SUM(P$37:P$48)+SUM(R$37:R$48)</f>
        <v>482</v>
      </c>
      <c r="F111" s="100">
        <f>SUM(T$37:T$48)+SUM(V$37:V$48)+SUM(X$37:X$48)+SUM(Z$37:Z$48)</f>
        <v>527</v>
      </c>
      <c r="G111" s="100">
        <f>SUM(AB$37:AB$48)+SUM(AD$37:AD$48)+SUM(AF$37:AF$48)+SUM(AH$37:AH$48)</f>
        <v>403.72341621311455</v>
      </c>
      <c r="H111" s="100">
        <f>SUM(AJ$37:AJ$48)+SUM(AL$37:AL$48)+SUM(AN$37:AN$48)+SUM(AP$37:AP$48)</f>
        <v>172.96682263945303</v>
      </c>
      <c r="I111" s="100">
        <f>SUM(AR$37:AR$48)+SUM(AT$37:AT$48)+SUM(AV$37:AV$48)+SUM(AX$37:AX$48)</f>
        <v>418.11080171899079</v>
      </c>
      <c r="J111" s="100">
        <f>SUM(AZ$37:AZ$48)+SUM(BB$37:BB$48)+SUM(BD$37:BD$48)+SUM(BF$37:BF$48)</f>
        <v>420.48822639703184</v>
      </c>
      <c r="K111" s="100">
        <f>SUM(BH$37:BH$48)+SUM(BJ$37:BJ$48)+SUM(BL$37:BL$48)+SUM(BN$37:BN$48)</f>
        <v>408.1906762050312</v>
      </c>
      <c r="L111" s="100">
        <f>SUM(BP$37:BP$48)+SUM(BR$37:BR$48)+SUM(BT$37:BT$48)+SUM(BV$37:BV$48)</f>
        <v>377.84769555720533</v>
      </c>
      <c r="M111" s="100">
        <f>SUM(BX$37:BX$48)+SUM(BZ$37:BZ$48)+SUM(CB$37:CB$48)+SUM(CD$37:CD$48)</f>
        <v>555</v>
      </c>
      <c r="N111" s="100">
        <f>SUM(CF$37:CF$48)+SUM(CH$37:CH$48)+SUM(CJ$37:CJ$48)+SUM(CL$37:CL$48)</f>
        <v>457.23282681276322</v>
      </c>
      <c r="O111" s="100">
        <f>SUM(CN$37:CN$48)+SUM(CP$37:CP$48)+SUM(CR$37:CR$48)+SUM(CT$37:CT$48)</f>
        <v>313.91944335519247</v>
      </c>
    </row>
    <row r="112" spans="2:99">
      <c r="C112" s="99" t="s">
        <v>129</v>
      </c>
      <c r="D112" s="100">
        <f>SUM(D$49:D$70)+SUM(F$49:F$70)+SUM(H$49:H$70)+SUM(J$49:J$70)</f>
        <v>659.21528915269209</v>
      </c>
      <c r="E112" s="100">
        <f>SUM(L$49:L$70)+SUM(N$49:N$70)+SUM(P$49:P$70)+SUM(R$49:R$70)</f>
        <v>670.11360473531761</v>
      </c>
      <c r="F112" s="100">
        <f>SUM(T$49:T$70)+SUM(V$49:V$70)+SUM(X$49:X$70)+SUM(Z$49:Z$70)</f>
        <v>745.96662621359224</v>
      </c>
      <c r="G112" s="100">
        <f>SUM(AB$49:AB$70)+SUM(AD$49:AD$70)+SUM(AF$49:AF$70)+SUM(AH$49:AH$70)</f>
        <v>577.40177360876226</v>
      </c>
      <c r="H112" s="100">
        <f>SUM(AJ$49:AJ$70)+SUM(AL$49:AL$70)+SUM(AN$49:AN$70)+SUM(AP$49:AP$70)</f>
        <v>226.65114971252405</v>
      </c>
      <c r="I112" s="100">
        <f>SUM(AR$49:AR$70)+SUM(AT$49:AT$70)+SUM(AV$49:AV$70)+SUM(AX$49:AX$70)</f>
        <v>580.75175899305702</v>
      </c>
      <c r="J112" s="100">
        <f>SUM(AZ$49:AZ$70)+SUM(BB$49:BB$70)+SUM(BD$49:BD$70)+SUM(BF$49:BF$70)</f>
        <v>749.91241127681076</v>
      </c>
      <c r="K112" s="100">
        <f>SUM(BH$49:BH$70)+SUM(BJ$49:BJ$70)+SUM(BL$49:BL$70)+SUM(BN$49:BN$70)</f>
        <v>581.76818630115963</v>
      </c>
      <c r="L112" s="100">
        <f>SUM(BP$49:BP$70)+SUM(BR$49:BR$70)+SUM(BT$49:BT$70)+SUM(BV$49:BV$70)</f>
        <v>495.16372135779534</v>
      </c>
      <c r="M112" s="100">
        <f>SUM(BX$49:BX$70)+SUM(BZ$49:BZ$70)+SUM(CB$49:CB$70)+SUM(CD$49:CD$70)</f>
        <v>715.580935118257</v>
      </c>
      <c r="N112" s="100">
        <f>SUM(CF$49:CF$70)+SUM(CH$49:CH$70)+SUM(CJ$49:CJ$70)+SUM(CL$49:CL$70)</f>
        <v>701.69816946855974</v>
      </c>
      <c r="O112" s="100">
        <f>SUM(CN$49:CN$70)+SUM(CP$49:CP$70)+SUM(CR$49:CR$70)+SUM(CT$49:CT$70)</f>
        <v>529.13286388482925</v>
      </c>
    </row>
    <row r="113" spans="2:15">
      <c r="C113" s="99" t="s">
        <v>130</v>
      </c>
      <c r="D113" s="100">
        <f>SUM(D$71:D$86)+SUM(F$71:F$86)+SUM(H$71:H$86)+SUM(J$71:J$86)</f>
        <v>638.60981211219462</v>
      </c>
      <c r="E113" s="100">
        <f>SUM(L$71:L$86)+SUM(N$71:N$86)+SUM(P$71:P$86)+SUM(R$71:R$86)</f>
        <v>638</v>
      </c>
      <c r="F113" s="100">
        <f>SUM(T$71:T$86)+SUM(V$71:V$86)+SUM(X$71:X$86)+SUM(Z$71:Z$86)</f>
        <v>684</v>
      </c>
      <c r="G113" s="100">
        <f>SUM(AB$71:AB$86)+SUM(AD$71:AD$86)+SUM(AF$71:AF$86)+SUM(AH$71:AH$86)</f>
        <v>629.35481810696035</v>
      </c>
      <c r="H113" s="100">
        <f>SUM(AJ$71:AJ$86)+SUM(AL$71:AL$86)+SUM(AN$71:AN$86)+SUM(AP$71:AP$86)</f>
        <v>468.13881241253102</v>
      </c>
      <c r="I113" s="100">
        <f>SUM(AR$71:AR$86)+SUM(AT$71:AT$86)+SUM(AV$71:AV$86)+SUM(AX$71:AX$86)</f>
        <v>551.77895227833312</v>
      </c>
      <c r="J113" s="100">
        <f>SUM(AZ$71:AZ$86)+SUM(BB$71:BB$86)+SUM(BD$71:BD$86)+SUM(BF$71:BF$86)</f>
        <v>643.81578932443506</v>
      </c>
      <c r="K113" s="100">
        <f>SUM(BH$71:BH$86)+SUM(BJ$71:BJ$86)+SUM(BL$71:BL$86)+SUM(BN$71:BN$86)</f>
        <v>549.48494687624907</v>
      </c>
      <c r="L113" s="100">
        <f>SUM(BP$71:BP$86)+SUM(BR$71:BR$86)+SUM(BT$71:BT$86)+SUM(BV$71:BV$86)</f>
        <v>637</v>
      </c>
      <c r="M113" s="100">
        <f>SUM(BX$71:BX$86)+SUM(BZ$71:BZ$86)+SUM(CB$71:CB$86)+SUM(CD$71:CD$86)</f>
        <v>610.03994832041246</v>
      </c>
      <c r="N113" s="100">
        <f>SUM(CF$71:CF$86)+SUM(CH$71:CH$86)+SUM(CJ$71:CJ$86)+SUM(CL$71:CL$86)</f>
        <v>669</v>
      </c>
      <c r="O113" s="100">
        <f>SUM(CN$71:CN$86)+SUM(CP$71:CP$86)+SUM(CR$71:CR$86)+SUM(CT$71:CT$86)</f>
        <v>673</v>
      </c>
    </row>
    <row r="114" spans="2:15">
      <c r="C114" s="99" t="s">
        <v>131</v>
      </c>
      <c r="D114" s="100">
        <f>SUM(D$87:D$94)+SUM(F$87:F$94)+SUM(H$87:H$94)+SUM(J$87:J$94)</f>
        <v>158.24563053916717</v>
      </c>
      <c r="E114" s="100">
        <f>SUM(L$87:L$94)+SUM(N$87:N$94)+SUM(P$87:P$94)+SUM(R$87:R$94)</f>
        <v>216.1851346471924</v>
      </c>
      <c r="F114" s="100">
        <f>SUM(T$87:T$94)+SUM(V$87:V$94)+SUM(X$87:X$94)+SUM(Z$87:Z$94)</f>
        <v>255.41990291262138</v>
      </c>
      <c r="G114" s="100">
        <f>SUM(AB$87:AB$94)+SUM(AD$87:AD$94)+SUM(AF$87:AF$94)+SUM(AH$87:AH$94)</f>
        <v>264.05696202531652</v>
      </c>
      <c r="H114" s="100">
        <f>SUM(AJ$87:AJ$94)+SUM(AL$87:AL$94)+SUM(AN$87:AN$94)+SUM(AP$87:AP$94)</f>
        <v>213.64320102256156</v>
      </c>
      <c r="I114" s="100">
        <f>SUM(AR$87:AR$94)+SUM(AT$87:AT$94)+SUM(AV$87:AV$94)+SUM(AX$87:AX$94)</f>
        <v>254.73858752099136</v>
      </c>
      <c r="J114" s="100">
        <f>SUM(AZ$87:AZ$94)+SUM(BB$87:BB$94)+SUM(BD$87:BD$94)+SUM(BF$87:BF$94)</f>
        <v>142.89067800883308</v>
      </c>
      <c r="K114" s="100">
        <f>SUM(BH$87:BH$94)+SUM(BJ$87:BJ$94)+SUM(BL$87:BL$94)+SUM(BN$87:BN$94)</f>
        <v>217.1540012863488</v>
      </c>
      <c r="L114" s="100">
        <f>SUM(BP$87:BP$94)+SUM(BR$87:BR$94)+SUM(BT$87:BT$94)+SUM(BV$87:BV$94)</f>
        <v>199.381209215665</v>
      </c>
      <c r="M114" s="100">
        <f>SUM(BX$87:BX$94)+SUM(BZ$87:BZ$94)+SUM(CB$87:CB$94)+SUM(CD$87:CD$94)</f>
        <v>167.9638126075501</v>
      </c>
      <c r="N114" s="100">
        <f>SUM(CF$87:CF$94)+SUM(CH$87:CH$94)+SUM(CJ$87:CJ$94)+SUM(CL$87:CL$94)</f>
        <v>262.20873705350022</v>
      </c>
      <c r="O114" s="100">
        <f>SUM(CN$87:CN$94)+SUM(CP$87:CP$94)+SUM(CR$87:CR$94)+SUM(CT$87:CT$94)</f>
        <v>199.5129518381018</v>
      </c>
    </row>
    <row r="115" spans="2:15">
      <c r="C115" s="99" t="s">
        <v>132</v>
      </c>
      <c r="D115" s="100">
        <f>SUM(D$95:D$105)+SUM(F$95:F$105)+SUM(H$95:H$105)+SUM(J$95:J$105)</f>
        <v>329.19405443677658</v>
      </c>
      <c r="E115" s="100">
        <f>SUM(L$95:L$105)+SUM(N$95:N$105)+SUM(P$95:P$105)+SUM(R$95:R$105)</f>
        <v>304.03646755900587</v>
      </c>
      <c r="F115" s="100">
        <f>SUM(T$95:T$105)+SUM(V$95:V$105)+SUM(X$95:X$105)+SUM(Z$95:Z$105)</f>
        <v>411.61347087378647</v>
      </c>
      <c r="G115" s="100">
        <f>SUM(AB$95:AB$105)+SUM(AD$95:AD$105)+SUM(AF$95:AF$105)+SUM(AH$95:AH$105)</f>
        <v>394.05696202531652</v>
      </c>
      <c r="H115" s="100">
        <f>SUM(AJ$95:AJ$105)+SUM(AL$95:AL$105)+SUM(AN$95:AN$105)+SUM(AP$95:AP$105)</f>
        <v>341.00351439072767</v>
      </c>
      <c r="I115" s="100">
        <f>SUM(AR$95:AR$105)+SUM(AT$95:AT$105)+SUM(AV$95:AV$105)+SUM(AX$95:AX$105)</f>
        <v>421.32370420980692</v>
      </c>
      <c r="J115" s="100">
        <f>SUM(AZ$95:AZ$105)+SUM(BB$95:BB$105)+SUM(BD$95:BD$105)+SUM(BF$95:BF$105)</f>
        <v>242.95916532185521</v>
      </c>
      <c r="K115" s="100">
        <f>SUM(BH$95:BH$105)+SUM(BJ$95:BJ$105)+SUM(BL$95:BL$105)+SUM(BN$95:BN$105)</f>
        <v>369.61472084136642</v>
      </c>
      <c r="L115" s="100">
        <f>SUM(BP$95:BP$105)+SUM(BR$95:BR$105)+SUM(BT$95:BT$105)+SUM(BV$95:BV$105)</f>
        <v>342.41348877205689</v>
      </c>
      <c r="M115" s="100">
        <f>SUM(BX$95:BX$105)+SUM(BZ$95:BZ$105)+SUM(CB$95:CB$105)+SUM(CD$95:CD$105)</f>
        <v>290.43372922176275</v>
      </c>
      <c r="N115" s="100">
        <f>SUM(CF$95:CF$105)+SUM(CH$95:CH$105)+SUM(CJ$95:CJ$105)+SUM(CL$95:CL$105)</f>
        <v>405.68320455313381</v>
      </c>
      <c r="O115" s="100">
        <f>SUM(CN$95:CN$105)+SUM(CP$95:CP$105)+SUM(CR$95:CR$105)+SUM(CT$95:CT$105)</f>
        <v>376.34359299559486</v>
      </c>
    </row>
    <row r="116" spans="2:15">
      <c r="C116" s="99" t="s">
        <v>278</v>
      </c>
      <c r="D116" s="100">
        <f t="shared" ref="D116:O116" si="0">SUM(D$109:D$115)</f>
        <v>3563.1080556984307</v>
      </c>
      <c r="E116" s="100">
        <f t="shared" si="0"/>
        <v>3835.3352069415155</v>
      </c>
      <c r="F116" s="100">
        <f t="shared" si="0"/>
        <v>4334</v>
      </c>
      <c r="G116" s="100">
        <f t="shared" si="0"/>
        <v>3610.7888530168075</v>
      </c>
      <c r="H116" s="100">
        <f t="shared" si="0"/>
        <v>1873.1478130597475</v>
      </c>
      <c r="I116" s="100">
        <f t="shared" si="0"/>
        <v>3816.3328883717668</v>
      </c>
      <c r="J116" s="100">
        <f t="shared" si="0"/>
        <v>3718.1014917308803</v>
      </c>
      <c r="K116" s="100">
        <f t="shared" si="0"/>
        <v>3315.5042782744003</v>
      </c>
      <c r="L116" s="100">
        <f t="shared" si="0"/>
        <v>3271.6175961070521</v>
      </c>
      <c r="M116" s="100">
        <f t="shared" si="0"/>
        <v>4242.0184252679819</v>
      </c>
      <c r="N116" s="100">
        <f t="shared" si="0"/>
        <v>4172.5724713947075</v>
      </c>
      <c r="O116" s="100">
        <f t="shared" si="0"/>
        <v>2908.5271737968442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2570559.8849165849</v>
      </c>
      <c r="E120" s="100">
        <f>E109*pricing!E15*2000</f>
        <v>3241000</v>
      </c>
      <c r="F120" s="100">
        <f>F109*pricing!F15*2000</f>
        <v>3430000</v>
      </c>
      <c r="G120" s="100">
        <f>G109*pricing!G15*2000</f>
        <v>2588130.3005257887</v>
      </c>
      <c r="H120" s="100">
        <f>H109*pricing!H15*2000</f>
        <v>1189697.4244627017</v>
      </c>
      <c r="I120" s="100">
        <f>I109*pricing!I15*2000</f>
        <v>3569130.6215854706</v>
      </c>
      <c r="J120" s="100">
        <f>J109*pricing!J15*2000</f>
        <v>3257694.7972267247</v>
      </c>
      <c r="K120" s="100">
        <f>K109*pricing!K15*2000</f>
        <v>2246984.7351640128</v>
      </c>
      <c r="L120" s="100">
        <f>L109*pricing!L15*2000</f>
        <v>2658675.6563076689</v>
      </c>
      <c r="M120" s="100">
        <f>M109*pricing!M15*2000</f>
        <v>4781000</v>
      </c>
      <c r="N120" s="100">
        <f>N109*pricing!N15*2000</f>
        <v>3480629.7876893426</v>
      </c>
      <c r="O120" s="100">
        <f>O109*pricing!O15*2000</f>
        <v>1803469.4350138255</v>
      </c>
    </row>
    <row r="121" spans="2:15">
      <c r="C121" s="99" t="s">
        <v>127</v>
      </c>
      <c r="D121" s="100">
        <f>D110*pricing!D16*2000</f>
        <v>6893458.9133936623</v>
      </c>
      <c r="E121" s="100">
        <f>E110*pricing!E16*2000</f>
        <v>7434000</v>
      </c>
      <c r="F121" s="100">
        <f>F110*pricing!F16*2000</f>
        <v>8540000</v>
      </c>
      <c r="G121" s="100">
        <f>G110*pricing!G16*2000</f>
        <v>6807234.1467355741</v>
      </c>
      <c r="H121" s="100">
        <f>H110*pricing!H16*2000</f>
        <v>1965512.7657109501</v>
      </c>
      <c r="I121" s="100">
        <f>I110*pricing!I16*2000</f>
        <v>7558272.9639686402</v>
      </c>
      <c r="J121" s="100">
        <f>J110*pricing!J16*2000</f>
        <v>7368551.752586673</v>
      </c>
      <c r="K121" s="100">
        <f>K110*pricing!K16*2000</f>
        <v>6078057.4921857025</v>
      </c>
      <c r="L121" s="100">
        <f>L110*pricing!L16*2000</f>
        <v>5880004.7121226368</v>
      </c>
      <c r="M121" s="100">
        <f>M110*pricing!M16*2000</f>
        <v>8540000</v>
      </c>
      <c r="N121" s="100">
        <f>N110*pricing!N16*2000</f>
        <v>8256616.9468579134</v>
      </c>
      <c r="O121" s="100">
        <f>O110*pricing!O16*2000</f>
        <v>3912858.8170480547</v>
      </c>
    </row>
    <row r="122" spans="2:15">
      <c r="C122" s="99" t="s">
        <v>128</v>
      </c>
      <c r="D122" s="100">
        <f>D111*pricing!D17*2000</f>
        <v>2980884.0878929552</v>
      </c>
      <c r="E122" s="100">
        <f>E111*pricing!E17*2000</f>
        <v>3374000</v>
      </c>
      <c r="F122" s="100">
        <f>F111*pricing!F17*2000</f>
        <v>3689000</v>
      </c>
      <c r="G122" s="100">
        <f>G111*pricing!G17*2000</f>
        <v>2826063.9134918018</v>
      </c>
      <c r="H122" s="100">
        <f>H111*pricing!H17*2000</f>
        <v>1210767.7584761712</v>
      </c>
      <c r="I122" s="100">
        <f>I111*pricing!I17*2000</f>
        <v>2926775.6120329355</v>
      </c>
      <c r="J122" s="100">
        <f>J111*pricing!J17*2000</f>
        <v>2943417.584779223</v>
      </c>
      <c r="K122" s="100">
        <f>K111*pricing!K17*2000</f>
        <v>2857334.7334352182</v>
      </c>
      <c r="L122" s="100">
        <f>L111*pricing!L17*2000</f>
        <v>2644933.8689004369</v>
      </c>
      <c r="M122" s="100">
        <f>M111*pricing!M17*2000</f>
        <v>3885000</v>
      </c>
      <c r="N122" s="100">
        <f>N111*pricing!N17*2000</f>
        <v>3200629.7876893426</v>
      </c>
      <c r="O122" s="100">
        <f>O111*pricing!O17*2000</f>
        <v>2197436.1034863475</v>
      </c>
    </row>
    <row r="123" spans="2:15">
      <c r="C123" s="99" t="s">
        <v>129</v>
      </c>
      <c r="D123" s="100">
        <f>D112*pricing!D18*2000</f>
        <v>4614507.0240688445</v>
      </c>
      <c r="E123" s="100">
        <f>E112*pricing!E18*2000</f>
        <v>4690795.2331472235</v>
      </c>
      <c r="F123" s="100">
        <f>F112*pricing!F18*2000</f>
        <v>5221766.3834951455</v>
      </c>
      <c r="G123" s="100">
        <f>G112*pricing!G18*2000</f>
        <v>4041812.4152613357</v>
      </c>
      <c r="H123" s="100">
        <f>H112*pricing!H18*2000</f>
        <v>1586558.0479876683</v>
      </c>
      <c r="I123" s="100">
        <f>I112*pricing!I18*2000</f>
        <v>4065262.312951399</v>
      </c>
      <c r="J123" s="100">
        <f>J112*pricing!J18*2000</f>
        <v>5249386.8789376756</v>
      </c>
      <c r="K123" s="100">
        <f>K112*pricing!K18*2000</f>
        <v>4072377.3041081177</v>
      </c>
      <c r="L123" s="100">
        <f>L112*pricing!L18*2000</f>
        <v>3466146.0495045674</v>
      </c>
      <c r="M123" s="100">
        <f>M112*pricing!M18*2000</f>
        <v>5009066.5458277995</v>
      </c>
      <c r="N123" s="100">
        <f>N112*pricing!N18*2000</f>
        <v>4911887.1862799181</v>
      </c>
      <c r="O123" s="100">
        <f>O112*pricing!O18*2000</f>
        <v>3703930.0471938048</v>
      </c>
    </row>
    <row r="124" spans="2:15">
      <c r="C124" s="99" t="s">
        <v>130</v>
      </c>
      <c r="D124" s="100">
        <f>D113*pricing!D19*2000</f>
        <v>4470268.6847853623</v>
      </c>
      <c r="E124" s="100">
        <f>E113*pricing!E19*2000</f>
        <v>4466000</v>
      </c>
      <c r="F124" s="100">
        <f>F113*pricing!F19*2000</f>
        <v>4788000</v>
      </c>
      <c r="G124" s="100">
        <f>G113*pricing!G19*2000</f>
        <v>4405483.7267487226</v>
      </c>
      <c r="H124" s="100">
        <f>H113*pricing!H19*2000</f>
        <v>3276971.6868877173</v>
      </c>
      <c r="I124" s="100">
        <f>I113*pricing!I19*2000</f>
        <v>3862452.6659483318</v>
      </c>
      <c r="J124" s="100">
        <f>J113*pricing!J19*2000</f>
        <v>4506710.525271045</v>
      </c>
      <c r="K124" s="100">
        <f>K113*pricing!K19*2000</f>
        <v>3846394.6281337435</v>
      </c>
      <c r="L124" s="100">
        <f>L113*pricing!L19*2000</f>
        <v>4459000</v>
      </c>
      <c r="M124" s="100">
        <f>M113*pricing!M19*2000</f>
        <v>4270279.6382428873</v>
      </c>
      <c r="N124" s="100">
        <f>N113*pricing!N19*2000</f>
        <v>4683000</v>
      </c>
      <c r="O124" s="100">
        <f>O113*pricing!O19*2000</f>
        <v>4711000</v>
      </c>
    </row>
    <row r="125" spans="2:15">
      <c r="C125" s="99" t="s">
        <v>131</v>
      </c>
      <c r="D125" s="100">
        <f>D114*pricing!D20*2000</f>
        <v>1107719.4137741702</v>
      </c>
      <c r="E125" s="100">
        <f>E114*pricing!E20*2000</f>
        <v>1513295.9425303468</v>
      </c>
      <c r="F125" s="100">
        <f>F114*pricing!F20*2000</f>
        <v>1787939.3203883497</v>
      </c>
      <c r="G125" s="100">
        <f>G114*pricing!G20*2000</f>
        <v>1848398.7341772155</v>
      </c>
      <c r="H125" s="100">
        <f>H114*pricing!H20*2000</f>
        <v>1495502.407157931</v>
      </c>
      <c r="I125" s="100">
        <f>I114*pricing!I20*2000</f>
        <v>1783170.1126469395</v>
      </c>
      <c r="J125" s="100">
        <f>J114*pricing!J20*2000</f>
        <v>1000234.7460618315</v>
      </c>
      <c r="K125" s="100">
        <f>K114*pricing!K20*2000</f>
        <v>1520078.0090044416</v>
      </c>
      <c r="L125" s="100">
        <f>L114*pricing!L20*2000</f>
        <v>1395668.464509655</v>
      </c>
      <c r="M125" s="100">
        <f>M114*pricing!M20*2000</f>
        <v>1175746.6882528507</v>
      </c>
      <c r="N125" s="100">
        <f>N114*pricing!N20*2000</f>
        <v>1835461.1593745016</v>
      </c>
      <c r="O125" s="100">
        <f>O114*pricing!O20*2000</f>
        <v>1396590.6628667125</v>
      </c>
    </row>
    <row r="126" spans="2:15">
      <c r="C126" s="99" t="s">
        <v>132</v>
      </c>
      <c r="D126" s="100">
        <f>D115*pricing!D21*2000</f>
        <v>2304358.3810574361</v>
      </c>
      <c r="E126" s="100">
        <f>E115*pricing!E21*2000</f>
        <v>2128255.2729130411</v>
      </c>
      <c r="F126" s="100">
        <f>F115*pricing!F21*2000</f>
        <v>2881294.2961165053</v>
      </c>
      <c r="G126" s="100">
        <f>G115*pricing!G21*2000</f>
        <v>2758398.734177216</v>
      </c>
      <c r="H126" s="100">
        <f>H115*pricing!H21*2000</f>
        <v>2387024.6007350939</v>
      </c>
      <c r="I126" s="100">
        <f>I115*pricing!I21*2000</f>
        <v>2949265.929468648</v>
      </c>
      <c r="J126" s="100">
        <f>J115*pricing!J21*2000</f>
        <v>1700714.1572529864</v>
      </c>
      <c r="K126" s="100">
        <f>K115*pricing!K21*2000</f>
        <v>2587303.0458895653</v>
      </c>
      <c r="L126" s="100">
        <f>L115*pricing!L21*2000</f>
        <v>2396894.421404398</v>
      </c>
      <c r="M126" s="100">
        <f>M115*pricing!M21*2000</f>
        <v>2033036.1045523391</v>
      </c>
      <c r="N126" s="100">
        <f>N115*pricing!N21*2000</f>
        <v>2839782.4318719367</v>
      </c>
      <c r="O126" s="100">
        <f>O115*pricing!O21*2000</f>
        <v>2634405.150969164</v>
      </c>
    </row>
    <row r="127" spans="2:15">
      <c r="C127" s="99" t="s">
        <v>278</v>
      </c>
      <c r="D127" s="100">
        <f t="shared" ref="D127:O127" si="1">SUM(D$120:D$126)</f>
        <v>24941756.389889017</v>
      </c>
      <c r="E127" s="100">
        <f t="shared" si="1"/>
        <v>26847346.44859061</v>
      </c>
      <c r="F127" s="100">
        <f t="shared" si="1"/>
        <v>30338000</v>
      </c>
      <c r="G127" s="100">
        <f t="shared" si="1"/>
        <v>25275521.971117657</v>
      </c>
      <c r="H127" s="100">
        <f t="shared" si="1"/>
        <v>13112034.691418234</v>
      </c>
      <c r="I127" s="100">
        <f t="shared" si="1"/>
        <v>26714330.218602363</v>
      </c>
      <c r="J127" s="100">
        <f t="shared" si="1"/>
        <v>26026710.44211616</v>
      </c>
      <c r="K127" s="100">
        <f t="shared" si="1"/>
        <v>23208529.947920799</v>
      </c>
      <c r="L127" s="100">
        <f t="shared" si="1"/>
        <v>22901323.172749363</v>
      </c>
      <c r="M127" s="100">
        <f t="shared" si="1"/>
        <v>29694128.976875875</v>
      </c>
      <c r="N127" s="100">
        <f t="shared" si="1"/>
        <v>29208007.299762953</v>
      </c>
      <c r="O127" s="100">
        <f t="shared" si="1"/>
        <v>20359690.216577906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185608.5457846506</v>
      </c>
      <c r="E131" s="106">
        <f>SUM(M$6:M$19)+SUM(O$6:O$19)+SUM(Q$6:Q$19)+SUM(S$6:S$19)</f>
        <v>232860</v>
      </c>
      <c r="F131" s="106">
        <f>SUM(U$6:U$19)+SUM(W$6:W$19)+SUM(Y$6:Y$19)+SUM(AA$6:AA$19)</f>
        <v>249490.8</v>
      </c>
      <c r="G131" s="106">
        <f>SUM(AC$6:AC$19)+SUM(AE$6:AE$19)+SUM(AG$6:AG$19)+SUM(AI$6:AI$19)</f>
        <v>186447.6585767291</v>
      </c>
      <c r="H131" s="106">
        <f>SUM(AK$6:AK$19)+SUM(AM$6:AM$19)+SUM(AO$6:AO$19)+SUM(AQ$6:AQ$19)</f>
        <v>86351.988774404206</v>
      </c>
      <c r="I131" s="106">
        <f>SUM(AS$6:AS$19)+SUM(AU$6:AU$19)+SUM(AW$6:AW$19)+SUM(AY$6:AY$19)</f>
        <v>257498.09155737166</v>
      </c>
      <c r="J131" s="106">
        <f>SUM(BA$6:BA$19)+SUM(BC$6:BC$19)+SUM(BE$6:BE$19)+SUM(BG$6:BG$19)</f>
        <v>235013.37779410952</v>
      </c>
      <c r="K131" s="106">
        <f>SUM(BI$6:BI$19)+SUM(BK$6:BK$19)+SUM(BM$6:BM$19)+SUM(BO$6:BO$19)</f>
        <v>162443.40737729639</v>
      </c>
      <c r="L131" s="106">
        <f>SUM(BQ$6:BQ$19)+SUM(BS$6:BS$19)+SUM(BU$6:BU$19)+SUM(BW$6:BW$19)</f>
        <v>191968.45550020665</v>
      </c>
      <c r="M131" s="106">
        <f>SUM(BY$6:BY$19)+SUM(CA$6:CA$19)+SUM(CC$6:CC$19)+SUM(CE$6:CE$19)</f>
        <v>344178</v>
      </c>
      <c r="N131" s="106">
        <f>SUM(CG$6:CG$19)+SUM(CI$6:CI$19)+SUM(CK$6:CK$19)+SUM(CM$6:CM$19)</f>
        <v>252848.76876055868</v>
      </c>
      <c r="O131" s="106">
        <f>SUM(CO$6:CO$19)+SUM(CQ$6:CQ$19)+SUM(CS$6:CS$19)+SUM(CU$6:CU$19)</f>
        <v>130239.08948054677</v>
      </c>
    </row>
    <row r="132" spans="2:15">
      <c r="C132" s="105" t="s">
        <v>127</v>
      </c>
      <c r="D132" s="106">
        <f>SUM(E$20:E$36)+SUM(G$20:G$36)+SUM(I$20:I$36)+SUM(K$20:K$36)</f>
        <v>422128.68998186738</v>
      </c>
      <c r="E132" s="106">
        <f>SUM(M$20:M$36)+SUM(O$20:O$36)+SUM(Q$20:Q$36)+SUM(S$20:S$36)</f>
        <v>456337.19999999995</v>
      </c>
      <c r="F132" s="106">
        <f>SUM(U$20:U$36)+SUM(W$20:W$36)+SUM(Y$20:Y$36)+SUM(AA$20:AA$36)</f>
        <v>526448.4</v>
      </c>
      <c r="G132" s="106">
        <f>SUM(AC$20:AC$36)+SUM(AE$20:AE$36)+SUM(AG$20:AG$36)+SUM(AI$20:AI$36)</f>
        <v>417452.38477602118</v>
      </c>
      <c r="H132" s="106">
        <f>SUM(AK$20:AK$36)+SUM(AM$20:AM$36)+SUM(AO$20:AO$36)+SUM(AQ$20:AQ$36)</f>
        <v>122447.32375215387</v>
      </c>
      <c r="I132" s="106">
        <f>SUM(AS$20:AS$36)+SUM(AU$20:AU$36)+SUM(AW$20:AW$36)+SUM(AY$20:AY$36)</f>
        <v>462103.09602560708</v>
      </c>
      <c r="J132" s="106">
        <f>SUM(BA$20:BA$36)+SUM(BC$20:BC$36)+SUM(BE$20:BE$36)+SUM(BG$20:BG$36)</f>
        <v>451847.17931309174</v>
      </c>
      <c r="K132" s="106">
        <f>SUM(BI$20:BI$36)+SUM(BK$20:BK$36)+SUM(BM$20:BM$36)+SUM(BO$20:BO$36)</f>
        <v>373793.62436767959</v>
      </c>
      <c r="L132" s="106">
        <f>SUM(BQ$20:BQ$36)+SUM(BS$20:BS$36)+SUM(BU$20:BU$36)+SUM(BW$20:BW$36)</f>
        <v>360700.30082773737</v>
      </c>
      <c r="M132" s="106">
        <f>SUM(BY$20:BY$36)+SUM(CA$20:CA$36)+SUM(CC$20:CC$36)+SUM(CE$20:CE$36)</f>
        <v>521940</v>
      </c>
      <c r="N132" s="106">
        <f>SUM(CG$20:CG$36)+SUM(CI$20:CI$36)+SUM(CK$20:CK$36)+SUM(CM$20:CM$36)</f>
        <v>505800.8917516552</v>
      </c>
      <c r="O132" s="106">
        <f>SUM(CO$20:CO$36)+SUM(CQ$20:CQ$36)+SUM(CS$20:CS$36)+SUM(CU$20:CU$36)</f>
        <v>239498.57842341767</v>
      </c>
    </row>
    <row r="133" spans="2:15">
      <c r="C133" s="105" t="s">
        <v>128</v>
      </c>
      <c r="D133" s="106">
        <f>SUM(E$37:E$48)+SUM(G$37:G$48)+SUM(I$37:I$48)+SUM(K$37:K$48)</f>
        <v>446312.71220246336</v>
      </c>
      <c r="E133" s="106">
        <f>SUM(M$37:M$48)+SUM(O$37:O$48)+SUM(Q$37:Q$48)+SUM(S$37:S$48)</f>
        <v>505885.19999999995</v>
      </c>
      <c r="F133" s="106">
        <f>SUM(U$37:U$48)+SUM(W$37:W$48)+SUM(Y$37:Y$48)+SUM(AA$37:AA$48)</f>
        <v>554504.39999999991</v>
      </c>
      <c r="G133" s="106">
        <f>SUM(AC$37:AC$48)+SUM(AE$37:AE$48)+SUM(AG$37:AG$48)+SUM(AI$37:AI$48)</f>
        <v>422780.08330503746</v>
      </c>
      <c r="H133" s="106">
        <f>SUM(AK$37:AK$48)+SUM(AM$37:AM$48)+SUM(AO$37:AO$48)+SUM(AQ$37:AQ$48)</f>
        <v>182397.80704704858</v>
      </c>
      <c r="I133" s="106">
        <f>SUM(AS$37:AS$48)+SUM(AU$37:AU$48)+SUM(AW$37:AW$48)+SUM(AY$37:AY$48)</f>
        <v>437788.09005494381</v>
      </c>
      <c r="J133" s="106">
        <f>SUM(BA$37:BA$48)+SUM(BC$37:BC$48)+SUM(BE$37:BE$48)+SUM(BG$37:BG$48)</f>
        <v>442982.36101478315</v>
      </c>
      <c r="K133" s="106">
        <f>SUM(BI$37:BI$48)+SUM(BK$37:BK$48)+SUM(BM$37:BM$48)+SUM(BO$37:BO$48)</f>
        <v>429315.85708925448</v>
      </c>
      <c r="L133" s="106">
        <f>SUM(BQ$37:BQ$48)+SUM(BS$37:BS$48)+SUM(BU$37:BU$48)+SUM(BW$37:BW$48)</f>
        <v>398240.45205428166</v>
      </c>
      <c r="M133" s="106">
        <f>SUM(BY$37:BY$48)+SUM(CA$37:CA$48)+SUM(CC$37:CC$48)+SUM(CE$37:CE$48)</f>
        <v>582511.19999999995</v>
      </c>
      <c r="N133" s="106">
        <f>SUM(CG$37:CG$48)+SUM(CI$37:CI$48)+SUM(CK$37:CK$48)+SUM(CM$37:CM$48)</f>
        <v>481646.63122993289</v>
      </c>
      <c r="O133" s="106">
        <f>SUM(CO$37:CO$48)+SUM(CQ$37:CQ$48)+SUM(CS$37:CS$48)+SUM(CU$37:CU$48)</f>
        <v>329491.53275531292</v>
      </c>
    </row>
    <row r="134" spans="2:15">
      <c r="C134" s="105" t="s">
        <v>129</v>
      </c>
      <c r="D134" s="106">
        <f>SUM(E$49:E$70)+SUM(G$49:G$70)+SUM(I$49:I$70)+SUM(K$49:K$70)</f>
        <v>547053.66603285854</v>
      </c>
      <c r="E134" s="106">
        <f>SUM(M$49:M$70)+SUM(O$49:O$70)+SUM(Q$49:Q$70)+SUM(S$49:S$70)</f>
        <v>560795.14535526698</v>
      </c>
      <c r="F134" s="106">
        <f>SUM(U$49:U$70)+SUM(W$49:W$70)+SUM(Y$49:Y$70)+SUM(AA$49:AA$70)</f>
        <v>628655.12829403603</v>
      </c>
      <c r="G134" s="106">
        <f>SUM(AC$49:AC$70)+SUM(AE$49:AE$70)+SUM(AG$49:AG$70)+SUM(AI$49:AI$70)</f>
        <v>491069.1253446989</v>
      </c>
      <c r="H134" s="106">
        <f>SUM(AK$49:AK$70)+SUM(AM$49:AM$70)+SUM(AO$49:AO$70)+SUM(AQ$49:AQ$70)</f>
        <v>206126.32275535795</v>
      </c>
      <c r="I134" s="106">
        <f>SUM(AS$49:AS$70)+SUM(AU$49:AU$70)+SUM(AW$49:AW$70)+SUM(AY$49:AY$70)</f>
        <v>485816.05653607519</v>
      </c>
      <c r="J134" s="106">
        <f>SUM(BA$49:BA$70)+SUM(BC$49:BC$70)+SUM(BE$49:BE$70)+SUM(BG$49:BG$70)</f>
        <v>625996.92626586906</v>
      </c>
      <c r="K134" s="106">
        <f>SUM(BI$49:BI$70)+SUM(BK$49:BK$70)+SUM(BM$49:BM$70)+SUM(BO$49:BO$70)</f>
        <v>496759.64535322547</v>
      </c>
      <c r="L134" s="106">
        <f>SUM(BQ$49:BQ$70)+SUM(BS$49:BS$70)+SUM(BU$49:BU$70)+SUM(BW$49:BW$70)</f>
        <v>427629.34763795178</v>
      </c>
      <c r="M134" s="106">
        <f>SUM(BY$49:BY$70)+SUM(CA$49:CA$70)+SUM(CC$49:CC$70)+SUM(CE$49:CE$70)</f>
        <v>585863.10064942704</v>
      </c>
      <c r="N134" s="106">
        <f>SUM(CG$49:CG$70)+SUM(CI$49:CI$70)+SUM(CK$49:CK$70)+SUM(CM$49:CM$70)</f>
        <v>589535.8590716552</v>
      </c>
      <c r="O134" s="106">
        <f>SUM(CO$49:CO$70)+SUM(CQ$49:CQ$70)+SUM(CS$49:CS$70)+SUM(CU$49:CU$70)</f>
        <v>459682.16653721279</v>
      </c>
    </row>
    <row r="135" spans="2:15">
      <c r="C135" s="105" t="s">
        <v>130</v>
      </c>
      <c r="D135" s="106">
        <f>SUM(E$71:E$86)+SUM(G$71:G$86)+SUM(I$71:I$86)+SUM(K$71:K$86)</f>
        <v>357294.24870084831</v>
      </c>
      <c r="E135" s="106">
        <f>SUM(M$71:M$86)+SUM(O$71:O$86)+SUM(Q$71:Q$86)+SUM(S$71:S$86)</f>
        <v>360196.79999999993</v>
      </c>
      <c r="F135" s="106">
        <f>SUM(U$71:U$86)+SUM(W$71:W$86)+SUM(Y$71:Y$86)+SUM(AA$71:AA$86)</f>
        <v>384402</v>
      </c>
      <c r="G135" s="106">
        <f>SUM(AC$71:AC$86)+SUM(AE$71:AE$86)+SUM(AG$71:AG$86)+SUM(AI$71:AI$86)</f>
        <v>354161.99506197858</v>
      </c>
      <c r="H135" s="106">
        <f>SUM(AK$71:AK$86)+SUM(AM$71:AM$86)+SUM(AO$71:AO$86)+SUM(AQ$71:AQ$86)</f>
        <v>262033.7654215903</v>
      </c>
      <c r="I135" s="106">
        <f>SUM(AS$71:AS$86)+SUM(AU$71:AU$86)+SUM(AW$71:AW$86)+SUM(AY$71:AY$86)</f>
        <v>307919.33211008058</v>
      </c>
      <c r="J135" s="106">
        <f>SUM(BA$71:BA$86)+SUM(BC$71:BC$86)+SUM(BE$71:BE$86)+SUM(BG$71:BG$86)</f>
        <v>359856.19680885324</v>
      </c>
      <c r="K135" s="106">
        <f>SUM(BI$71:BI$86)+SUM(BK$71:BK$86)+SUM(BM$71:BM$86)+SUM(BO$71:BO$86)</f>
        <v>308537.01172545971</v>
      </c>
      <c r="L135" s="106">
        <f>SUM(BQ$71:BQ$86)+SUM(BS$71:BS$86)+SUM(BU$71:BU$86)+SUM(BW$71:BW$86)</f>
        <v>354534</v>
      </c>
      <c r="M135" s="106">
        <f>SUM(BY$71:BY$86)+SUM(CA$71:CA$86)+SUM(CC$71:CC$86)+SUM(CE$71:CE$86)</f>
        <v>342879.48091954994</v>
      </c>
      <c r="N135" s="106">
        <f>SUM(CG$71:CG$86)+SUM(CI$71:CI$86)+SUM(CK$71:CK$86)+SUM(CM$71:CM$86)</f>
        <v>373112.39999999997</v>
      </c>
      <c r="O135" s="106">
        <f>SUM(CO$71:CO$86)+SUM(CQ$71:CQ$86)+SUM(CS$71:CS$86)+SUM(CU$71:CU$86)</f>
        <v>379213.2</v>
      </c>
    </row>
    <row r="136" spans="2:15">
      <c r="C136" s="105" t="s">
        <v>131</v>
      </c>
      <c r="D136" s="106">
        <f>SUM(E$87:E$94)+SUM(G$87:G$94)+SUM(I$87:I$94)+SUM(K$87:K$94)</f>
        <v>159408.67273685316</v>
      </c>
      <c r="E136" s="106">
        <f>SUM(M$87:M$94)+SUM(O$87:O$94)+SUM(Q$87:Q$94)+SUM(S$87:S$94)</f>
        <v>216625.78373448638</v>
      </c>
      <c r="F136" s="106">
        <f>SUM(U$87:U$94)+SUM(W$87:W$94)+SUM(Y$87:Y$94)+SUM(AA$87:AA$94)</f>
        <v>256391.78665048542</v>
      </c>
      <c r="G136" s="106">
        <f>SUM(AC$87:AC$94)+SUM(AE$87:AE$94)+SUM(AG$87:AG$94)+SUM(AI$87:AI$94)</f>
        <v>265326.41012658231</v>
      </c>
      <c r="H136" s="106">
        <f>SUM(AK$87:AK$94)+SUM(AM$87:AM$94)+SUM(AO$87:AO$94)+SUM(AQ$87:AQ$94)</f>
        <v>213786.50992041943</v>
      </c>
      <c r="I136" s="106">
        <f>SUM(AS$87:AS$94)+SUM(AU$87:AU$94)+SUM(AW$87:AW$94)+SUM(AY$87:AY$94)</f>
        <v>256141.47283898803</v>
      </c>
      <c r="J136" s="106">
        <f>SUM(BA$87:BA$94)+SUM(BC$87:BC$94)+SUM(BE$87:BE$94)+SUM(BG$87:BG$94)</f>
        <v>143693.73466263342</v>
      </c>
      <c r="K136" s="106">
        <f>SUM(BI$87:BI$94)+SUM(BK$87:BK$94)+SUM(BM$87:BM$94)+SUM(BO$87:BO$94)</f>
        <v>218167.7209993724</v>
      </c>
      <c r="L136" s="106">
        <f>SUM(BQ$87:BQ$94)+SUM(BS$87:BS$94)+SUM(BU$87:BU$94)+SUM(BW$87:BW$94)</f>
        <v>200578.51782855793</v>
      </c>
      <c r="M136" s="106">
        <f>SUM(BY$87:BY$94)+SUM(CA$87:CA$94)+SUM(CC$87:CC$94)+SUM(CE$87:CE$94)</f>
        <v>168978.85221121131</v>
      </c>
      <c r="N136" s="106">
        <f>SUM(CG$87:CG$94)+SUM(CI$87:CI$94)+SUM(CK$87:CK$94)+SUM(CM$87:CM$94)</f>
        <v>263023.10521606874</v>
      </c>
      <c r="O136" s="106">
        <f>SUM(CO$87:CO$94)+SUM(CQ$87:CQ$94)+SUM(CS$87:CS$94)+SUM(CU$87:CU$94)</f>
        <v>200507.98029093861</v>
      </c>
    </row>
    <row r="137" spans="2:15">
      <c r="C137" s="105" t="s">
        <v>132</v>
      </c>
      <c r="D137" s="106">
        <f>SUM(E$95:E$105)+SUM(G$95:G$105)+SUM(I$95:I$105)+SUM(K$95:K$105)</f>
        <v>266146.62632636836</v>
      </c>
      <c r="E137" s="106">
        <f>SUM(M$95:M$105)+SUM(O$95:O$105)+SUM(Q$95:Q$105)+SUM(S$95:S$105)</f>
        <v>245121.5241574673</v>
      </c>
      <c r="F137" s="106">
        <f>SUM(U$95:U$105)+SUM(W$95:W$105)+SUM(Y$95:Y$105)+SUM(AA$95:AA$105)</f>
        <v>337059.30572122056</v>
      </c>
      <c r="G137" s="106">
        <f>SUM(AC$95:AC$105)+SUM(AE$95:AE$105)+SUM(AG$95:AG$105)+SUM(AI$95:AI$105)</f>
        <v>320162.43037974689</v>
      </c>
      <c r="H137" s="106">
        <f>SUM(AK$95:AK$105)+SUM(AM$95:AM$105)+SUM(AO$95:AO$105)+SUM(AQ$95:AQ$105)</f>
        <v>271953.61754867097</v>
      </c>
      <c r="I137" s="106">
        <f>SUM(AS$95:AS$105)+SUM(AU$95:AU$105)+SUM(AW$95:AW$105)+SUM(AY$95:AY$105)</f>
        <v>334297.22610323655</v>
      </c>
      <c r="J137" s="106">
        <f>SUM(BA$95:BA$105)+SUM(BC$95:BC$105)+SUM(BE$95:BE$105)+SUM(BG$95:BG$105)</f>
        <v>194744.7754234446</v>
      </c>
      <c r="K137" s="106">
        <f>SUM(BI$95:BI$105)+SUM(BK$95:BK$105)+SUM(BM$95:BM$105)+SUM(BO$95:BO$105)</f>
        <v>301145.75181161758</v>
      </c>
      <c r="L137" s="106">
        <f>SUM(BQ$95:BQ$105)+SUM(BS$95:BS$105)+SUM(BU$95:BU$105)+SUM(BW$95:BW$105)</f>
        <v>275293.96221734188</v>
      </c>
      <c r="M137" s="106">
        <f>SUM(BY$95:BY$105)+SUM(CA$95:CA$105)+SUM(CC$95:CC$105)+SUM(CE$95:CE$105)</f>
        <v>234234.1898572449</v>
      </c>
      <c r="N137" s="106">
        <f>SUM(CG$95:CG$105)+SUM(CI$95:CI$105)+SUM(CK$95:CK$105)+SUM(CM$95:CM$105)</f>
        <v>333434.67795098515</v>
      </c>
      <c r="O137" s="106">
        <f>SUM(CO$95:CO$105)+SUM(CQ$95:CQ$105)+SUM(CS$95:CS$105)+SUM(CU$95:CU$105)</f>
        <v>306798.10700214258</v>
      </c>
    </row>
    <row r="138" spans="2:15">
      <c r="C138" s="105" t="s">
        <v>278</v>
      </c>
      <c r="D138" s="100">
        <f t="shared" ref="D138:O138" si="2">SUM(D$131:D$137)</f>
        <v>2383953.1617659098</v>
      </c>
      <c r="E138" s="100">
        <f t="shared" si="2"/>
        <v>2577821.6532472204</v>
      </c>
      <c r="F138" s="100">
        <f t="shared" si="2"/>
        <v>2936951.8206657418</v>
      </c>
      <c r="G138" s="100">
        <f t="shared" si="2"/>
        <v>2457400.0875707944</v>
      </c>
      <c r="H138" s="100">
        <f t="shared" si="2"/>
        <v>1345097.3352196454</v>
      </c>
      <c r="I138" s="100">
        <f t="shared" si="2"/>
        <v>2541563.3652263028</v>
      </c>
      <c r="J138" s="100">
        <f t="shared" si="2"/>
        <v>2454134.5512827849</v>
      </c>
      <c r="K138" s="100">
        <f t="shared" si="2"/>
        <v>2290163.0187239056</v>
      </c>
      <c r="L138" s="100">
        <f t="shared" si="2"/>
        <v>2208945.0360660772</v>
      </c>
      <c r="M138" s="100">
        <f t="shared" si="2"/>
        <v>2780584.8236374334</v>
      </c>
      <c r="N138" s="100">
        <f t="shared" si="2"/>
        <v>2799402.333980856</v>
      </c>
      <c r="O138" s="100">
        <f t="shared" si="2"/>
        <v>2045430.6544895712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8</v>
      </c>
      <c r="E6" s="100">
        <v>4627.2</v>
      </c>
      <c r="F6" s="100">
        <v>7</v>
      </c>
      <c r="G6" s="100">
        <v>4048.7999999999997</v>
      </c>
      <c r="H6" s="100">
        <v>5</v>
      </c>
      <c r="I6" s="100">
        <v>2892</v>
      </c>
      <c r="J6" s="100">
        <v>5.394336710832869</v>
      </c>
      <c r="K6" s="100">
        <v>3120.0843535457311</v>
      </c>
      <c r="L6" s="100">
        <v>2.1317412075474587</v>
      </c>
      <c r="M6" s="100">
        <v>1232.99911444545</v>
      </c>
      <c r="N6" s="100">
        <v>7</v>
      </c>
      <c r="O6" s="100">
        <v>4048.7999999999997</v>
      </c>
      <c r="P6" s="100">
        <v>6</v>
      </c>
      <c r="Q6" s="100">
        <v>3470.3999999999996</v>
      </c>
      <c r="R6" s="100">
        <v>7</v>
      </c>
      <c r="S6" s="100">
        <v>4048.7999999999997</v>
      </c>
      <c r="T6" s="100">
        <v>5</v>
      </c>
      <c r="U6" s="100">
        <v>2892</v>
      </c>
      <c r="V6" s="100">
        <v>3.4641685393985129</v>
      </c>
      <c r="W6" s="100">
        <v>2003.6750831880997</v>
      </c>
      <c r="X6" s="100">
        <v>8</v>
      </c>
      <c r="Y6" s="100">
        <v>4627.2</v>
      </c>
      <c r="Z6" s="100">
        <v>7</v>
      </c>
      <c r="AA6" s="100">
        <v>4048.7999999999997</v>
      </c>
      <c r="AB6" s="100">
        <v>7.3236808560196476</v>
      </c>
      <c r="AC6" s="100">
        <v>4236.0170071217644</v>
      </c>
      <c r="AD6" s="100">
        <v>1.4022167215105454</v>
      </c>
      <c r="AE6" s="100">
        <v>811.0421517216995</v>
      </c>
      <c r="AF6" s="100">
        <v>9</v>
      </c>
      <c r="AG6" s="100">
        <v>5205.5999999999995</v>
      </c>
      <c r="AH6" s="100">
        <v>7</v>
      </c>
      <c r="AI6" s="100">
        <v>4048.7999999999997</v>
      </c>
      <c r="AJ6" s="100">
        <v>5.0000451339334973</v>
      </c>
      <c r="AK6" s="100">
        <v>2892.0261054671346</v>
      </c>
      <c r="AL6" s="100">
        <v>1.237691141360836</v>
      </c>
      <c r="AM6" s="100">
        <v>715.88055616310749</v>
      </c>
      <c r="AN6" s="100">
        <v>6.5277076878232773E-4</v>
      </c>
      <c r="AO6" s="100">
        <v>0.37756261266369834</v>
      </c>
      <c r="AP6" s="100">
        <v>1.9640940472724511</v>
      </c>
      <c r="AQ6" s="100">
        <v>1136.0319969423856</v>
      </c>
      <c r="AR6" s="100">
        <v>9</v>
      </c>
      <c r="AS6" s="100">
        <v>5205.5999999999995</v>
      </c>
      <c r="AT6" s="100">
        <v>6</v>
      </c>
      <c r="AU6" s="100">
        <v>3470.3999999999996</v>
      </c>
      <c r="AV6" s="100">
        <v>6.1608732240937174</v>
      </c>
      <c r="AW6" s="100">
        <v>3563.4490728158062</v>
      </c>
      <c r="AX6" s="100">
        <v>1.8919749689741656</v>
      </c>
      <c r="AY6" s="100">
        <v>1094.3183220546573</v>
      </c>
      <c r="AZ6" s="100">
        <v>10</v>
      </c>
      <c r="BA6" s="100">
        <v>5784</v>
      </c>
      <c r="BB6" s="100">
        <v>6.2830642741518545</v>
      </c>
      <c r="BC6" s="100">
        <v>3634.1243761694327</v>
      </c>
      <c r="BD6" s="100">
        <v>1.810056530395848</v>
      </c>
      <c r="BE6" s="100">
        <v>1046.9366971809584</v>
      </c>
      <c r="BF6" s="100">
        <v>5.0952688120141572</v>
      </c>
      <c r="BG6" s="100">
        <v>2947.1034808689883</v>
      </c>
      <c r="BH6" s="100">
        <v>5.0195791347993435</v>
      </c>
      <c r="BI6" s="100">
        <v>2903.32457156794</v>
      </c>
      <c r="BJ6" s="100">
        <v>7</v>
      </c>
      <c r="BK6" s="100">
        <v>4048.7999999999997</v>
      </c>
      <c r="BL6" s="100">
        <v>9.6544833032312773</v>
      </c>
      <c r="BM6" s="100">
        <v>5584.1531425889707</v>
      </c>
      <c r="BN6" s="100">
        <v>4.3378926323949578</v>
      </c>
      <c r="BO6" s="100">
        <v>2509.0370985772433</v>
      </c>
      <c r="BP6" s="100">
        <v>0.23410406830337105</v>
      </c>
      <c r="BQ6" s="100">
        <v>135.40579310666982</v>
      </c>
      <c r="BR6" s="100">
        <v>8</v>
      </c>
      <c r="BS6" s="100">
        <v>4627.2</v>
      </c>
      <c r="BT6" s="100">
        <v>9.4478808693304916</v>
      </c>
      <c r="BU6" s="100">
        <v>5464.6542948207561</v>
      </c>
      <c r="BV6" s="100">
        <v>2.1556465882165345</v>
      </c>
      <c r="BW6" s="100">
        <v>1246.8259866244434</v>
      </c>
      <c r="BX6" s="100">
        <v>0.32854645400724608</v>
      </c>
      <c r="BY6" s="100">
        <v>190.03126899779113</v>
      </c>
      <c r="BZ6" s="100">
        <v>7</v>
      </c>
      <c r="CA6" s="100">
        <v>4048.7999999999997</v>
      </c>
      <c r="CB6" s="100">
        <v>6</v>
      </c>
      <c r="CC6" s="100">
        <v>3470.3999999999996</v>
      </c>
      <c r="CD6" s="100">
        <v>7</v>
      </c>
      <c r="CE6" s="100">
        <v>4048.7999999999997</v>
      </c>
      <c r="CF6" s="100">
        <v>8.3250982276355394</v>
      </c>
      <c r="CG6" s="100">
        <v>4815.2368148643955</v>
      </c>
      <c r="CH6" s="100">
        <v>9.9579786922779761</v>
      </c>
      <c r="CI6" s="100">
        <v>5759.6948756135807</v>
      </c>
      <c r="CJ6" s="100">
        <v>8</v>
      </c>
      <c r="CK6" s="100">
        <v>4627.2</v>
      </c>
      <c r="CL6" s="100">
        <v>10</v>
      </c>
      <c r="CM6" s="100">
        <v>5784</v>
      </c>
      <c r="CN6" s="100">
        <v>4.304623715565536</v>
      </c>
      <c r="CO6" s="100">
        <v>2489.7943570831058</v>
      </c>
      <c r="CP6" s="100">
        <v>6.0667711845640052E-4</v>
      </c>
      <c r="CQ6" s="100">
        <v>0.35090204531518204</v>
      </c>
      <c r="CR6" s="100">
        <v>2.0425309635981947</v>
      </c>
      <c r="CS6" s="100">
        <v>1181.3999093451957</v>
      </c>
      <c r="CT6" s="100">
        <v>6</v>
      </c>
      <c r="CU6" s="100">
        <v>3470.3999999999996</v>
      </c>
    </row>
    <row r="7" spans="1:99">
      <c r="C7" s="99" t="s">
        <v>173</v>
      </c>
      <c r="D7" s="100">
        <v>8</v>
      </c>
      <c r="E7" s="100">
        <v>6307.2</v>
      </c>
      <c r="F7" s="100">
        <v>8</v>
      </c>
      <c r="G7" s="100">
        <v>6307.2</v>
      </c>
      <c r="H7" s="100">
        <v>4</v>
      </c>
      <c r="I7" s="100">
        <v>3153.6</v>
      </c>
      <c r="J7" s="100">
        <v>5.394336710832869</v>
      </c>
      <c r="K7" s="100">
        <v>4252.8950628206339</v>
      </c>
      <c r="L7" s="100">
        <v>2.1317412075474587</v>
      </c>
      <c r="M7" s="100">
        <v>1680.6647680304163</v>
      </c>
      <c r="N7" s="100">
        <v>7</v>
      </c>
      <c r="O7" s="100">
        <v>5518.8</v>
      </c>
      <c r="P7" s="100">
        <v>5</v>
      </c>
      <c r="Q7" s="100">
        <v>3942</v>
      </c>
      <c r="R7" s="100">
        <v>8</v>
      </c>
      <c r="S7" s="100">
        <v>6307.2</v>
      </c>
      <c r="T7" s="100">
        <v>5</v>
      </c>
      <c r="U7" s="100">
        <v>3942</v>
      </c>
      <c r="V7" s="100">
        <v>3.4641685393985129</v>
      </c>
      <c r="W7" s="100">
        <v>2731.1504764617875</v>
      </c>
      <c r="X7" s="100">
        <v>7</v>
      </c>
      <c r="Y7" s="100">
        <v>5518.8</v>
      </c>
      <c r="Z7" s="100">
        <v>7</v>
      </c>
      <c r="AA7" s="100">
        <v>5518.8</v>
      </c>
      <c r="AB7" s="100">
        <v>7.277440733731126</v>
      </c>
      <c r="AC7" s="100">
        <v>5737.5342744736199</v>
      </c>
      <c r="AD7" s="100">
        <v>1.1217733772084364</v>
      </c>
      <c r="AE7" s="100">
        <v>884.40613059113127</v>
      </c>
      <c r="AF7" s="100">
        <v>8</v>
      </c>
      <c r="AG7" s="100">
        <v>6307.2</v>
      </c>
      <c r="AH7" s="100">
        <v>7</v>
      </c>
      <c r="AI7" s="100">
        <v>5518.8</v>
      </c>
      <c r="AJ7" s="100">
        <v>5.0000451339334973</v>
      </c>
      <c r="AK7" s="100">
        <v>3942.0355835931691</v>
      </c>
      <c r="AL7" s="100">
        <v>1.237691141360836</v>
      </c>
      <c r="AM7" s="100">
        <v>975.79569584888304</v>
      </c>
      <c r="AN7" s="100">
        <v>6.5277076878232773E-4</v>
      </c>
      <c r="AO7" s="100">
        <v>0.51464447410798719</v>
      </c>
      <c r="AP7" s="100">
        <v>2.2096058031815078</v>
      </c>
      <c r="AQ7" s="100">
        <v>1742.0532152283006</v>
      </c>
      <c r="AR7" s="100">
        <v>10</v>
      </c>
      <c r="AS7" s="100">
        <v>7884</v>
      </c>
      <c r="AT7" s="100">
        <v>6</v>
      </c>
      <c r="AU7" s="100">
        <v>4730.3999999999996</v>
      </c>
      <c r="AV7" s="100">
        <v>6.20101289591181</v>
      </c>
      <c r="AW7" s="100">
        <v>4888.8785671368705</v>
      </c>
      <c r="AX7" s="100">
        <v>2.102194409971295</v>
      </c>
      <c r="AY7" s="100">
        <v>1657.3700728213689</v>
      </c>
      <c r="AZ7" s="100">
        <v>8</v>
      </c>
      <c r="BA7" s="100">
        <v>6307.2</v>
      </c>
      <c r="BB7" s="100">
        <v>6.3302416531771639</v>
      </c>
      <c r="BC7" s="100">
        <v>4990.7625193648755</v>
      </c>
      <c r="BD7" s="100">
        <v>1.810056530395848</v>
      </c>
      <c r="BE7" s="100">
        <v>1427.0485685640865</v>
      </c>
      <c r="BF7" s="100">
        <v>5.0952688120141572</v>
      </c>
      <c r="BG7" s="100">
        <v>4017.1099313919613</v>
      </c>
      <c r="BH7" s="100">
        <v>6.0195791347993435</v>
      </c>
      <c r="BI7" s="100">
        <v>4745.8361898758021</v>
      </c>
      <c r="BJ7" s="100">
        <v>8</v>
      </c>
      <c r="BK7" s="100">
        <v>6307.2</v>
      </c>
      <c r="BL7" s="100">
        <v>9.7197690871765818</v>
      </c>
      <c r="BM7" s="100">
        <v>7663.0659483300169</v>
      </c>
      <c r="BN7" s="100">
        <v>4.3323059898636904</v>
      </c>
      <c r="BO7" s="100">
        <v>3415.5900424085335</v>
      </c>
      <c r="BP7" s="100">
        <v>0.23410406830337105</v>
      </c>
      <c r="BQ7" s="100">
        <v>184.56764745037773</v>
      </c>
      <c r="BR7" s="100">
        <v>8</v>
      </c>
      <c r="BS7" s="100">
        <v>6307.2</v>
      </c>
      <c r="BT7" s="100">
        <v>8.4926689562635413</v>
      </c>
      <c r="BU7" s="100">
        <v>6695.6202051181754</v>
      </c>
      <c r="BV7" s="100">
        <v>2.1556465882165345</v>
      </c>
      <c r="BW7" s="100">
        <v>1699.5117701499157</v>
      </c>
      <c r="BX7" s="100">
        <v>0.36505161556360671</v>
      </c>
      <c r="BY7" s="100">
        <v>287.80669371034753</v>
      </c>
      <c r="BZ7" s="100">
        <v>6</v>
      </c>
      <c r="CA7" s="100">
        <v>4730.3999999999996</v>
      </c>
      <c r="CB7" s="100">
        <v>6</v>
      </c>
      <c r="CC7" s="100">
        <v>4730.3999999999996</v>
      </c>
      <c r="CD7" s="100">
        <v>7</v>
      </c>
      <c r="CE7" s="100">
        <v>5518.8</v>
      </c>
      <c r="CF7" s="100">
        <v>9.3657355060899814</v>
      </c>
      <c r="CG7" s="100">
        <v>7383.9458730013412</v>
      </c>
      <c r="CH7" s="100">
        <v>9.9579786922779761</v>
      </c>
      <c r="CI7" s="100">
        <v>7850.8704009919556</v>
      </c>
      <c r="CJ7" s="100">
        <v>10</v>
      </c>
      <c r="CK7" s="100">
        <v>7884</v>
      </c>
      <c r="CL7" s="100">
        <v>10</v>
      </c>
      <c r="CM7" s="100">
        <v>7884</v>
      </c>
      <c r="CN7" s="100">
        <v>4.2924690676578194</v>
      </c>
      <c r="CO7" s="100">
        <v>3384.1826129414248</v>
      </c>
      <c r="CP7" s="100">
        <v>6.0463343607446206E-4</v>
      </c>
      <c r="CQ7" s="100">
        <v>0.4766930010011059</v>
      </c>
      <c r="CR7" s="100">
        <v>2.2978473340479693</v>
      </c>
      <c r="CS7" s="100">
        <v>1811.6228381634189</v>
      </c>
      <c r="CT7" s="100">
        <v>7</v>
      </c>
      <c r="CU7" s="100">
        <v>5518.8</v>
      </c>
    </row>
    <row r="8" spans="1:99">
      <c r="C8" s="99" t="s">
        <v>174</v>
      </c>
      <c r="D8" s="100">
        <v>7</v>
      </c>
      <c r="E8" s="100">
        <v>2167.1999999999998</v>
      </c>
      <c r="F8" s="100">
        <v>9</v>
      </c>
      <c r="G8" s="100">
        <v>2786.3999999999996</v>
      </c>
      <c r="H8" s="100">
        <v>4</v>
      </c>
      <c r="I8" s="100">
        <v>1238.3999999999999</v>
      </c>
      <c r="J8" s="100">
        <v>5.394336710832869</v>
      </c>
      <c r="K8" s="100">
        <v>1670.0866456738561</v>
      </c>
      <c r="L8" s="100">
        <v>2.1317412075474587</v>
      </c>
      <c r="M8" s="100">
        <v>659.98707785669308</v>
      </c>
      <c r="N8" s="100">
        <v>8</v>
      </c>
      <c r="O8" s="100">
        <v>2476.7999999999997</v>
      </c>
      <c r="P8" s="100">
        <v>5</v>
      </c>
      <c r="Q8" s="100">
        <v>1547.9999999999998</v>
      </c>
      <c r="R8" s="100">
        <v>8</v>
      </c>
      <c r="S8" s="100">
        <v>2476.7999999999997</v>
      </c>
      <c r="T8" s="100">
        <v>5</v>
      </c>
      <c r="U8" s="100">
        <v>1547.9999999999998</v>
      </c>
      <c r="V8" s="100">
        <v>3.4641685393985129</v>
      </c>
      <c r="W8" s="100">
        <v>1072.5065797977795</v>
      </c>
      <c r="X8" s="100">
        <v>8</v>
      </c>
      <c r="Y8" s="100">
        <v>2476.7999999999997</v>
      </c>
      <c r="Z8" s="100">
        <v>6</v>
      </c>
      <c r="AA8" s="100">
        <v>1857.6</v>
      </c>
      <c r="AB8" s="100">
        <v>7.3236808560196476</v>
      </c>
      <c r="AC8" s="100">
        <v>2267.4115930236826</v>
      </c>
      <c r="AD8" s="100">
        <v>1.4022167215105454</v>
      </c>
      <c r="AE8" s="100">
        <v>434.1262969796648</v>
      </c>
      <c r="AF8" s="100">
        <v>9</v>
      </c>
      <c r="AG8" s="100">
        <v>2786.3999999999996</v>
      </c>
      <c r="AH8" s="100">
        <v>8</v>
      </c>
      <c r="AI8" s="100">
        <v>2476.7999999999997</v>
      </c>
      <c r="AJ8" s="100">
        <v>5.0000501488149975</v>
      </c>
      <c r="AK8" s="100">
        <v>1548.0155260731231</v>
      </c>
      <c r="AL8" s="100">
        <v>1.0608788254816863</v>
      </c>
      <c r="AM8" s="100">
        <v>328.44808436913007</v>
      </c>
      <c r="AN8" s="100">
        <v>6.6041266488265878E-4</v>
      </c>
      <c r="AO8" s="100">
        <v>0.20446376104767114</v>
      </c>
      <c r="AP8" s="100">
        <v>2.2096058031815078</v>
      </c>
      <c r="AQ8" s="100">
        <v>684.09395666499472</v>
      </c>
      <c r="AR8" s="100">
        <v>10</v>
      </c>
      <c r="AS8" s="100">
        <v>3095.9999999999995</v>
      </c>
      <c r="AT8" s="100">
        <v>7</v>
      </c>
      <c r="AU8" s="100">
        <v>2167.1999999999998</v>
      </c>
      <c r="AV8" s="100">
        <v>6.20101289591181</v>
      </c>
      <c r="AW8" s="100">
        <v>1919.8335925742963</v>
      </c>
      <c r="AX8" s="100">
        <v>2.3124138509684249</v>
      </c>
      <c r="AY8" s="100">
        <v>715.9233282598243</v>
      </c>
      <c r="AZ8" s="100">
        <v>9</v>
      </c>
      <c r="BA8" s="100">
        <v>2786.3999999999996</v>
      </c>
      <c r="BB8" s="100">
        <v>7.3302416531771639</v>
      </c>
      <c r="BC8" s="100">
        <v>2269.4428158236497</v>
      </c>
      <c r="BD8" s="100">
        <v>2.0671670585652873</v>
      </c>
      <c r="BE8" s="100">
        <v>639.99492133181286</v>
      </c>
      <c r="BF8" s="100">
        <v>5.0952688120141572</v>
      </c>
      <c r="BG8" s="100">
        <v>1577.4952241995829</v>
      </c>
      <c r="BH8" s="100">
        <v>6.0171317429494255</v>
      </c>
      <c r="BI8" s="100">
        <v>1862.9039876171419</v>
      </c>
      <c r="BJ8" s="100">
        <v>8</v>
      </c>
      <c r="BK8" s="100">
        <v>2476.7999999999997</v>
      </c>
      <c r="BL8" s="100">
        <v>9.6871261952039305</v>
      </c>
      <c r="BM8" s="100">
        <v>2999.1342700351365</v>
      </c>
      <c r="BN8" s="100">
        <v>4.3378926323949578</v>
      </c>
      <c r="BO8" s="100">
        <v>1343.0115589894788</v>
      </c>
      <c r="BP8" s="100">
        <v>0.23410406830337105</v>
      </c>
      <c r="BQ8" s="100">
        <v>72.478619546723664</v>
      </c>
      <c r="BR8" s="100">
        <v>9</v>
      </c>
      <c r="BS8" s="100">
        <v>2786.3999999999996</v>
      </c>
      <c r="BT8" s="100">
        <v>9.4926689562635413</v>
      </c>
      <c r="BU8" s="100">
        <v>2938.9303088591919</v>
      </c>
      <c r="BV8" s="100">
        <v>2.1556465882165345</v>
      </c>
      <c r="BW8" s="100">
        <v>667.38818371183902</v>
      </c>
      <c r="BX8" s="100">
        <v>0.32854645400724608</v>
      </c>
      <c r="BY8" s="100">
        <v>101.71798216064337</v>
      </c>
      <c r="BZ8" s="100">
        <v>7</v>
      </c>
      <c r="CA8" s="100">
        <v>2167.1999999999998</v>
      </c>
      <c r="CB8" s="100">
        <v>6</v>
      </c>
      <c r="CC8" s="100">
        <v>1857.6</v>
      </c>
      <c r="CD8" s="100">
        <v>8</v>
      </c>
      <c r="CE8" s="100">
        <v>2476.7999999999997</v>
      </c>
      <c r="CF8" s="100">
        <v>9.3250982276355394</v>
      </c>
      <c r="CG8" s="100">
        <v>2887.0504112759627</v>
      </c>
      <c r="CH8" s="100">
        <v>9.0527079020708872</v>
      </c>
      <c r="CI8" s="100">
        <v>2802.7183664811464</v>
      </c>
      <c r="CJ8" s="100">
        <v>9</v>
      </c>
      <c r="CK8" s="100">
        <v>2786.3999999999996</v>
      </c>
      <c r="CL8" s="100">
        <v>10</v>
      </c>
      <c r="CM8" s="100">
        <v>3095.9999999999995</v>
      </c>
      <c r="CN8" s="100">
        <v>4.2924690676578194</v>
      </c>
      <c r="CO8" s="100">
        <v>1328.9484233468609</v>
      </c>
      <c r="CP8" s="100">
        <v>6.0463343607446206E-4</v>
      </c>
      <c r="CQ8" s="100">
        <v>0.18719451180865343</v>
      </c>
      <c r="CR8" s="100">
        <v>2.0425309635981947</v>
      </c>
      <c r="CS8" s="100">
        <v>632.36758633000102</v>
      </c>
      <c r="CT8" s="100">
        <v>8</v>
      </c>
      <c r="CU8" s="100">
        <v>2476.7999999999997</v>
      </c>
    </row>
    <row r="9" spans="1:99">
      <c r="C9" s="99" t="s">
        <v>175</v>
      </c>
      <c r="D9" s="100">
        <v>8</v>
      </c>
      <c r="E9" s="100">
        <v>5616</v>
      </c>
      <c r="F9" s="100">
        <v>7</v>
      </c>
      <c r="G9" s="100">
        <v>4914</v>
      </c>
      <c r="H9" s="100">
        <v>5</v>
      </c>
      <c r="I9" s="100">
        <v>3510</v>
      </c>
      <c r="J9" s="100">
        <v>5.4436287996869774</v>
      </c>
      <c r="K9" s="100">
        <v>3821.4274173802582</v>
      </c>
      <c r="L9" s="100">
        <v>2.1317412075474587</v>
      </c>
      <c r="M9" s="100">
        <v>1496.4823276983159</v>
      </c>
      <c r="N9" s="100">
        <v>8</v>
      </c>
      <c r="O9" s="100">
        <v>5616</v>
      </c>
      <c r="P9" s="100">
        <v>5</v>
      </c>
      <c r="Q9" s="100">
        <v>3510</v>
      </c>
      <c r="R9" s="100">
        <v>9</v>
      </c>
      <c r="S9" s="100">
        <v>6318</v>
      </c>
      <c r="T9" s="100">
        <v>5</v>
      </c>
      <c r="U9" s="100">
        <v>3510</v>
      </c>
      <c r="V9" s="100">
        <v>3.4641685393985129</v>
      </c>
      <c r="W9" s="100">
        <v>2431.846314657756</v>
      </c>
      <c r="X9" s="100">
        <v>7</v>
      </c>
      <c r="Y9" s="100">
        <v>4914</v>
      </c>
      <c r="Z9" s="100">
        <v>7</v>
      </c>
      <c r="AA9" s="100">
        <v>4914</v>
      </c>
      <c r="AB9" s="100">
        <v>7.3236808560196476</v>
      </c>
      <c r="AC9" s="100">
        <v>5141.2239609257922</v>
      </c>
      <c r="AD9" s="100">
        <v>1.4022167215105454</v>
      </c>
      <c r="AE9" s="100">
        <v>984.35613850040295</v>
      </c>
      <c r="AF9" s="100">
        <v>9</v>
      </c>
      <c r="AG9" s="100">
        <v>6318</v>
      </c>
      <c r="AH9" s="100">
        <v>7</v>
      </c>
      <c r="AI9" s="100">
        <v>4914</v>
      </c>
      <c r="AJ9" s="100">
        <v>5.0000451339334973</v>
      </c>
      <c r="AK9" s="100">
        <v>3510.031684021315</v>
      </c>
      <c r="AL9" s="100">
        <v>1.237691141360836</v>
      </c>
      <c r="AM9" s="100">
        <v>868.85918123530689</v>
      </c>
      <c r="AN9" s="100">
        <v>6.5659171683249331E-4</v>
      </c>
      <c r="AO9" s="100">
        <v>0.4609273852164103</v>
      </c>
      <c r="AP9" s="100">
        <v>2.2096058031815078</v>
      </c>
      <c r="AQ9" s="100">
        <v>1551.1432738334186</v>
      </c>
      <c r="AR9" s="100">
        <v>9</v>
      </c>
      <c r="AS9" s="100">
        <v>6318</v>
      </c>
      <c r="AT9" s="100">
        <v>6</v>
      </c>
      <c r="AU9" s="100">
        <v>4212</v>
      </c>
      <c r="AV9" s="100">
        <v>5.2344101996233281</v>
      </c>
      <c r="AW9" s="100">
        <v>3674.5559601355762</v>
      </c>
      <c r="AX9" s="100">
        <v>2.102194409971295</v>
      </c>
      <c r="AY9" s="100">
        <v>1475.740475799849</v>
      </c>
      <c r="AZ9" s="100">
        <v>9</v>
      </c>
      <c r="BA9" s="100">
        <v>6318</v>
      </c>
      <c r="BB9" s="100">
        <v>7.3302416531771639</v>
      </c>
      <c r="BC9" s="100">
        <v>5145.829640530369</v>
      </c>
      <c r="BD9" s="100">
        <v>1.8115255065686733</v>
      </c>
      <c r="BE9" s="100">
        <v>1271.6909056112086</v>
      </c>
      <c r="BF9" s="100">
        <v>4.2460573433451314</v>
      </c>
      <c r="BG9" s="100">
        <v>2980.7322550282825</v>
      </c>
      <c r="BH9" s="100">
        <v>5.0171317429494255</v>
      </c>
      <c r="BI9" s="100">
        <v>3522.0264835504968</v>
      </c>
      <c r="BJ9" s="100">
        <v>8</v>
      </c>
      <c r="BK9" s="100">
        <v>5616</v>
      </c>
      <c r="BL9" s="100">
        <v>8.7184135756835381</v>
      </c>
      <c r="BM9" s="100">
        <v>6120.3263301298439</v>
      </c>
      <c r="BN9" s="100">
        <v>4.3323059898636904</v>
      </c>
      <c r="BO9" s="100">
        <v>3041.2788048843108</v>
      </c>
      <c r="BP9" s="100">
        <v>0.20066062997431802</v>
      </c>
      <c r="BQ9" s="100">
        <v>140.86376224197124</v>
      </c>
      <c r="BR9" s="100">
        <v>9</v>
      </c>
      <c r="BS9" s="100">
        <v>6318</v>
      </c>
      <c r="BT9" s="100">
        <v>9.4926689562635413</v>
      </c>
      <c r="BU9" s="100">
        <v>6663.8536072970064</v>
      </c>
      <c r="BV9" s="100">
        <v>2.1556465882165345</v>
      </c>
      <c r="BW9" s="100">
        <v>1513.2639049280072</v>
      </c>
      <c r="BX9" s="100">
        <v>0.32854645400724608</v>
      </c>
      <c r="BY9" s="100">
        <v>230.63961071308674</v>
      </c>
      <c r="BZ9" s="100">
        <v>7</v>
      </c>
      <c r="CA9" s="100">
        <v>4914</v>
      </c>
      <c r="CB9" s="100">
        <v>6</v>
      </c>
      <c r="CC9" s="100">
        <v>4212</v>
      </c>
      <c r="CD9" s="100">
        <v>8</v>
      </c>
      <c r="CE9" s="100">
        <v>5616</v>
      </c>
      <c r="CF9" s="100">
        <v>9.3250982276355394</v>
      </c>
      <c r="CG9" s="100">
        <v>6546.2189558001483</v>
      </c>
      <c r="CH9" s="100">
        <v>9.0527079020708872</v>
      </c>
      <c r="CI9" s="100">
        <v>6355.0009472537631</v>
      </c>
      <c r="CJ9" s="100">
        <v>10</v>
      </c>
      <c r="CK9" s="100">
        <v>7020</v>
      </c>
      <c r="CL9" s="100">
        <v>8</v>
      </c>
      <c r="CM9" s="100">
        <v>5616</v>
      </c>
      <c r="CN9" s="100">
        <v>4.304623715565536</v>
      </c>
      <c r="CO9" s="100">
        <v>3021.8458483270065</v>
      </c>
      <c r="CP9" s="100">
        <v>5.5319675690922285E-4</v>
      </c>
      <c r="CQ9" s="100">
        <v>0.38834412335027446</v>
      </c>
      <c r="CR9" s="100">
        <v>2.2978473340479693</v>
      </c>
      <c r="CS9" s="100">
        <v>1613.0888285016745</v>
      </c>
      <c r="CT9" s="100">
        <v>7</v>
      </c>
      <c r="CU9" s="100">
        <v>4914</v>
      </c>
    </row>
    <row r="10" spans="1:99">
      <c r="C10" s="99" t="s">
        <v>176</v>
      </c>
      <c r="D10" s="100">
        <v>7</v>
      </c>
      <c r="E10" s="100">
        <v>3813.5999999999995</v>
      </c>
      <c r="F10" s="100">
        <v>9</v>
      </c>
      <c r="G10" s="100">
        <v>4903.2</v>
      </c>
      <c r="H10" s="100">
        <v>4</v>
      </c>
      <c r="I10" s="100">
        <v>2179.1999999999998</v>
      </c>
      <c r="J10" s="100">
        <v>5.394336710832869</v>
      </c>
      <c r="K10" s="100">
        <v>2938.834640061747</v>
      </c>
      <c r="L10" s="100">
        <v>2.4870314088053687</v>
      </c>
      <c r="M10" s="100">
        <v>1354.9347115171647</v>
      </c>
      <c r="N10" s="100">
        <v>8</v>
      </c>
      <c r="O10" s="100">
        <v>4358.3999999999996</v>
      </c>
      <c r="P10" s="100">
        <v>5</v>
      </c>
      <c r="Q10" s="100">
        <v>2724</v>
      </c>
      <c r="R10" s="100">
        <v>7</v>
      </c>
      <c r="S10" s="100">
        <v>3813.5999999999995</v>
      </c>
      <c r="T10" s="100">
        <v>5</v>
      </c>
      <c r="U10" s="100">
        <v>2724</v>
      </c>
      <c r="V10" s="100">
        <v>4.1570022472782151</v>
      </c>
      <c r="W10" s="100">
        <v>2264.7348243171714</v>
      </c>
      <c r="X10" s="100">
        <v>8</v>
      </c>
      <c r="Y10" s="100">
        <v>4358.3999999999996</v>
      </c>
      <c r="Z10" s="100">
        <v>6</v>
      </c>
      <c r="AA10" s="100">
        <v>3268.7999999999997</v>
      </c>
      <c r="AB10" s="100">
        <v>7.277440733731126</v>
      </c>
      <c r="AC10" s="100">
        <v>3964.749711736717</v>
      </c>
      <c r="AD10" s="100">
        <v>1.4022167215105454</v>
      </c>
      <c r="AE10" s="100">
        <v>763.92766987894504</v>
      </c>
      <c r="AF10" s="100">
        <v>9</v>
      </c>
      <c r="AG10" s="100">
        <v>4903.2</v>
      </c>
      <c r="AH10" s="100">
        <v>9</v>
      </c>
      <c r="AI10" s="100">
        <v>4903.2</v>
      </c>
      <c r="AJ10" s="100">
        <v>5.0000451339334973</v>
      </c>
      <c r="AK10" s="100">
        <v>2724.0245889669691</v>
      </c>
      <c r="AL10" s="100">
        <v>1.237691141360836</v>
      </c>
      <c r="AM10" s="100">
        <v>674.29413381338338</v>
      </c>
      <c r="AN10" s="100">
        <v>5.5034388740221563E-4</v>
      </c>
      <c r="AO10" s="100">
        <v>0.29982734985672704</v>
      </c>
      <c r="AP10" s="100">
        <v>1.9640940472724511</v>
      </c>
      <c r="AQ10" s="100">
        <v>1070.0384369540313</v>
      </c>
      <c r="AR10" s="100">
        <v>9</v>
      </c>
      <c r="AS10" s="100">
        <v>4903.2</v>
      </c>
      <c r="AT10" s="100">
        <v>7</v>
      </c>
      <c r="AU10" s="100">
        <v>3813.5999999999995</v>
      </c>
      <c r="AV10" s="100">
        <v>6.20101289591181</v>
      </c>
      <c r="AW10" s="100">
        <v>3378.3118256927537</v>
      </c>
      <c r="AX10" s="100">
        <v>2.102194409971295</v>
      </c>
      <c r="AY10" s="100">
        <v>1145.2755145523615</v>
      </c>
      <c r="AZ10" s="100">
        <v>8</v>
      </c>
      <c r="BA10" s="100">
        <v>4358.3999999999996</v>
      </c>
      <c r="BB10" s="100">
        <v>6.3302416531771639</v>
      </c>
      <c r="BC10" s="100">
        <v>3448.7156526509184</v>
      </c>
      <c r="BD10" s="100">
        <v>1.552946002226409</v>
      </c>
      <c r="BE10" s="100">
        <v>846.04498201294757</v>
      </c>
      <c r="BF10" s="100">
        <v>4.2460573433451314</v>
      </c>
      <c r="BG10" s="100">
        <v>2313.2520406544272</v>
      </c>
      <c r="BH10" s="100">
        <v>5.0195791347993435</v>
      </c>
      <c r="BI10" s="100">
        <v>2734.6667126386819</v>
      </c>
      <c r="BJ10" s="100">
        <v>8</v>
      </c>
      <c r="BK10" s="100">
        <v>4358.3999999999996</v>
      </c>
      <c r="BL10" s="100">
        <v>10.655838814724325</v>
      </c>
      <c r="BM10" s="100">
        <v>5805.3009862618119</v>
      </c>
      <c r="BN10" s="100">
        <v>5.0506325598201283</v>
      </c>
      <c r="BO10" s="100">
        <v>2751.5846185900054</v>
      </c>
      <c r="BP10" s="100">
        <v>0.20066062997431802</v>
      </c>
      <c r="BQ10" s="100">
        <v>109.31991121000846</v>
      </c>
      <c r="BR10" s="100">
        <v>9</v>
      </c>
      <c r="BS10" s="100">
        <v>4903.2</v>
      </c>
      <c r="BT10" s="100">
        <v>10.447880869330492</v>
      </c>
      <c r="BU10" s="100">
        <v>5692.0054976112515</v>
      </c>
      <c r="BV10" s="100">
        <v>2.4611155653271815</v>
      </c>
      <c r="BW10" s="100">
        <v>1340.8157599902484</v>
      </c>
      <c r="BX10" s="100">
        <v>0.32854645400724608</v>
      </c>
      <c r="BY10" s="100">
        <v>178.99210814314765</v>
      </c>
      <c r="BZ10" s="100">
        <v>6</v>
      </c>
      <c r="CA10" s="100">
        <v>3268.7999999999997</v>
      </c>
      <c r="CB10" s="100">
        <v>6</v>
      </c>
      <c r="CC10" s="100">
        <v>3268.7999999999997</v>
      </c>
      <c r="CD10" s="100">
        <v>8</v>
      </c>
      <c r="CE10" s="100">
        <v>4358.3999999999996</v>
      </c>
      <c r="CF10" s="100">
        <v>9.3250982276355394</v>
      </c>
      <c r="CG10" s="100">
        <v>5080.3135144158414</v>
      </c>
      <c r="CH10" s="100">
        <v>9.0527079020708872</v>
      </c>
      <c r="CI10" s="100">
        <v>4931.9152650482192</v>
      </c>
      <c r="CJ10" s="100">
        <v>9</v>
      </c>
      <c r="CK10" s="100">
        <v>4903.2</v>
      </c>
      <c r="CL10" s="100">
        <v>10</v>
      </c>
      <c r="CM10" s="100">
        <v>5448</v>
      </c>
      <c r="CN10" s="100">
        <v>4.2924690676578194</v>
      </c>
      <c r="CO10" s="100">
        <v>2338.5371480599797</v>
      </c>
      <c r="CP10" s="100">
        <v>5.5115307452728438E-4</v>
      </c>
      <c r="CQ10" s="100">
        <v>0.30026819500246449</v>
      </c>
      <c r="CR10" s="100">
        <v>2.0425309635981947</v>
      </c>
      <c r="CS10" s="100">
        <v>1112.7708689682963</v>
      </c>
      <c r="CT10" s="100">
        <v>7</v>
      </c>
      <c r="CU10" s="100">
        <v>3813.5999999999995</v>
      </c>
    </row>
    <row r="11" spans="1:99">
      <c r="C11" s="99" t="s">
        <v>177</v>
      </c>
      <c r="D11" s="100">
        <v>7</v>
      </c>
      <c r="E11" s="100">
        <v>3729.5999999999995</v>
      </c>
      <c r="F11" s="100">
        <v>8</v>
      </c>
      <c r="G11" s="100">
        <v>4262.3999999999996</v>
      </c>
      <c r="H11" s="100">
        <v>4</v>
      </c>
      <c r="I11" s="100">
        <v>2131.1999999999998</v>
      </c>
      <c r="J11" s="100">
        <v>5.394336710832869</v>
      </c>
      <c r="K11" s="100">
        <v>2874.1025995317523</v>
      </c>
      <c r="L11" s="100">
        <v>2.1317412075474587</v>
      </c>
      <c r="M11" s="100">
        <v>1135.7917153812859</v>
      </c>
      <c r="N11" s="100">
        <v>8</v>
      </c>
      <c r="O11" s="100">
        <v>4262.3999999999996</v>
      </c>
      <c r="P11" s="100">
        <v>5</v>
      </c>
      <c r="Q11" s="100">
        <v>2664</v>
      </c>
      <c r="R11" s="100">
        <v>9</v>
      </c>
      <c r="S11" s="100">
        <v>4795.2</v>
      </c>
      <c r="T11" s="100">
        <v>5</v>
      </c>
      <c r="U11" s="100">
        <v>2664</v>
      </c>
      <c r="V11" s="100">
        <v>3.4641685393985129</v>
      </c>
      <c r="W11" s="100">
        <v>1845.7089977915275</v>
      </c>
      <c r="X11" s="100">
        <v>8</v>
      </c>
      <c r="Y11" s="100">
        <v>4262.3999999999996</v>
      </c>
      <c r="Z11" s="100">
        <v>6</v>
      </c>
      <c r="AA11" s="100">
        <v>3196.7999999999997</v>
      </c>
      <c r="AB11" s="100">
        <v>7.3236808560196476</v>
      </c>
      <c r="AC11" s="100">
        <v>3902.0571600872677</v>
      </c>
      <c r="AD11" s="100">
        <v>1.4022167215105454</v>
      </c>
      <c r="AE11" s="100">
        <v>747.10106922081854</v>
      </c>
      <c r="AF11" s="100">
        <v>10</v>
      </c>
      <c r="AG11" s="100">
        <v>5328</v>
      </c>
      <c r="AH11" s="100">
        <v>9</v>
      </c>
      <c r="AI11" s="100">
        <v>4795.2</v>
      </c>
      <c r="AJ11" s="100">
        <v>5.0000451339334973</v>
      </c>
      <c r="AK11" s="100">
        <v>2664.0240473597669</v>
      </c>
      <c r="AL11" s="100">
        <v>1.237691141360836</v>
      </c>
      <c r="AM11" s="100">
        <v>659.4418401170534</v>
      </c>
      <c r="AN11" s="100">
        <v>6.5277076878232773E-4</v>
      </c>
      <c r="AO11" s="100">
        <v>0.34779626560722421</v>
      </c>
      <c r="AP11" s="100">
        <v>2.2096058031815078</v>
      </c>
      <c r="AQ11" s="100">
        <v>1177.2779719351072</v>
      </c>
      <c r="AR11" s="100">
        <v>10</v>
      </c>
      <c r="AS11" s="100">
        <v>5328</v>
      </c>
      <c r="AT11" s="100">
        <v>6</v>
      </c>
      <c r="AU11" s="100">
        <v>3196.7999999999997</v>
      </c>
      <c r="AV11" s="100">
        <v>6.1608732240937174</v>
      </c>
      <c r="AW11" s="100">
        <v>3282.5132537971322</v>
      </c>
      <c r="AX11" s="100">
        <v>2.3124138509684249</v>
      </c>
      <c r="AY11" s="100">
        <v>1232.0540997959768</v>
      </c>
      <c r="AZ11" s="100">
        <v>8</v>
      </c>
      <c r="BA11" s="100">
        <v>4262.3999999999996</v>
      </c>
      <c r="BB11" s="100">
        <v>7.3302416531771639</v>
      </c>
      <c r="BC11" s="100">
        <v>3905.5527528127927</v>
      </c>
      <c r="BD11" s="100">
        <v>1.8115255065686733</v>
      </c>
      <c r="BE11" s="100">
        <v>965.18078989978903</v>
      </c>
      <c r="BF11" s="100">
        <v>4.2460573433451314</v>
      </c>
      <c r="BG11" s="100">
        <v>2262.2993525342858</v>
      </c>
      <c r="BH11" s="100">
        <v>5.0195791347993435</v>
      </c>
      <c r="BI11" s="100">
        <v>2674.4317630210899</v>
      </c>
      <c r="BJ11" s="100">
        <v>7</v>
      </c>
      <c r="BK11" s="100">
        <v>3729.5999999999995</v>
      </c>
      <c r="BL11" s="100">
        <v>9.6871261952039305</v>
      </c>
      <c r="BM11" s="100">
        <v>5161.300836804654</v>
      </c>
      <c r="BN11" s="100">
        <v>4.3378926323949578</v>
      </c>
      <c r="BO11" s="100">
        <v>2311.2291945400334</v>
      </c>
      <c r="BP11" s="100">
        <v>0.20066062997431802</v>
      </c>
      <c r="BQ11" s="100">
        <v>106.91198365031663</v>
      </c>
      <c r="BR11" s="100">
        <v>9</v>
      </c>
      <c r="BS11" s="100">
        <v>4795.2</v>
      </c>
      <c r="BT11" s="100">
        <v>8.4926689562635413</v>
      </c>
      <c r="BU11" s="100">
        <v>4524.8940198972141</v>
      </c>
      <c r="BV11" s="100">
        <v>2.1556465882165345</v>
      </c>
      <c r="BW11" s="100">
        <v>1148.5285022017695</v>
      </c>
      <c r="BX11" s="100">
        <v>0.32854645400724608</v>
      </c>
      <c r="BY11" s="100">
        <v>175.0495506950607</v>
      </c>
      <c r="BZ11" s="100">
        <v>7</v>
      </c>
      <c r="CA11" s="100">
        <v>3729.5999999999995</v>
      </c>
      <c r="CB11" s="100">
        <v>6</v>
      </c>
      <c r="CC11" s="100">
        <v>3196.7999999999997</v>
      </c>
      <c r="CD11" s="100">
        <v>8</v>
      </c>
      <c r="CE11" s="100">
        <v>4262.3999999999996</v>
      </c>
      <c r="CF11" s="100">
        <v>8.2844609491810957</v>
      </c>
      <c r="CG11" s="100">
        <v>4413.9607937236869</v>
      </c>
      <c r="CH11" s="100">
        <v>9.9579786922779761</v>
      </c>
      <c r="CI11" s="100">
        <v>5305.6110472457049</v>
      </c>
      <c r="CJ11" s="100">
        <v>9</v>
      </c>
      <c r="CK11" s="100">
        <v>4795.2</v>
      </c>
      <c r="CL11" s="100">
        <v>10</v>
      </c>
      <c r="CM11" s="100">
        <v>5328</v>
      </c>
      <c r="CN11" s="100">
        <v>4.304623715565536</v>
      </c>
      <c r="CO11" s="100">
        <v>2293.5035156533172</v>
      </c>
      <c r="CP11" s="100">
        <v>5.5115307452728438E-4</v>
      </c>
      <c r="CQ11" s="100">
        <v>0.29365435810813711</v>
      </c>
      <c r="CR11" s="100">
        <v>2.0425309635981947</v>
      </c>
      <c r="CS11" s="100">
        <v>1088.260497405118</v>
      </c>
      <c r="CT11" s="100">
        <v>7</v>
      </c>
      <c r="CU11" s="100">
        <v>3729.5999999999995</v>
      </c>
    </row>
    <row r="12" spans="1:99">
      <c r="C12" s="99" t="s">
        <v>178</v>
      </c>
      <c r="D12" s="100">
        <v>7</v>
      </c>
      <c r="E12" s="100">
        <v>3939.5999999999995</v>
      </c>
      <c r="F12" s="100">
        <v>8</v>
      </c>
      <c r="G12" s="100">
        <v>4502.3999999999996</v>
      </c>
      <c r="H12" s="100">
        <v>5</v>
      </c>
      <c r="I12" s="100">
        <v>2814</v>
      </c>
      <c r="J12" s="100">
        <v>5.4436287996869774</v>
      </c>
      <c r="K12" s="100">
        <v>3063.6742884638306</v>
      </c>
      <c r="L12" s="100">
        <v>2.1317412075474587</v>
      </c>
      <c r="M12" s="100">
        <v>1199.7439516077097</v>
      </c>
      <c r="N12" s="100">
        <v>7</v>
      </c>
      <c r="O12" s="100">
        <v>3939.5999999999995</v>
      </c>
      <c r="P12" s="100">
        <v>5</v>
      </c>
      <c r="Q12" s="100">
        <v>2814</v>
      </c>
      <c r="R12" s="100">
        <v>7</v>
      </c>
      <c r="S12" s="100">
        <v>3939.5999999999995</v>
      </c>
      <c r="T12" s="100">
        <v>5</v>
      </c>
      <c r="U12" s="100">
        <v>2814</v>
      </c>
      <c r="V12" s="100">
        <v>3.4641685393985129</v>
      </c>
      <c r="W12" s="100">
        <v>1949.6340539734829</v>
      </c>
      <c r="X12" s="100">
        <v>8</v>
      </c>
      <c r="Y12" s="100">
        <v>4502.3999999999996</v>
      </c>
      <c r="Z12" s="100">
        <v>6</v>
      </c>
      <c r="AA12" s="100">
        <v>3376.7999999999997</v>
      </c>
      <c r="AB12" s="100">
        <v>7.277440733731126</v>
      </c>
      <c r="AC12" s="100">
        <v>4095.7436449438774</v>
      </c>
      <c r="AD12" s="100">
        <v>1.4022167215105454</v>
      </c>
      <c r="AE12" s="100">
        <v>789.16757086613495</v>
      </c>
      <c r="AF12" s="100">
        <v>8</v>
      </c>
      <c r="AG12" s="100">
        <v>4502.3999999999996</v>
      </c>
      <c r="AH12" s="100">
        <v>8</v>
      </c>
      <c r="AI12" s="100">
        <v>4502.3999999999996</v>
      </c>
      <c r="AJ12" s="100">
        <v>6.0000451339334973</v>
      </c>
      <c r="AK12" s="100">
        <v>3376.8254013777719</v>
      </c>
      <c r="AL12" s="100">
        <v>1.0608788254816863</v>
      </c>
      <c r="AM12" s="100">
        <v>597.06260298109305</v>
      </c>
      <c r="AN12" s="100">
        <v>6.6041266488265878E-4</v>
      </c>
      <c r="AO12" s="100">
        <v>0.37168024779596032</v>
      </c>
      <c r="AP12" s="100">
        <v>2.4551175590905641</v>
      </c>
      <c r="AQ12" s="100">
        <v>1381.7401622561692</v>
      </c>
      <c r="AR12" s="100">
        <v>10</v>
      </c>
      <c r="AS12" s="100">
        <v>5628</v>
      </c>
      <c r="AT12" s="100">
        <v>6</v>
      </c>
      <c r="AU12" s="100">
        <v>3376.7999999999997</v>
      </c>
      <c r="AV12" s="100">
        <v>6.20101289591181</v>
      </c>
      <c r="AW12" s="100">
        <v>3489.9300578191664</v>
      </c>
      <c r="AX12" s="100">
        <v>2.3124138509684249</v>
      </c>
      <c r="AY12" s="100">
        <v>1301.4265153250294</v>
      </c>
      <c r="AZ12" s="100">
        <v>10</v>
      </c>
      <c r="BA12" s="100">
        <v>5628</v>
      </c>
      <c r="BB12" s="100">
        <v>7.3302416531771639</v>
      </c>
      <c r="BC12" s="100">
        <v>4125.4600024081074</v>
      </c>
      <c r="BD12" s="100">
        <v>1.810056530395848</v>
      </c>
      <c r="BE12" s="100">
        <v>1018.6998153067832</v>
      </c>
      <c r="BF12" s="100">
        <v>5.0952688120141572</v>
      </c>
      <c r="BG12" s="100">
        <v>2867.6172874015674</v>
      </c>
      <c r="BH12" s="100">
        <v>5.0195791347993435</v>
      </c>
      <c r="BI12" s="100">
        <v>2825.0191370650705</v>
      </c>
      <c r="BJ12" s="100">
        <v>8</v>
      </c>
      <c r="BK12" s="100">
        <v>4502.3999999999996</v>
      </c>
      <c r="BL12" s="100">
        <v>9.7197690871765818</v>
      </c>
      <c r="BM12" s="100">
        <v>5470.2860422629801</v>
      </c>
      <c r="BN12" s="100">
        <v>4.3378926323949578</v>
      </c>
      <c r="BO12" s="100">
        <v>2441.3659735118822</v>
      </c>
      <c r="BP12" s="100">
        <v>0.23410406830337105</v>
      </c>
      <c r="BQ12" s="100">
        <v>131.75376964113721</v>
      </c>
      <c r="BR12" s="100">
        <v>8</v>
      </c>
      <c r="BS12" s="100">
        <v>4502.3999999999996</v>
      </c>
      <c r="BT12" s="100">
        <v>8.4478808693304916</v>
      </c>
      <c r="BU12" s="100">
        <v>4754.4673532592005</v>
      </c>
      <c r="BV12" s="100">
        <v>2.1556465882165345</v>
      </c>
      <c r="BW12" s="100">
        <v>1213.1978998482655</v>
      </c>
      <c r="BX12" s="100">
        <v>0.32854645400724608</v>
      </c>
      <c r="BY12" s="100">
        <v>184.90594431527808</v>
      </c>
      <c r="BZ12" s="100">
        <v>7</v>
      </c>
      <c r="CA12" s="100">
        <v>3939.5999999999995</v>
      </c>
      <c r="CB12" s="100">
        <v>6</v>
      </c>
      <c r="CC12" s="100">
        <v>3376.7999999999997</v>
      </c>
      <c r="CD12" s="100">
        <v>7</v>
      </c>
      <c r="CE12" s="100">
        <v>3939.5999999999995</v>
      </c>
      <c r="CF12" s="100">
        <v>9.3250982276355394</v>
      </c>
      <c r="CG12" s="100">
        <v>5248.1652825132815</v>
      </c>
      <c r="CH12" s="100">
        <v>9.9579786922779761</v>
      </c>
      <c r="CI12" s="100">
        <v>5604.3504080140447</v>
      </c>
      <c r="CJ12" s="100">
        <v>8</v>
      </c>
      <c r="CK12" s="100">
        <v>4502.3999999999996</v>
      </c>
      <c r="CL12" s="100">
        <v>10</v>
      </c>
      <c r="CM12" s="100">
        <v>5628</v>
      </c>
      <c r="CN12" s="100">
        <v>4.2924690676578194</v>
      </c>
      <c r="CO12" s="100">
        <v>2415.8015912778205</v>
      </c>
      <c r="CP12" s="100">
        <v>5.4910939214534592E-4</v>
      </c>
      <c r="CQ12" s="100">
        <v>0.30903876589940066</v>
      </c>
      <c r="CR12" s="100">
        <v>2.0425309635981947</v>
      </c>
      <c r="CS12" s="100">
        <v>1149.5364263130639</v>
      </c>
      <c r="CT12" s="100">
        <v>7</v>
      </c>
      <c r="CU12" s="100">
        <v>3939.5999999999995</v>
      </c>
    </row>
    <row r="13" spans="1:99">
      <c r="C13" s="99" t="s">
        <v>179</v>
      </c>
      <c r="D13" s="100">
        <v>7</v>
      </c>
      <c r="E13" s="100">
        <v>596.4</v>
      </c>
      <c r="F13" s="100">
        <v>7</v>
      </c>
      <c r="G13" s="100">
        <v>596.4</v>
      </c>
      <c r="H13" s="100">
        <v>5</v>
      </c>
      <c r="I13" s="100">
        <v>426</v>
      </c>
      <c r="J13" s="100">
        <v>6.394336710832869</v>
      </c>
      <c r="K13" s="100">
        <v>544.79748776296049</v>
      </c>
      <c r="L13" s="100">
        <v>2.1317412075474587</v>
      </c>
      <c r="M13" s="100">
        <v>181.62435088304349</v>
      </c>
      <c r="N13" s="100">
        <v>7</v>
      </c>
      <c r="O13" s="100">
        <v>596.4</v>
      </c>
      <c r="P13" s="100">
        <v>5</v>
      </c>
      <c r="Q13" s="100">
        <v>426</v>
      </c>
      <c r="R13" s="100">
        <v>8</v>
      </c>
      <c r="S13" s="100">
        <v>681.6</v>
      </c>
      <c r="T13" s="100">
        <v>5</v>
      </c>
      <c r="U13" s="100">
        <v>426</v>
      </c>
      <c r="V13" s="100">
        <v>3.4641685393985129</v>
      </c>
      <c r="W13" s="100">
        <v>295.14715955675331</v>
      </c>
      <c r="X13" s="100">
        <v>8</v>
      </c>
      <c r="Y13" s="100">
        <v>681.6</v>
      </c>
      <c r="Z13" s="100">
        <v>7</v>
      </c>
      <c r="AA13" s="100">
        <v>596.4</v>
      </c>
      <c r="AB13" s="100">
        <v>8.3236808560196476</v>
      </c>
      <c r="AC13" s="100">
        <v>709.17760893287402</v>
      </c>
      <c r="AD13" s="100">
        <v>1.4022167215105454</v>
      </c>
      <c r="AE13" s="100">
        <v>119.46886467269847</v>
      </c>
      <c r="AF13" s="100">
        <v>9</v>
      </c>
      <c r="AG13" s="100">
        <v>766.80000000000007</v>
      </c>
      <c r="AH13" s="100">
        <v>8</v>
      </c>
      <c r="AI13" s="100">
        <v>681.6</v>
      </c>
      <c r="AJ13" s="100">
        <v>6.0000451339334973</v>
      </c>
      <c r="AK13" s="100">
        <v>511.20384541113401</v>
      </c>
      <c r="AL13" s="100">
        <v>1.0608788254816863</v>
      </c>
      <c r="AM13" s="100">
        <v>90.386875931039683</v>
      </c>
      <c r="AN13" s="100">
        <v>6.5659171683249331E-4</v>
      </c>
      <c r="AO13" s="100">
        <v>5.5941614274128429E-2</v>
      </c>
      <c r="AP13" s="100">
        <v>2.4551175590905641</v>
      </c>
      <c r="AQ13" s="100">
        <v>209.17601603451607</v>
      </c>
      <c r="AR13" s="100">
        <v>9</v>
      </c>
      <c r="AS13" s="100">
        <v>766.80000000000007</v>
      </c>
      <c r="AT13" s="100">
        <v>7</v>
      </c>
      <c r="AU13" s="100">
        <v>596.4</v>
      </c>
      <c r="AV13" s="100">
        <v>6.1608732240937174</v>
      </c>
      <c r="AW13" s="100">
        <v>524.90639869278471</v>
      </c>
      <c r="AX13" s="100">
        <v>2.3124138509684249</v>
      </c>
      <c r="AY13" s="100">
        <v>197.01766010250981</v>
      </c>
      <c r="AZ13" s="100">
        <v>9</v>
      </c>
      <c r="BA13" s="100">
        <v>766.80000000000007</v>
      </c>
      <c r="BB13" s="100">
        <v>6.3302416531771639</v>
      </c>
      <c r="BC13" s="100">
        <v>539.3365888506944</v>
      </c>
      <c r="BD13" s="100">
        <v>1.810056530395848</v>
      </c>
      <c r="BE13" s="100">
        <v>154.21681638972626</v>
      </c>
      <c r="BF13" s="100">
        <v>5.0952688120141572</v>
      </c>
      <c r="BG13" s="100">
        <v>434.11690278360618</v>
      </c>
      <c r="BH13" s="100">
        <v>6.0171317429494255</v>
      </c>
      <c r="BI13" s="100">
        <v>512.65962449929111</v>
      </c>
      <c r="BJ13" s="100">
        <v>9</v>
      </c>
      <c r="BK13" s="100">
        <v>766.80000000000007</v>
      </c>
      <c r="BL13" s="100">
        <v>9.7197690871765818</v>
      </c>
      <c r="BM13" s="100">
        <v>828.12432622744484</v>
      </c>
      <c r="BN13" s="100">
        <v>5.0506325598201283</v>
      </c>
      <c r="BO13" s="100">
        <v>430.31389409667491</v>
      </c>
      <c r="BP13" s="100">
        <v>0.23410406830337105</v>
      </c>
      <c r="BQ13" s="100">
        <v>19.945666619447213</v>
      </c>
      <c r="BR13" s="100">
        <v>8</v>
      </c>
      <c r="BS13" s="100">
        <v>681.6</v>
      </c>
      <c r="BT13" s="100">
        <v>9.4926689562635413</v>
      </c>
      <c r="BU13" s="100">
        <v>808.77539507365373</v>
      </c>
      <c r="BV13" s="100">
        <v>2.4632860338824321</v>
      </c>
      <c r="BW13" s="100">
        <v>209.87197008678322</v>
      </c>
      <c r="BX13" s="100">
        <v>0.32854645400724608</v>
      </c>
      <c r="BY13" s="100">
        <v>27.992157881417366</v>
      </c>
      <c r="BZ13" s="100">
        <v>7</v>
      </c>
      <c r="CA13" s="100">
        <v>596.4</v>
      </c>
      <c r="CB13" s="100">
        <v>6</v>
      </c>
      <c r="CC13" s="100">
        <v>511.20000000000005</v>
      </c>
      <c r="CD13" s="100">
        <v>8</v>
      </c>
      <c r="CE13" s="100">
        <v>681.6</v>
      </c>
      <c r="CF13" s="100">
        <v>8.3657355060899814</v>
      </c>
      <c r="CG13" s="100">
        <v>712.76066511886643</v>
      </c>
      <c r="CH13" s="100">
        <v>9.9579786922779761</v>
      </c>
      <c r="CI13" s="100">
        <v>848.41978458208359</v>
      </c>
      <c r="CJ13" s="100">
        <v>10</v>
      </c>
      <c r="CK13" s="100">
        <v>852</v>
      </c>
      <c r="CL13" s="100">
        <v>9</v>
      </c>
      <c r="CM13" s="100">
        <v>766.80000000000007</v>
      </c>
      <c r="CN13" s="100">
        <v>4.304623715565536</v>
      </c>
      <c r="CO13" s="100">
        <v>366.7539405661837</v>
      </c>
      <c r="CP13" s="100">
        <v>6.0463343607446206E-4</v>
      </c>
      <c r="CQ13" s="100">
        <v>5.1514768753544167E-2</v>
      </c>
      <c r="CR13" s="100">
        <v>2.2978473340479693</v>
      </c>
      <c r="CS13" s="100">
        <v>195.77659286088698</v>
      </c>
      <c r="CT13" s="100">
        <v>7</v>
      </c>
      <c r="CU13" s="100">
        <v>596.4</v>
      </c>
    </row>
    <row r="14" spans="1:99">
      <c r="C14" s="99" t="s">
        <v>180</v>
      </c>
      <c r="D14" s="100">
        <v>8</v>
      </c>
      <c r="E14" s="100">
        <v>3907.2</v>
      </c>
      <c r="F14" s="100">
        <v>8</v>
      </c>
      <c r="G14" s="100">
        <v>3907.2</v>
      </c>
      <c r="H14" s="100">
        <v>5</v>
      </c>
      <c r="I14" s="100">
        <v>2442</v>
      </c>
      <c r="J14" s="100">
        <v>5.3450446219787606</v>
      </c>
      <c r="K14" s="100">
        <v>2610.5197933744266</v>
      </c>
      <c r="L14" s="100">
        <v>2.1317412075474587</v>
      </c>
      <c r="M14" s="100">
        <v>1041.1424057661789</v>
      </c>
      <c r="N14" s="100">
        <v>8</v>
      </c>
      <c r="O14" s="100">
        <v>3907.2</v>
      </c>
      <c r="P14" s="100">
        <v>6</v>
      </c>
      <c r="Q14" s="100">
        <v>2930.3999999999996</v>
      </c>
      <c r="R14" s="100">
        <v>7</v>
      </c>
      <c r="S14" s="100">
        <v>3418.7999999999997</v>
      </c>
      <c r="T14" s="100">
        <v>6</v>
      </c>
      <c r="U14" s="100">
        <v>2930.3999999999996</v>
      </c>
      <c r="V14" s="100">
        <v>3.4641685393985129</v>
      </c>
      <c r="W14" s="100">
        <v>1691.8999146422336</v>
      </c>
      <c r="X14" s="100">
        <v>9</v>
      </c>
      <c r="Y14" s="100">
        <v>4395.5999999999995</v>
      </c>
      <c r="Z14" s="100">
        <v>7</v>
      </c>
      <c r="AA14" s="100">
        <v>3418.7999999999997</v>
      </c>
      <c r="AB14" s="100">
        <v>8.3236808560196476</v>
      </c>
      <c r="AC14" s="100">
        <v>4065.2857300799956</v>
      </c>
      <c r="AD14" s="100">
        <v>1.4022167215105454</v>
      </c>
      <c r="AE14" s="100">
        <v>684.84264678575039</v>
      </c>
      <c r="AF14" s="100">
        <v>8</v>
      </c>
      <c r="AG14" s="100">
        <v>3907.2</v>
      </c>
      <c r="AH14" s="100">
        <v>8</v>
      </c>
      <c r="AI14" s="100">
        <v>3907.2</v>
      </c>
      <c r="AJ14" s="100">
        <v>5.0000451339334973</v>
      </c>
      <c r="AK14" s="100">
        <v>2442.0220434131197</v>
      </c>
      <c r="AL14" s="100">
        <v>1.0608796471828181</v>
      </c>
      <c r="AM14" s="100">
        <v>518.13361968408833</v>
      </c>
      <c r="AN14" s="100">
        <v>6.5659171683249331E-4</v>
      </c>
      <c r="AO14" s="100">
        <v>0.3206793945009897</v>
      </c>
      <c r="AP14" s="100">
        <v>2.2096058031815078</v>
      </c>
      <c r="AQ14" s="100">
        <v>1079.1714742738484</v>
      </c>
      <c r="AR14" s="100">
        <v>9</v>
      </c>
      <c r="AS14" s="100">
        <v>4395.5999999999995</v>
      </c>
      <c r="AT14" s="100">
        <v>6</v>
      </c>
      <c r="AU14" s="100">
        <v>2930.3999999999996</v>
      </c>
      <c r="AV14" s="100">
        <v>6.1608732240937174</v>
      </c>
      <c r="AW14" s="100">
        <v>3008.9704826473712</v>
      </c>
      <c r="AX14" s="100">
        <v>2.102194409971295</v>
      </c>
      <c r="AY14" s="100">
        <v>1026.7117498299804</v>
      </c>
      <c r="AZ14" s="100">
        <v>9</v>
      </c>
      <c r="BA14" s="100">
        <v>4395.5999999999995</v>
      </c>
      <c r="BB14" s="100">
        <v>7.3302416531771639</v>
      </c>
      <c r="BC14" s="100">
        <v>3580.0900234117266</v>
      </c>
      <c r="BD14" s="100">
        <v>1.810056530395848</v>
      </c>
      <c r="BE14" s="100">
        <v>884.03160944533215</v>
      </c>
      <c r="BF14" s="100">
        <v>4.2460573433451314</v>
      </c>
      <c r="BG14" s="100">
        <v>2073.774406489762</v>
      </c>
      <c r="BH14" s="100">
        <v>6.0171317429494255</v>
      </c>
      <c r="BI14" s="100">
        <v>2938.7671432564994</v>
      </c>
      <c r="BJ14" s="100">
        <v>8</v>
      </c>
      <c r="BK14" s="100">
        <v>3907.2</v>
      </c>
      <c r="BL14" s="100">
        <v>9.7197690871765818</v>
      </c>
      <c r="BM14" s="100">
        <v>4747.1352221770421</v>
      </c>
      <c r="BN14" s="100">
        <v>5.0506325598201283</v>
      </c>
      <c r="BO14" s="100">
        <v>2466.7289422161507</v>
      </c>
      <c r="BP14" s="100">
        <v>0.20066062997431802</v>
      </c>
      <c r="BQ14" s="100">
        <v>98.002651679456918</v>
      </c>
      <c r="BR14" s="100">
        <v>9</v>
      </c>
      <c r="BS14" s="100">
        <v>4395.5999999999995</v>
      </c>
      <c r="BT14" s="100">
        <v>9.4478808693304916</v>
      </c>
      <c r="BU14" s="100">
        <v>4614.3450165810118</v>
      </c>
      <c r="BV14" s="100">
        <v>2.1556465882165345</v>
      </c>
      <c r="BW14" s="100">
        <v>1052.8177936849554</v>
      </c>
      <c r="BX14" s="100">
        <v>0.36505161556360671</v>
      </c>
      <c r="BY14" s="100">
        <v>178.29120904126552</v>
      </c>
      <c r="BZ14" s="100">
        <v>6</v>
      </c>
      <c r="CA14" s="100">
        <v>2930.3999999999996</v>
      </c>
      <c r="CB14" s="100">
        <v>6</v>
      </c>
      <c r="CC14" s="100">
        <v>2930.3999999999996</v>
      </c>
      <c r="CD14" s="100">
        <v>8</v>
      </c>
      <c r="CE14" s="100">
        <v>3907.2</v>
      </c>
      <c r="CF14" s="100">
        <v>9.3250982276355394</v>
      </c>
      <c r="CG14" s="100">
        <v>4554.3779743771975</v>
      </c>
      <c r="CH14" s="100">
        <v>9.0527079020708872</v>
      </c>
      <c r="CI14" s="100">
        <v>4421.3425393714215</v>
      </c>
      <c r="CJ14" s="100">
        <v>9</v>
      </c>
      <c r="CK14" s="100">
        <v>4395.5999999999995</v>
      </c>
      <c r="CL14" s="100">
        <v>9</v>
      </c>
      <c r="CM14" s="100">
        <v>4395.5999999999995</v>
      </c>
      <c r="CN14" s="100">
        <v>4.2924690676578194</v>
      </c>
      <c r="CO14" s="100">
        <v>2096.441892644079</v>
      </c>
      <c r="CP14" s="100">
        <v>5.5115307452728438E-4</v>
      </c>
      <c r="CQ14" s="100">
        <v>0.2691831615991257</v>
      </c>
      <c r="CR14" s="100">
        <v>2.2978473340479693</v>
      </c>
      <c r="CS14" s="100">
        <v>1122.2686379490281</v>
      </c>
      <c r="CT14" s="100">
        <v>6</v>
      </c>
      <c r="CU14" s="100">
        <v>2930.3999999999996</v>
      </c>
    </row>
    <row r="15" spans="1:99">
      <c r="C15" s="99" t="s">
        <v>181</v>
      </c>
      <c r="D15" s="100">
        <v>7</v>
      </c>
      <c r="E15" s="100">
        <v>5342.4</v>
      </c>
      <c r="F15" s="100">
        <v>8</v>
      </c>
      <c r="G15" s="100">
        <v>6105.5999999999995</v>
      </c>
      <c r="H15" s="100">
        <v>4</v>
      </c>
      <c r="I15" s="100">
        <v>3052.7999999999997</v>
      </c>
      <c r="J15" s="100">
        <v>5.3450446219787606</v>
      </c>
      <c r="K15" s="100">
        <v>4079.3380554941896</v>
      </c>
      <c r="L15" s="100">
        <v>2.1317412075474587</v>
      </c>
      <c r="M15" s="100">
        <v>1626.9448896002202</v>
      </c>
      <c r="N15" s="100">
        <v>8</v>
      </c>
      <c r="O15" s="100">
        <v>6105.5999999999995</v>
      </c>
      <c r="P15" s="100">
        <v>6</v>
      </c>
      <c r="Q15" s="100">
        <v>4579.2</v>
      </c>
      <c r="R15" s="100">
        <v>8</v>
      </c>
      <c r="S15" s="100">
        <v>6105.5999999999995</v>
      </c>
      <c r="T15" s="100">
        <v>6</v>
      </c>
      <c r="U15" s="100">
        <v>4579.2</v>
      </c>
      <c r="V15" s="100">
        <v>3.4641685393985129</v>
      </c>
      <c r="W15" s="100">
        <v>2643.8534292689446</v>
      </c>
      <c r="X15" s="100">
        <v>8</v>
      </c>
      <c r="Y15" s="100">
        <v>6105.5999999999995</v>
      </c>
      <c r="Z15" s="100">
        <v>6</v>
      </c>
      <c r="AA15" s="100">
        <v>4579.2</v>
      </c>
      <c r="AB15" s="100">
        <v>7.3236808560196476</v>
      </c>
      <c r="AC15" s="100">
        <v>5589.4332293141943</v>
      </c>
      <c r="AD15" s="100">
        <v>1.4022167215105454</v>
      </c>
      <c r="AE15" s="100">
        <v>1070.1718018568481</v>
      </c>
      <c r="AF15" s="100">
        <v>9</v>
      </c>
      <c r="AG15" s="100">
        <v>6868.7999999999993</v>
      </c>
      <c r="AH15" s="100">
        <v>8</v>
      </c>
      <c r="AI15" s="100">
        <v>6105.5999999999995</v>
      </c>
      <c r="AJ15" s="100">
        <v>5.0000451339334973</v>
      </c>
      <c r="AK15" s="100">
        <v>3816.0344462180446</v>
      </c>
      <c r="AL15" s="100">
        <v>1.2376919630619674</v>
      </c>
      <c r="AM15" s="100">
        <v>944.60650620889339</v>
      </c>
      <c r="AN15" s="100">
        <v>5.5416483545238111E-4</v>
      </c>
      <c r="AO15" s="100">
        <v>0.42293860241725723</v>
      </c>
      <c r="AP15" s="100">
        <v>2.2096058031815078</v>
      </c>
      <c r="AQ15" s="100">
        <v>1686.3711489881266</v>
      </c>
      <c r="AR15" s="100">
        <v>8</v>
      </c>
      <c r="AS15" s="100">
        <v>6105.5999999999995</v>
      </c>
      <c r="AT15" s="100">
        <v>6</v>
      </c>
      <c r="AU15" s="100">
        <v>4579.2</v>
      </c>
      <c r="AV15" s="100">
        <v>5.1942705278052363</v>
      </c>
      <c r="AW15" s="100">
        <v>3964.2672668209561</v>
      </c>
      <c r="AX15" s="100">
        <v>1.8919749689741656</v>
      </c>
      <c r="AY15" s="100">
        <v>1443.9552963210831</v>
      </c>
      <c r="AZ15" s="100">
        <v>8</v>
      </c>
      <c r="BA15" s="100">
        <v>6105.5999999999995</v>
      </c>
      <c r="BB15" s="100">
        <v>7.3774190322024733</v>
      </c>
      <c r="BC15" s="100">
        <v>5630.4462053769275</v>
      </c>
      <c r="BD15" s="100">
        <v>1.552946002226409</v>
      </c>
      <c r="BE15" s="100">
        <v>1185.2083888991951</v>
      </c>
      <c r="BF15" s="100">
        <v>5.0952688120141572</v>
      </c>
      <c r="BG15" s="100">
        <v>3888.7091573292046</v>
      </c>
      <c r="BH15" s="100">
        <v>5.0171317429494255</v>
      </c>
      <c r="BI15" s="100">
        <v>3829.074946219001</v>
      </c>
      <c r="BJ15" s="100">
        <v>8</v>
      </c>
      <c r="BK15" s="100">
        <v>6105.5999999999995</v>
      </c>
      <c r="BL15" s="100">
        <v>9.7197690871765818</v>
      </c>
      <c r="BM15" s="100">
        <v>7418.127767333167</v>
      </c>
      <c r="BN15" s="100">
        <v>5.0450459172888609</v>
      </c>
      <c r="BO15" s="100">
        <v>3850.3790440748585</v>
      </c>
      <c r="BP15" s="100">
        <v>0.20066062997431802</v>
      </c>
      <c r="BQ15" s="100">
        <v>153.14419279639949</v>
      </c>
      <c r="BR15" s="100">
        <v>9</v>
      </c>
      <c r="BS15" s="100">
        <v>6868.7999999999993</v>
      </c>
      <c r="BT15" s="100">
        <v>9.4478808693304916</v>
      </c>
      <c r="BU15" s="100">
        <v>7210.622679473031</v>
      </c>
      <c r="BV15" s="100">
        <v>2.4632860338824321</v>
      </c>
      <c r="BW15" s="100">
        <v>1879.9799010590721</v>
      </c>
      <c r="BX15" s="100">
        <v>0.36505161556360671</v>
      </c>
      <c r="BY15" s="100">
        <v>278.60739299814463</v>
      </c>
      <c r="BZ15" s="100">
        <v>7</v>
      </c>
      <c r="CA15" s="100">
        <v>5342.4</v>
      </c>
      <c r="CB15" s="100">
        <v>6</v>
      </c>
      <c r="CC15" s="100">
        <v>4579.2</v>
      </c>
      <c r="CD15" s="100">
        <v>8</v>
      </c>
      <c r="CE15" s="100">
        <v>6105.5999999999995</v>
      </c>
      <c r="CF15" s="100">
        <v>9.3250982276355394</v>
      </c>
      <c r="CG15" s="100">
        <v>7116.9149673314432</v>
      </c>
      <c r="CH15" s="100">
        <v>9.0527079020708872</v>
      </c>
      <c r="CI15" s="100">
        <v>6909.0266708605004</v>
      </c>
      <c r="CJ15" s="100">
        <v>10</v>
      </c>
      <c r="CK15" s="100">
        <v>7631.9999999999991</v>
      </c>
      <c r="CL15" s="100">
        <v>9</v>
      </c>
      <c r="CM15" s="100">
        <v>6868.7999999999993</v>
      </c>
      <c r="CN15" s="100">
        <v>4.304623715565536</v>
      </c>
      <c r="CO15" s="100">
        <v>3285.2888197196166</v>
      </c>
      <c r="CP15" s="100">
        <v>5.4910939214534592E-4</v>
      </c>
      <c r="CQ15" s="100">
        <v>0.41908028808532799</v>
      </c>
      <c r="CR15" s="100">
        <v>2.0425309635981947</v>
      </c>
      <c r="CS15" s="100">
        <v>1558.859631418142</v>
      </c>
      <c r="CT15" s="100">
        <v>7</v>
      </c>
      <c r="CU15" s="100">
        <v>5342.4</v>
      </c>
    </row>
    <row r="16" spans="1:99">
      <c r="C16" s="99" t="s">
        <v>182</v>
      </c>
      <c r="D16" s="100">
        <v>8</v>
      </c>
      <c r="E16" s="100">
        <v>2726.4</v>
      </c>
      <c r="F16" s="100">
        <v>8</v>
      </c>
      <c r="G16" s="100">
        <v>2726.4</v>
      </c>
      <c r="H16" s="100">
        <v>4</v>
      </c>
      <c r="I16" s="100">
        <v>1363.2</v>
      </c>
      <c r="J16" s="100">
        <v>5.394336710832869</v>
      </c>
      <c r="K16" s="100">
        <v>1838.3899510518418</v>
      </c>
      <c r="L16" s="100">
        <v>2.4870314088053687</v>
      </c>
      <c r="M16" s="100">
        <v>847.58030412086964</v>
      </c>
      <c r="N16" s="100">
        <v>8</v>
      </c>
      <c r="O16" s="100">
        <v>2726.4</v>
      </c>
      <c r="P16" s="100">
        <v>6</v>
      </c>
      <c r="Q16" s="100">
        <v>2044.8000000000002</v>
      </c>
      <c r="R16" s="100">
        <v>8</v>
      </c>
      <c r="S16" s="100">
        <v>2726.4</v>
      </c>
      <c r="T16" s="100">
        <v>5</v>
      </c>
      <c r="U16" s="100">
        <v>1704</v>
      </c>
      <c r="V16" s="100">
        <v>3.4641685393985129</v>
      </c>
      <c r="W16" s="100">
        <v>1180.5886382270132</v>
      </c>
      <c r="X16" s="100">
        <v>7</v>
      </c>
      <c r="Y16" s="100">
        <v>2385.6</v>
      </c>
      <c r="Z16" s="100">
        <v>7</v>
      </c>
      <c r="AA16" s="100">
        <v>2385.6</v>
      </c>
      <c r="AB16" s="100">
        <v>7.3236808560196476</v>
      </c>
      <c r="AC16" s="100">
        <v>2495.9104357314959</v>
      </c>
      <c r="AD16" s="100">
        <v>1.4022167215105454</v>
      </c>
      <c r="AE16" s="100">
        <v>477.87545869079389</v>
      </c>
      <c r="AF16" s="100">
        <v>10</v>
      </c>
      <c r="AG16" s="100">
        <v>3408</v>
      </c>
      <c r="AH16" s="100">
        <v>9</v>
      </c>
      <c r="AI16" s="100">
        <v>3067.2000000000003</v>
      </c>
      <c r="AJ16" s="100">
        <v>5.0000501488149975</v>
      </c>
      <c r="AK16" s="100">
        <v>1704.0170907161512</v>
      </c>
      <c r="AL16" s="100">
        <v>1.237691141360836</v>
      </c>
      <c r="AM16" s="100">
        <v>421.80514097577293</v>
      </c>
      <c r="AN16" s="100">
        <v>6.5659171683249331E-4</v>
      </c>
      <c r="AO16" s="100">
        <v>0.22376645709651372</v>
      </c>
      <c r="AP16" s="100">
        <v>2.2096058031815078</v>
      </c>
      <c r="AQ16" s="100">
        <v>753.03365772425786</v>
      </c>
      <c r="AR16" s="100">
        <v>9</v>
      </c>
      <c r="AS16" s="100">
        <v>3067.2000000000003</v>
      </c>
      <c r="AT16" s="100">
        <v>6</v>
      </c>
      <c r="AU16" s="100">
        <v>2044.8000000000002</v>
      </c>
      <c r="AV16" s="100">
        <v>7.1274759203821993</v>
      </c>
      <c r="AW16" s="100">
        <v>2429.0437936662538</v>
      </c>
      <c r="AX16" s="100">
        <v>2.102194409971295</v>
      </c>
      <c r="AY16" s="100">
        <v>716.42785491821735</v>
      </c>
      <c r="AZ16" s="100">
        <v>8</v>
      </c>
      <c r="BA16" s="100">
        <v>2726.4</v>
      </c>
      <c r="BB16" s="100">
        <v>7.3774190322024733</v>
      </c>
      <c r="BC16" s="100">
        <v>2514.2244061746028</v>
      </c>
      <c r="BD16" s="100">
        <v>2.0686360347381121</v>
      </c>
      <c r="BE16" s="100">
        <v>704.99116063874862</v>
      </c>
      <c r="BF16" s="100">
        <v>5.0952688120141572</v>
      </c>
      <c r="BG16" s="100">
        <v>1736.4676111344247</v>
      </c>
      <c r="BH16" s="100">
        <v>5.0195791347993435</v>
      </c>
      <c r="BI16" s="100">
        <v>1710.6725691396164</v>
      </c>
      <c r="BJ16" s="100">
        <v>8</v>
      </c>
      <c r="BK16" s="100">
        <v>2726.4</v>
      </c>
      <c r="BL16" s="100">
        <v>9.7197690871765818</v>
      </c>
      <c r="BM16" s="100">
        <v>3312.4973049097794</v>
      </c>
      <c r="BN16" s="100">
        <v>4.3378926323949578</v>
      </c>
      <c r="BO16" s="100">
        <v>1478.3538091202017</v>
      </c>
      <c r="BP16" s="100">
        <v>0.20066062997431802</v>
      </c>
      <c r="BQ16" s="100">
        <v>68.38514269524758</v>
      </c>
      <c r="BR16" s="100">
        <v>9</v>
      </c>
      <c r="BS16" s="100">
        <v>3067.2000000000003</v>
      </c>
      <c r="BT16" s="100">
        <v>8.4478808693304916</v>
      </c>
      <c r="BU16" s="100">
        <v>2879.0378002678317</v>
      </c>
      <c r="BV16" s="100">
        <v>2.4611155653271815</v>
      </c>
      <c r="BW16" s="100">
        <v>838.74818466350348</v>
      </c>
      <c r="BX16" s="100">
        <v>0.36505161556360671</v>
      </c>
      <c r="BY16" s="100">
        <v>124.40959058407716</v>
      </c>
      <c r="BZ16" s="100">
        <v>7</v>
      </c>
      <c r="CA16" s="100">
        <v>2385.6</v>
      </c>
      <c r="CB16" s="100">
        <v>6</v>
      </c>
      <c r="CC16" s="100">
        <v>2044.8000000000002</v>
      </c>
      <c r="CD16" s="100">
        <v>7</v>
      </c>
      <c r="CE16" s="100">
        <v>2385.6</v>
      </c>
      <c r="CF16" s="100">
        <v>8.3250982276355394</v>
      </c>
      <c r="CG16" s="100">
        <v>2837.1934759781921</v>
      </c>
      <c r="CH16" s="100">
        <v>9.0527079020708872</v>
      </c>
      <c r="CI16" s="100">
        <v>3085.1628530257585</v>
      </c>
      <c r="CJ16" s="100">
        <v>9</v>
      </c>
      <c r="CK16" s="100">
        <v>3067.2000000000003</v>
      </c>
      <c r="CL16" s="100">
        <v>10</v>
      </c>
      <c r="CM16" s="100">
        <v>3408</v>
      </c>
      <c r="CN16" s="100">
        <v>4.2924690676578194</v>
      </c>
      <c r="CO16" s="100">
        <v>1462.8734582577849</v>
      </c>
      <c r="CP16" s="100">
        <v>6.0258975369252349E-4</v>
      </c>
      <c r="CQ16" s="100">
        <v>0.20536258805841201</v>
      </c>
      <c r="CR16" s="100">
        <v>2.2978473340479693</v>
      </c>
      <c r="CS16" s="100">
        <v>783.10637144354791</v>
      </c>
      <c r="CT16" s="100">
        <v>7</v>
      </c>
      <c r="CU16" s="100">
        <v>2385.6</v>
      </c>
    </row>
    <row r="17" spans="2:99">
      <c r="C17" s="99" t="s">
        <v>183</v>
      </c>
      <c r="D17" s="100">
        <v>7</v>
      </c>
      <c r="E17" s="100">
        <v>2956.7999999999997</v>
      </c>
      <c r="F17" s="100">
        <v>7</v>
      </c>
      <c r="G17" s="100">
        <v>2956.7999999999997</v>
      </c>
      <c r="H17" s="100">
        <v>5</v>
      </c>
      <c r="I17" s="100">
        <v>2112</v>
      </c>
      <c r="J17" s="100">
        <v>6.4436287996869774</v>
      </c>
      <c r="K17" s="100">
        <v>2721.7888049877793</v>
      </c>
      <c r="L17" s="100">
        <v>2.1317412075474587</v>
      </c>
      <c r="M17" s="100">
        <v>900.44748606804649</v>
      </c>
      <c r="N17" s="100">
        <v>7</v>
      </c>
      <c r="O17" s="100">
        <v>2956.7999999999997</v>
      </c>
      <c r="P17" s="100">
        <v>5</v>
      </c>
      <c r="Q17" s="100">
        <v>2112</v>
      </c>
      <c r="R17" s="100">
        <v>8</v>
      </c>
      <c r="S17" s="100">
        <v>3379.2</v>
      </c>
      <c r="T17" s="100">
        <v>5</v>
      </c>
      <c r="U17" s="100">
        <v>2112</v>
      </c>
      <c r="V17" s="100">
        <v>3.4641685393985129</v>
      </c>
      <c r="W17" s="100">
        <v>1463.2647910419319</v>
      </c>
      <c r="X17" s="100">
        <v>9</v>
      </c>
      <c r="Y17" s="100">
        <v>3801.6</v>
      </c>
      <c r="Z17" s="100">
        <v>7</v>
      </c>
      <c r="AA17" s="100">
        <v>2956.7999999999997</v>
      </c>
      <c r="AB17" s="100">
        <v>7.277440733731126</v>
      </c>
      <c r="AC17" s="100">
        <v>3073.9909659280274</v>
      </c>
      <c r="AD17" s="100">
        <v>1.4022167215105454</v>
      </c>
      <c r="AE17" s="100">
        <v>592.29634316605438</v>
      </c>
      <c r="AF17" s="100">
        <v>9</v>
      </c>
      <c r="AG17" s="100">
        <v>3801.6</v>
      </c>
      <c r="AH17" s="100">
        <v>8</v>
      </c>
      <c r="AI17" s="100">
        <v>3379.2</v>
      </c>
      <c r="AJ17" s="100">
        <v>5.0000451339334973</v>
      </c>
      <c r="AK17" s="100">
        <v>2112.0190645735092</v>
      </c>
      <c r="AL17" s="100">
        <v>1.0608788254816863</v>
      </c>
      <c r="AM17" s="100">
        <v>448.11521588346426</v>
      </c>
      <c r="AN17" s="100">
        <v>6.5659171683249331E-4</v>
      </c>
      <c r="AO17" s="100">
        <v>0.27734434119004514</v>
      </c>
      <c r="AP17" s="100">
        <v>2.2096058031815078</v>
      </c>
      <c r="AQ17" s="100">
        <v>933.33749126386886</v>
      </c>
      <c r="AR17" s="100">
        <v>10</v>
      </c>
      <c r="AS17" s="100">
        <v>4224</v>
      </c>
      <c r="AT17" s="100">
        <v>6</v>
      </c>
      <c r="AU17" s="100">
        <v>2534.3999999999996</v>
      </c>
      <c r="AV17" s="100">
        <v>6.20101289591181</v>
      </c>
      <c r="AW17" s="100">
        <v>2619.3078472331486</v>
      </c>
      <c r="AX17" s="100">
        <v>2.102194409971295</v>
      </c>
      <c r="AY17" s="100">
        <v>887.96691877187493</v>
      </c>
      <c r="AZ17" s="100">
        <v>9</v>
      </c>
      <c r="BA17" s="100">
        <v>3801.6</v>
      </c>
      <c r="BB17" s="100">
        <v>7.2830642741518545</v>
      </c>
      <c r="BC17" s="100">
        <v>3076.3663494017433</v>
      </c>
      <c r="BD17" s="100">
        <v>2.0671670585652873</v>
      </c>
      <c r="BE17" s="100">
        <v>873.17136553797729</v>
      </c>
      <c r="BF17" s="100">
        <v>4.2460573433451314</v>
      </c>
      <c r="BG17" s="100">
        <v>1793.5346218289835</v>
      </c>
      <c r="BH17" s="100">
        <v>5.0195791347993435</v>
      </c>
      <c r="BI17" s="100">
        <v>2120.2702265392427</v>
      </c>
      <c r="BJ17" s="100">
        <v>8</v>
      </c>
      <c r="BK17" s="100">
        <v>3379.2</v>
      </c>
      <c r="BL17" s="100">
        <v>9.6871261952039305</v>
      </c>
      <c r="BM17" s="100">
        <v>4091.84210485414</v>
      </c>
      <c r="BN17" s="100">
        <v>4.3378926323949578</v>
      </c>
      <c r="BO17" s="100">
        <v>1832.3258479236301</v>
      </c>
      <c r="BP17" s="100">
        <v>0.23410406830337105</v>
      </c>
      <c r="BQ17" s="100">
        <v>98.885558451343925</v>
      </c>
      <c r="BR17" s="100">
        <v>8</v>
      </c>
      <c r="BS17" s="100">
        <v>3379.2</v>
      </c>
      <c r="BT17" s="100">
        <v>9.4478808693304916</v>
      </c>
      <c r="BU17" s="100">
        <v>3990.7848792051996</v>
      </c>
      <c r="BV17" s="100">
        <v>2.1556465882165345</v>
      </c>
      <c r="BW17" s="100">
        <v>910.54511886266414</v>
      </c>
      <c r="BX17" s="100">
        <v>0.36505161556360671</v>
      </c>
      <c r="BY17" s="100">
        <v>154.19780241406747</v>
      </c>
      <c r="BZ17" s="100">
        <v>6</v>
      </c>
      <c r="CA17" s="100">
        <v>2534.3999999999996</v>
      </c>
      <c r="CB17" s="100">
        <v>6</v>
      </c>
      <c r="CC17" s="100">
        <v>2534.3999999999996</v>
      </c>
      <c r="CD17" s="100">
        <v>8</v>
      </c>
      <c r="CE17" s="100">
        <v>3379.2</v>
      </c>
      <c r="CF17" s="100">
        <v>8.3250982276355394</v>
      </c>
      <c r="CG17" s="100">
        <v>3516.5214913532518</v>
      </c>
      <c r="CH17" s="100">
        <v>9.0527079020708872</v>
      </c>
      <c r="CI17" s="100">
        <v>3823.8638178347423</v>
      </c>
      <c r="CJ17" s="100">
        <v>9</v>
      </c>
      <c r="CK17" s="100">
        <v>3801.6</v>
      </c>
      <c r="CL17" s="100">
        <v>10</v>
      </c>
      <c r="CM17" s="100">
        <v>4224</v>
      </c>
      <c r="CN17" s="100">
        <v>4.2924690676578194</v>
      </c>
      <c r="CO17" s="100">
        <v>1813.1389341786628</v>
      </c>
      <c r="CP17" s="100">
        <v>5.4910939214534592E-4</v>
      </c>
      <c r="CQ17" s="100">
        <v>0.2319438072421941</v>
      </c>
      <c r="CR17" s="100">
        <v>2.2978473340479693</v>
      </c>
      <c r="CS17" s="100">
        <v>970.61071390186214</v>
      </c>
      <c r="CT17" s="100">
        <v>7</v>
      </c>
      <c r="CU17" s="100">
        <v>2956.7999999999997</v>
      </c>
    </row>
    <row r="18" spans="2:99">
      <c r="C18" s="99" t="s">
        <v>184</v>
      </c>
      <c r="D18" s="100">
        <v>7</v>
      </c>
      <c r="E18" s="100">
        <v>4569.5999999999995</v>
      </c>
      <c r="F18" s="100">
        <v>8</v>
      </c>
      <c r="G18" s="100">
        <v>5222.3999999999996</v>
      </c>
      <c r="H18" s="100">
        <v>4</v>
      </c>
      <c r="I18" s="100">
        <v>2611.1999999999998</v>
      </c>
      <c r="J18" s="100">
        <v>5.394336710832869</v>
      </c>
      <c r="K18" s="100">
        <v>3521.4230048316967</v>
      </c>
      <c r="L18" s="100">
        <v>2.1317412075474587</v>
      </c>
      <c r="M18" s="100">
        <v>1391.6006602869809</v>
      </c>
      <c r="N18" s="100">
        <v>8</v>
      </c>
      <c r="O18" s="100">
        <v>5222.3999999999996</v>
      </c>
      <c r="P18" s="100">
        <v>5</v>
      </c>
      <c r="Q18" s="100">
        <v>3264</v>
      </c>
      <c r="R18" s="100">
        <v>8</v>
      </c>
      <c r="S18" s="100">
        <v>5222.3999999999996</v>
      </c>
      <c r="T18" s="100">
        <v>5</v>
      </c>
      <c r="U18" s="100">
        <v>3264</v>
      </c>
      <c r="V18" s="100">
        <v>3.4641685393985129</v>
      </c>
      <c r="W18" s="100">
        <v>2261.409222519349</v>
      </c>
      <c r="X18" s="100">
        <v>9</v>
      </c>
      <c r="Y18" s="100">
        <v>5875.2</v>
      </c>
      <c r="Z18" s="100">
        <v>6</v>
      </c>
      <c r="AA18" s="100">
        <v>3916.7999999999997</v>
      </c>
      <c r="AB18" s="100">
        <v>7.277440733731126</v>
      </c>
      <c r="AC18" s="100">
        <v>4750.7133109796787</v>
      </c>
      <c r="AD18" s="100">
        <v>1.4022167215105454</v>
      </c>
      <c r="AE18" s="100">
        <v>915.36707580208395</v>
      </c>
      <c r="AF18" s="100">
        <v>9</v>
      </c>
      <c r="AG18" s="100">
        <v>5875.2</v>
      </c>
      <c r="AH18" s="100">
        <v>8</v>
      </c>
      <c r="AI18" s="100">
        <v>5222.3999999999996</v>
      </c>
      <c r="AJ18" s="100">
        <v>5.0000501488149975</v>
      </c>
      <c r="AK18" s="100">
        <v>3264.03273714643</v>
      </c>
      <c r="AL18" s="100">
        <v>1.0608788254816863</v>
      </c>
      <c r="AM18" s="100">
        <v>692.5416972744448</v>
      </c>
      <c r="AN18" s="100">
        <v>5.5416483545238111E-4</v>
      </c>
      <c r="AO18" s="100">
        <v>0.36175880458331439</v>
      </c>
      <c r="AP18" s="100">
        <v>2.2096058031815078</v>
      </c>
      <c r="AQ18" s="100">
        <v>1442.4306683168882</v>
      </c>
      <c r="AR18" s="100">
        <v>9</v>
      </c>
      <c r="AS18" s="100">
        <v>5875.2</v>
      </c>
      <c r="AT18" s="100">
        <v>6</v>
      </c>
      <c r="AU18" s="100">
        <v>3916.7999999999997</v>
      </c>
      <c r="AV18" s="100">
        <v>6.20101289591181</v>
      </c>
      <c r="AW18" s="100">
        <v>4048.0212184512293</v>
      </c>
      <c r="AX18" s="100">
        <v>1.8919749689741656</v>
      </c>
      <c r="AY18" s="100">
        <v>1235.0812597463353</v>
      </c>
      <c r="AZ18" s="100">
        <v>9</v>
      </c>
      <c r="BA18" s="100">
        <v>5875.2</v>
      </c>
      <c r="BB18" s="100">
        <v>7.3302416531771639</v>
      </c>
      <c r="BC18" s="100">
        <v>4785.1817511940526</v>
      </c>
      <c r="BD18" s="100">
        <v>1.810056530395848</v>
      </c>
      <c r="BE18" s="100">
        <v>1181.6049030424094</v>
      </c>
      <c r="BF18" s="100">
        <v>5.0952688120141572</v>
      </c>
      <c r="BG18" s="100">
        <v>3326.1914804828416</v>
      </c>
      <c r="BH18" s="100">
        <v>5.0195791347993435</v>
      </c>
      <c r="BI18" s="100">
        <v>3276.781259197011</v>
      </c>
      <c r="BJ18" s="100">
        <v>8</v>
      </c>
      <c r="BK18" s="100">
        <v>5222.3999999999996</v>
      </c>
      <c r="BL18" s="100">
        <v>9.7197690871765818</v>
      </c>
      <c r="BM18" s="100">
        <v>6345.0652601088723</v>
      </c>
      <c r="BN18" s="100">
        <v>4.3378926323949578</v>
      </c>
      <c r="BO18" s="100">
        <v>2831.7763104274281</v>
      </c>
      <c r="BP18" s="100">
        <v>0.20066062997431802</v>
      </c>
      <c r="BQ18" s="100">
        <v>130.99125924723481</v>
      </c>
      <c r="BR18" s="100">
        <v>9</v>
      </c>
      <c r="BS18" s="100">
        <v>5875.2</v>
      </c>
      <c r="BT18" s="100">
        <v>9.4478808693304916</v>
      </c>
      <c r="BU18" s="100">
        <v>6167.5766314989442</v>
      </c>
      <c r="BV18" s="100">
        <v>2.1556465882165345</v>
      </c>
      <c r="BW18" s="100">
        <v>1407.2060927877537</v>
      </c>
      <c r="BX18" s="100">
        <v>0.32854645400724608</v>
      </c>
      <c r="BY18" s="100">
        <v>214.47512517593023</v>
      </c>
      <c r="BZ18" s="100">
        <v>7</v>
      </c>
      <c r="CA18" s="100">
        <v>4569.5999999999995</v>
      </c>
      <c r="CB18" s="100">
        <v>5</v>
      </c>
      <c r="CC18" s="100">
        <v>3264</v>
      </c>
      <c r="CD18" s="100">
        <v>7</v>
      </c>
      <c r="CE18" s="100">
        <v>4569.5999999999995</v>
      </c>
      <c r="CF18" s="100">
        <v>9.2844609491810957</v>
      </c>
      <c r="CG18" s="100">
        <v>6060.8961076254191</v>
      </c>
      <c r="CH18" s="100">
        <v>9.9579786922779761</v>
      </c>
      <c r="CI18" s="100">
        <v>6500.5684903190622</v>
      </c>
      <c r="CJ18" s="100">
        <v>10</v>
      </c>
      <c r="CK18" s="100">
        <v>6528</v>
      </c>
      <c r="CL18" s="100">
        <v>10</v>
      </c>
      <c r="CM18" s="100">
        <v>6528</v>
      </c>
      <c r="CN18" s="100">
        <v>4.2924690676578194</v>
      </c>
      <c r="CO18" s="100">
        <v>2802.1238073670243</v>
      </c>
      <c r="CP18" s="100">
        <v>6.0463343607446206E-4</v>
      </c>
      <c r="CQ18" s="100">
        <v>0.3947047070694088</v>
      </c>
      <c r="CR18" s="100">
        <v>2.0425309635981947</v>
      </c>
      <c r="CS18" s="100">
        <v>1333.3642130369014</v>
      </c>
      <c r="CT18" s="100">
        <v>8</v>
      </c>
      <c r="CU18" s="100">
        <v>5222.3999999999996</v>
      </c>
    </row>
    <row r="19" spans="2:99">
      <c r="C19" s="99" t="s">
        <v>185</v>
      </c>
      <c r="D19" s="100">
        <v>8</v>
      </c>
      <c r="E19" s="100">
        <v>2640</v>
      </c>
      <c r="F19" s="100">
        <v>8</v>
      </c>
      <c r="G19" s="100">
        <v>2640</v>
      </c>
      <c r="H19" s="100">
        <v>5</v>
      </c>
      <c r="I19" s="100">
        <v>1650</v>
      </c>
      <c r="J19" s="100">
        <v>6.394336710832869</v>
      </c>
      <c r="K19" s="100">
        <v>2110.1311145748468</v>
      </c>
      <c r="L19" s="100">
        <v>2.1317412075474587</v>
      </c>
      <c r="M19" s="100">
        <v>703.47459849066138</v>
      </c>
      <c r="N19" s="100">
        <v>8</v>
      </c>
      <c r="O19" s="100">
        <v>2640</v>
      </c>
      <c r="P19" s="100">
        <v>6</v>
      </c>
      <c r="Q19" s="100">
        <v>1980</v>
      </c>
      <c r="R19" s="100">
        <v>7</v>
      </c>
      <c r="S19" s="100">
        <v>2310</v>
      </c>
      <c r="T19" s="100">
        <v>5</v>
      </c>
      <c r="U19" s="100">
        <v>1650</v>
      </c>
      <c r="V19" s="100">
        <v>3.4641685393985129</v>
      </c>
      <c r="W19" s="100">
        <v>1143.1756180015093</v>
      </c>
      <c r="X19" s="100">
        <v>8</v>
      </c>
      <c r="Y19" s="100">
        <v>2640</v>
      </c>
      <c r="Z19" s="100">
        <v>6</v>
      </c>
      <c r="AA19" s="100">
        <v>1980</v>
      </c>
      <c r="AB19" s="100">
        <v>8.277440733731126</v>
      </c>
      <c r="AC19" s="100">
        <v>2731.5554421312718</v>
      </c>
      <c r="AD19" s="100">
        <v>1.4022167215105454</v>
      </c>
      <c r="AE19" s="100">
        <v>462.73151809847997</v>
      </c>
      <c r="AF19" s="100">
        <v>8</v>
      </c>
      <c r="AG19" s="100">
        <v>2640</v>
      </c>
      <c r="AH19" s="100">
        <v>8</v>
      </c>
      <c r="AI19" s="100">
        <v>2640</v>
      </c>
      <c r="AJ19" s="100">
        <v>5.0000451339334973</v>
      </c>
      <c r="AK19" s="100">
        <v>1650.0148941980542</v>
      </c>
      <c r="AL19" s="100">
        <v>1.0608796471828181</v>
      </c>
      <c r="AM19" s="100">
        <v>350.09028357032997</v>
      </c>
      <c r="AN19" s="100">
        <v>6.6041266488265878E-4</v>
      </c>
      <c r="AO19" s="100">
        <v>0.21793617941127741</v>
      </c>
      <c r="AP19" s="100">
        <v>2.2096058031815078</v>
      </c>
      <c r="AQ19" s="100">
        <v>729.16991504989755</v>
      </c>
      <c r="AR19" s="100">
        <v>9</v>
      </c>
      <c r="AS19" s="100">
        <v>2970</v>
      </c>
      <c r="AT19" s="100">
        <v>6</v>
      </c>
      <c r="AU19" s="100">
        <v>1980</v>
      </c>
      <c r="AV19" s="100">
        <v>6.1608732240937174</v>
      </c>
      <c r="AW19" s="100">
        <v>2033.0881639509269</v>
      </c>
      <c r="AX19" s="100">
        <v>2.102194409971295</v>
      </c>
      <c r="AY19" s="100">
        <v>693.72415529052739</v>
      </c>
      <c r="AZ19" s="100">
        <v>9</v>
      </c>
      <c r="BA19" s="100">
        <v>2970</v>
      </c>
      <c r="BB19" s="100">
        <v>7.3302416531771639</v>
      </c>
      <c r="BC19" s="100">
        <v>2418.9797455484641</v>
      </c>
      <c r="BD19" s="100">
        <v>1.810056530395848</v>
      </c>
      <c r="BE19" s="100">
        <v>597.31865503062988</v>
      </c>
      <c r="BF19" s="100">
        <v>5.0952688120141572</v>
      </c>
      <c r="BG19" s="100">
        <v>1681.4387079646719</v>
      </c>
      <c r="BH19" s="100">
        <v>5.0195791347993435</v>
      </c>
      <c r="BI19" s="100">
        <v>1656.4611144837834</v>
      </c>
      <c r="BJ19" s="100">
        <v>9</v>
      </c>
      <c r="BK19" s="100">
        <v>2970</v>
      </c>
      <c r="BL19" s="100">
        <v>9.6871261952039305</v>
      </c>
      <c r="BM19" s="100">
        <v>3196.751644417297</v>
      </c>
      <c r="BN19" s="100">
        <v>5.0506325598201283</v>
      </c>
      <c r="BO19" s="100">
        <v>1666.7087447406423</v>
      </c>
      <c r="BP19" s="100">
        <v>0.23410406830337105</v>
      </c>
      <c r="BQ19" s="100">
        <v>77.254342540112447</v>
      </c>
      <c r="BR19" s="100">
        <v>8</v>
      </c>
      <c r="BS19" s="100">
        <v>2640</v>
      </c>
      <c r="BT19" s="100">
        <v>9.4926689562635413</v>
      </c>
      <c r="BU19" s="100">
        <v>3132.5807555669685</v>
      </c>
      <c r="BV19" s="100">
        <v>2.4632860338824321</v>
      </c>
      <c r="BW19" s="100">
        <v>812.88439118120255</v>
      </c>
      <c r="BX19" s="100">
        <v>0.36505161556360671</v>
      </c>
      <c r="BY19" s="100">
        <v>120.46703313599022</v>
      </c>
      <c r="BZ19" s="100">
        <v>7</v>
      </c>
      <c r="CA19" s="100">
        <v>2310</v>
      </c>
      <c r="CB19" s="100">
        <v>6</v>
      </c>
      <c r="CC19" s="100">
        <v>1980</v>
      </c>
      <c r="CD19" s="100">
        <v>7</v>
      </c>
      <c r="CE19" s="100">
        <v>2310</v>
      </c>
      <c r="CF19" s="100">
        <v>8.3250982276355394</v>
      </c>
      <c r="CG19" s="100">
        <v>2747.2824151197278</v>
      </c>
      <c r="CH19" s="100">
        <v>9.9579786922779761</v>
      </c>
      <c r="CI19" s="100">
        <v>3286.1329684517323</v>
      </c>
      <c r="CJ19" s="100">
        <v>9</v>
      </c>
      <c r="CK19" s="100">
        <v>2970</v>
      </c>
      <c r="CL19" s="100">
        <v>10</v>
      </c>
      <c r="CM19" s="100">
        <v>3300</v>
      </c>
      <c r="CN19" s="100">
        <v>4.304623715565536</v>
      </c>
      <c r="CO19" s="100">
        <v>1420.5258261366268</v>
      </c>
      <c r="CP19" s="100">
        <v>5.4910939214534592E-4</v>
      </c>
      <c r="CQ19" s="100">
        <v>0.18120609940796414</v>
      </c>
      <c r="CR19" s="100">
        <v>2.2978473340479693</v>
      </c>
      <c r="CS19" s="100">
        <v>758.28962023582983</v>
      </c>
      <c r="CT19" s="100">
        <v>7</v>
      </c>
      <c r="CU19" s="100">
        <v>2310</v>
      </c>
    </row>
    <row r="20" spans="2:99">
      <c r="B20" s="99" t="s">
        <v>127</v>
      </c>
      <c r="C20" s="99" t="s">
        <v>186</v>
      </c>
      <c r="D20" s="100">
        <v>11</v>
      </c>
      <c r="E20" s="100">
        <v>3154.8</v>
      </c>
      <c r="F20" s="100">
        <v>10</v>
      </c>
      <c r="G20" s="100">
        <v>2868</v>
      </c>
      <c r="H20" s="100">
        <v>11</v>
      </c>
      <c r="I20" s="100">
        <v>3154.8</v>
      </c>
      <c r="J20" s="100">
        <v>15.542212977395195</v>
      </c>
      <c r="K20" s="100">
        <v>4457.5066819169424</v>
      </c>
      <c r="L20" s="100">
        <v>3.1976118113211882</v>
      </c>
      <c r="M20" s="100">
        <v>917.07506748691685</v>
      </c>
      <c r="N20" s="100">
        <v>13</v>
      </c>
      <c r="O20" s="100">
        <v>3728.4</v>
      </c>
      <c r="P20" s="100">
        <v>14</v>
      </c>
      <c r="Q20" s="100">
        <v>4015.2000000000003</v>
      </c>
      <c r="R20" s="100">
        <v>8</v>
      </c>
      <c r="S20" s="100">
        <v>2294.4</v>
      </c>
      <c r="T20" s="100">
        <v>11</v>
      </c>
      <c r="U20" s="100">
        <v>3154.8</v>
      </c>
      <c r="V20" s="100">
        <v>8.3140044945564302</v>
      </c>
      <c r="W20" s="100">
        <v>2384.4564890387842</v>
      </c>
      <c r="X20" s="100">
        <v>10</v>
      </c>
      <c r="Y20" s="100">
        <v>2868</v>
      </c>
      <c r="Z20" s="100">
        <v>13</v>
      </c>
      <c r="AA20" s="100">
        <v>3728.4</v>
      </c>
      <c r="AB20" s="100">
        <v>13.739841956616337</v>
      </c>
      <c r="AC20" s="100">
        <v>3940.5866731575657</v>
      </c>
      <c r="AD20" s="100">
        <v>3.0848767873231999</v>
      </c>
      <c r="AE20" s="100">
        <v>884.74266260429374</v>
      </c>
      <c r="AF20" s="100">
        <v>13</v>
      </c>
      <c r="AG20" s="100">
        <v>3728.4</v>
      </c>
      <c r="AH20" s="100">
        <v>8</v>
      </c>
      <c r="AI20" s="100">
        <v>2294.4</v>
      </c>
      <c r="AJ20" s="100">
        <v>10.000100297629995</v>
      </c>
      <c r="AK20" s="100">
        <v>2868.0287653602827</v>
      </c>
      <c r="AL20" s="100">
        <v>1.4145141393546974</v>
      </c>
      <c r="AM20" s="100">
        <v>405.68265516692725</v>
      </c>
      <c r="AN20" s="100">
        <v>8.767292717933795E-4</v>
      </c>
      <c r="AO20" s="100">
        <v>0.25144595515034124</v>
      </c>
      <c r="AP20" s="100">
        <v>1.7185822913633948</v>
      </c>
      <c r="AQ20" s="100">
        <v>492.88940116302166</v>
      </c>
      <c r="AR20" s="100">
        <v>11</v>
      </c>
      <c r="AS20" s="100">
        <v>3154.8</v>
      </c>
      <c r="AT20" s="100">
        <v>10</v>
      </c>
      <c r="AU20" s="100">
        <v>2868</v>
      </c>
      <c r="AV20" s="100">
        <v>13.127790457203547</v>
      </c>
      <c r="AW20" s="100">
        <v>3765.0503031259773</v>
      </c>
      <c r="AX20" s="100">
        <v>1.8919749689741656</v>
      </c>
      <c r="AY20" s="100">
        <v>542.61842110179077</v>
      </c>
      <c r="AZ20" s="100">
        <v>10</v>
      </c>
      <c r="BA20" s="100">
        <v>2868</v>
      </c>
      <c r="BB20" s="100">
        <v>12.849192822455564</v>
      </c>
      <c r="BC20" s="100">
        <v>3685.1485014802556</v>
      </c>
      <c r="BD20" s="100">
        <v>3.3424368662027075</v>
      </c>
      <c r="BE20" s="100">
        <v>958.61089322693658</v>
      </c>
      <c r="BF20" s="100">
        <v>13.587383498704421</v>
      </c>
      <c r="BG20" s="100">
        <v>3896.8615874284283</v>
      </c>
      <c r="BH20" s="100">
        <v>11.053842620698195</v>
      </c>
      <c r="BI20" s="100">
        <v>3170.2420636162424</v>
      </c>
      <c r="BJ20" s="100">
        <v>10</v>
      </c>
      <c r="BK20" s="100">
        <v>2868</v>
      </c>
      <c r="BL20" s="100">
        <v>13.692548241176112</v>
      </c>
      <c r="BM20" s="100">
        <v>3927.0228355693093</v>
      </c>
      <c r="BN20" s="100">
        <v>7.9127655545833422</v>
      </c>
      <c r="BO20" s="100">
        <v>2269.3811610545026</v>
      </c>
      <c r="BP20" s="100">
        <v>0.40132125994863604</v>
      </c>
      <c r="BQ20" s="100">
        <v>115.09893735326882</v>
      </c>
      <c r="BR20" s="100">
        <v>14</v>
      </c>
      <c r="BS20" s="100">
        <v>4015.2000000000003</v>
      </c>
      <c r="BT20" s="100">
        <v>16.806185564794887</v>
      </c>
      <c r="BU20" s="100">
        <v>4820.014019983174</v>
      </c>
      <c r="BV20" s="100">
        <v>4.9309130048753653</v>
      </c>
      <c r="BW20" s="100">
        <v>1414.1858497982548</v>
      </c>
      <c r="BX20" s="100">
        <v>0.32854645400724608</v>
      </c>
      <c r="BY20" s="100">
        <v>94.227123009278174</v>
      </c>
      <c r="BZ20" s="100">
        <v>17</v>
      </c>
      <c r="CA20" s="100">
        <v>4875.6000000000004</v>
      </c>
      <c r="CB20" s="100">
        <v>9</v>
      </c>
      <c r="CC20" s="100">
        <v>2581.2000000000003</v>
      </c>
      <c r="CD20" s="100">
        <v>15</v>
      </c>
      <c r="CE20" s="100">
        <v>4302</v>
      </c>
      <c r="CF20" s="100">
        <v>11.975294682906616</v>
      </c>
      <c r="CG20" s="100">
        <v>3434.5145150576177</v>
      </c>
      <c r="CH20" s="100">
        <v>12.673791062899243</v>
      </c>
      <c r="CI20" s="100">
        <v>3634.8432768395028</v>
      </c>
      <c r="CJ20" s="100">
        <v>13</v>
      </c>
      <c r="CK20" s="100">
        <v>3728.4</v>
      </c>
      <c r="CL20" s="100">
        <v>9</v>
      </c>
      <c r="CM20" s="100">
        <v>2581.2000000000003</v>
      </c>
      <c r="CN20" s="100">
        <v>11.495202772051719</v>
      </c>
      <c r="CO20" s="100">
        <v>3296.8241550244334</v>
      </c>
      <c r="CP20" s="100">
        <v>8.5125380037418842E-4</v>
      </c>
      <c r="CQ20" s="100">
        <v>0.24413958994731724</v>
      </c>
      <c r="CR20" s="100">
        <v>2.8084800749475183</v>
      </c>
      <c r="CS20" s="100">
        <v>805.47208549494826</v>
      </c>
      <c r="CT20" s="100">
        <v>11</v>
      </c>
      <c r="CU20" s="100">
        <v>3154.8</v>
      </c>
    </row>
    <row r="21" spans="2:99">
      <c r="C21" s="99" t="s">
        <v>187</v>
      </c>
      <c r="D21" s="100">
        <v>12</v>
      </c>
      <c r="E21" s="100">
        <v>748.8</v>
      </c>
      <c r="F21" s="100">
        <v>11</v>
      </c>
      <c r="G21" s="100">
        <v>686.4</v>
      </c>
      <c r="H21" s="100">
        <v>11</v>
      </c>
      <c r="I21" s="100">
        <v>686.4</v>
      </c>
      <c r="J21" s="100">
        <v>13.591505066249304</v>
      </c>
      <c r="K21" s="100">
        <v>848.10991613395663</v>
      </c>
      <c r="L21" s="100">
        <v>3.9081922138370078</v>
      </c>
      <c r="M21" s="100">
        <v>243.87119414342928</v>
      </c>
      <c r="N21" s="100">
        <v>13</v>
      </c>
      <c r="O21" s="100">
        <v>811.19999999999993</v>
      </c>
      <c r="P21" s="100">
        <v>14</v>
      </c>
      <c r="Q21" s="100">
        <v>873.6</v>
      </c>
      <c r="R21" s="100">
        <v>8</v>
      </c>
      <c r="S21" s="100">
        <v>499.2</v>
      </c>
      <c r="T21" s="100">
        <v>13</v>
      </c>
      <c r="U21" s="100">
        <v>811.19999999999993</v>
      </c>
      <c r="V21" s="100">
        <v>8.3140044945564302</v>
      </c>
      <c r="W21" s="100">
        <v>518.79388046032125</v>
      </c>
      <c r="X21" s="100">
        <v>11</v>
      </c>
      <c r="Y21" s="100">
        <v>686.4</v>
      </c>
      <c r="Z21" s="100">
        <v>13</v>
      </c>
      <c r="AA21" s="100">
        <v>811.19999999999993</v>
      </c>
      <c r="AB21" s="100">
        <v>12.647361712039295</v>
      </c>
      <c r="AC21" s="100">
        <v>789.19537083125203</v>
      </c>
      <c r="AD21" s="100">
        <v>3.645763475927418</v>
      </c>
      <c r="AE21" s="100">
        <v>227.49564089787089</v>
      </c>
      <c r="AF21" s="100">
        <v>13</v>
      </c>
      <c r="AG21" s="100">
        <v>811.19999999999993</v>
      </c>
      <c r="AH21" s="100">
        <v>9</v>
      </c>
      <c r="AI21" s="100">
        <v>561.6</v>
      </c>
      <c r="AJ21" s="100">
        <v>10.000090267866995</v>
      </c>
      <c r="AK21" s="100">
        <v>624.00563271490046</v>
      </c>
      <c r="AL21" s="100">
        <v>1.7681395928141279</v>
      </c>
      <c r="AM21" s="100">
        <v>110.33191059160158</v>
      </c>
      <c r="AN21" s="100">
        <v>8.7290832374321402E-4</v>
      </c>
      <c r="AO21" s="100">
        <v>5.4469479401576551E-2</v>
      </c>
      <c r="AP21" s="100">
        <v>1.9640940472724511</v>
      </c>
      <c r="AQ21" s="100">
        <v>122.55946854980094</v>
      </c>
      <c r="AR21" s="100">
        <v>10</v>
      </c>
      <c r="AS21" s="100">
        <v>624</v>
      </c>
      <c r="AT21" s="100">
        <v>10</v>
      </c>
      <c r="AU21" s="100">
        <v>624</v>
      </c>
      <c r="AV21" s="100">
        <v>12.161187760915066</v>
      </c>
      <c r="AW21" s="100">
        <v>758.85811628110014</v>
      </c>
      <c r="AX21" s="100">
        <v>1.6817555279770362</v>
      </c>
      <c r="AY21" s="100">
        <v>104.94154494576706</v>
      </c>
      <c r="AZ21" s="100">
        <v>11</v>
      </c>
      <c r="BA21" s="100">
        <v>686.4</v>
      </c>
      <c r="BB21" s="100">
        <v>10.896370201480874</v>
      </c>
      <c r="BC21" s="100">
        <v>679.9335005724065</v>
      </c>
      <c r="BD21" s="100">
        <v>3.3424368662027075</v>
      </c>
      <c r="BE21" s="100">
        <v>208.56806045104895</v>
      </c>
      <c r="BF21" s="100">
        <v>11.888960561366368</v>
      </c>
      <c r="BG21" s="100">
        <v>741.87113902926137</v>
      </c>
      <c r="BH21" s="100">
        <v>11.048947836998359</v>
      </c>
      <c r="BI21" s="100">
        <v>689.45434502869762</v>
      </c>
      <c r="BJ21" s="100">
        <v>12</v>
      </c>
      <c r="BK21" s="100">
        <v>748.8</v>
      </c>
      <c r="BL21" s="100">
        <v>11.885694570025938</v>
      </c>
      <c r="BM21" s="100">
        <v>741.66734116961857</v>
      </c>
      <c r="BN21" s="100">
        <v>7.9071789120520748</v>
      </c>
      <c r="BO21" s="100">
        <v>493.40796411204946</v>
      </c>
      <c r="BP21" s="100">
        <v>0.3344343832905301</v>
      </c>
      <c r="BQ21" s="100">
        <v>20.868705517329079</v>
      </c>
      <c r="BR21" s="100">
        <v>16</v>
      </c>
      <c r="BS21" s="100">
        <v>998.4</v>
      </c>
      <c r="BT21" s="100">
        <v>16.850973651727934</v>
      </c>
      <c r="BU21" s="100">
        <v>1051.500755867823</v>
      </c>
      <c r="BV21" s="100">
        <v>5.2298705763202609</v>
      </c>
      <c r="BW21" s="100">
        <v>326.34392396238428</v>
      </c>
      <c r="BX21" s="100">
        <v>0.36505161556360671</v>
      </c>
      <c r="BY21" s="100">
        <v>22.779220811169058</v>
      </c>
      <c r="BZ21" s="100">
        <v>17</v>
      </c>
      <c r="CA21" s="100">
        <v>1060.8</v>
      </c>
      <c r="CB21" s="100">
        <v>9</v>
      </c>
      <c r="CC21" s="100">
        <v>561.6</v>
      </c>
      <c r="CD21" s="100">
        <v>14</v>
      </c>
      <c r="CE21" s="100">
        <v>873.6</v>
      </c>
      <c r="CF21" s="100">
        <v>11.934657404452174</v>
      </c>
      <c r="CG21" s="100">
        <v>744.72262203781565</v>
      </c>
      <c r="CH21" s="100">
        <v>12.673791062899243</v>
      </c>
      <c r="CI21" s="100">
        <v>790.84456232491277</v>
      </c>
      <c r="CJ21" s="100">
        <v>13</v>
      </c>
      <c r="CK21" s="100">
        <v>811.19999999999993</v>
      </c>
      <c r="CL21" s="100">
        <v>11</v>
      </c>
      <c r="CM21" s="100">
        <v>686.4</v>
      </c>
      <c r="CN21" s="100">
        <v>11.495202772051719</v>
      </c>
      <c r="CO21" s="100">
        <v>717.30065297602732</v>
      </c>
      <c r="CP21" s="100">
        <v>9.0064679715748895E-4</v>
      </c>
      <c r="CQ21" s="100">
        <v>5.6200360142627311E-2</v>
      </c>
      <c r="CR21" s="100">
        <v>3.0637964453972923</v>
      </c>
      <c r="CS21" s="100">
        <v>191.18089819279103</v>
      </c>
      <c r="CT21" s="100">
        <v>12</v>
      </c>
      <c r="CU21" s="100">
        <v>748.8</v>
      </c>
    </row>
    <row r="22" spans="2:99">
      <c r="C22" s="99" t="s">
        <v>188</v>
      </c>
      <c r="D22" s="100">
        <v>11</v>
      </c>
      <c r="E22" s="100">
        <v>2059.1999999999998</v>
      </c>
      <c r="F22" s="100">
        <v>10</v>
      </c>
      <c r="G22" s="100">
        <v>1872</v>
      </c>
      <c r="H22" s="100">
        <v>10</v>
      </c>
      <c r="I22" s="100">
        <v>1872</v>
      </c>
      <c r="J22" s="100">
        <v>15.591505066249304</v>
      </c>
      <c r="K22" s="100">
        <v>2918.7297484018695</v>
      </c>
      <c r="L22" s="100">
        <v>3.5529020125790978</v>
      </c>
      <c r="M22" s="100">
        <v>665.10325675480703</v>
      </c>
      <c r="N22" s="100">
        <v>14</v>
      </c>
      <c r="O22" s="100">
        <v>2620.7999999999997</v>
      </c>
      <c r="P22" s="100">
        <v>14</v>
      </c>
      <c r="Q22" s="100">
        <v>2620.7999999999997</v>
      </c>
      <c r="R22" s="100">
        <v>8</v>
      </c>
      <c r="S22" s="100">
        <v>1497.6</v>
      </c>
      <c r="T22" s="100">
        <v>12</v>
      </c>
      <c r="U22" s="100">
        <v>2246.3999999999996</v>
      </c>
      <c r="V22" s="100">
        <v>8.3140044945564302</v>
      </c>
      <c r="W22" s="100">
        <v>1556.3816413809636</v>
      </c>
      <c r="X22" s="100">
        <v>12</v>
      </c>
      <c r="Y22" s="100">
        <v>2246.3999999999996</v>
      </c>
      <c r="Z22" s="100">
        <v>13</v>
      </c>
      <c r="AA22" s="100">
        <v>2433.6</v>
      </c>
      <c r="AB22" s="100">
        <v>14.693601834327815</v>
      </c>
      <c r="AC22" s="100">
        <v>2750.6422633861666</v>
      </c>
      <c r="AD22" s="100">
        <v>3.645763475927418</v>
      </c>
      <c r="AE22" s="100">
        <v>682.48692269361266</v>
      </c>
      <c r="AF22" s="100">
        <v>13</v>
      </c>
      <c r="AG22" s="100">
        <v>2433.6</v>
      </c>
      <c r="AH22" s="100">
        <v>9</v>
      </c>
      <c r="AI22" s="100">
        <v>1684.8</v>
      </c>
      <c r="AJ22" s="100">
        <v>11.000085252985496</v>
      </c>
      <c r="AK22" s="100">
        <v>2059.2159593588849</v>
      </c>
      <c r="AL22" s="100">
        <v>1.7681387711129961</v>
      </c>
      <c r="AM22" s="100">
        <v>330.99557795235285</v>
      </c>
      <c r="AN22" s="100">
        <v>8.8055021984354508E-4</v>
      </c>
      <c r="AO22" s="100">
        <v>0.16483900115471162</v>
      </c>
      <c r="AP22" s="100">
        <v>1.9640940472724511</v>
      </c>
      <c r="AQ22" s="100">
        <v>367.67840564940281</v>
      </c>
      <c r="AR22" s="100">
        <v>10</v>
      </c>
      <c r="AS22" s="100">
        <v>1872</v>
      </c>
      <c r="AT22" s="100">
        <v>10</v>
      </c>
      <c r="AU22" s="100">
        <v>1872</v>
      </c>
      <c r="AV22" s="100">
        <v>15.02085617796242</v>
      </c>
      <c r="AW22" s="100">
        <v>2811.904276514565</v>
      </c>
      <c r="AX22" s="100">
        <v>1.6817555279770362</v>
      </c>
      <c r="AY22" s="100">
        <v>314.82463483730118</v>
      </c>
      <c r="AZ22" s="100">
        <v>11</v>
      </c>
      <c r="BA22" s="100">
        <v>2059.1999999999998</v>
      </c>
      <c r="BB22" s="100">
        <v>10.754838064404947</v>
      </c>
      <c r="BC22" s="100">
        <v>2013.3056856566059</v>
      </c>
      <c r="BD22" s="100">
        <v>3.3424368662027075</v>
      </c>
      <c r="BE22" s="100">
        <v>625.70418135314685</v>
      </c>
      <c r="BF22" s="100">
        <v>12.738172030035395</v>
      </c>
      <c r="BG22" s="100">
        <v>2384.5858040226258</v>
      </c>
      <c r="BH22" s="100">
        <v>9.0562900125481125</v>
      </c>
      <c r="BI22" s="100">
        <v>1695.3374903490067</v>
      </c>
      <c r="BJ22" s="100">
        <v>11</v>
      </c>
      <c r="BK22" s="100">
        <v>2059.1999999999998</v>
      </c>
      <c r="BL22" s="100">
        <v>13.757834025121417</v>
      </c>
      <c r="BM22" s="100">
        <v>2575.4665295027289</v>
      </c>
      <c r="BN22" s="100">
        <v>8.63109212453978</v>
      </c>
      <c r="BO22" s="100">
        <v>1615.7404457138466</v>
      </c>
      <c r="BP22" s="100">
        <v>0.36787782161958305</v>
      </c>
      <c r="BQ22" s="100">
        <v>68.866728207185943</v>
      </c>
      <c r="BR22" s="100">
        <v>15</v>
      </c>
      <c r="BS22" s="100">
        <v>2808</v>
      </c>
      <c r="BT22" s="100">
        <v>17.761397477861838</v>
      </c>
      <c r="BU22" s="100">
        <v>3324.9336078557358</v>
      </c>
      <c r="BV22" s="100">
        <v>4.6211030906542172</v>
      </c>
      <c r="BW22" s="100">
        <v>865.07049857046945</v>
      </c>
      <c r="BX22" s="100">
        <v>0.32854645400724608</v>
      </c>
      <c r="BY22" s="100">
        <v>61.50389619015646</v>
      </c>
      <c r="BZ22" s="100">
        <v>16</v>
      </c>
      <c r="CA22" s="100">
        <v>2995.2</v>
      </c>
      <c r="CB22" s="100">
        <v>8</v>
      </c>
      <c r="CC22" s="100">
        <v>1497.6</v>
      </c>
      <c r="CD22" s="100">
        <v>14</v>
      </c>
      <c r="CE22" s="100">
        <v>2620.7999999999997</v>
      </c>
      <c r="CF22" s="100">
        <v>11.934657404452174</v>
      </c>
      <c r="CG22" s="100">
        <v>2234.167866113447</v>
      </c>
      <c r="CH22" s="100">
        <v>11.768520272692154</v>
      </c>
      <c r="CI22" s="100">
        <v>2203.066995047971</v>
      </c>
      <c r="CJ22" s="100">
        <v>15</v>
      </c>
      <c r="CK22" s="100">
        <v>2808</v>
      </c>
      <c r="CL22" s="100">
        <v>10</v>
      </c>
      <c r="CM22" s="100">
        <v>1872</v>
      </c>
      <c r="CN22" s="100">
        <v>10.779791260775415</v>
      </c>
      <c r="CO22" s="100">
        <v>2017.9769240171574</v>
      </c>
      <c r="CP22" s="100">
        <v>7.9777343882701075E-4</v>
      </c>
      <c r="CQ22" s="100">
        <v>0.1493431877484164</v>
      </c>
      <c r="CR22" s="100">
        <v>3.0637964453972923</v>
      </c>
      <c r="CS22" s="100">
        <v>573.54269457837313</v>
      </c>
      <c r="CT22" s="100">
        <v>11</v>
      </c>
      <c r="CU22" s="100">
        <v>2059.1999999999998</v>
      </c>
    </row>
    <row r="23" spans="2:99">
      <c r="C23" s="99" t="s">
        <v>189</v>
      </c>
      <c r="D23" s="100">
        <v>12</v>
      </c>
      <c r="E23" s="100">
        <v>3528</v>
      </c>
      <c r="F23" s="100">
        <v>11</v>
      </c>
      <c r="G23" s="100">
        <v>3234</v>
      </c>
      <c r="H23" s="100">
        <v>10</v>
      </c>
      <c r="I23" s="100">
        <v>2940</v>
      </c>
      <c r="J23" s="100">
        <v>15.591505066249304</v>
      </c>
      <c r="K23" s="100">
        <v>4583.9024894772956</v>
      </c>
      <c r="L23" s="100">
        <v>3.9081922138370078</v>
      </c>
      <c r="M23" s="100">
        <v>1149.0085108680803</v>
      </c>
      <c r="N23" s="100">
        <v>14</v>
      </c>
      <c r="O23" s="100">
        <v>4116</v>
      </c>
      <c r="P23" s="100">
        <v>14</v>
      </c>
      <c r="Q23" s="100">
        <v>4116</v>
      </c>
      <c r="R23" s="100">
        <v>9</v>
      </c>
      <c r="S23" s="100">
        <v>2646</v>
      </c>
      <c r="T23" s="100">
        <v>12</v>
      </c>
      <c r="U23" s="100">
        <v>3528</v>
      </c>
      <c r="V23" s="100">
        <v>8.3140044945564302</v>
      </c>
      <c r="W23" s="100">
        <v>2444.3173213995906</v>
      </c>
      <c r="X23" s="100">
        <v>11</v>
      </c>
      <c r="Y23" s="100">
        <v>3234</v>
      </c>
      <c r="Z23" s="100">
        <v>14</v>
      </c>
      <c r="AA23" s="100">
        <v>4116</v>
      </c>
      <c r="AB23" s="100">
        <v>12.601121589750774</v>
      </c>
      <c r="AC23" s="100">
        <v>3704.7297473867275</v>
      </c>
      <c r="AD23" s="100">
        <v>3.0848767873231999</v>
      </c>
      <c r="AE23" s="100">
        <v>906.95377547302076</v>
      </c>
      <c r="AF23" s="100">
        <v>13</v>
      </c>
      <c r="AG23" s="100">
        <v>3822</v>
      </c>
      <c r="AH23" s="100">
        <v>9</v>
      </c>
      <c r="AI23" s="100">
        <v>2646</v>
      </c>
      <c r="AJ23" s="100">
        <v>11.000095282748495</v>
      </c>
      <c r="AK23" s="100">
        <v>3234.0280131280574</v>
      </c>
      <c r="AL23" s="100">
        <v>1.7681412362163915</v>
      </c>
      <c r="AM23" s="100">
        <v>519.83352344761909</v>
      </c>
      <c r="AN23" s="100">
        <v>8.7290832374321402E-4</v>
      </c>
      <c r="AO23" s="100">
        <v>0.25663504718050495</v>
      </c>
      <c r="AP23" s="100">
        <v>1.7185822913633948</v>
      </c>
      <c r="AQ23" s="100">
        <v>505.26319366083806</v>
      </c>
      <c r="AR23" s="100">
        <v>10</v>
      </c>
      <c r="AS23" s="100">
        <v>2940</v>
      </c>
      <c r="AT23" s="100">
        <v>9</v>
      </c>
      <c r="AU23" s="100">
        <v>2646</v>
      </c>
      <c r="AV23" s="100">
        <v>14.014113809855846</v>
      </c>
      <c r="AW23" s="100">
        <v>4120.1494600976184</v>
      </c>
      <c r="AX23" s="100">
        <v>1.8919749689741656</v>
      </c>
      <c r="AY23" s="100">
        <v>556.24064087840475</v>
      </c>
      <c r="AZ23" s="100">
        <v>11</v>
      </c>
      <c r="BA23" s="100">
        <v>3234</v>
      </c>
      <c r="BB23" s="100">
        <v>12.849192822455564</v>
      </c>
      <c r="BC23" s="100">
        <v>3777.6626898019358</v>
      </c>
      <c r="BD23" s="100">
        <v>3.0853263380332687</v>
      </c>
      <c r="BE23" s="100">
        <v>907.08594338178102</v>
      </c>
      <c r="BF23" s="100">
        <v>11.888960561366368</v>
      </c>
      <c r="BG23" s="100">
        <v>3495.3544050417122</v>
      </c>
      <c r="BH23" s="100">
        <v>9</v>
      </c>
      <c r="BI23" s="100">
        <v>2646</v>
      </c>
      <c r="BJ23" s="100">
        <v>12</v>
      </c>
      <c r="BK23" s="100">
        <v>3528</v>
      </c>
      <c r="BL23" s="100">
        <v>13.725191133148765</v>
      </c>
      <c r="BM23" s="100">
        <v>4035.206193145737</v>
      </c>
      <c r="BN23" s="100">
        <v>7.9183521971146096</v>
      </c>
      <c r="BO23" s="100">
        <v>2327.995545951695</v>
      </c>
      <c r="BP23" s="100">
        <v>0.36787782161958305</v>
      </c>
      <c r="BQ23" s="100">
        <v>108.15607955615741</v>
      </c>
      <c r="BR23" s="100">
        <v>15</v>
      </c>
      <c r="BS23" s="100">
        <v>4410</v>
      </c>
      <c r="BT23" s="100">
        <v>15.806185564794886</v>
      </c>
      <c r="BU23" s="100">
        <v>4647.0185560496966</v>
      </c>
      <c r="BV23" s="100">
        <v>4.6211030906542172</v>
      </c>
      <c r="BW23" s="100">
        <v>1358.6043086523398</v>
      </c>
      <c r="BX23" s="100">
        <v>0.32854645400724608</v>
      </c>
      <c r="BY23" s="100">
        <v>96.592657478130349</v>
      </c>
      <c r="BZ23" s="100">
        <v>17</v>
      </c>
      <c r="CA23" s="100">
        <v>4998</v>
      </c>
      <c r="CB23" s="100">
        <v>9</v>
      </c>
      <c r="CC23" s="100">
        <v>2646</v>
      </c>
      <c r="CD23" s="100">
        <v>14</v>
      </c>
      <c r="CE23" s="100">
        <v>4116</v>
      </c>
      <c r="CF23" s="100">
        <v>12.975294682906616</v>
      </c>
      <c r="CG23" s="100">
        <v>3814.7366367745453</v>
      </c>
      <c r="CH23" s="100">
        <v>11.768520272692154</v>
      </c>
      <c r="CI23" s="100">
        <v>3459.9449601714932</v>
      </c>
      <c r="CJ23" s="100">
        <v>14</v>
      </c>
      <c r="CK23" s="100">
        <v>4116</v>
      </c>
      <c r="CL23" s="100">
        <v>10</v>
      </c>
      <c r="CM23" s="100">
        <v>2940</v>
      </c>
      <c r="CN23" s="100">
        <v>12.222768931235739</v>
      </c>
      <c r="CO23" s="100">
        <v>3593.4940657833076</v>
      </c>
      <c r="CP23" s="100">
        <v>9.561708410866052E-4</v>
      </c>
      <c r="CQ23" s="100">
        <v>0.28111422727946195</v>
      </c>
      <c r="CR23" s="100">
        <v>3.0637964453972923</v>
      </c>
      <c r="CS23" s="100">
        <v>900.75615494680392</v>
      </c>
      <c r="CT23" s="100">
        <v>12</v>
      </c>
      <c r="CU23" s="100">
        <v>3528</v>
      </c>
    </row>
    <row r="24" spans="2:99">
      <c r="C24" s="99" t="s">
        <v>190</v>
      </c>
      <c r="D24" s="100">
        <v>12</v>
      </c>
      <c r="E24" s="100">
        <v>4406.3999999999996</v>
      </c>
      <c r="F24" s="100">
        <v>9</v>
      </c>
      <c r="G24" s="100">
        <v>3304.7999999999997</v>
      </c>
      <c r="H24" s="100">
        <v>10</v>
      </c>
      <c r="I24" s="100">
        <v>3672</v>
      </c>
      <c r="J24" s="100">
        <v>13.591505066249304</v>
      </c>
      <c r="K24" s="100">
        <v>4990.800660326744</v>
      </c>
      <c r="L24" s="100">
        <v>3.5529020125790978</v>
      </c>
      <c r="M24" s="100">
        <v>1304.6256190190447</v>
      </c>
      <c r="N24" s="100">
        <v>14</v>
      </c>
      <c r="O24" s="100">
        <v>5140.8</v>
      </c>
      <c r="P24" s="100">
        <v>13</v>
      </c>
      <c r="Q24" s="100">
        <v>4773.5999999999995</v>
      </c>
      <c r="R24" s="100">
        <v>9</v>
      </c>
      <c r="S24" s="100">
        <v>3304.7999999999997</v>
      </c>
      <c r="T24" s="100">
        <v>12</v>
      </c>
      <c r="U24" s="100">
        <v>4406.3999999999996</v>
      </c>
      <c r="V24" s="100">
        <v>7.6211707866767284</v>
      </c>
      <c r="W24" s="100">
        <v>2798.4939128676947</v>
      </c>
      <c r="X24" s="100">
        <v>11</v>
      </c>
      <c r="Y24" s="100">
        <v>4039.2</v>
      </c>
      <c r="Z24" s="100">
        <v>12</v>
      </c>
      <c r="AA24" s="100">
        <v>4406.3999999999996</v>
      </c>
      <c r="AB24" s="100">
        <v>12.601121589750774</v>
      </c>
      <c r="AC24" s="100">
        <v>4627.1318477564837</v>
      </c>
      <c r="AD24" s="100">
        <v>3.0848767873231999</v>
      </c>
      <c r="AE24" s="100">
        <v>1132.7667563050791</v>
      </c>
      <c r="AF24" s="100">
        <v>14</v>
      </c>
      <c r="AG24" s="100">
        <v>5140.8</v>
      </c>
      <c r="AH24" s="100">
        <v>9</v>
      </c>
      <c r="AI24" s="100">
        <v>3304.7999999999997</v>
      </c>
      <c r="AJ24" s="100">
        <v>10.000095282748495</v>
      </c>
      <c r="AK24" s="100">
        <v>3672.0349878252473</v>
      </c>
      <c r="AL24" s="100">
        <v>1.5913264552338466</v>
      </c>
      <c r="AM24" s="100">
        <v>584.33507436186846</v>
      </c>
      <c r="AN24" s="100">
        <v>8.7290832374321402E-4</v>
      </c>
      <c r="AO24" s="100">
        <v>0.32053193647850819</v>
      </c>
      <c r="AP24" s="100">
        <v>1.9640940472724511</v>
      </c>
      <c r="AQ24" s="100">
        <v>721.21533415844397</v>
      </c>
      <c r="AR24" s="100">
        <v>10</v>
      </c>
      <c r="AS24" s="100">
        <v>3672</v>
      </c>
      <c r="AT24" s="100">
        <v>10</v>
      </c>
      <c r="AU24" s="100">
        <v>3672</v>
      </c>
      <c r="AV24" s="100">
        <v>15.02085617796242</v>
      </c>
      <c r="AW24" s="100">
        <v>5515.6583885478003</v>
      </c>
      <c r="AX24" s="100">
        <v>1.8919749689741656</v>
      </c>
      <c r="AY24" s="100">
        <v>694.7332086073136</v>
      </c>
      <c r="AZ24" s="100">
        <v>12</v>
      </c>
      <c r="BA24" s="100">
        <v>4406.3999999999996</v>
      </c>
      <c r="BB24" s="100">
        <v>10.754838064404947</v>
      </c>
      <c r="BC24" s="100">
        <v>3949.1765372494961</v>
      </c>
      <c r="BD24" s="100">
        <v>3.0853263380332687</v>
      </c>
      <c r="BE24" s="100">
        <v>1132.9318313258163</v>
      </c>
      <c r="BF24" s="100">
        <v>11.888960561366368</v>
      </c>
      <c r="BG24" s="100">
        <v>4365.6263181337299</v>
      </c>
      <c r="BH24" s="100">
        <v>11.051395228848277</v>
      </c>
      <c r="BI24" s="100">
        <v>4058.0723280330872</v>
      </c>
      <c r="BJ24" s="100">
        <v>12</v>
      </c>
      <c r="BK24" s="100">
        <v>4406.3999999999996</v>
      </c>
      <c r="BL24" s="100">
        <v>13.725191133148765</v>
      </c>
      <c r="BM24" s="100">
        <v>5039.8901840922263</v>
      </c>
      <c r="BN24" s="100">
        <v>8.6199188394772452</v>
      </c>
      <c r="BO24" s="100">
        <v>3165.2341978560444</v>
      </c>
      <c r="BP24" s="100">
        <v>0.3344343832905301</v>
      </c>
      <c r="BQ24" s="100">
        <v>122.80430554428266</v>
      </c>
      <c r="BR24" s="100">
        <v>15</v>
      </c>
      <c r="BS24" s="100">
        <v>5508</v>
      </c>
      <c r="BT24" s="100">
        <v>16.761397477861838</v>
      </c>
      <c r="BU24" s="100">
        <v>6154.7851538708665</v>
      </c>
      <c r="BV24" s="100">
        <v>4.3156341135435694</v>
      </c>
      <c r="BW24" s="100">
        <v>1584.7008464931987</v>
      </c>
      <c r="BX24" s="100">
        <v>0.32854645400724608</v>
      </c>
      <c r="BY24" s="100">
        <v>120.64225791146076</v>
      </c>
      <c r="BZ24" s="100">
        <v>15</v>
      </c>
      <c r="CA24" s="100">
        <v>5508</v>
      </c>
      <c r="CB24" s="100">
        <v>9</v>
      </c>
      <c r="CC24" s="100">
        <v>3304.7999999999997</v>
      </c>
      <c r="CD24" s="100">
        <v>15</v>
      </c>
      <c r="CE24" s="100">
        <v>5508</v>
      </c>
      <c r="CF24" s="100">
        <v>11.894020125997731</v>
      </c>
      <c r="CG24" s="100">
        <v>4367.4841902663666</v>
      </c>
      <c r="CH24" s="100">
        <v>12.673791062899243</v>
      </c>
      <c r="CI24" s="100">
        <v>4653.8160782966015</v>
      </c>
      <c r="CJ24" s="100">
        <v>13</v>
      </c>
      <c r="CK24" s="100">
        <v>4773.5999999999995</v>
      </c>
      <c r="CL24" s="100">
        <v>10</v>
      </c>
      <c r="CM24" s="100">
        <v>3672</v>
      </c>
      <c r="CN24" s="100">
        <v>11.507357419959435</v>
      </c>
      <c r="CO24" s="100">
        <v>4225.501644609104</v>
      </c>
      <c r="CP24" s="100">
        <v>8.4307907084643446E-4</v>
      </c>
      <c r="CQ24" s="100">
        <v>0.30957863481481074</v>
      </c>
      <c r="CR24" s="100">
        <v>3.0637964453972923</v>
      </c>
      <c r="CS24" s="100">
        <v>1125.0260547498858</v>
      </c>
      <c r="CT24" s="100">
        <v>12</v>
      </c>
      <c r="CU24" s="100">
        <v>4406.3999999999996</v>
      </c>
    </row>
    <row r="25" spans="2:99">
      <c r="C25" s="99" t="s">
        <v>191</v>
      </c>
      <c r="D25" s="100">
        <v>12</v>
      </c>
      <c r="E25" s="100">
        <v>6364.7999999999993</v>
      </c>
      <c r="F25" s="100">
        <v>10</v>
      </c>
      <c r="G25" s="100">
        <v>5304</v>
      </c>
      <c r="H25" s="100">
        <v>10</v>
      </c>
      <c r="I25" s="100">
        <v>5304</v>
      </c>
      <c r="J25" s="100">
        <v>13.591505066249304</v>
      </c>
      <c r="K25" s="100">
        <v>7208.9342871386307</v>
      </c>
      <c r="L25" s="100">
        <v>3.9081922138370078</v>
      </c>
      <c r="M25" s="100">
        <v>2072.9051502191487</v>
      </c>
      <c r="N25" s="100">
        <v>13</v>
      </c>
      <c r="O25" s="100">
        <v>6895.2</v>
      </c>
      <c r="P25" s="100">
        <v>13</v>
      </c>
      <c r="Q25" s="100">
        <v>6895.2</v>
      </c>
      <c r="R25" s="100">
        <v>8</v>
      </c>
      <c r="S25" s="100">
        <v>4243.2</v>
      </c>
      <c r="T25" s="100">
        <v>12</v>
      </c>
      <c r="U25" s="100">
        <v>6364.7999999999993</v>
      </c>
      <c r="V25" s="100">
        <v>7.6211707866767284</v>
      </c>
      <c r="W25" s="100">
        <v>4042.2689852533367</v>
      </c>
      <c r="X25" s="100">
        <v>10</v>
      </c>
      <c r="Y25" s="100">
        <v>5304</v>
      </c>
      <c r="Z25" s="100">
        <v>13</v>
      </c>
      <c r="AA25" s="100">
        <v>6895.2</v>
      </c>
      <c r="AB25" s="100">
        <v>13.693601834327815</v>
      </c>
      <c r="AC25" s="100">
        <v>7263.0864129274723</v>
      </c>
      <c r="AD25" s="100">
        <v>3.3653201316253094</v>
      </c>
      <c r="AE25" s="100">
        <v>1784.965797814064</v>
      </c>
      <c r="AF25" s="100">
        <v>12</v>
      </c>
      <c r="AG25" s="100">
        <v>6364.7999999999993</v>
      </c>
      <c r="AH25" s="100">
        <v>8</v>
      </c>
      <c r="AI25" s="100">
        <v>4243.2</v>
      </c>
      <c r="AJ25" s="100">
        <v>10.000085252985496</v>
      </c>
      <c r="AK25" s="100">
        <v>5304.0452181835071</v>
      </c>
      <c r="AL25" s="100">
        <v>1.5913256335327155</v>
      </c>
      <c r="AM25" s="100">
        <v>844.03911602575226</v>
      </c>
      <c r="AN25" s="100">
        <v>8.767292717933795E-4</v>
      </c>
      <c r="AO25" s="100">
        <v>0.46501720575920846</v>
      </c>
      <c r="AP25" s="100">
        <v>1.9640940472724511</v>
      </c>
      <c r="AQ25" s="100">
        <v>1041.7554826733081</v>
      </c>
      <c r="AR25" s="100">
        <v>10</v>
      </c>
      <c r="AS25" s="100">
        <v>5304</v>
      </c>
      <c r="AT25" s="100">
        <v>9</v>
      </c>
      <c r="AU25" s="100">
        <v>4773.5999999999995</v>
      </c>
      <c r="AV25" s="100">
        <v>14.134532825310123</v>
      </c>
      <c r="AW25" s="100">
        <v>7496.9562105444884</v>
      </c>
      <c r="AX25" s="100">
        <v>1.8919749689741656</v>
      </c>
      <c r="AY25" s="100">
        <v>1003.5035235438974</v>
      </c>
      <c r="AZ25" s="100">
        <v>10</v>
      </c>
      <c r="BA25" s="100">
        <v>5304</v>
      </c>
      <c r="BB25" s="100">
        <v>10.896370201480874</v>
      </c>
      <c r="BC25" s="100">
        <v>5779.434754865455</v>
      </c>
      <c r="BD25" s="100">
        <v>3.5995473943721468</v>
      </c>
      <c r="BE25" s="100">
        <v>1909.1999379749866</v>
      </c>
      <c r="BF25" s="100">
        <v>12.738172030035395</v>
      </c>
      <c r="BG25" s="100">
        <v>6756.3264447307729</v>
      </c>
      <c r="BH25" s="100">
        <v>9</v>
      </c>
      <c r="BI25" s="100">
        <v>4773.5999999999995</v>
      </c>
      <c r="BJ25" s="100">
        <v>10</v>
      </c>
      <c r="BK25" s="100">
        <v>5304</v>
      </c>
      <c r="BL25" s="100">
        <v>12.756478513628371</v>
      </c>
      <c r="BM25" s="100">
        <v>6766.0362036284878</v>
      </c>
      <c r="BN25" s="100">
        <v>7.9071789120520748</v>
      </c>
      <c r="BO25" s="100">
        <v>4193.9676949524201</v>
      </c>
      <c r="BP25" s="100">
        <v>0.40132125994863604</v>
      </c>
      <c r="BQ25" s="100">
        <v>212.86079627675656</v>
      </c>
      <c r="BR25" s="100">
        <v>16</v>
      </c>
      <c r="BS25" s="100">
        <v>8486.4</v>
      </c>
      <c r="BT25" s="100">
        <v>17.761397477861838</v>
      </c>
      <c r="BU25" s="100">
        <v>9420.6452222579192</v>
      </c>
      <c r="BV25" s="100">
        <v>4.9309130048753653</v>
      </c>
      <c r="BW25" s="100">
        <v>2615.3562577858938</v>
      </c>
      <c r="BX25" s="100">
        <v>0.36505161556360671</v>
      </c>
      <c r="BY25" s="100">
        <v>193.623376894937</v>
      </c>
      <c r="BZ25" s="100">
        <v>14</v>
      </c>
      <c r="CA25" s="100">
        <v>7425.5999999999995</v>
      </c>
      <c r="CB25" s="100">
        <v>9</v>
      </c>
      <c r="CC25" s="100">
        <v>4773.5999999999995</v>
      </c>
      <c r="CD25" s="100">
        <v>13</v>
      </c>
      <c r="CE25" s="100">
        <v>6895.2</v>
      </c>
      <c r="CF25" s="100">
        <v>11.894020125997731</v>
      </c>
      <c r="CG25" s="100">
        <v>6308.5882748291961</v>
      </c>
      <c r="CH25" s="100">
        <v>10.863249482485065</v>
      </c>
      <c r="CI25" s="100">
        <v>5761.8675255100779</v>
      </c>
      <c r="CJ25" s="100">
        <v>15</v>
      </c>
      <c r="CK25" s="100">
        <v>7956</v>
      </c>
      <c r="CL25" s="100">
        <v>10</v>
      </c>
      <c r="CM25" s="100">
        <v>5304</v>
      </c>
      <c r="CN25" s="100">
        <v>10.779791260775415</v>
      </c>
      <c r="CO25" s="100">
        <v>5717.6012847152797</v>
      </c>
      <c r="CP25" s="100">
        <v>9.047341619213661E-4</v>
      </c>
      <c r="CQ25" s="100">
        <v>0.47987099948309259</v>
      </c>
      <c r="CR25" s="100">
        <v>2.8084800749475183</v>
      </c>
      <c r="CS25" s="100">
        <v>1489.6178317521637</v>
      </c>
      <c r="CT25" s="100">
        <v>10</v>
      </c>
      <c r="CU25" s="100">
        <v>5304</v>
      </c>
    </row>
    <row r="26" spans="2:99">
      <c r="C26" s="99" t="s">
        <v>192</v>
      </c>
      <c r="D26" s="100">
        <v>11</v>
      </c>
      <c r="E26" s="100">
        <v>5346</v>
      </c>
      <c r="F26" s="100">
        <v>9</v>
      </c>
      <c r="G26" s="100">
        <v>4374</v>
      </c>
      <c r="H26" s="100">
        <v>10</v>
      </c>
      <c r="I26" s="100">
        <v>4860</v>
      </c>
      <c r="J26" s="100">
        <v>14.591505066249304</v>
      </c>
      <c r="K26" s="100">
        <v>7091.4714621971616</v>
      </c>
      <c r="L26" s="100">
        <v>3.9081922138370078</v>
      </c>
      <c r="M26" s="100">
        <v>1899.3814159247859</v>
      </c>
      <c r="N26" s="100">
        <v>14</v>
      </c>
      <c r="O26" s="100">
        <v>6804</v>
      </c>
      <c r="P26" s="100">
        <v>13</v>
      </c>
      <c r="Q26" s="100">
        <v>6318</v>
      </c>
      <c r="R26" s="100">
        <v>9</v>
      </c>
      <c r="S26" s="100">
        <v>4374</v>
      </c>
      <c r="T26" s="100">
        <v>12</v>
      </c>
      <c r="U26" s="100">
        <v>5832</v>
      </c>
      <c r="V26" s="100">
        <v>8.3140044945564302</v>
      </c>
      <c r="W26" s="100">
        <v>4040.6061843544253</v>
      </c>
      <c r="X26" s="100">
        <v>11</v>
      </c>
      <c r="Y26" s="100">
        <v>5346</v>
      </c>
      <c r="Z26" s="100">
        <v>13</v>
      </c>
      <c r="AA26" s="100">
        <v>6318</v>
      </c>
      <c r="AB26" s="100">
        <v>13.601121589750774</v>
      </c>
      <c r="AC26" s="100">
        <v>6610.1450926188763</v>
      </c>
      <c r="AD26" s="100">
        <v>3.645763475927418</v>
      </c>
      <c r="AE26" s="100">
        <v>1771.8410493007252</v>
      </c>
      <c r="AF26" s="100">
        <v>12</v>
      </c>
      <c r="AG26" s="100">
        <v>5832</v>
      </c>
      <c r="AH26" s="100">
        <v>9</v>
      </c>
      <c r="AI26" s="100">
        <v>4374</v>
      </c>
      <c r="AJ26" s="100">
        <v>9.000085252985496</v>
      </c>
      <c r="AK26" s="100">
        <v>4374.0414329509513</v>
      </c>
      <c r="AL26" s="100">
        <v>1.5913280986361102</v>
      </c>
      <c r="AM26" s="100">
        <v>773.38545593714957</v>
      </c>
      <c r="AN26" s="100">
        <v>8.7290832374321402E-4</v>
      </c>
      <c r="AO26" s="100">
        <v>0.42423344533920204</v>
      </c>
      <c r="AP26" s="100">
        <v>1.7185822913633948</v>
      </c>
      <c r="AQ26" s="100">
        <v>835.23099360260983</v>
      </c>
      <c r="AR26" s="100">
        <v>10</v>
      </c>
      <c r="AS26" s="100">
        <v>4860</v>
      </c>
      <c r="AT26" s="100">
        <v>10</v>
      </c>
      <c r="AU26" s="100">
        <v>4860</v>
      </c>
      <c r="AV26" s="100">
        <v>13.087650785385456</v>
      </c>
      <c r="AW26" s="100">
        <v>6360.5982816973319</v>
      </c>
      <c r="AX26" s="100">
        <v>1.8919749689741656</v>
      </c>
      <c r="AY26" s="100">
        <v>919.49983492144452</v>
      </c>
      <c r="AZ26" s="100">
        <v>12</v>
      </c>
      <c r="BA26" s="100">
        <v>5832</v>
      </c>
      <c r="BB26" s="100">
        <v>10.849192822455564</v>
      </c>
      <c r="BC26" s="100">
        <v>5272.707711713404</v>
      </c>
      <c r="BD26" s="100">
        <v>3.0853263380332687</v>
      </c>
      <c r="BE26" s="100">
        <v>1499.4686002841686</v>
      </c>
      <c r="BF26" s="100">
        <v>13.587383498704421</v>
      </c>
      <c r="BG26" s="100">
        <v>6603.4683803703483</v>
      </c>
      <c r="BH26" s="100">
        <v>10</v>
      </c>
      <c r="BI26" s="100">
        <v>4860</v>
      </c>
      <c r="BJ26" s="100">
        <v>12</v>
      </c>
      <c r="BK26" s="100">
        <v>5832</v>
      </c>
      <c r="BL26" s="100">
        <v>12.854407189546331</v>
      </c>
      <c r="BM26" s="100">
        <v>6247.2418941195165</v>
      </c>
      <c r="BN26" s="100">
        <v>8.63109212453978</v>
      </c>
      <c r="BO26" s="100">
        <v>4194.7107725263331</v>
      </c>
      <c r="BP26" s="100">
        <v>0.36787782161958305</v>
      </c>
      <c r="BQ26" s="100">
        <v>178.78862130711735</v>
      </c>
      <c r="BR26" s="100">
        <v>14</v>
      </c>
      <c r="BS26" s="100">
        <v>6804</v>
      </c>
      <c r="BT26" s="100">
        <v>16.806185564794887</v>
      </c>
      <c r="BU26" s="100">
        <v>8167.806184490315</v>
      </c>
      <c r="BV26" s="100">
        <v>4.6211030906542172</v>
      </c>
      <c r="BW26" s="100">
        <v>2245.8561020579496</v>
      </c>
      <c r="BX26" s="100">
        <v>0.32854645400724608</v>
      </c>
      <c r="BY26" s="100">
        <v>159.6735766475216</v>
      </c>
      <c r="BZ26" s="100">
        <v>17</v>
      </c>
      <c r="CA26" s="100">
        <v>8262</v>
      </c>
      <c r="CB26" s="100">
        <v>8</v>
      </c>
      <c r="CC26" s="100">
        <v>3888</v>
      </c>
      <c r="CD26" s="100">
        <v>14</v>
      </c>
      <c r="CE26" s="100">
        <v>6804</v>
      </c>
      <c r="CF26" s="100">
        <v>11.853382847543289</v>
      </c>
      <c r="CG26" s="100">
        <v>5760.7440639060387</v>
      </c>
      <c r="CH26" s="100">
        <v>12.673791062899243</v>
      </c>
      <c r="CI26" s="100">
        <v>6159.4624565690319</v>
      </c>
      <c r="CJ26" s="100">
        <v>15</v>
      </c>
      <c r="CK26" s="100">
        <v>7290</v>
      </c>
      <c r="CL26" s="100">
        <v>10</v>
      </c>
      <c r="CM26" s="100">
        <v>4860</v>
      </c>
      <c r="CN26" s="100">
        <v>12.889561850881174</v>
      </c>
      <c r="CO26" s="100">
        <v>6264.3270595282502</v>
      </c>
      <c r="CP26" s="100">
        <v>9.0269047953942753E-4</v>
      </c>
      <c r="CQ26" s="100">
        <v>0.43870757305616176</v>
      </c>
      <c r="CR26" s="100">
        <v>2.8084800749475183</v>
      </c>
      <c r="CS26" s="100">
        <v>1364.9213164244939</v>
      </c>
      <c r="CT26" s="100">
        <v>11</v>
      </c>
      <c r="CU26" s="100">
        <v>5346</v>
      </c>
    </row>
    <row r="27" spans="2:99">
      <c r="C27" s="99" t="s">
        <v>193</v>
      </c>
      <c r="D27" s="100">
        <v>10</v>
      </c>
      <c r="E27" s="100">
        <v>4272</v>
      </c>
      <c r="F27" s="100">
        <v>10</v>
      </c>
      <c r="G27" s="100">
        <v>4272</v>
      </c>
      <c r="H27" s="100">
        <v>10</v>
      </c>
      <c r="I27" s="100">
        <v>4272</v>
      </c>
      <c r="J27" s="100">
        <v>15.591505066249304</v>
      </c>
      <c r="K27" s="100">
        <v>6660.6909643017025</v>
      </c>
      <c r="L27" s="100">
        <v>3.5529020125790978</v>
      </c>
      <c r="M27" s="100">
        <v>1517.7997397737906</v>
      </c>
      <c r="N27" s="100">
        <v>15</v>
      </c>
      <c r="O27" s="100">
        <v>6408</v>
      </c>
      <c r="P27" s="100">
        <v>14</v>
      </c>
      <c r="Q27" s="100">
        <v>5980.8</v>
      </c>
      <c r="R27" s="100">
        <v>9</v>
      </c>
      <c r="S27" s="100">
        <v>3844.7999999999997</v>
      </c>
      <c r="T27" s="100">
        <v>13</v>
      </c>
      <c r="U27" s="100">
        <v>5553.5999999999995</v>
      </c>
      <c r="V27" s="100">
        <v>8.3140044945564302</v>
      </c>
      <c r="W27" s="100">
        <v>3551.7427200745069</v>
      </c>
      <c r="X27" s="100">
        <v>11</v>
      </c>
      <c r="Y27" s="100">
        <v>4699.2</v>
      </c>
      <c r="Z27" s="100">
        <v>13</v>
      </c>
      <c r="AA27" s="100">
        <v>5553.5999999999995</v>
      </c>
      <c r="AB27" s="100">
        <v>13.739841956616337</v>
      </c>
      <c r="AC27" s="100">
        <v>5869.6604838664989</v>
      </c>
      <c r="AD27" s="100">
        <v>3.3653201316253094</v>
      </c>
      <c r="AE27" s="100">
        <v>1437.6647602303321</v>
      </c>
      <c r="AF27" s="100">
        <v>12</v>
      </c>
      <c r="AG27" s="100">
        <v>5126.3999999999996</v>
      </c>
      <c r="AH27" s="100">
        <v>8</v>
      </c>
      <c r="AI27" s="100">
        <v>3417.6</v>
      </c>
      <c r="AJ27" s="100">
        <v>10.000095282748495</v>
      </c>
      <c r="AK27" s="100">
        <v>4272.0407047901572</v>
      </c>
      <c r="AL27" s="100">
        <v>1.414515782756961</v>
      </c>
      <c r="AM27" s="100">
        <v>604.28114239377373</v>
      </c>
      <c r="AN27" s="100">
        <v>7.7812333846343288E-4</v>
      </c>
      <c r="AO27" s="100">
        <v>0.33241429019157853</v>
      </c>
      <c r="AP27" s="100">
        <v>1.7185822913633948</v>
      </c>
      <c r="AQ27" s="100">
        <v>734.17835487044226</v>
      </c>
      <c r="AR27" s="100">
        <v>10</v>
      </c>
      <c r="AS27" s="100">
        <v>4272</v>
      </c>
      <c r="AT27" s="100">
        <v>10</v>
      </c>
      <c r="AU27" s="100">
        <v>4272</v>
      </c>
      <c r="AV27" s="100">
        <v>14.134532825310123</v>
      </c>
      <c r="AW27" s="100">
        <v>6038.2724229724845</v>
      </c>
      <c r="AX27" s="100">
        <v>1.6817555279770362</v>
      </c>
      <c r="AY27" s="100">
        <v>718.44596155178988</v>
      </c>
      <c r="AZ27" s="100">
        <v>11</v>
      </c>
      <c r="BA27" s="100">
        <v>4699.2</v>
      </c>
      <c r="BB27" s="100">
        <v>11.896370201480874</v>
      </c>
      <c r="BC27" s="100">
        <v>5082.1293500726288</v>
      </c>
      <c r="BD27" s="100">
        <v>3.5995473943721468</v>
      </c>
      <c r="BE27" s="100">
        <v>1537.7266468757812</v>
      </c>
      <c r="BF27" s="100">
        <v>13.587383498704421</v>
      </c>
      <c r="BG27" s="100">
        <v>5804.5302306465283</v>
      </c>
      <c r="BH27" s="100">
        <v>10.051395228848277</v>
      </c>
      <c r="BI27" s="100">
        <v>4293.9560417639841</v>
      </c>
      <c r="BJ27" s="100">
        <v>11</v>
      </c>
      <c r="BK27" s="100">
        <v>4699.2</v>
      </c>
      <c r="BL27" s="100">
        <v>13.692548241176112</v>
      </c>
      <c r="BM27" s="100">
        <v>5849.4566086304349</v>
      </c>
      <c r="BN27" s="100">
        <v>9.3382454094336822</v>
      </c>
      <c r="BO27" s="100">
        <v>3989.2984389100689</v>
      </c>
      <c r="BP27" s="100">
        <v>0.3344343832905301</v>
      </c>
      <c r="BQ27" s="100">
        <v>142.87036854171447</v>
      </c>
      <c r="BR27" s="100">
        <v>15</v>
      </c>
      <c r="BS27" s="100">
        <v>6408</v>
      </c>
      <c r="BT27" s="100">
        <v>15.716609390928788</v>
      </c>
      <c r="BU27" s="100">
        <v>6714.1355318047781</v>
      </c>
      <c r="BV27" s="100">
        <v>4.6211030906542172</v>
      </c>
      <c r="BW27" s="100">
        <v>1974.1352403274816</v>
      </c>
      <c r="BX27" s="100">
        <v>0.36505161556360671</v>
      </c>
      <c r="BY27" s="100">
        <v>155.95005016877278</v>
      </c>
      <c r="BZ27" s="100">
        <v>16</v>
      </c>
      <c r="CA27" s="100">
        <v>6835.2</v>
      </c>
      <c r="CB27" s="100">
        <v>8</v>
      </c>
      <c r="CC27" s="100">
        <v>3417.6</v>
      </c>
      <c r="CD27" s="100">
        <v>13</v>
      </c>
      <c r="CE27" s="100">
        <v>5553.5999999999995</v>
      </c>
      <c r="CF27" s="100">
        <v>11.975294682906616</v>
      </c>
      <c r="CG27" s="100">
        <v>5115.8458885377067</v>
      </c>
      <c r="CH27" s="100">
        <v>11.768520272692154</v>
      </c>
      <c r="CI27" s="100">
        <v>5027.5118604940881</v>
      </c>
      <c r="CJ27" s="100">
        <v>13</v>
      </c>
      <c r="CK27" s="100">
        <v>5553.5999999999995</v>
      </c>
      <c r="CL27" s="100">
        <v>10</v>
      </c>
      <c r="CM27" s="100">
        <v>4272</v>
      </c>
      <c r="CN27" s="100">
        <v>12.913871146696609</v>
      </c>
      <c r="CO27" s="100">
        <v>5516.8057538687908</v>
      </c>
      <c r="CP27" s="100">
        <v>8.4716643561031139E-4</v>
      </c>
      <c r="CQ27" s="100">
        <v>0.36190950129272503</v>
      </c>
      <c r="CR27" s="100">
        <v>3.0637964453972923</v>
      </c>
      <c r="CS27" s="100">
        <v>1308.8538414737232</v>
      </c>
      <c r="CT27" s="100">
        <v>12</v>
      </c>
      <c r="CU27" s="100">
        <v>5126.3999999999996</v>
      </c>
    </row>
    <row r="28" spans="2:99">
      <c r="C28" s="99" t="s">
        <v>194</v>
      </c>
      <c r="D28" s="100">
        <v>11</v>
      </c>
      <c r="E28" s="100">
        <v>8118</v>
      </c>
      <c r="F28" s="100">
        <v>9</v>
      </c>
      <c r="G28" s="100">
        <v>6642</v>
      </c>
      <c r="H28" s="100">
        <v>11</v>
      </c>
      <c r="I28" s="100">
        <v>8118</v>
      </c>
      <c r="J28" s="100">
        <v>14.591505066249304</v>
      </c>
      <c r="K28" s="100">
        <v>10768.530738891986</v>
      </c>
      <c r="L28" s="100">
        <v>3.9081922138370078</v>
      </c>
      <c r="M28" s="100">
        <v>2884.2458538117116</v>
      </c>
      <c r="N28" s="100">
        <v>13</v>
      </c>
      <c r="O28" s="100">
        <v>9594</v>
      </c>
      <c r="P28" s="100">
        <v>12</v>
      </c>
      <c r="Q28" s="100">
        <v>8856</v>
      </c>
      <c r="R28" s="100">
        <v>9</v>
      </c>
      <c r="S28" s="100">
        <v>6642</v>
      </c>
      <c r="T28" s="100">
        <v>13</v>
      </c>
      <c r="U28" s="100">
        <v>9594</v>
      </c>
      <c r="V28" s="100">
        <v>6.9283370787970258</v>
      </c>
      <c r="W28" s="100">
        <v>5113.1127641522053</v>
      </c>
      <c r="X28" s="100">
        <v>11</v>
      </c>
      <c r="Y28" s="100">
        <v>8118</v>
      </c>
      <c r="Z28" s="100">
        <v>12</v>
      </c>
      <c r="AA28" s="100">
        <v>8856</v>
      </c>
      <c r="AB28" s="100">
        <v>13.601121589750774</v>
      </c>
      <c r="AC28" s="100">
        <v>10037.627733236071</v>
      </c>
      <c r="AD28" s="100">
        <v>3.3653201316253094</v>
      </c>
      <c r="AE28" s="100">
        <v>2483.6062571394782</v>
      </c>
      <c r="AF28" s="100">
        <v>12</v>
      </c>
      <c r="AG28" s="100">
        <v>8856</v>
      </c>
      <c r="AH28" s="100">
        <v>8</v>
      </c>
      <c r="AI28" s="100">
        <v>5904</v>
      </c>
      <c r="AJ28" s="100">
        <v>11.000080238103996</v>
      </c>
      <c r="AK28" s="100">
        <v>8118.0592157207484</v>
      </c>
      <c r="AL28" s="100">
        <v>1.4145149610558292</v>
      </c>
      <c r="AM28" s="100">
        <v>1043.9120412592019</v>
      </c>
      <c r="AN28" s="100">
        <v>7.7048144236310193E-4</v>
      </c>
      <c r="AO28" s="100">
        <v>0.56861530446396924</v>
      </c>
      <c r="AP28" s="100">
        <v>1.9640940472724511</v>
      </c>
      <c r="AQ28" s="100">
        <v>1449.5014068870689</v>
      </c>
      <c r="AR28" s="100">
        <v>10</v>
      </c>
      <c r="AS28" s="100">
        <v>7380</v>
      </c>
      <c r="AT28" s="100">
        <v>11</v>
      </c>
      <c r="AU28" s="100">
        <v>8118</v>
      </c>
      <c r="AV28" s="100">
        <v>13.127790457203547</v>
      </c>
      <c r="AW28" s="100">
        <v>9688.3093574162176</v>
      </c>
      <c r="AX28" s="100">
        <v>1.6817555279770362</v>
      </c>
      <c r="AY28" s="100">
        <v>1241.1355796470527</v>
      </c>
      <c r="AZ28" s="100">
        <v>10</v>
      </c>
      <c r="BA28" s="100">
        <v>7380</v>
      </c>
      <c r="BB28" s="100">
        <v>12.802015443430255</v>
      </c>
      <c r="BC28" s="100">
        <v>9447.8873972515285</v>
      </c>
      <c r="BD28" s="100">
        <v>3.0853263380332687</v>
      </c>
      <c r="BE28" s="100">
        <v>2276.9708374685524</v>
      </c>
      <c r="BF28" s="100">
        <v>13.587383498704421</v>
      </c>
      <c r="BG28" s="100">
        <v>10027.489022043863</v>
      </c>
      <c r="BH28" s="100">
        <v>9</v>
      </c>
      <c r="BI28" s="100">
        <v>6642</v>
      </c>
      <c r="BJ28" s="100">
        <v>12</v>
      </c>
      <c r="BK28" s="100">
        <v>8856</v>
      </c>
      <c r="BL28" s="100">
        <v>12.789121405601025</v>
      </c>
      <c r="BM28" s="100">
        <v>9438.3715973335566</v>
      </c>
      <c r="BN28" s="100">
        <v>9.3438320519649505</v>
      </c>
      <c r="BO28" s="100">
        <v>6895.7480543501333</v>
      </c>
      <c r="BP28" s="100">
        <v>0.36787782161958305</v>
      </c>
      <c r="BQ28" s="100">
        <v>271.49383235525227</v>
      </c>
      <c r="BR28" s="100">
        <v>15</v>
      </c>
      <c r="BS28" s="100">
        <v>11070</v>
      </c>
      <c r="BT28" s="100">
        <v>15.761397477861836</v>
      </c>
      <c r="BU28" s="100">
        <v>11631.911338662036</v>
      </c>
      <c r="BV28" s="100">
        <v>4.9287425363201152</v>
      </c>
      <c r="BW28" s="100">
        <v>3637.4119918042452</v>
      </c>
      <c r="BX28" s="100">
        <v>0.36505161556360671</v>
      </c>
      <c r="BY28" s="100">
        <v>269.40809228594173</v>
      </c>
      <c r="BZ28" s="100">
        <v>16</v>
      </c>
      <c r="CA28" s="100">
        <v>11808</v>
      </c>
      <c r="CB28" s="100">
        <v>9</v>
      </c>
      <c r="CC28" s="100">
        <v>6642</v>
      </c>
      <c r="CD28" s="100">
        <v>13</v>
      </c>
      <c r="CE28" s="100">
        <v>9594</v>
      </c>
      <c r="CF28" s="100">
        <v>12.934657404452174</v>
      </c>
      <c r="CG28" s="100">
        <v>9545.7771644857039</v>
      </c>
      <c r="CH28" s="100">
        <v>10.863249482485065</v>
      </c>
      <c r="CI28" s="100">
        <v>8017.0781180739777</v>
      </c>
      <c r="CJ28" s="100">
        <v>13</v>
      </c>
      <c r="CK28" s="100">
        <v>9594</v>
      </c>
      <c r="CL28" s="100">
        <v>9</v>
      </c>
      <c r="CM28" s="100">
        <v>6642</v>
      </c>
      <c r="CN28" s="100">
        <v>12.186304987512589</v>
      </c>
      <c r="CO28" s="100">
        <v>8993.4930807842902</v>
      </c>
      <c r="CP28" s="100">
        <v>7.8959870929925678E-4</v>
      </c>
      <c r="CQ28" s="100">
        <v>0.58272384746285155</v>
      </c>
      <c r="CR28" s="100">
        <v>2.5531637044977438</v>
      </c>
      <c r="CS28" s="100">
        <v>1884.234813919335</v>
      </c>
      <c r="CT28" s="100">
        <v>12</v>
      </c>
      <c r="CU28" s="100">
        <v>8856</v>
      </c>
    </row>
    <row r="29" spans="2:99">
      <c r="C29" s="99" t="s">
        <v>195</v>
      </c>
      <c r="D29" s="100">
        <v>10</v>
      </c>
      <c r="E29" s="100">
        <v>3384</v>
      </c>
      <c r="F29" s="100">
        <v>9</v>
      </c>
      <c r="G29" s="100">
        <v>3045.6</v>
      </c>
      <c r="H29" s="100">
        <v>11</v>
      </c>
      <c r="I29" s="100">
        <v>3722.3999999999996</v>
      </c>
      <c r="J29" s="100">
        <v>13.591505066249304</v>
      </c>
      <c r="K29" s="100">
        <v>4599.3653144187647</v>
      </c>
      <c r="L29" s="100">
        <v>3.9081922138370078</v>
      </c>
      <c r="M29" s="100">
        <v>1322.5322451624434</v>
      </c>
      <c r="N29" s="100">
        <v>14</v>
      </c>
      <c r="O29" s="100">
        <v>4737.5999999999995</v>
      </c>
      <c r="P29" s="100">
        <v>14</v>
      </c>
      <c r="Q29" s="100">
        <v>4737.5999999999995</v>
      </c>
      <c r="R29" s="100">
        <v>9</v>
      </c>
      <c r="S29" s="100">
        <v>3045.6</v>
      </c>
      <c r="T29" s="100">
        <v>12</v>
      </c>
      <c r="U29" s="100">
        <v>4060.7999999999997</v>
      </c>
      <c r="V29" s="100">
        <v>8.3140044945564302</v>
      </c>
      <c r="W29" s="100">
        <v>2813.4591209578957</v>
      </c>
      <c r="X29" s="100">
        <v>12</v>
      </c>
      <c r="Y29" s="100">
        <v>4060.7999999999997</v>
      </c>
      <c r="Z29" s="100">
        <v>12</v>
      </c>
      <c r="AA29" s="100">
        <v>4060.7999999999997</v>
      </c>
      <c r="AB29" s="100">
        <v>13.693601834327815</v>
      </c>
      <c r="AC29" s="100">
        <v>4633.9148607365323</v>
      </c>
      <c r="AD29" s="100">
        <v>3.3653201316253094</v>
      </c>
      <c r="AE29" s="100">
        <v>1138.8243325420046</v>
      </c>
      <c r="AF29" s="100">
        <v>14</v>
      </c>
      <c r="AG29" s="100">
        <v>4737.5999999999995</v>
      </c>
      <c r="AH29" s="100">
        <v>9</v>
      </c>
      <c r="AI29" s="100">
        <v>3045.6</v>
      </c>
      <c r="AJ29" s="100">
        <v>9.0001002976299951</v>
      </c>
      <c r="AK29" s="100">
        <v>3045.6339407179903</v>
      </c>
      <c r="AL29" s="100">
        <v>1.5913280986361102</v>
      </c>
      <c r="AM29" s="100">
        <v>538.50542857845971</v>
      </c>
      <c r="AN29" s="100">
        <v>9.7533520512332623E-4</v>
      </c>
      <c r="AO29" s="100">
        <v>0.33005343341373355</v>
      </c>
      <c r="AP29" s="100">
        <v>1.9640940472724511</v>
      </c>
      <c r="AQ29" s="100">
        <v>664.64942559699739</v>
      </c>
      <c r="AR29" s="100">
        <v>11</v>
      </c>
      <c r="AS29" s="100">
        <v>3722.3999999999996</v>
      </c>
      <c r="AT29" s="100">
        <v>10</v>
      </c>
      <c r="AU29" s="100">
        <v>3384</v>
      </c>
      <c r="AV29" s="100">
        <v>13.087650785385456</v>
      </c>
      <c r="AW29" s="100">
        <v>4428.8610257744385</v>
      </c>
      <c r="AX29" s="100">
        <v>1.8919749689741656</v>
      </c>
      <c r="AY29" s="100">
        <v>640.24432950085759</v>
      </c>
      <c r="AZ29" s="100">
        <v>11</v>
      </c>
      <c r="BA29" s="100">
        <v>3722.3999999999996</v>
      </c>
      <c r="BB29" s="100">
        <v>12.802015443430255</v>
      </c>
      <c r="BC29" s="100">
        <v>4332.2020260567979</v>
      </c>
      <c r="BD29" s="100">
        <v>3.0853263380332687</v>
      </c>
      <c r="BE29" s="100">
        <v>1044.0744327904581</v>
      </c>
      <c r="BF29" s="100">
        <v>13.587383498704421</v>
      </c>
      <c r="BG29" s="100">
        <v>4597.9705759615754</v>
      </c>
      <c r="BH29" s="100">
        <v>11</v>
      </c>
      <c r="BI29" s="100">
        <v>3722.3999999999996</v>
      </c>
      <c r="BJ29" s="100">
        <v>12</v>
      </c>
      <c r="BK29" s="100">
        <v>4060.7999999999997</v>
      </c>
      <c r="BL29" s="100">
        <v>12.789121405601025</v>
      </c>
      <c r="BM29" s="100">
        <v>4327.8386836553864</v>
      </c>
      <c r="BN29" s="100">
        <v>7.9071789120520748</v>
      </c>
      <c r="BO29" s="100">
        <v>2675.7893438384222</v>
      </c>
      <c r="BP29" s="100">
        <v>0.3344343832905301</v>
      </c>
      <c r="BQ29" s="100">
        <v>113.17259530551537</v>
      </c>
      <c r="BR29" s="100">
        <v>14</v>
      </c>
      <c r="BS29" s="100">
        <v>4737.5999999999995</v>
      </c>
      <c r="BT29" s="100">
        <v>16.761397477861838</v>
      </c>
      <c r="BU29" s="100">
        <v>5672.0569065084455</v>
      </c>
      <c r="BV29" s="100">
        <v>4.6211030906542172</v>
      </c>
      <c r="BW29" s="100">
        <v>1563.7812858773871</v>
      </c>
      <c r="BX29" s="100">
        <v>0.32854645400724608</v>
      </c>
      <c r="BY29" s="100">
        <v>111.18012003605206</v>
      </c>
      <c r="BZ29" s="100">
        <v>17</v>
      </c>
      <c r="CA29" s="100">
        <v>5752.7999999999993</v>
      </c>
      <c r="CB29" s="100">
        <v>9</v>
      </c>
      <c r="CC29" s="100">
        <v>3045.6</v>
      </c>
      <c r="CD29" s="100">
        <v>13</v>
      </c>
      <c r="CE29" s="100">
        <v>4399.2</v>
      </c>
      <c r="CF29" s="100">
        <v>12.975294682906616</v>
      </c>
      <c r="CG29" s="100">
        <v>4390.8397206955988</v>
      </c>
      <c r="CH29" s="100">
        <v>13.579061853106332</v>
      </c>
      <c r="CI29" s="100">
        <v>4595.1545310911824</v>
      </c>
      <c r="CJ29" s="100">
        <v>15</v>
      </c>
      <c r="CK29" s="100">
        <v>5076</v>
      </c>
      <c r="CL29" s="100">
        <v>10</v>
      </c>
      <c r="CM29" s="100">
        <v>3384</v>
      </c>
      <c r="CN29" s="100">
        <v>12.901716498788893</v>
      </c>
      <c r="CO29" s="100">
        <v>4365.9408631901615</v>
      </c>
      <c r="CP29" s="100">
        <v>7.9572975644507228E-4</v>
      </c>
      <c r="CQ29" s="100">
        <v>0.26927494958101245</v>
      </c>
      <c r="CR29" s="100">
        <v>2.8084800749475183</v>
      </c>
      <c r="CS29" s="100">
        <v>950.38965736224009</v>
      </c>
      <c r="CT29" s="100">
        <v>10</v>
      </c>
      <c r="CU29" s="100">
        <v>3384</v>
      </c>
    </row>
    <row r="30" spans="2:99">
      <c r="C30" s="99" t="s">
        <v>196</v>
      </c>
      <c r="D30" s="100">
        <v>11</v>
      </c>
      <c r="E30" s="100">
        <v>1531.1999999999998</v>
      </c>
      <c r="F30" s="100">
        <v>9</v>
      </c>
      <c r="G30" s="100">
        <v>1252.8</v>
      </c>
      <c r="H30" s="100">
        <v>11</v>
      </c>
      <c r="I30" s="100">
        <v>1531.1999999999998</v>
      </c>
      <c r="J30" s="100">
        <v>14.542212977395195</v>
      </c>
      <c r="K30" s="100">
        <v>2024.276046453411</v>
      </c>
      <c r="L30" s="100">
        <v>3.1976118113211882</v>
      </c>
      <c r="M30" s="100">
        <v>445.10756413590934</v>
      </c>
      <c r="N30" s="100">
        <v>13</v>
      </c>
      <c r="O30" s="100">
        <v>1809.6</v>
      </c>
      <c r="P30" s="100">
        <v>12</v>
      </c>
      <c r="Q30" s="100">
        <v>1670.3999999999999</v>
      </c>
      <c r="R30" s="100">
        <v>9</v>
      </c>
      <c r="S30" s="100">
        <v>1252.8</v>
      </c>
      <c r="T30" s="100">
        <v>11</v>
      </c>
      <c r="U30" s="100">
        <v>1531.1999999999998</v>
      </c>
      <c r="V30" s="100">
        <v>8.3140044945564302</v>
      </c>
      <c r="W30" s="100">
        <v>1157.3094256422551</v>
      </c>
      <c r="X30" s="100">
        <v>12</v>
      </c>
      <c r="Y30" s="100">
        <v>1670.3999999999999</v>
      </c>
      <c r="Z30" s="100">
        <v>13</v>
      </c>
      <c r="AA30" s="100">
        <v>1809.6</v>
      </c>
      <c r="AB30" s="100">
        <v>14.647361712039295</v>
      </c>
      <c r="AC30" s="100">
        <v>2038.9127503158697</v>
      </c>
      <c r="AD30" s="100">
        <v>3.3653201316253094</v>
      </c>
      <c r="AE30" s="100">
        <v>468.45256232224301</v>
      </c>
      <c r="AF30" s="100">
        <v>12</v>
      </c>
      <c r="AG30" s="100">
        <v>1670.3999999999999</v>
      </c>
      <c r="AH30" s="100">
        <v>9</v>
      </c>
      <c r="AI30" s="100">
        <v>1252.8</v>
      </c>
      <c r="AJ30" s="100">
        <v>10.000095282748495</v>
      </c>
      <c r="AK30" s="100">
        <v>1392.0132633585904</v>
      </c>
      <c r="AL30" s="100">
        <v>1.7681395928141279</v>
      </c>
      <c r="AM30" s="100">
        <v>246.12503131972659</v>
      </c>
      <c r="AN30" s="100">
        <v>8.7290832374321402E-4</v>
      </c>
      <c r="AO30" s="100">
        <v>0.12150883866505538</v>
      </c>
      <c r="AP30" s="100">
        <v>1.9640940472724511</v>
      </c>
      <c r="AQ30" s="100">
        <v>273.40189138032514</v>
      </c>
      <c r="AR30" s="100">
        <v>11</v>
      </c>
      <c r="AS30" s="100">
        <v>1531.1999999999998</v>
      </c>
      <c r="AT30" s="100">
        <v>9</v>
      </c>
      <c r="AU30" s="100">
        <v>1252.8</v>
      </c>
      <c r="AV30" s="100">
        <v>15.02085617796242</v>
      </c>
      <c r="AW30" s="100">
        <v>2090.9031799723689</v>
      </c>
      <c r="AX30" s="100">
        <v>1.6817555279770362</v>
      </c>
      <c r="AY30" s="100">
        <v>234.10036949440342</v>
      </c>
      <c r="AZ30" s="100">
        <v>11</v>
      </c>
      <c r="BA30" s="100">
        <v>1531.1999999999998</v>
      </c>
      <c r="BB30" s="100">
        <v>12.802015443430255</v>
      </c>
      <c r="BC30" s="100">
        <v>1782.0405497254915</v>
      </c>
      <c r="BD30" s="100">
        <v>3.3424368662027075</v>
      </c>
      <c r="BE30" s="100">
        <v>465.26721177541685</v>
      </c>
      <c r="BF30" s="100">
        <v>11.888960561366368</v>
      </c>
      <c r="BG30" s="100">
        <v>1654.9433101421982</v>
      </c>
      <c r="BH30" s="100">
        <v>10.051395228848277</v>
      </c>
      <c r="BI30" s="100">
        <v>1399.1542158556799</v>
      </c>
      <c r="BJ30" s="100">
        <v>11</v>
      </c>
      <c r="BK30" s="100">
        <v>1531.1999999999998</v>
      </c>
      <c r="BL30" s="100">
        <v>14.693903752669158</v>
      </c>
      <c r="BM30" s="100">
        <v>2045.3914023715465</v>
      </c>
      <c r="BN30" s="100">
        <v>8.6199188394772452</v>
      </c>
      <c r="BO30" s="100">
        <v>1199.8927024552324</v>
      </c>
      <c r="BP30" s="100">
        <v>0.40132125994863604</v>
      </c>
      <c r="BQ30" s="100">
        <v>55.863919384850135</v>
      </c>
      <c r="BR30" s="100">
        <v>16</v>
      </c>
      <c r="BS30" s="100">
        <v>2227.1999999999998</v>
      </c>
      <c r="BT30" s="100">
        <v>17.761397477861838</v>
      </c>
      <c r="BU30" s="100">
        <v>2472.3865289183677</v>
      </c>
      <c r="BV30" s="100">
        <v>4.3199750506540706</v>
      </c>
      <c r="BW30" s="100">
        <v>601.34052705104659</v>
      </c>
      <c r="BX30" s="100">
        <v>0.32854645400724608</v>
      </c>
      <c r="BY30" s="100">
        <v>45.733666397808648</v>
      </c>
      <c r="BZ30" s="100">
        <v>15</v>
      </c>
      <c r="CA30" s="100">
        <v>2088</v>
      </c>
      <c r="CB30" s="100">
        <v>9</v>
      </c>
      <c r="CC30" s="100">
        <v>1252.8</v>
      </c>
      <c r="CD30" s="100">
        <v>13</v>
      </c>
      <c r="CE30" s="100">
        <v>1809.6</v>
      </c>
      <c r="CF30" s="100">
        <v>12.015931961361058</v>
      </c>
      <c r="CG30" s="100">
        <v>1672.6177290214591</v>
      </c>
      <c r="CH30" s="100">
        <v>12.673791062899243</v>
      </c>
      <c r="CI30" s="100">
        <v>1764.1917159555744</v>
      </c>
      <c r="CJ30" s="100">
        <v>15</v>
      </c>
      <c r="CK30" s="100">
        <v>2088</v>
      </c>
      <c r="CL30" s="100">
        <v>10</v>
      </c>
      <c r="CM30" s="100">
        <v>1392</v>
      </c>
      <c r="CN30" s="100">
        <v>12.186304987512589</v>
      </c>
      <c r="CO30" s="100">
        <v>1696.3336542617521</v>
      </c>
      <c r="CP30" s="100">
        <v>7.9777343882701075E-4</v>
      </c>
      <c r="CQ30" s="100">
        <v>0.11105006268471988</v>
      </c>
      <c r="CR30" s="100">
        <v>3.0637964453972923</v>
      </c>
      <c r="CS30" s="100">
        <v>426.48046519930307</v>
      </c>
      <c r="CT30" s="100">
        <v>12</v>
      </c>
      <c r="CU30" s="100">
        <v>1670.3999999999999</v>
      </c>
    </row>
    <row r="31" spans="2:99">
      <c r="C31" s="99" t="s">
        <v>197</v>
      </c>
      <c r="D31" s="100">
        <v>12</v>
      </c>
      <c r="E31" s="100">
        <v>4089.6000000000004</v>
      </c>
      <c r="F31" s="100">
        <v>9</v>
      </c>
      <c r="G31" s="100">
        <v>3067.2000000000003</v>
      </c>
      <c r="H31" s="100">
        <v>10</v>
      </c>
      <c r="I31" s="100">
        <v>3408</v>
      </c>
      <c r="J31" s="100">
        <v>14.640797155103412</v>
      </c>
      <c r="K31" s="100">
        <v>4989.583670459243</v>
      </c>
      <c r="L31" s="100">
        <v>3.1976118113211882</v>
      </c>
      <c r="M31" s="100">
        <v>1089.746105298261</v>
      </c>
      <c r="N31" s="100">
        <v>15</v>
      </c>
      <c r="O31" s="100">
        <v>5112</v>
      </c>
      <c r="P31" s="100">
        <v>13</v>
      </c>
      <c r="Q31" s="100">
        <v>4430.4000000000005</v>
      </c>
      <c r="R31" s="100">
        <v>9</v>
      </c>
      <c r="S31" s="100">
        <v>3067.2000000000003</v>
      </c>
      <c r="T31" s="100">
        <v>11</v>
      </c>
      <c r="U31" s="100">
        <v>3748.8</v>
      </c>
      <c r="V31" s="100">
        <v>7.6211707866767284</v>
      </c>
      <c r="W31" s="100">
        <v>2597.2950040994292</v>
      </c>
      <c r="X31" s="100">
        <v>12</v>
      </c>
      <c r="Y31" s="100">
        <v>4089.6000000000004</v>
      </c>
      <c r="Z31" s="100">
        <v>14</v>
      </c>
      <c r="AA31" s="100">
        <v>4771.2</v>
      </c>
      <c r="AB31" s="100">
        <v>13.739841956616337</v>
      </c>
      <c r="AC31" s="100">
        <v>4682.538138814848</v>
      </c>
      <c r="AD31" s="100">
        <v>3.0848767873231999</v>
      </c>
      <c r="AE31" s="100">
        <v>1051.3260091197465</v>
      </c>
      <c r="AF31" s="100">
        <v>13</v>
      </c>
      <c r="AG31" s="100">
        <v>4430.4000000000005</v>
      </c>
      <c r="AH31" s="100">
        <v>9</v>
      </c>
      <c r="AI31" s="100">
        <v>3067.2000000000003</v>
      </c>
      <c r="AJ31" s="100">
        <v>10.000080238103996</v>
      </c>
      <c r="AK31" s="100">
        <v>3408.027345145842</v>
      </c>
      <c r="AL31" s="100">
        <v>1.414515782756961</v>
      </c>
      <c r="AM31" s="100">
        <v>482.06697876357231</v>
      </c>
      <c r="AN31" s="100">
        <v>8.767292717933795E-4</v>
      </c>
      <c r="AO31" s="100">
        <v>0.29878933582718376</v>
      </c>
      <c r="AP31" s="100">
        <v>1.9640940472724511</v>
      </c>
      <c r="AQ31" s="100">
        <v>669.36325131045135</v>
      </c>
      <c r="AR31" s="100">
        <v>10</v>
      </c>
      <c r="AS31" s="100">
        <v>3408</v>
      </c>
      <c r="AT31" s="100">
        <v>10</v>
      </c>
      <c r="AU31" s="100">
        <v>3408</v>
      </c>
      <c r="AV31" s="100">
        <v>13.087650785385456</v>
      </c>
      <c r="AW31" s="100">
        <v>4460.2713876593634</v>
      </c>
      <c r="AX31" s="100">
        <v>1.6817555279770362</v>
      </c>
      <c r="AY31" s="100">
        <v>573.14228393457392</v>
      </c>
      <c r="AZ31" s="100">
        <v>10</v>
      </c>
      <c r="BA31" s="100">
        <v>3408</v>
      </c>
      <c r="BB31" s="100">
        <v>10.754838064404947</v>
      </c>
      <c r="BC31" s="100">
        <v>3665.2488123492058</v>
      </c>
      <c r="BD31" s="100">
        <v>3.5995473943721468</v>
      </c>
      <c r="BE31" s="100">
        <v>1226.7257520020275</v>
      </c>
      <c r="BF31" s="100">
        <v>13.587383498704421</v>
      </c>
      <c r="BG31" s="100">
        <v>4630.5802963584665</v>
      </c>
      <c r="BH31" s="100">
        <v>9.0489478369983587</v>
      </c>
      <c r="BI31" s="100">
        <v>3083.881422849041</v>
      </c>
      <c r="BJ31" s="100">
        <v>11</v>
      </c>
      <c r="BK31" s="100">
        <v>3748.8</v>
      </c>
      <c r="BL31" s="100">
        <v>11.885694570025938</v>
      </c>
      <c r="BM31" s="100">
        <v>4050.6447094648402</v>
      </c>
      <c r="BN31" s="100">
        <v>8.6255054820085117</v>
      </c>
      <c r="BO31" s="100">
        <v>2939.5722682685009</v>
      </c>
      <c r="BP31" s="100">
        <v>0.36787782161958305</v>
      </c>
      <c r="BQ31" s="100">
        <v>125.3727616079539</v>
      </c>
      <c r="BR31" s="100">
        <v>14</v>
      </c>
      <c r="BS31" s="100">
        <v>4771.2</v>
      </c>
      <c r="BT31" s="100">
        <v>16.716609390928788</v>
      </c>
      <c r="BU31" s="100">
        <v>5697.0204804285313</v>
      </c>
      <c r="BV31" s="100">
        <v>5.2363819819860131</v>
      </c>
      <c r="BW31" s="100">
        <v>1784.5589794608334</v>
      </c>
      <c r="BX31" s="100">
        <v>0.36505161556360671</v>
      </c>
      <c r="BY31" s="100">
        <v>124.40959058407716</v>
      </c>
      <c r="BZ31" s="100">
        <v>15</v>
      </c>
      <c r="CA31" s="100">
        <v>5112</v>
      </c>
      <c r="CB31" s="100">
        <v>9</v>
      </c>
      <c r="CC31" s="100">
        <v>3067.2000000000003</v>
      </c>
      <c r="CD31" s="100">
        <v>13</v>
      </c>
      <c r="CE31" s="100">
        <v>4430.4000000000005</v>
      </c>
      <c r="CF31" s="100">
        <v>11.934657404452174</v>
      </c>
      <c r="CG31" s="100">
        <v>4067.3312434373011</v>
      </c>
      <c r="CH31" s="100">
        <v>12.673791062899243</v>
      </c>
      <c r="CI31" s="100">
        <v>4319.2279942360619</v>
      </c>
      <c r="CJ31" s="100">
        <v>13</v>
      </c>
      <c r="CK31" s="100">
        <v>4430.4000000000005</v>
      </c>
      <c r="CL31" s="100">
        <v>10</v>
      </c>
      <c r="CM31" s="100">
        <v>3408</v>
      </c>
      <c r="CN31" s="100">
        <v>10.816255204498567</v>
      </c>
      <c r="CO31" s="100">
        <v>3686.1797736931117</v>
      </c>
      <c r="CP31" s="100">
        <v>9.0269047953942753E-4</v>
      </c>
      <c r="CQ31" s="100">
        <v>0.30763691542703692</v>
      </c>
      <c r="CR31" s="100">
        <v>2.8084800749475183</v>
      </c>
      <c r="CS31" s="100">
        <v>957.13000954211429</v>
      </c>
      <c r="CT31" s="100">
        <v>12</v>
      </c>
      <c r="CU31" s="100">
        <v>4089.6000000000004</v>
      </c>
    </row>
    <row r="32" spans="2:99">
      <c r="C32" s="99" t="s">
        <v>198</v>
      </c>
      <c r="D32" s="100">
        <v>10</v>
      </c>
      <c r="E32" s="100">
        <v>8400</v>
      </c>
      <c r="F32" s="100">
        <v>10</v>
      </c>
      <c r="G32" s="100">
        <v>8400</v>
      </c>
      <c r="H32" s="100">
        <v>10</v>
      </c>
      <c r="I32" s="100">
        <v>8400</v>
      </c>
      <c r="J32" s="100">
        <v>13.542212977395195</v>
      </c>
      <c r="K32" s="100">
        <v>11375.458901011963</v>
      </c>
      <c r="L32" s="100">
        <v>3.9081922138370078</v>
      </c>
      <c r="M32" s="100">
        <v>3282.8814596230864</v>
      </c>
      <c r="N32" s="100">
        <v>13</v>
      </c>
      <c r="O32" s="100">
        <v>10920</v>
      </c>
      <c r="P32" s="100">
        <v>13</v>
      </c>
      <c r="Q32" s="100">
        <v>10920</v>
      </c>
      <c r="R32" s="100">
        <v>8</v>
      </c>
      <c r="S32" s="100">
        <v>6720</v>
      </c>
      <c r="T32" s="100">
        <v>11</v>
      </c>
      <c r="U32" s="100">
        <v>9240</v>
      </c>
      <c r="V32" s="100">
        <v>8.3140044945564302</v>
      </c>
      <c r="W32" s="100">
        <v>6983.763775427401</v>
      </c>
      <c r="X32" s="100">
        <v>10</v>
      </c>
      <c r="Y32" s="100">
        <v>8400</v>
      </c>
      <c r="Z32" s="100">
        <v>13</v>
      </c>
      <c r="AA32" s="100">
        <v>10920</v>
      </c>
      <c r="AB32" s="100">
        <v>13.647361712039295</v>
      </c>
      <c r="AC32" s="100">
        <v>11463.783838113008</v>
      </c>
      <c r="AD32" s="100">
        <v>3.3653201316253094</v>
      </c>
      <c r="AE32" s="100">
        <v>2826.8689105652597</v>
      </c>
      <c r="AF32" s="100">
        <v>13</v>
      </c>
      <c r="AG32" s="100">
        <v>10920</v>
      </c>
      <c r="AH32" s="100">
        <v>9</v>
      </c>
      <c r="AI32" s="100">
        <v>7560</v>
      </c>
      <c r="AJ32" s="100">
        <v>10.000080238103996</v>
      </c>
      <c r="AK32" s="100">
        <v>8400.0674000073559</v>
      </c>
      <c r="AL32" s="100">
        <v>1.7681395928141279</v>
      </c>
      <c r="AM32" s="100">
        <v>1485.2372579638675</v>
      </c>
      <c r="AN32" s="100">
        <v>8.767292717933795E-4</v>
      </c>
      <c r="AO32" s="100">
        <v>0.73645258830643878</v>
      </c>
      <c r="AP32" s="100">
        <v>1.7185822913633948</v>
      </c>
      <c r="AQ32" s="100">
        <v>1443.6091247452516</v>
      </c>
      <c r="AR32" s="100">
        <v>10</v>
      </c>
      <c r="AS32" s="100">
        <v>8400</v>
      </c>
      <c r="AT32" s="100">
        <v>9</v>
      </c>
      <c r="AU32" s="100">
        <v>7560</v>
      </c>
      <c r="AV32" s="100">
        <v>14.09439315349203</v>
      </c>
      <c r="AW32" s="100">
        <v>11839.290248933305</v>
      </c>
      <c r="AX32" s="100">
        <v>1.8919749689741656</v>
      </c>
      <c r="AY32" s="100">
        <v>1589.2589739382991</v>
      </c>
      <c r="AZ32" s="100">
        <v>11</v>
      </c>
      <c r="BA32" s="100">
        <v>9240</v>
      </c>
      <c r="BB32" s="100">
        <v>10.849192822455564</v>
      </c>
      <c r="BC32" s="100">
        <v>9113.321970862673</v>
      </c>
      <c r="BD32" s="100">
        <v>3.0853263380332687</v>
      </c>
      <c r="BE32" s="100">
        <v>2591.6741239479456</v>
      </c>
      <c r="BF32" s="100">
        <v>12.738172030035395</v>
      </c>
      <c r="BG32" s="100">
        <v>10700.064505229731</v>
      </c>
      <c r="BH32" s="100">
        <v>9</v>
      </c>
      <c r="BI32" s="100">
        <v>7560</v>
      </c>
      <c r="BJ32" s="100">
        <v>10</v>
      </c>
      <c r="BK32" s="100">
        <v>8400</v>
      </c>
      <c r="BL32" s="100">
        <v>12.789121405601025</v>
      </c>
      <c r="BM32" s="100">
        <v>10742.86198070486</v>
      </c>
      <c r="BN32" s="100">
        <v>8.6199188394772452</v>
      </c>
      <c r="BO32" s="100">
        <v>7240.7318251608858</v>
      </c>
      <c r="BP32" s="100">
        <v>0.40132125994863604</v>
      </c>
      <c r="BQ32" s="100">
        <v>337.10985835685426</v>
      </c>
      <c r="BR32" s="100">
        <v>16</v>
      </c>
      <c r="BS32" s="100">
        <v>13440</v>
      </c>
      <c r="BT32" s="100">
        <v>16.671821303995738</v>
      </c>
      <c r="BU32" s="100">
        <v>14004.329895356421</v>
      </c>
      <c r="BV32" s="100">
        <v>4.3156341135435694</v>
      </c>
      <c r="BW32" s="100">
        <v>3625.1326553765984</v>
      </c>
      <c r="BX32" s="100">
        <v>0.32854645400724608</v>
      </c>
      <c r="BY32" s="100">
        <v>275.97902136608673</v>
      </c>
      <c r="BZ32" s="100">
        <v>17</v>
      </c>
      <c r="CA32" s="100">
        <v>14280</v>
      </c>
      <c r="CB32" s="100">
        <v>9</v>
      </c>
      <c r="CC32" s="100">
        <v>7560</v>
      </c>
      <c r="CD32" s="100">
        <v>13</v>
      </c>
      <c r="CE32" s="100">
        <v>10920</v>
      </c>
      <c r="CF32" s="100">
        <v>12.894020125997731</v>
      </c>
      <c r="CG32" s="100">
        <v>10830.976905838093</v>
      </c>
      <c r="CH32" s="100">
        <v>12.673791062899243</v>
      </c>
      <c r="CI32" s="100">
        <v>10645.984492835363</v>
      </c>
      <c r="CJ32" s="100">
        <v>12</v>
      </c>
      <c r="CK32" s="100">
        <v>10080</v>
      </c>
      <c r="CL32" s="100">
        <v>10</v>
      </c>
      <c r="CM32" s="100">
        <v>8400</v>
      </c>
      <c r="CN32" s="100">
        <v>10.755481964959982</v>
      </c>
      <c r="CO32" s="100">
        <v>9034.6048505663839</v>
      </c>
      <c r="CP32" s="100">
        <v>9.0269047953942753E-4</v>
      </c>
      <c r="CQ32" s="100">
        <v>0.75826000281311912</v>
      </c>
      <c r="CR32" s="100">
        <v>2.8084800749475183</v>
      </c>
      <c r="CS32" s="100">
        <v>2359.1232629559154</v>
      </c>
      <c r="CT32" s="100">
        <v>10</v>
      </c>
      <c r="CU32" s="100">
        <v>8400</v>
      </c>
    </row>
    <row r="33" spans="2:99">
      <c r="C33" s="99" t="s">
        <v>199</v>
      </c>
      <c r="D33" s="100">
        <v>11</v>
      </c>
      <c r="E33" s="100">
        <v>5214</v>
      </c>
      <c r="F33" s="100">
        <v>10</v>
      </c>
      <c r="G33" s="100">
        <v>4740</v>
      </c>
      <c r="H33" s="100">
        <v>11</v>
      </c>
      <c r="I33" s="100">
        <v>5214</v>
      </c>
      <c r="J33" s="100">
        <v>15.542212977395195</v>
      </c>
      <c r="K33" s="100">
        <v>7367.0089512853228</v>
      </c>
      <c r="L33" s="100">
        <v>3.5529020125790978</v>
      </c>
      <c r="M33" s="100">
        <v>1684.0755539624924</v>
      </c>
      <c r="N33" s="100">
        <v>14</v>
      </c>
      <c r="O33" s="100">
        <v>6636</v>
      </c>
      <c r="P33" s="100">
        <v>12</v>
      </c>
      <c r="Q33" s="100">
        <v>5688</v>
      </c>
      <c r="R33" s="100">
        <v>9</v>
      </c>
      <c r="S33" s="100">
        <v>4266</v>
      </c>
      <c r="T33" s="100">
        <v>11</v>
      </c>
      <c r="U33" s="100">
        <v>5214</v>
      </c>
      <c r="V33" s="100">
        <v>7.6211707866767284</v>
      </c>
      <c r="W33" s="100">
        <v>3612.4349528847692</v>
      </c>
      <c r="X33" s="100">
        <v>12</v>
      </c>
      <c r="Y33" s="100">
        <v>5688</v>
      </c>
      <c r="Z33" s="100">
        <v>13</v>
      </c>
      <c r="AA33" s="100">
        <v>6162</v>
      </c>
      <c r="AB33" s="100">
        <v>13.601121589750774</v>
      </c>
      <c r="AC33" s="100">
        <v>6446.9316335418671</v>
      </c>
      <c r="AD33" s="100">
        <v>3.645763475927418</v>
      </c>
      <c r="AE33" s="100">
        <v>1728.0918875895961</v>
      </c>
      <c r="AF33" s="100">
        <v>13</v>
      </c>
      <c r="AG33" s="100">
        <v>6162</v>
      </c>
      <c r="AH33" s="100">
        <v>8</v>
      </c>
      <c r="AI33" s="100">
        <v>3792</v>
      </c>
      <c r="AJ33" s="100">
        <v>10.000090267866995</v>
      </c>
      <c r="AK33" s="100">
        <v>4740.0427869689556</v>
      </c>
      <c r="AL33" s="100">
        <v>1.5913256335327155</v>
      </c>
      <c r="AM33" s="100">
        <v>754.28835029450715</v>
      </c>
      <c r="AN33" s="100">
        <v>7.6666049431293635E-4</v>
      </c>
      <c r="AO33" s="100">
        <v>0.36339707430433182</v>
      </c>
      <c r="AP33" s="100">
        <v>1.9640940472724511</v>
      </c>
      <c r="AQ33" s="100">
        <v>930.98057840714182</v>
      </c>
      <c r="AR33" s="100">
        <v>10</v>
      </c>
      <c r="AS33" s="100">
        <v>4740</v>
      </c>
      <c r="AT33" s="100">
        <v>10</v>
      </c>
      <c r="AU33" s="100">
        <v>4740</v>
      </c>
      <c r="AV33" s="100">
        <v>13.167930129021642</v>
      </c>
      <c r="AW33" s="100">
        <v>6241.5988811562584</v>
      </c>
      <c r="AX33" s="100">
        <v>1.8919749689741656</v>
      </c>
      <c r="AY33" s="100">
        <v>896.79613529375445</v>
      </c>
      <c r="AZ33" s="100">
        <v>10</v>
      </c>
      <c r="BA33" s="100">
        <v>4740</v>
      </c>
      <c r="BB33" s="100">
        <v>12.849192822455564</v>
      </c>
      <c r="BC33" s="100">
        <v>6090.517397843937</v>
      </c>
      <c r="BD33" s="100">
        <v>3.0853263380332687</v>
      </c>
      <c r="BE33" s="100">
        <v>1462.4446842277694</v>
      </c>
      <c r="BF33" s="100">
        <v>13.587383498704421</v>
      </c>
      <c r="BG33" s="100">
        <v>6440.4197783858954</v>
      </c>
      <c r="BH33" s="100">
        <v>11.053842620698195</v>
      </c>
      <c r="BI33" s="100">
        <v>5239.521402210944</v>
      </c>
      <c r="BJ33" s="100">
        <v>11</v>
      </c>
      <c r="BK33" s="100">
        <v>5214</v>
      </c>
      <c r="BL33" s="100">
        <v>14.726546644641809</v>
      </c>
      <c r="BM33" s="100">
        <v>6980.3831095602172</v>
      </c>
      <c r="BN33" s="100">
        <v>7.9127655545833422</v>
      </c>
      <c r="BO33" s="100">
        <v>3750.6508728725044</v>
      </c>
      <c r="BP33" s="100">
        <v>0.36787782161958305</v>
      </c>
      <c r="BQ33" s="100">
        <v>174.37408744768237</v>
      </c>
      <c r="BR33" s="100">
        <v>14</v>
      </c>
      <c r="BS33" s="100">
        <v>6636</v>
      </c>
      <c r="BT33" s="100">
        <v>16.761397477861838</v>
      </c>
      <c r="BU33" s="100">
        <v>7944.9024045065107</v>
      </c>
      <c r="BV33" s="100">
        <v>4.3156341135435694</v>
      </c>
      <c r="BW33" s="100">
        <v>2045.6105698196518</v>
      </c>
      <c r="BX33" s="100">
        <v>0.32854645400724608</v>
      </c>
      <c r="BY33" s="100">
        <v>155.73101919943466</v>
      </c>
      <c r="BZ33" s="100">
        <v>16</v>
      </c>
      <c r="CA33" s="100">
        <v>7584</v>
      </c>
      <c r="CB33" s="100">
        <v>8</v>
      </c>
      <c r="CC33" s="100">
        <v>3792</v>
      </c>
      <c r="CD33" s="100">
        <v>14</v>
      </c>
      <c r="CE33" s="100">
        <v>6636</v>
      </c>
      <c r="CF33" s="100">
        <v>12.853382847543289</v>
      </c>
      <c r="CG33" s="100">
        <v>6092.5034697355186</v>
      </c>
      <c r="CH33" s="100">
        <v>11.768520272692154</v>
      </c>
      <c r="CI33" s="100">
        <v>5578.2786092560809</v>
      </c>
      <c r="CJ33" s="100">
        <v>13</v>
      </c>
      <c r="CK33" s="100">
        <v>6162</v>
      </c>
      <c r="CL33" s="100">
        <v>11</v>
      </c>
      <c r="CM33" s="100">
        <v>5214</v>
      </c>
      <c r="CN33" s="100">
        <v>11.507357419959435</v>
      </c>
      <c r="CO33" s="100">
        <v>5454.4874170607718</v>
      </c>
      <c r="CP33" s="100">
        <v>9.047341619213661E-4</v>
      </c>
      <c r="CQ33" s="100">
        <v>0.42884399275072754</v>
      </c>
      <c r="CR33" s="100">
        <v>2.5531637044977438</v>
      </c>
      <c r="CS33" s="100">
        <v>1210.1995959319306</v>
      </c>
      <c r="CT33" s="100">
        <v>11</v>
      </c>
      <c r="CU33" s="100">
        <v>5214</v>
      </c>
    </row>
    <row r="34" spans="2:99">
      <c r="C34" s="99" t="s">
        <v>200</v>
      </c>
      <c r="D34" s="100">
        <v>11</v>
      </c>
      <c r="E34" s="100">
        <v>6032.4</v>
      </c>
      <c r="F34" s="100">
        <v>10</v>
      </c>
      <c r="G34" s="100">
        <v>5484</v>
      </c>
      <c r="H34" s="100">
        <v>10</v>
      </c>
      <c r="I34" s="100">
        <v>5484</v>
      </c>
      <c r="J34" s="100">
        <v>15.542212977395195</v>
      </c>
      <c r="K34" s="100">
        <v>8523.349596803524</v>
      </c>
      <c r="L34" s="100">
        <v>3.5529020125790978</v>
      </c>
      <c r="M34" s="100">
        <v>1948.4114636983772</v>
      </c>
      <c r="N34" s="100">
        <v>14</v>
      </c>
      <c r="O34" s="100">
        <v>7677.5999999999995</v>
      </c>
      <c r="P34" s="100">
        <v>13</v>
      </c>
      <c r="Q34" s="100">
        <v>7129.2</v>
      </c>
      <c r="R34" s="100">
        <v>9</v>
      </c>
      <c r="S34" s="100">
        <v>4935.5999999999995</v>
      </c>
      <c r="T34" s="100">
        <v>11</v>
      </c>
      <c r="U34" s="100">
        <v>6032.4</v>
      </c>
      <c r="V34" s="100">
        <v>7.6211707866767284</v>
      </c>
      <c r="W34" s="100">
        <v>4179.4500594135179</v>
      </c>
      <c r="X34" s="100">
        <v>12</v>
      </c>
      <c r="Y34" s="100">
        <v>6580.7999999999993</v>
      </c>
      <c r="Z34" s="100">
        <v>13</v>
      </c>
      <c r="AA34" s="100">
        <v>7129.2</v>
      </c>
      <c r="AB34" s="100">
        <v>13.647361712039295</v>
      </c>
      <c r="AC34" s="100">
        <v>7484.213162882349</v>
      </c>
      <c r="AD34" s="100">
        <v>3.3653201316253094</v>
      </c>
      <c r="AE34" s="100">
        <v>1845.5415601833197</v>
      </c>
      <c r="AF34" s="100">
        <v>13</v>
      </c>
      <c r="AG34" s="100">
        <v>7129.2</v>
      </c>
      <c r="AH34" s="100">
        <v>8</v>
      </c>
      <c r="AI34" s="100">
        <v>4387.2</v>
      </c>
      <c r="AJ34" s="100">
        <v>10.000080238103996</v>
      </c>
      <c r="AK34" s="100">
        <v>5484.0440025762309</v>
      </c>
      <c r="AL34" s="100">
        <v>1.5913280986361102</v>
      </c>
      <c r="AM34" s="100">
        <v>872.68432929204278</v>
      </c>
      <c r="AN34" s="100">
        <v>8.767292717933795E-4</v>
      </c>
      <c r="AO34" s="100">
        <v>0.4807983326514893</v>
      </c>
      <c r="AP34" s="100">
        <v>1.7185822913633948</v>
      </c>
      <c r="AQ34" s="100">
        <v>942.47052858368568</v>
      </c>
      <c r="AR34" s="100">
        <v>9</v>
      </c>
      <c r="AS34" s="100">
        <v>4935.5999999999995</v>
      </c>
      <c r="AT34" s="100">
        <v>9</v>
      </c>
      <c r="AU34" s="100">
        <v>4935.5999999999995</v>
      </c>
      <c r="AV34" s="100">
        <v>13.127790457203547</v>
      </c>
      <c r="AW34" s="100">
        <v>7199.2802867304254</v>
      </c>
      <c r="AX34" s="100">
        <v>1.6817555279770362</v>
      </c>
      <c r="AY34" s="100">
        <v>922.27473154260656</v>
      </c>
      <c r="AZ34" s="100">
        <v>10</v>
      </c>
      <c r="BA34" s="100">
        <v>5484</v>
      </c>
      <c r="BB34" s="100">
        <v>10.754838064404947</v>
      </c>
      <c r="BC34" s="100">
        <v>5897.9531945196723</v>
      </c>
      <c r="BD34" s="100">
        <v>3.0853263380332687</v>
      </c>
      <c r="BE34" s="100">
        <v>1691.9929637774444</v>
      </c>
      <c r="BF34" s="100">
        <v>11.888960561366368</v>
      </c>
      <c r="BG34" s="100">
        <v>6519.9059718533154</v>
      </c>
      <c r="BH34" s="100">
        <v>9.0513952288482766</v>
      </c>
      <c r="BI34" s="100">
        <v>4963.785143500395</v>
      </c>
      <c r="BJ34" s="100">
        <v>11</v>
      </c>
      <c r="BK34" s="100">
        <v>6032.4</v>
      </c>
      <c r="BL34" s="100">
        <v>12.821764297573678</v>
      </c>
      <c r="BM34" s="100">
        <v>7031.4555407894049</v>
      </c>
      <c r="BN34" s="100">
        <v>8.6199188394772452</v>
      </c>
      <c r="BO34" s="100">
        <v>4727.1634915693212</v>
      </c>
      <c r="BP34" s="100">
        <v>0.40132125994863604</v>
      </c>
      <c r="BQ34" s="100">
        <v>220.084578955832</v>
      </c>
      <c r="BR34" s="100">
        <v>16</v>
      </c>
      <c r="BS34" s="100">
        <v>8774.4</v>
      </c>
      <c r="BT34" s="100">
        <v>15.716609390928788</v>
      </c>
      <c r="BU34" s="100">
        <v>8618.9885899853471</v>
      </c>
      <c r="BV34" s="100">
        <v>4.618932622098967</v>
      </c>
      <c r="BW34" s="100">
        <v>2533.0226499590735</v>
      </c>
      <c r="BX34" s="100">
        <v>0.32854645400724608</v>
      </c>
      <c r="BY34" s="100">
        <v>180.17487537757376</v>
      </c>
      <c r="BZ34" s="100">
        <v>17</v>
      </c>
      <c r="CA34" s="100">
        <v>9322.7999999999993</v>
      </c>
      <c r="CB34" s="100">
        <v>8</v>
      </c>
      <c r="CC34" s="100">
        <v>4387.2</v>
      </c>
      <c r="CD34" s="100">
        <v>14</v>
      </c>
      <c r="CE34" s="100">
        <v>7677.5999999999995</v>
      </c>
      <c r="CF34" s="100">
        <v>12.853382847543289</v>
      </c>
      <c r="CG34" s="100">
        <v>7048.7951535927396</v>
      </c>
      <c r="CH34" s="100">
        <v>11.768520272692154</v>
      </c>
      <c r="CI34" s="100">
        <v>6453.8565175443773</v>
      </c>
      <c r="CJ34" s="100">
        <v>15</v>
      </c>
      <c r="CK34" s="100">
        <v>8226</v>
      </c>
      <c r="CL34" s="100">
        <v>9</v>
      </c>
      <c r="CM34" s="100">
        <v>4935.5999999999995</v>
      </c>
      <c r="CN34" s="100">
        <v>12.186304987512589</v>
      </c>
      <c r="CO34" s="100">
        <v>6682.9696551519037</v>
      </c>
      <c r="CP34" s="100">
        <v>8.4716643561031139E-4</v>
      </c>
      <c r="CQ34" s="100">
        <v>0.46458607328869472</v>
      </c>
      <c r="CR34" s="100">
        <v>2.8084800749475183</v>
      </c>
      <c r="CS34" s="100">
        <v>1540.1704731012189</v>
      </c>
      <c r="CT34" s="100">
        <v>11</v>
      </c>
      <c r="CU34" s="100">
        <v>6032.4</v>
      </c>
    </row>
    <row r="35" spans="2:99">
      <c r="C35" s="99" t="s">
        <v>201</v>
      </c>
      <c r="D35" s="100">
        <v>12</v>
      </c>
      <c r="E35" s="100">
        <v>6033.5999999999985</v>
      </c>
      <c r="F35" s="100">
        <v>9</v>
      </c>
      <c r="G35" s="100">
        <v>4525.1999999999989</v>
      </c>
      <c r="H35" s="100">
        <v>10</v>
      </c>
      <c r="I35" s="100">
        <v>5027.9999999999991</v>
      </c>
      <c r="J35" s="100">
        <v>14.542212977395195</v>
      </c>
      <c r="K35" s="100">
        <v>7311.824685034303</v>
      </c>
      <c r="L35" s="100">
        <v>3.5529020125790978</v>
      </c>
      <c r="M35" s="100">
        <v>1786.39913192477</v>
      </c>
      <c r="N35" s="100">
        <v>15</v>
      </c>
      <c r="O35" s="100">
        <v>7541.9999999999982</v>
      </c>
      <c r="P35" s="100">
        <v>14</v>
      </c>
      <c r="Q35" s="100">
        <v>7039.1999999999989</v>
      </c>
      <c r="R35" s="100">
        <v>8</v>
      </c>
      <c r="S35" s="100">
        <v>4022.3999999999992</v>
      </c>
      <c r="T35" s="100">
        <v>11</v>
      </c>
      <c r="U35" s="100">
        <v>5530.7999999999993</v>
      </c>
      <c r="V35" s="100">
        <v>8.3140044945564302</v>
      </c>
      <c r="W35" s="100">
        <v>4180.281459862972</v>
      </c>
      <c r="X35" s="100">
        <v>11</v>
      </c>
      <c r="Y35" s="100">
        <v>5530.7999999999993</v>
      </c>
      <c r="Z35" s="100">
        <v>14</v>
      </c>
      <c r="AA35" s="100">
        <v>7039.1999999999989</v>
      </c>
      <c r="AB35" s="100">
        <v>13.693601834327815</v>
      </c>
      <c r="AC35" s="100">
        <v>6885.1430023000239</v>
      </c>
      <c r="AD35" s="100">
        <v>3.3653201316253094</v>
      </c>
      <c r="AE35" s="100">
        <v>1692.0829621812052</v>
      </c>
      <c r="AF35" s="100">
        <v>12</v>
      </c>
      <c r="AG35" s="100">
        <v>6033.5999999999985</v>
      </c>
      <c r="AH35" s="100">
        <v>8</v>
      </c>
      <c r="AI35" s="100">
        <v>4022.3999999999992</v>
      </c>
      <c r="AJ35" s="100">
        <v>10.000095282748495</v>
      </c>
      <c r="AK35" s="100">
        <v>5028.0479081659423</v>
      </c>
      <c r="AL35" s="100">
        <v>1.5913280986361102</v>
      </c>
      <c r="AM35" s="100">
        <v>800.1197679942361</v>
      </c>
      <c r="AN35" s="100">
        <v>7.7048144236310193E-4</v>
      </c>
      <c r="AO35" s="100">
        <v>0.38739806922016756</v>
      </c>
      <c r="AP35" s="100">
        <v>1.7185822913633948</v>
      </c>
      <c r="AQ35" s="100">
        <v>864.10317609751473</v>
      </c>
      <c r="AR35" s="100">
        <v>11</v>
      </c>
      <c r="AS35" s="100">
        <v>5530.7999999999993</v>
      </c>
      <c r="AT35" s="100">
        <v>9</v>
      </c>
      <c r="AU35" s="100">
        <v>4525.1999999999989</v>
      </c>
      <c r="AV35" s="100">
        <v>13.087650785385456</v>
      </c>
      <c r="AW35" s="100">
        <v>6580.4708148918062</v>
      </c>
      <c r="AX35" s="100">
        <v>1.6817555279770362</v>
      </c>
      <c r="AY35" s="100">
        <v>845.58667946685364</v>
      </c>
      <c r="AZ35" s="100">
        <v>10</v>
      </c>
      <c r="BA35" s="100">
        <v>5027.9999999999991</v>
      </c>
      <c r="BB35" s="100">
        <v>12.802015443430255</v>
      </c>
      <c r="BC35" s="100">
        <v>6436.8533649567307</v>
      </c>
      <c r="BD35" s="100">
        <v>3.3424368662027075</v>
      </c>
      <c r="BE35" s="100">
        <v>1680.577256326721</v>
      </c>
      <c r="BF35" s="100">
        <v>11.888960561366368</v>
      </c>
      <c r="BG35" s="100">
        <v>5977.7693702550087</v>
      </c>
      <c r="BH35" s="100">
        <v>10.051395228848277</v>
      </c>
      <c r="BI35" s="100">
        <v>5053.8415210649127</v>
      </c>
      <c r="BJ35" s="100">
        <v>10</v>
      </c>
      <c r="BK35" s="100">
        <v>5027.9999999999991</v>
      </c>
      <c r="BL35" s="100">
        <v>11.820408786080632</v>
      </c>
      <c r="BM35" s="100">
        <v>5943.3015376413405</v>
      </c>
      <c r="BN35" s="100">
        <v>8.6255054820085117</v>
      </c>
      <c r="BO35" s="100">
        <v>4336.9041563538785</v>
      </c>
      <c r="BP35" s="100">
        <v>0.36787782161958305</v>
      </c>
      <c r="BQ35" s="100">
        <v>184.96896871032632</v>
      </c>
      <c r="BR35" s="100">
        <v>16</v>
      </c>
      <c r="BS35" s="100">
        <v>8044.7999999999984</v>
      </c>
      <c r="BT35" s="100">
        <v>15.716609390928788</v>
      </c>
      <c r="BU35" s="100">
        <v>7902.3112017589929</v>
      </c>
      <c r="BV35" s="100">
        <v>4.6211030906542172</v>
      </c>
      <c r="BW35" s="100">
        <v>2323.4906339809399</v>
      </c>
      <c r="BX35" s="100">
        <v>0.32854645400724608</v>
      </c>
      <c r="BY35" s="100">
        <v>165.1931570748433</v>
      </c>
      <c r="BZ35" s="100">
        <v>17</v>
      </c>
      <c r="CA35" s="100">
        <v>8547.5999999999985</v>
      </c>
      <c r="CB35" s="100">
        <v>9</v>
      </c>
      <c r="CC35" s="100">
        <v>4525.1999999999989</v>
      </c>
      <c r="CD35" s="100">
        <v>13</v>
      </c>
      <c r="CE35" s="100">
        <v>6536.3999999999987</v>
      </c>
      <c r="CF35" s="100">
        <v>11.934657404452174</v>
      </c>
      <c r="CG35" s="100">
        <v>6000.745742958552</v>
      </c>
      <c r="CH35" s="100">
        <v>11.768520272692154</v>
      </c>
      <c r="CI35" s="100">
        <v>5917.211993109614</v>
      </c>
      <c r="CJ35" s="100">
        <v>13</v>
      </c>
      <c r="CK35" s="100">
        <v>6536.3999999999987</v>
      </c>
      <c r="CL35" s="100">
        <v>10</v>
      </c>
      <c r="CM35" s="100">
        <v>5027.9999999999991</v>
      </c>
      <c r="CN35" s="100">
        <v>11.495202772051719</v>
      </c>
      <c r="CO35" s="100">
        <v>5779.7879537876033</v>
      </c>
      <c r="CP35" s="100">
        <v>8.4716643561031139E-4</v>
      </c>
      <c r="CQ35" s="100">
        <v>0.42595528382486447</v>
      </c>
      <c r="CR35" s="100">
        <v>2.5531637044977438</v>
      </c>
      <c r="CS35" s="100">
        <v>1283.7307106214653</v>
      </c>
      <c r="CT35" s="100">
        <v>12</v>
      </c>
      <c r="CU35" s="100">
        <v>6033.5999999999985</v>
      </c>
    </row>
    <row r="36" spans="2:99">
      <c r="C36" s="99" t="s">
        <v>202</v>
      </c>
      <c r="D36" s="100">
        <v>11</v>
      </c>
      <c r="E36" s="100">
        <v>8368.7999999999993</v>
      </c>
      <c r="F36" s="100">
        <v>10</v>
      </c>
      <c r="G36" s="100">
        <v>7608</v>
      </c>
      <c r="H36" s="100">
        <v>12</v>
      </c>
      <c r="I36" s="100">
        <v>9129.5999999999985</v>
      </c>
      <c r="J36" s="100">
        <v>13.542212977395195</v>
      </c>
      <c r="K36" s="100">
        <v>10302.915633202263</v>
      </c>
      <c r="L36" s="100">
        <v>3.5529020125790978</v>
      </c>
      <c r="M36" s="100">
        <v>2703.0478511701776</v>
      </c>
      <c r="N36" s="100">
        <v>14</v>
      </c>
      <c r="O36" s="100">
        <v>10651.199999999999</v>
      </c>
      <c r="P36" s="100">
        <v>14</v>
      </c>
      <c r="Q36" s="100">
        <v>10651.199999999999</v>
      </c>
      <c r="R36" s="100">
        <v>8</v>
      </c>
      <c r="S36" s="100">
        <v>6086.4</v>
      </c>
      <c r="T36" s="100">
        <v>11</v>
      </c>
      <c r="U36" s="100">
        <v>8368.7999999999993</v>
      </c>
      <c r="V36" s="100">
        <v>8.3140044945564302</v>
      </c>
      <c r="W36" s="100">
        <v>6325.294619458532</v>
      </c>
      <c r="X36" s="100">
        <v>11</v>
      </c>
      <c r="Y36" s="100">
        <v>8368.7999999999993</v>
      </c>
      <c r="Z36" s="100">
        <v>13</v>
      </c>
      <c r="AA36" s="100">
        <v>9890.4</v>
      </c>
      <c r="AB36" s="100">
        <v>13.601121589750774</v>
      </c>
      <c r="AC36" s="100">
        <v>10347.733305482388</v>
      </c>
      <c r="AD36" s="100">
        <v>3.0848767873231999</v>
      </c>
      <c r="AE36" s="100">
        <v>2346.9742597954905</v>
      </c>
      <c r="AF36" s="100">
        <v>12</v>
      </c>
      <c r="AG36" s="100">
        <v>9129.5999999999985</v>
      </c>
      <c r="AH36" s="100">
        <v>8</v>
      </c>
      <c r="AI36" s="100">
        <v>6086.4</v>
      </c>
      <c r="AJ36" s="100">
        <v>10.000085252985496</v>
      </c>
      <c r="AK36" s="100">
        <v>7608.0648604713651</v>
      </c>
      <c r="AL36" s="100">
        <v>1.4145141393546974</v>
      </c>
      <c r="AM36" s="100">
        <v>1076.1623572210538</v>
      </c>
      <c r="AN36" s="100">
        <v>8.6908737569304855E-4</v>
      </c>
      <c r="AO36" s="100">
        <v>0.66120167542727126</v>
      </c>
      <c r="AP36" s="100">
        <v>1.7185822913633948</v>
      </c>
      <c r="AQ36" s="100">
        <v>1307.4974072692708</v>
      </c>
      <c r="AR36" s="100">
        <v>10</v>
      </c>
      <c r="AS36" s="100">
        <v>7608</v>
      </c>
      <c r="AT36" s="100">
        <v>10</v>
      </c>
      <c r="AU36" s="100">
        <v>7608</v>
      </c>
      <c r="AV36" s="100">
        <v>14.09439315349203</v>
      </c>
      <c r="AW36" s="100">
        <v>10723.014311176736</v>
      </c>
      <c r="AX36" s="100">
        <v>1.8919749689741656</v>
      </c>
      <c r="AY36" s="100">
        <v>1439.4145563955451</v>
      </c>
      <c r="AZ36" s="100">
        <v>10</v>
      </c>
      <c r="BA36" s="100">
        <v>7608</v>
      </c>
      <c r="BB36" s="100">
        <v>10.849192822455564</v>
      </c>
      <c r="BC36" s="100">
        <v>8254.0658993241923</v>
      </c>
      <c r="BD36" s="100">
        <v>3.0853263380332687</v>
      </c>
      <c r="BE36" s="100">
        <v>2347.3162779757108</v>
      </c>
      <c r="BF36" s="100">
        <v>12.738172030035395</v>
      </c>
      <c r="BG36" s="100">
        <v>9691.2012804509286</v>
      </c>
      <c r="BH36" s="100">
        <v>10</v>
      </c>
      <c r="BI36" s="100">
        <v>7608</v>
      </c>
      <c r="BJ36" s="100">
        <v>10</v>
      </c>
      <c r="BK36" s="100">
        <v>7608</v>
      </c>
      <c r="BL36" s="100">
        <v>13.757834025121417</v>
      </c>
      <c r="BM36" s="100">
        <v>10466.960126312373</v>
      </c>
      <c r="BN36" s="100">
        <v>8.6255054820085117</v>
      </c>
      <c r="BO36" s="100">
        <v>6562.284570712075</v>
      </c>
      <c r="BP36" s="100">
        <v>0.40132125994863604</v>
      </c>
      <c r="BQ36" s="100">
        <v>305.32521456892226</v>
      </c>
      <c r="BR36" s="100">
        <v>15</v>
      </c>
      <c r="BS36" s="100">
        <v>11412</v>
      </c>
      <c r="BT36" s="100">
        <v>15.761397477861836</v>
      </c>
      <c r="BU36" s="100">
        <v>11991.271201157284</v>
      </c>
      <c r="BV36" s="100">
        <v>4.924401599209614</v>
      </c>
      <c r="BW36" s="100">
        <v>3746.4847366786739</v>
      </c>
      <c r="BX36" s="100">
        <v>0.29204129245088539</v>
      </c>
      <c r="BY36" s="100">
        <v>222.18501529663359</v>
      </c>
      <c r="BZ36" s="100">
        <v>16</v>
      </c>
      <c r="CA36" s="100">
        <v>12172.8</v>
      </c>
      <c r="CB36" s="100">
        <v>9</v>
      </c>
      <c r="CC36" s="100">
        <v>6847.2</v>
      </c>
      <c r="CD36" s="100">
        <v>13</v>
      </c>
      <c r="CE36" s="100">
        <v>9890.4</v>
      </c>
      <c r="CF36" s="100">
        <v>10.853382847543289</v>
      </c>
      <c r="CG36" s="100">
        <v>8257.2536704109334</v>
      </c>
      <c r="CH36" s="100">
        <v>11.768520272692154</v>
      </c>
      <c r="CI36" s="100">
        <v>8953.4902234641904</v>
      </c>
      <c r="CJ36" s="100">
        <v>15</v>
      </c>
      <c r="CK36" s="100">
        <v>11412</v>
      </c>
      <c r="CL36" s="100">
        <v>10</v>
      </c>
      <c r="CM36" s="100">
        <v>7608</v>
      </c>
      <c r="CN36" s="100">
        <v>12.186304987512589</v>
      </c>
      <c r="CO36" s="100">
        <v>9271.3408344995769</v>
      </c>
      <c r="CP36" s="100">
        <v>7.9164239168119535E-4</v>
      </c>
      <c r="CQ36" s="100">
        <v>0.60228153159105335</v>
      </c>
      <c r="CR36" s="100">
        <v>2.8084800749475183</v>
      </c>
      <c r="CS36" s="100">
        <v>2136.691641020072</v>
      </c>
      <c r="CT36" s="100">
        <v>10</v>
      </c>
      <c r="CU36" s="100">
        <v>7608</v>
      </c>
    </row>
    <row r="37" spans="2:99">
      <c r="B37" s="99" t="s">
        <v>128</v>
      </c>
      <c r="C37" s="99" t="s">
        <v>203</v>
      </c>
      <c r="D37" s="100">
        <v>5</v>
      </c>
      <c r="E37" s="100">
        <v>4302</v>
      </c>
      <c r="F37" s="100">
        <v>6</v>
      </c>
      <c r="G37" s="100">
        <v>5162.3999999999996</v>
      </c>
      <c r="H37" s="100">
        <v>7</v>
      </c>
      <c r="I37" s="100">
        <v>6022.8</v>
      </c>
      <c r="J37" s="100">
        <v>4.5915050662493035</v>
      </c>
      <c r="K37" s="100">
        <v>3950.5309590009006</v>
      </c>
      <c r="L37" s="100">
        <v>3.5529020125790978</v>
      </c>
      <c r="M37" s="100">
        <v>3056.9168916230556</v>
      </c>
      <c r="N37" s="100">
        <v>7</v>
      </c>
      <c r="O37" s="100">
        <v>6022.8</v>
      </c>
      <c r="P37" s="100">
        <v>9</v>
      </c>
      <c r="Q37" s="100">
        <v>7743.5999999999995</v>
      </c>
      <c r="R37" s="100">
        <v>9</v>
      </c>
      <c r="S37" s="100">
        <v>7743.5999999999995</v>
      </c>
      <c r="T37" s="100">
        <v>8</v>
      </c>
      <c r="U37" s="100">
        <v>6883.2</v>
      </c>
      <c r="V37" s="100">
        <v>5.5426696630376204</v>
      </c>
      <c r="W37" s="100">
        <v>4768.9129780775684</v>
      </c>
      <c r="X37" s="100">
        <v>5</v>
      </c>
      <c r="Y37" s="100">
        <v>4302</v>
      </c>
      <c r="Z37" s="100">
        <v>6</v>
      </c>
      <c r="AA37" s="100">
        <v>5162.3999999999996</v>
      </c>
      <c r="AB37" s="100">
        <v>6.3699209783081683</v>
      </c>
      <c r="AC37" s="100">
        <v>5480.6800097363475</v>
      </c>
      <c r="AD37" s="100">
        <v>1.9631034101147637</v>
      </c>
      <c r="AE37" s="100">
        <v>1689.0541740627427</v>
      </c>
      <c r="AF37" s="100">
        <v>8</v>
      </c>
      <c r="AG37" s="100">
        <v>6883.2</v>
      </c>
      <c r="AH37" s="100">
        <v>6</v>
      </c>
      <c r="AI37" s="100">
        <v>5162.3999999999996</v>
      </c>
      <c r="AJ37" s="100">
        <v>6.0000651934594966</v>
      </c>
      <c r="AK37" s="100">
        <v>5162.4560924525504</v>
      </c>
      <c r="AL37" s="100">
        <v>1.237696893268758</v>
      </c>
      <c r="AM37" s="100">
        <v>1064.9144069684394</v>
      </c>
      <c r="AN37" s="100">
        <v>8.6526642764288286E-4</v>
      </c>
      <c r="AO37" s="100">
        <v>0.74447523434393637</v>
      </c>
      <c r="AP37" s="100">
        <v>1.4730705354543383</v>
      </c>
      <c r="AQ37" s="100">
        <v>1267.4298887049126</v>
      </c>
      <c r="AR37" s="100">
        <v>9</v>
      </c>
      <c r="AS37" s="100">
        <v>7743.5999999999995</v>
      </c>
      <c r="AT37" s="100">
        <v>9</v>
      </c>
      <c r="AU37" s="100">
        <v>7743.5999999999995</v>
      </c>
      <c r="AV37" s="100">
        <v>9.1811003284134394</v>
      </c>
      <c r="AW37" s="100">
        <v>7899.418722566923</v>
      </c>
      <c r="AX37" s="100">
        <v>1.6817555279770362</v>
      </c>
      <c r="AY37" s="100">
        <v>1446.9824562714418</v>
      </c>
      <c r="AZ37" s="100">
        <v>8</v>
      </c>
      <c r="BA37" s="100">
        <v>6883.2</v>
      </c>
      <c r="BB37" s="100">
        <v>7.6133059273290193</v>
      </c>
      <c r="BC37" s="100">
        <v>6550.4884198738882</v>
      </c>
      <c r="BD37" s="100">
        <v>2.3139947535249514</v>
      </c>
      <c r="BE37" s="100">
        <v>1990.9610859328682</v>
      </c>
      <c r="BF37" s="100">
        <v>7.6429032180212362</v>
      </c>
      <c r="BG37" s="100">
        <v>6575.9539287854714</v>
      </c>
      <c r="BH37" s="100">
        <v>9.0318160940489332</v>
      </c>
      <c r="BI37" s="100">
        <v>7770.9745673197021</v>
      </c>
      <c r="BJ37" s="100">
        <v>5</v>
      </c>
      <c r="BK37" s="100">
        <v>4302</v>
      </c>
      <c r="BL37" s="100">
        <v>5.1047062333831859</v>
      </c>
      <c r="BM37" s="100">
        <v>4392.0892432028932</v>
      </c>
      <c r="BN37" s="100">
        <v>7.1776790570331039</v>
      </c>
      <c r="BO37" s="100">
        <v>6175.6750606712822</v>
      </c>
      <c r="BP37" s="100">
        <v>0.23410406830337105</v>
      </c>
      <c r="BQ37" s="100">
        <v>201.42314036822046</v>
      </c>
      <c r="BR37" s="100">
        <v>7</v>
      </c>
      <c r="BS37" s="100">
        <v>6022.8</v>
      </c>
      <c r="BT37" s="100">
        <v>10.492668956263541</v>
      </c>
      <c r="BU37" s="100">
        <v>9027.8923699691513</v>
      </c>
      <c r="BV37" s="100">
        <v>2.1578170567717847</v>
      </c>
      <c r="BW37" s="100">
        <v>1856.5857956464436</v>
      </c>
      <c r="BX37" s="100">
        <v>0.18252580778180336</v>
      </c>
      <c r="BY37" s="100">
        <v>157.04520501546361</v>
      </c>
      <c r="BZ37" s="100">
        <v>6</v>
      </c>
      <c r="CA37" s="100">
        <v>5162.3999999999996</v>
      </c>
      <c r="CB37" s="100">
        <v>5</v>
      </c>
      <c r="CC37" s="100">
        <v>4302</v>
      </c>
      <c r="CD37" s="100">
        <v>9</v>
      </c>
      <c r="CE37" s="100">
        <v>7743.5999999999995</v>
      </c>
      <c r="CF37" s="100">
        <v>8.4063727845444234</v>
      </c>
      <c r="CG37" s="100">
        <v>7232.8431438220214</v>
      </c>
      <c r="CH37" s="100">
        <v>6.3368955314496214</v>
      </c>
      <c r="CI37" s="100">
        <v>5452.2649152592539</v>
      </c>
      <c r="CJ37" s="100">
        <v>7</v>
      </c>
      <c r="CK37" s="100">
        <v>6022.8</v>
      </c>
      <c r="CL37" s="100">
        <v>9</v>
      </c>
      <c r="CM37" s="100">
        <v>7743.5999999999995</v>
      </c>
      <c r="CN37" s="100">
        <v>6.499476841025313</v>
      </c>
      <c r="CO37" s="100">
        <v>5592.1498740181787</v>
      </c>
      <c r="CP37" s="100">
        <v>3.4540635786632775E-4</v>
      </c>
      <c r="CQ37" s="100">
        <v>0.2971876303081884</v>
      </c>
      <c r="CR37" s="100">
        <v>1.7872145931484207</v>
      </c>
      <c r="CS37" s="100">
        <v>1537.7194359449011</v>
      </c>
      <c r="CT37" s="100">
        <v>8</v>
      </c>
      <c r="CU37" s="100">
        <v>6883.2</v>
      </c>
    </row>
    <row r="38" spans="2:99">
      <c r="C38" s="99" t="s">
        <v>204</v>
      </c>
      <c r="D38" s="100">
        <v>5</v>
      </c>
      <c r="E38" s="100">
        <v>6210</v>
      </c>
      <c r="F38" s="100">
        <v>6</v>
      </c>
      <c r="G38" s="100">
        <v>7452</v>
      </c>
      <c r="H38" s="100">
        <v>7</v>
      </c>
      <c r="I38" s="100">
        <v>8694</v>
      </c>
      <c r="J38" s="100">
        <v>5.5915050662493035</v>
      </c>
      <c r="K38" s="100">
        <v>6944.6492922816351</v>
      </c>
      <c r="L38" s="100">
        <v>2.8423216100632782</v>
      </c>
      <c r="M38" s="100">
        <v>3530.1634396985914</v>
      </c>
      <c r="N38" s="100">
        <v>6</v>
      </c>
      <c r="O38" s="100">
        <v>7452</v>
      </c>
      <c r="P38" s="100">
        <v>8</v>
      </c>
      <c r="Q38" s="100">
        <v>9936</v>
      </c>
      <c r="R38" s="100">
        <v>9</v>
      </c>
      <c r="S38" s="100">
        <v>11178</v>
      </c>
      <c r="T38" s="100">
        <v>8</v>
      </c>
      <c r="U38" s="100">
        <v>9936</v>
      </c>
      <c r="V38" s="100">
        <v>5.5426696630376204</v>
      </c>
      <c r="W38" s="100">
        <v>6883.9957214927244</v>
      </c>
      <c r="X38" s="100">
        <v>5</v>
      </c>
      <c r="Y38" s="100">
        <v>6210</v>
      </c>
      <c r="Z38" s="100">
        <v>6</v>
      </c>
      <c r="AA38" s="100">
        <v>7452</v>
      </c>
      <c r="AB38" s="100">
        <v>5.3699209783081683</v>
      </c>
      <c r="AC38" s="100">
        <v>6669.4418550587452</v>
      </c>
      <c r="AD38" s="100">
        <v>1.9631034101147637</v>
      </c>
      <c r="AE38" s="100">
        <v>2438.1744353625368</v>
      </c>
      <c r="AF38" s="100">
        <v>8</v>
      </c>
      <c r="AG38" s="100">
        <v>9936</v>
      </c>
      <c r="AH38" s="100">
        <v>5</v>
      </c>
      <c r="AI38" s="100">
        <v>6210</v>
      </c>
      <c r="AJ38" s="100">
        <v>6.0000651934594966</v>
      </c>
      <c r="AK38" s="100">
        <v>7452.0809702766946</v>
      </c>
      <c r="AL38" s="100">
        <v>1.237696893268758</v>
      </c>
      <c r="AM38" s="100">
        <v>1537.2195414397975</v>
      </c>
      <c r="AN38" s="100">
        <v>9.6769330902299507E-4</v>
      </c>
      <c r="AO38" s="100">
        <v>1.2018750898065598</v>
      </c>
      <c r="AP38" s="100">
        <v>1.227558779545282</v>
      </c>
      <c r="AQ38" s="100">
        <v>1524.6280041952402</v>
      </c>
      <c r="AR38" s="100">
        <v>8</v>
      </c>
      <c r="AS38" s="100">
        <v>9936</v>
      </c>
      <c r="AT38" s="100">
        <v>8</v>
      </c>
      <c r="AU38" s="100">
        <v>9936</v>
      </c>
      <c r="AV38" s="100">
        <v>8.1342182884887713</v>
      </c>
      <c r="AW38" s="100">
        <v>10102.699114303054</v>
      </c>
      <c r="AX38" s="100">
        <v>1.4715360869799068</v>
      </c>
      <c r="AY38" s="100">
        <v>1827.6478200290442</v>
      </c>
      <c r="AZ38" s="100">
        <v>7</v>
      </c>
      <c r="BA38" s="100">
        <v>8694</v>
      </c>
      <c r="BB38" s="100">
        <v>7.6604833063543278</v>
      </c>
      <c r="BC38" s="100">
        <v>9514.3202664920755</v>
      </c>
      <c r="BD38" s="100">
        <v>2.5711052816943907</v>
      </c>
      <c r="BE38" s="100">
        <v>3193.3127598644332</v>
      </c>
      <c r="BF38" s="100">
        <v>6.7936917493522104</v>
      </c>
      <c r="BG38" s="100">
        <v>8437.7651526954451</v>
      </c>
      <c r="BH38" s="100">
        <v>8.036710877748769</v>
      </c>
      <c r="BI38" s="100">
        <v>9981.5949101639708</v>
      </c>
      <c r="BJ38" s="100">
        <v>4</v>
      </c>
      <c r="BK38" s="100">
        <v>4968</v>
      </c>
      <c r="BL38" s="100">
        <v>5.137349125355839</v>
      </c>
      <c r="BM38" s="100">
        <v>6380.5876136919524</v>
      </c>
      <c r="BN38" s="100">
        <v>6.4649391296079335</v>
      </c>
      <c r="BO38" s="100">
        <v>8029.4543989730537</v>
      </c>
      <c r="BP38" s="100">
        <v>0.23410406830337105</v>
      </c>
      <c r="BQ38" s="100">
        <v>290.75725283278683</v>
      </c>
      <c r="BR38" s="100">
        <v>7</v>
      </c>
      <c r="BS38" s="100">
        <v>8694</v>
      </c>
      <c r="BT38" s="100">
        <v>9.537457043196591</v>
      </c>
      <c r="BU38" s="100">
        <v>11845.521647650166</v>
      </c>
      <c r="BV38" s="100">
        <v>1.8566890167716383</v>
      </c>
      <c r="BW38" s="100">
        <v>2306.0077588303748</v>
      </c>
      <c r="BX38" s="100">
        <v>0.21903096933816404</v>
      </c>
      <c r="BY38" s="100">
        <v>272.03646391799975</v>
      </c>
      <c r="BZ38" s="100">
        <v>7</v>
      </c>
      <c r="CA38" s="100">
        <v>8694</v>
      </c>
      <c r="CB38" s="100">
        <v>5</v>
      </c>
      <c r="CC38" s="100">
        <v>6210</v>
      </c>
      <c r="CD38" s="100">
        <v>8</v>
      </c>
      <c r="CE38" s="100">
        <v>9936</v>
      </c>
      <c r="CF38" s="100">
        <v>8.4063727845444234</v>
      </c>
      <c r="CG38" s="100">
        <v>10440.714998404173</v>
      </c>
      <c r="CH38" s="100">
        <v>6.3368955314496214</v>
      </c>
      <c r="CI38" s="100">
        <v>7870.4242500604296</v>
      </c>
      <c r="CJ38" s="100">
        <v>7</v>
      </c>
      <c r="CK38" s="100">
        <v>8694</v>
      </c>
      <c r="CL38" s="100">
        <v>10</v>
      </c>
      <c r="CM38" s="100">
        <v>12420</v>
      </c>
      <c r="CN38" s="100">
        <v>5.7840653297490094</v>
      </c>
      <c r="CO38" s="100">
        <v>7183.8091395482697</v>
      </c>
      <c r="CP38" s="100">
        <v>3.9888671941350537E-4</v>
      </c>
      <c r="CQ38" s="100">
        <v>0.49541730551157365</v>
      </c>
      <c r="CR38" s="100">
        <v>1.7872145931484207</v>
      </c>
      <c r="CS38" s="100">
        <v>2219.7205246903386</v>
      </c>
      <c r="CT38" s="100">
        <v>7</v>
      </c>
      <c r="CU38" s="100">
        <v>8694</v>
      </c>
    </row>
    <row r="39" spans="2:99">
      <c r="C39" s="99" t="s">
        <v>205</v>
      </c>
      <c r="D39" s="100">
        <v>5</v>
      </c>
      <c r="E39" s="100">
        <v>7116</v>
      </c>
      <c r="F39" s="100">
        <v>6</v>
      </c>
      <c r="G39" s="100">
        <v>8539.2000000000007</v>
      </c>
      <c r="H39" s="100">
        <v>8</v>
      </c>
      <c r="I39" s="100">
        <v>11385.6</v>
      </c>
      <c r="J39" s="100">
        <v>4.640797155103412</v>
      </c>
      <c r="K39" s="100">
        <v>6604.7825111431757</v>
      </c>
      <c r="L39" s="100">
        <v>2.8423216100632782</v>
      </c>
      <c r="M39" s="100">
        <v>4045.1921154420579</v>
      </c>
      <c r="N39" s="100">
        <v>6</v>
      </c>
      <c r="O39" s="100">
        <v>8539.2000000000007</v>
      </c>
      <c r="P39" s="100">
        <v>9</v>
      </c>
      <c r="Q39" s="100">
        <v>12808.800000000001</v>
      </c>
      <c r="R39" s="100">
        <v>9</v>
      </c>
      <c r="S39" s="100">
        <v>12808.800000000001</v>
      </c>
      <c r="T39" s="100">
        <v>8</v>
      </c>
      <c r="U39" s="100">
        <v>11385.6</v>
      </c>
      <c r="V39" s="100">
        <v>5.5426696630376204</v>
      </c>
      <c r="W39" s="100">
        <v>7888.3274644351413</v>
      </c>
      <c r="X39" s="100">
        <v>6</v>
      </c>
      <c r="Y39" s="100">
        <v>8539.2000000000007</v>
      </c>
      <c r="Z39" s="100">
        <v>7</v>
      </c>
      <c r="AA39" s="100">
        <v>9962.4</v>
      </c>
      <c r="AB39" s="100">
        <v>5.3699209783081683</v>
      </c>
      <c r="AC39" s="100">
        <v>7642.4715363281857</v>
      </c>
      <c r="AD39" s="100">
        <v>1.6826600658126547</v>
      </c>
      <c r="AE39" s="100">
        <v>2394.7618056645701</v>
      </c>
      <c r="AF39" s="100">
        <v>9</v>
      </c>
      <c r="AG39" s="100">
        <v>12808.800000000001</v>
      </c>
      <c r="AH39" s="100">
        <v>5</v>
      </c>
      <c r="AI39" s="100">
        <v>7116</v>
      </c>
      <c r="AJ39" s="100">
        <v>5.0000651934594966</v>
      </c>
      <c r="AK39" s="100">
        <v>7116.0927833315554</v>
      </c>
      <c r="AL39" s="100">
        <v>1.2376985366710214</v>
      </c>
      <c r="AM39" s="100">
        <v>1761.4925573901976</v>
      </c>
      <c r="AN39" s="100">
        <v>8.6526642764288286E-4</v>
      </c>
      <c r="AO39" s="100">
        <v>1.2314471798213509</v>
      </c>
      <c r="AP39" s="100">
        <v>1.227558779545282</v>
      </c>
      <c r="AQ39" s="100">
        <v>1747.0616550488455</v>
      </c>
      <c r="AR39" s="100">
        <v>8</v>
      </c>
      <c r="AS39" s="100">
        <v>11385.6</v>
      </c>
      <c r="AT39" s="100">
        <v>7</v>
      </c>
      <c r="AU39" s="100">
        <v>9962.4</v>
      </c>
      <c r="AV39" s="100">
        <v>8.2144976321249565</v>
      </c>
      <c r="AW39" s="100">
        <v>11690.873030040239</v>
      </c>
      <c r="AX39" s="100">
        <v>1.4715360869799068</v>
      </c>
      <c r="AY39" s="100">
        <v>2094.2901589898033</v>
      </c>
      <c r="AZ39" s="100">
        <v>6</v>
      </c>
      <c r="BA39" s="100">
        <v>8539.2000000000007</v>
      </c>
      <c r="BB39" s="100">
        <v>7.56612854830371</v>
      </c>
      <c r="BC39" s="100">
        <v>10768.114149945841</v>
      </c>
      <c r="BD39" s="100">
        <v>2.3139947535249514</v>
      </c>
      <c r="BE39" s="100">
        <v>3293.2773332167108</v>
      </c>
      <c r="BF39" s="100">
        <v>6.7936917493522104</v>
      </c>
      <c r="BG39" s="100">
        <v>9668.7820976780658</v>
      </c>
      <c r="BH39" s="100">
        <v>9.0318160940489332</v>
      </c>
      <c r="BI39" s="100">
        <v>12854.080665050442</v>
      </c>
      <c r="BJ39" s="100">
        <v>5</v>
      </c>
      <c r="BK39" s="100">
        <v>7116</v>
      </c>
      <c r="BL39" s="100">
        <v>5.137349125355839</v>
      </c>
      <c r="BM39" s="100">
        <v>7311.4752752064305</v>
      </c>
      <c r="BN39" s="100">
        <v>5.7521992021827639</v>
      </c>
      <c r="BO39" s="100">
        <v>8186.5299045465099</v>
      </c>
      <c r="BP39" s="100">
        <v>0.23410406830337105</v>
      </c>
      <c r="BQ39" s="100">
        <v>333.1769100093577</v>
      </c>
      <c r="BR39" s="100">
        <v>8</v>
      </c>
      <c r="BS39" s="100">
        <v>11385.6</v>
      </c>
      <c r="BT39" s="100">
        <v>9.582245130129639</v>
      </c>
      <c r="BU39" s="100">
        <v>13637.451269200503</v>
      </c>
      <c r="BV39" s="100">
        <v>1.8523480796611376</v>
      </c>
      <c r="BW39" s="100">
        <v>2636.261786973731</v>
      </c>
      <c r="BX39" s="100">
        <v>0.18252580778180336</v>
      </c>
      <c r="BY39" s="100">
        <v>259.77072963506254</v>
      </c>
      <c r="BZ39" s="100">
        <v>6</v>
      </c>
      <c r="CA39" s="100">
        <v>8539.2000000000007</v>
      </c>
      <c r="CB39" s="100">
        <v>5</v>
      </c>
      <c r="CC39" s="100">
        <v>7116</v>
      </c>
      <c r="CD39" s="100">
        <v>9</v>
      </c>
      <c r="CE39" s="100">
        <v>12808.800000000001</v>
      </c>
      <c r="CF39" s="100">
        <v>8.4063727845444234</v>
      </c>
      <c r="CG39" s="100">
        <v>11963.949746963624</v>
      </c>
      <c r="CH39" s="100">
        <v>5.4316247412425325</v>
      </c>
      <c r="CI39" s="100">
        <v>7730.2883317363721</v>
      </c>
      <c r="CJ39" s="100">
        <v>6</v>
      </c>
      <c r="CK39" s="100">
        <v>8539.2000000000007</v>
      </c>
      <c r="CL39" s="100">
        <v>10</v>
      </c>
      <c r="CM39" s="100">
        <v>14232</v>
      </c>
      <c r="CN39" s="100">
        <v>6.499476841025313</v>
      </c>
      <c r="CO39" s="100">
        <v>9250.0554401472255</v>
      </c>
      <c r="CP39" s="100">
        <v>3.4540635786632775E-4</v>
      </c>
      <c r="CQ39" s="100">
        <v>0.49158232851535766</v>
      </c>
      <c r="CR39" s="100">
        <v>1.7872145931484207</v>
      </c>
      <c r="CS39" s="100">
        <v>2543.5638089688323</v>
      </c>
      <c r="CT39" s="100">
        <v>7</v>
      </c>
      <c r="CU39" s="100">
        <v>9962.4</v>
      </c>
    </row>
    <row r="40" spans="2:99">
      <c r="C40" s="99" t="s">
        <v>206</v>
      </c>
      <c r="D40" s="100">
        <v>5</v>
      </c>
      <c r="E40" s="100">
        <v>3624</v>
      </c>
      <c r="F40" s="100">
        <v>7</v>
      </c>
      <c r="G40" s="100">
        <v>5073.5999999999995</v>
      </c>
      <c r="H40" s="100">
        <v>8</v>
      </c>
      <c r="I40" s="100">
        <v>5798.4</v>
      </c>
      <c r="J40" s="100">
        <v>5.6900892439575212</v>
      </c>
      <c r="K40" s="100">
        <v>4124.1766840204109</v>
      </c>
      <c r="L40" s="100">
        <v>3.1976118113211882</v>
      </c>
      <c r="M40" s="100">
        <v>2317.629040845597</v>
      </c>
      <c r="N40" s="100">
        <v>7</v>
      </c>
      <c r="O40" s="100">
        <v>5073.5999999999995</v>
      </c>
      <c r="P40" s="100">
        <v>9</v>
      </c>
      <c r="Q40" s="100">
        <v>6523.2</v>
      </c>
      <c r="R40" s="100">
        <v>9</v>
      </c>
      <c r="S40" s="100">
        <v>6523.2</v>
      </c>
      <c r="T40" s="100">
        <v>9</v>
      </c>
      <c r="U40" s="100">
        <v>6523.2</v>
      </c>
      <c r="V40" s="100">
        <v>5.5426696630376204</v>
      </c>
      <c r="W40" s="100">
        <v>4017.3269717696671</v>
      </c>
      <c r="X40" s="100">
        <v>6</v>
      </c>
      <c r="Y40" s="100">
        <v>4348.7999999999993</v>
      </c>
      <c r="Z40" s="100">
        <v>7</v>
      </c>
      <c r="AA40" s="100">
        <v>5073.5999999999995</v>
      </c>
      <c r="AB40" s="100">
        <v>5.416161100596689</v>
      </c>
      <c r="AC40" s="100">
        <v>3925.63356571248</v>
      </c>
      <c r="AD40" s="100">
        <v>1.9631034101147637</v>
      </c>
      <c r="AE40" s="100">
        <v>1422.8573516511806</v>
      </c>
      <c r="AF40" s="100">
        <v>7</v>
      </c>
      <c r="AG40" s="100">
        <v>5073.5999999999995</v>
      </c>
      <c r="AH40" s="100">
        <v>5</v>
      </c>
      <c r="AI40" s="100">
        <v>3624</v>
      </c>
      <c r="AJ40" s="100">
        <v>6.0000651934594966</v>
      </c>
      <c r="AK40" s="100">
        <v>4348.8472522194425</v>
      </c>
      <c r="AL40" s="100">
        <v>1.2376977149698898</v>
      </c>
      <c r="AM40" s="100">
        <v>897.08330381017606</v>
      </c>
      <c r="AN40" s="100">
        <v>8.7290832374321402E-4</v>
      </c>
      <c r="AO40" s="100">
        <v>0.63268395304908154</v>
      </c>
      <c r="AP40" s="100">
        <v>1.4730705354543383</v>
      </c>
      <c r="AQ40" s="100">
        <v>1067.6815240973044</v>
      </c>
      <c r="AR40" s="100">
        <v>8</v>
      </c>
      <c r="AS40" s="100">
        <v>5798.4</v>
      </c>
      <c r="AT40" s="100">
        <v>8</v>
      </c>
      <c r="AU40" s="100">
        <v>5798.4</v>
      </c>
      <c r="AV40" s="100">
        <v>9.1811003284134394</v>
      </c>
      <c r="AW40" s="100">
        <v>6654.4615180340606</v>
      </c>
      <c r="AX40" s="100">
        <v>1.6817555279770362</v>
      </c>
      <c r="AY40" s="100">
        <v>1218.9364066777557</v>
      </c>
      <c r="AZ40" s="100">
        <v>8</v>
      </c>
      <c r="BA40" s="100">
        <v>5798.4</v>
      </c>
      <c r="BB40" s="100">
        <v>7.6604833063543278</v>
      </c>
      <c r="BC40" s="100">
        <v>5552.3183004456168</v>
      </c>
      <c r="BD40" s="100">
        <v>2.5711052816943907</v>
      </c>
      <c r="BE40" s="100">
        <v>1863.5371081720943</v>
      </c>
      <c r="BF40" s="100">
        <v>6.7936917493522104</v>
      </c>
      <c r="BG40" s="100">
        <v>4924.0677799304822</v>
      </c>
      <c r="BH40" s="100">
        <v>10.036710877748769</v>
      </c>
      <c r="BI40" s="100">
        <v>7274.6080441923077</v>
      </c>
      <c r="BJ40" s="100">
        <v>5</v>
      </c>
      <c r="BK40" s="100">
        <v>3624</v>
      </c>
      <c r="BL40" s="100">
        <v>5.1047062333831859</v>
      </c>
      <c r="BM40" s="100">
        <v>3699.8910779561329</v>
      </c>
      <c r="BN40" s="100">
        <v>6.4649391296079335</v>
      </c>
      <c r="BO40" s="100">
        <v>4685.7878811398296</v>
      </c>
      <c r="BP40" s="100">
        <v>0.23410406830337105</v>
      </c>
      <c r="BQ40" s="100">
        <v>169.67862870628332</v>
      </c>
      <c r="BR40" s="100">
        <v>7</v>
      </c>
      <c r="BS40" s="100">
        <v>5073.5999999999995</v>
      </c>
      <c r="BT40" s="100">
        <v>10.537457043196591</v>
      </c>
      <c r="BU40" s="100">
        <v>7637.5488649088884</v>
      </c>
      <c r="BV40" s="100">
        <v>2.1578170567717847</v>
      </c>
      <c r="BW40" s="100">
        <v>1563.9858027481894</v>
      </c>
      <c r="BX40" s="100">
        <v>0.18252580778180336</v>
      </c>
      <c r="BY40" s="100">
        <v>132.29470548025105</v>
      </c>
      <c r="BZ40" s="100">
        <v>6</v>
      </c>
      <c r="CA40" s="100">
        <v>4348.7999999999993</v>
      </c>
      <c r="CB40" s="100">
        <v>6</v>
      </c>
      <c r="CC40" s="100">
        <v>4348.7999999999993</v>
      </c>
      <c r="CD40" s="100">
        <v>8</v>
      </c>
      <c r="CE40" s="100">
        <v>5798.4</v>
      </c>
      <c r="CF40" s="100">
        <v>8.3657355060899814</v>
      </c>
      <c r="CG40" s="100">
        <v>6063.4850948140183</v>
      </c>
      <c r="CH40" s="100">
        <v>5.4316247412425325</v>
      </c>
      <c r="CI40" s="100">
        <v>3936.8416124525875</v>
      </c>
      <c r="CJ40" s="100">
        <v>7</v>
      </c>
      <c r="CK40" s="100">
        <v>5073.5999999999995</v>
      </c>
      <c r="CL40" s="100">
        <v>10</v>
      </c>
      <c r="CM40" s="100">
        <v>7248</v>
      </c>
      <c r="CN40" s="100">
        <v>5.7840653297490094</v>
      </c>
      <c r="CO40" s="100">
        <v>4192.2905510020819</v>
      </c>
      <c r="CP40" s="100">
        <v>3.4336267548438923E-4</v>
      </c>
      <c r="CQ40" s="100">
        <v>0.24886926719108529</v>
      </c>
      <c r="CR40" s="100">
        <v>1.7872145931484207</v>
      </c>
      <c r="CS40" s="100">
        <v>1295.3731371139752</v>
      </c>
      <c r="CT40" s="100">
        <v>8</v>
      </c>
      <c r="CU40" s="100">
        <v>5798.4</v>
      </c>
    </row>
    <row r="41" spans="2:99">
      <c r="C41" s="99" t="s">
        <v>207</v>
      </c>
      <c r="D41" s="100">
        <v>5</v>
      </c>
      <c r="E41" s="100">
        <v>3300</v>
      </c>
      <c r="F41" s="100">
        <v>6</v>
      </c>
      <c r="G41" s="100">
        <v>3960</v>
      </c>
      <c r="H41" s="100">
        <v>8</v>
      </c>
      <c r="I41" s="100">
        <v>5280</v>
      </c>
      <c r="J41" s="100">
        <v>5.640797155103412</v>
      </c>
      <c r="K41" s="100">
        <v>3722.926122368252</v>
      </c>
      <c r="L41" s="100">
        <v>2.8423216100632782</v>
      </c>
      <c r="M41" s="100">
        <v>1875.9322626417636</v>
      </c>
      <c r="N41" s="100">
        <v>7</v>
      </c>
      <c r="O41" s="100">
        <v>4620</v>
      </c>
      <c r="P41" s="100">
        <v>9</v>
      </c>
      <c r="Q41" s="100">
        <v>5940</v>
      </c>
      <c r="R41" s="100">
        <v>9</v>
      </c>
      <c r="S41" s="100">
        <v>5940</v>
      </c>
      <c r="T41" s="100">
        <v>9</v>
      </c>
      <c r="U41" s="100">
        <v>5940</v>
      </c>
      <c r="V41" s="100">
        <v>6.2355033709173222</v>
      </c>
      <c r="W41" s="100">
        <v>4115.4322248054323</v>
      </c>
      <c r="X41" s="100">
        <v>6</v>
      </c>
      <c r="Y41" s="100">
        <v>3960</v>
      </c>
      <c r="Z41" s="100">
        <v>6</v>
      </c>
      <c r="AA41" s="100">
        <v>3960</v>
      </c>
      <c r="AB41" s="100">
        <v>6.416161100596689</v>
      </c>
      <c r="AC41" s="100">
        <v>4234.6663263938144</v>
      </c>
      <c r="AD41" s="100">
        <v>1.9631034101147637</v>
      </c>
      <c r="AE41" s="100">
        <v>1295.6482506757441</v>
      </c>
      <c r="AF41" s="100">
        <v>9</v>
      </c>
      <c r="AG41" s="100">
        <v>5940</v>
      </c>
      <c r="AH41" s="100">
        <v>5</v>
      </c>
      <c r="AI41" s="100">
        <v>3300</v>
      </c>
      <c r="AJ41" s="100">
        <v>5.0000551636964969</v>
      </c>
      <c r="AK41" s="100">
        <v>3300.036408039688</v>
      </c>
      <c r="AL41" s="100">
        <v>1.237696893268758</v>
      </c>
      <c r="AM41" s="100">
        <v>816.87994955738031</v>
      </c>
      <c r="AN41" s="100">
        <v>8.6526642764288286E-4</v>
      </c>
      <c r="AO41" s="100">
        <v>0.57107584224430274</v>
      </c>
      <c r="AP41" s="100">
        <v>1.4730705354543383</v>
      </c>
      <c r="AQ41" s="100">
        <v>972.22655339986329</v>
      </c>
      <c r="AR41" s="100">
        <v>9</v>
      </c>
      <c r="AS41" s="100">
        <v>5940</v>
      </c>
      <c r="AT41" s="100">
        <v>8</v>
      </c>
      <c r="AU41" s="100">
        <v>5280</v>
      </c>
      <c r="AV41" s="100">
        <v>9.2212400002315302</v>
      </c>
      <c r="AW41" s="100">
        <v>6086.0184001528096</v>
      </c>
      <c r="AX41" s="100">
        <v>1.4715360869799068</v>
      </c>
      <c r="AY41" s="100">
        <v>971.21381740673849</v>
      </c>
      <c r="AZ41" s="100">
        <v>7</v>
      </c>
      <c r="BA41" s="100">
        <v>4620</v>
      </c>
      <c r="BB41" s="100">
        <v>8.5661285483037091</v>
      </c>
      <c r="BC41" s="100">
        <v>5653.6448418804484</v>
      </c>
      <c r="BD41" s="100">
        <v>2.3139947535249514</v>
      </c>
      <c r="BE41" s="100">
        <v>1527.2365373264679</v>
      </c>
      <c r="BF41" s="100">
        <v>6.7936917493522104</v>
      </c>
      <c r="BG41" s="100">
        <v>4483.8365545724591</v>
      </c>
      <c r="BH41" s="100">
        <v>9.0342634858988511</v>
      </c>
      <c r="BI41" s="100">
        <v>5962.6139006932417</v>
      </c>
      <c r="BJ41" s="100">
        <v>5</v>
      </c>
      <c r="BK41" s="100">
        <v>3300</v>
      </c>
      <c r="BL41" s="100">
        <v>6.0407759609309259</v>
      </c>
      <c r="BM41" s="100">
        <v>3986.9121342144113</v>
      </c>
      <c r="BN41" s="100">
        <v>6.459352487076667</v>
      </c>
      <c r="BO41" s="100">
        <v>4263.1726414706</v>
      </c>
      <c r="BP41" s="100">
        <v>0.23410406830337105</v>
      </c>
      <c r="BQ41" s="100">
        <v>154.50868508022489</v>
      </c>
      <c r="BR41" s="100">
        <v>7</v>
      </c>
      <c r="BS41" s="100">
        <v>4620</v>
      </c>
      <c r="BT41" s="100">
        <v>10.537457043196591</v>
      </c>
      <c r="BU41" s="100">
        <v>6954.7216485097497</v>
      </c>
      <c r="BV41" s="100">
        <v>1.8566890167716383</v>
      </c>
      <c r="BW41" s="100">
        <v>1225.4147510692812</v>
      </c>
      <c r="BX41" s="100">
        <v>0.18252580778180336</v>
      </c>
      <c r="BY41" s="100">
        <v>120.46703313599022</v>
      </c>
      <c r="BZ41" s="100">
        <v>6</v>
      </c>
      <c r="CA41" s="100">
        <v>3960</v>
      </c>
      <c r="CB41" s="100">
        <v>5</v>
      </c>
      <c r="CC41" s="100">
        <v>3300</v>
      </c>
      <c r="CD41" s="100">
        <v>9</v>
      </c>
      <c r="CE41" s="100">
        <v>5940</v>
      </c>
      <c r="CF41" s="100">
        <v>8.4063727845444234</v>
      </c>
      <c r="CG41" s="100">
        <v>5548.2060377993193</v>
      </c>
      <c r="CH41" s="100">
        <v>6.3368955314496214</v>
      </c>
      <c r="CI41" s="100">
        <v>4182.3510507567498</v>
      </c>
      <c r="CJ41" s="100">
        <v>6</v>
      </c>
      <c r="CK41" s="100">
        <v>3960</v>
      </c>
      <c r="CL41" s="100">
        <v>10</v>
      </c>
      <c r="CM41" s="100">
        <v>6600</v>
      </c>
      <c r="CN41" s="100">
        <v>6.4873221931175964</v>
      </c>
      <c r="CO41" s="100">
        <v>4281.6326474576135</v>
      </c>
      <c r="CP41" s="100">
        <v>3.4336267548438923E-4</v>
      </c>
      <c r="CQ41" s="100">
        <v>0.22661936581969688</v>
      </c>
      <c r="CR41" s="100">
        <v>1.7872145931484207</v>
      </c>
      <c r="CS41" s="100">
        <v>1179.5616314779577</v>
      </c>
      <c r="CT41" s="100">
        <v>8</v>
      </c>
      <c r="CU41" s="100">
        <v>5280</v>
      </c>
    </row>
    <row r="42" spans="2:99">
      <c r="C42" s="99" t="s">
        <v>208</v>
      </c>
      <c r="D42" s="100">
        <v>5</v>
      </c>
      <c r="E42" s="100">
        <v>4230</v>
      </c>
      <c r="F42" s="100">
        <v>7</v>
      </c>
      <c r="G42" s="100">
        <v>5922</v>
      </c>
      <c r="H42" s="100">
        <v>8</v>
      </c>
      <c r="I42" s="100">
        <v>6768</v>
      </c>
      <c r="J42" s="100">
        <v>5.640797155103412</v>
      </c>
      <c r="K42" s="100">
        <v>4772.1143932174864</v>
      </c>
      <c r="L42" s="100">
        <v>3.1976118113211882</v>
      </c>
      <c r="M42" s="100">
        <v>2705.1795923777254</v>
      </c>
      <c r="N42" s="100">
        <v>6</v>
      </c>
      <c r="O42" s="100">
        <v>5076</v>
      </c>
      <c r="P42" s="100">
        <v>9</v>
      </c>
      <c r="Q42" s="100">
        <v>7614</v>
      </c>
      <c r="R42" s="100">
        <v>8</v>
      </c>
      <c r="S42" s="100">
        <v>6768</v>
      </c>
      <c r="T42" s="100">
        <v>9</v>
      </c>
      <c r="U42" s="100">
        <v>7614</v>
      </c>
      <c r="V42" s="100">
        <v>6.2355033709173222</v>
      </c>
      <c r="W42" s="100">
        <v>5275.2358517960547</v>
      </c>
      <c r="X42" s="100">
        <v>6</v>
      </c>
      <c r="Y42" s="100">
        <v>5076</v>
      </c>
      <c r="Z42" s="100">
        <v>6</v>
      </c>
      <c r="AA42" s="100">
        <v>5076</v>
      </c>
      <c r="AB42" s="100">
        <v>5.416161100596689</v>
      </c>
      <c r="AC42" s="100">
        <v>4582.0722911047988</v>
      </c>
      <c r="AD42" s="100">
        <v>1.9631034101147637</v>
      </c>
      <c r="AE42" s="100">
        <v>1660.7854849570901</v>
      </c>
      <c r="AF42" s="100">
        <v>8</v>
      </c>
      <c r="AG42" s="100">
        <v>6768</v>
      </c>
      <c r="AH42" s="100">
        <v>6</v>
      </c>
      <c r="AI42" s="100">
        <v>5076</v>
      </c>
      <c r="AJ42" s="100">
        <v>6.0000601785779963</v>
      </c>
      <c r="AK42" s="100">
        <v>5076.0509110769854</v>
      </c>
      <c r="AL42" s="100">
        <v>1.2376985366710214</v>
      </c>
      <c r="AM42" s="100">
        <v>1047.0929620236841</v>
      </c>
      <c r="AN42" s="100">
        <v>9.7151425707316054E-4</v>
      </c>
      <c r="AO42" s="100">
        <v>0.82190106148389386</v>
      </c>
      <c r="AP42" s="100">
        <v>1.227558779545282</v>
      </c>
      <c r="AQ42" s="100">
        <v>1038.5147274953085</v>
      </c>
      <c r="AR42" s="100">
        <v>9</v>
      </c>
      <c r="AS42" s="100">
        <v>7614</v>
      </c>
      <c r="AT42" s="100">
        <v>8</v>
      </c>
      <c r="AU42" s="100">
        <v>6768</v>
      </c>
      <c r="AV42" s="100">
        <v>9.1409606565953467</v>
      </c>
      <c r="AW42" s="100">
        <v>7733.2527154796635</v>
      </c>
      <c r="AX42" s="100">
        <v>1.6817555279770362</v>
      </c>
      <c r="AY42" s="100">
        <v>1422.7651766685726</v>
      </c>
      <c r="AZ42" s="100">
        <v>7</v>
      </c>
      <c r="BA42" s="100">
        <v>5922</v>
      </c>
      <c r="BB42" s="100">
        <v>7.6133059273290193</v>
      </c>
      <c r="BC42" s="100">
        <v>6440.8568145203508</v>
      </c>
      <c r="BD42" s="100">
        <v>2.3286845152532014</v>
      </c>
      <c r="BE42" s="100">
        <v>1970.0670999042084</v>
      </c>
      <c r="BF42" s="100">
        <v>7.6429032180212362</v>
      </c>
      <c r="BG42" s="100">
        <v>6465.8961224459654</v>
      </c>
      <c r="BH42" s="100">
        <v>9.0342634858988511</v>
      </c>
      <c r="BI42" s="100">
        <v>7642.9869090704278</v>
      </c>
      <c r="BJ42" s="100">
        <v>5</v>
      </c>
      <c r="BK42" s="100">
        <v>4230</v>
      </c>
      <c r="BL42" s="100">
        <v>5.1047062333831859</v>
      </c>
      <c r="BM42" s="100">
        <v>4318.5814734421756</v>
      </c>
      <c r="BN42" s="100">
        <v>5.7577858447140313</v>
      </c>
      <c r="BO42" s="100">
        <v>4871.0868246280706</v>
      </c>
      <c r="BP42" s="100">
        <v>0.23410406830337105</v>
      </c>
      <c r="BQ42" s="100">
        <v>198.05204178465192</v>
      </c>
      <c r="BR42" s="100">
        <v>8</v>
      </c>
      <c r="BS42" s="100">
        <v>6768</v>
      </c>
      <c r="BT42" s="100">
        <v>8.582245130129639</v>
      </c>
      <c r="BU42" s="100">
        <v>7260.5793800896745</v>
      </c>
      <c r="BV42" s="100">
        <v>1.8523480796611376</v>
      </c>
      <c r="BW42" s="100">
        <v>1567.0864753933224</v>
      </c>
      <c r="BX42" s="100">
        <v>0.18252580778180336</v>
      </c>
      <c r="BY42" s="100">
        <v>154.41683338340565</v>
      </c>
      <c r="BZ42" s="100">
        <v>6</v>
      </c>
      <c r="CA42" s="100">
        <v>5076</v>
      </c>
      <c r="CB42" s="100">
        <v>5</v>
      </c>
      <c r="CC42" s="100">
        <v>4230</v>
      </c>
      <c r="CD42" s="100">
        <v>9</v>
      </c>
      <c r="CE42" s="100">
        <v>7614</v>
      </c>
      <c r="CF42" s="100">
        <v>8.3657355060899814</v>
      </c>
      <c r="CG42" s="100">
        <v>7077.4122381521247</v>
      </c>
      <c r="CH42" s="100">
        <v>6.3368955314496214</v>
      </c>
      <c r="CI42" s="100">
        <v>5361.0136196063795</v>
      </c>
      <c r="CJ42" s="100">
        <v>7</v>
      </c>
      <c r="CK42" s="100">
        <v>5922</v>
      </c>
      <c r="CL42" s="100">
        <v>9</v>
      </c>
      <c r="CM42" s="100">
        <v>7614</v>
      </c>
      <c r="CN42" s="100">
        <v>7.1905790564861825</v>
      </c>
      <c r="CO42" s="100">
        <v>6083.2298817873107</v>
      </c>
      <c r="CP42" s="100">
        <v>3.4336267548438923E-4</v>
      </c>
      <c r="CQ42" s="100">
        <v>0.29048482345979326</v>
      </c>
      <c r="CR42" s="100">
        <v>2.0425309635981947</v>
      </c>
      <c r="CS42" s="100">
        <v>1727.9811952040727</v>
      </c>
      <c r="CT42" s="100">
        <v>7</v>
      </c>
      <c r="CU42" s="100">
        <v>5922</v>
      </c>
    </row>
    <row r="43" spans="2:99">
      <c r="C43" s="99" t="s">
        <v>209</v>
      </c>
      <c r="D43" s="100">
        <v>5</v>
      </c>
      <c r="E43" s="100">
        <v>5112</v>
      </c>
      <c r="F43" s="100">
        <v>6</v>
      </c>
      <c r="G43" s="100">
        <v>6134.4</v>
      </c>
      <c r="H43" s="100">
        <v>8</v>
      </c>
      <c r="I43" s="100">
        <v>8179.2</v>
      </c>
      <c r="J43" s="100">
        <v>5.640797155103412</v>
      </c>
      <c r="K43" s="100">
        <v>5767.1510113777285</v>
      </c>
      <c r="L43" s="100">
        <v>3.1976118113211882</v>
      </c>
      <c r="M43" s="100">
        <v>3269.2383158947828</v>
      </c>
      <c r="N43" s="100">
        <v>7</v>
      </c>
      <c r="O43" s="100">
        <v>7156.8</v>
      </c>
      <c r="P43" s="100">
        <v>8</v>
      </c>
      <c r="Q43" s="100">
        <v>8179.2</v>
      </c>
      <c r="R43" s="100">
        <v>9</v>
      </c>
      <c r="S43" s="100">
        <v>9201.6</v>
      </c>
      <c r="T43" s="100">
        <v>7</v>
      </c>
      <c r="U43" s="100">
        <v>7156.8</v>
      </c>
      <c r="V43" s="100">
        <v>5.5426696630376204</v>
      </c>
      <c r="W43" s="100">
        <v>5666.825463489663</v>
      </c>
      <c r="X43" s="100">
        <v>5</v>
      </c>
      <c r="Y43" s="100">
        <v>5112</v>
      </c>
      <c r="Z43" s="100">
        <v>6</v>
      </c>
      <c r="AA43" s="100">
        <v>6134.4</v>
      </c>
      <c r="AB43" s="100">
        <v>6.3699209783081683</v>
      </c>
      <c r="AC43" s="100">
        <v>6512.6072082222709</v>
      </c>
      <c r="AD43" s="100">
        <v>1.6826600658126547</v>
      </c>
      <c r="AE43" s="100">
        <v>1720.3516512868582</v>
      </c>
      <c r="AF43" s="100">
        <v>8</v>
      </c>
      <c r="AG43" s="100">
        <v>8179.2</v>
      </c>
      <c r="AH43" s="100">
        <v>5</v>
      </c>
      <c r="AI43" s="100">
        <v>5112</v>
      </c>
      <c r="AJ43" s="100">
        <v>6.0000651934594966</v>
      </c>
      <c r="AK43" s="100">
        <v>6134.4666537929888</v>
      </c>
      <c r="AL43" s="100">
        <v>1.0608845773896085</v>
      </c>
      <c r="AM43" s="100">
        <v>1084.6483919231357</v>
      </c>
      <c r="AN43" s="100">
        <v>9.7151425707316054E-4</v>
      </c>
      <c r="AO43" s="100">
        <v>0.99327617643159927</v>
      </c>
      <c r="AP43" s="100">
        <v>1.227558779545282</v>
      </c>
      <c r="AQ43" s="100">
        <v>1255.0560962070963</v>
      </c>
      <c r="AR43" s="100">
        <v>8</v>
      </c>
      <c r="AS43" s="100">
        <v>8179.2</v>
      </c>
      <c r="AT43" s="100">
        <v>7</v>
      </c>
      <c r="AU43" s="100">
        <v>7156.8</v>
      </c>
      <c r="AV43" s="100">
        <v>8.2144976321249565</v>
      </c>
      <c r="AW43" s="100">
        <v>8398.5023790845553</v>
      </c>
      <c r="AX43" s="100">
        <v>1.6817555279770362</v>
      </c>
      <c r="AY43" s="100">
        <v>1719.4268518037218</v>
      </c>
      <c r="AZ43" s="100">
        <v>8</v>
      </c>
      <c r="BA43" s="100">
        <v>8179.2</v>
      </c>
      <c r="BB43" s="100">
        <v>8.7076606853796363</v>
      </c>
      <c r="BC43" s="100">
        <v>8902.7122847321407</v>
      </c>
      <c r="BD43" s="100">
        <v>2.3301534914260262</v>
      </c>
      <c r="BE43" s="100">
        <v>2382.348929633969</v>
      </c>
      <c r="BF43" s="100">
        <v>6.7936917493522104</v>
      </c>
      <c r="BG43" s="100">
        <v>6945.8704445376998</v>
      </c>
      <c r="BH43" s="100">
        <v>8.0342634858988511</v>
      </c>
      <c r="BI43" s="100">
        <v>8214.2309879829845</v>
      </c>
      <c r="BJ43" s="100">
        <v>4</v>
      </c>
      <c r="BK43" s="100">
        <v>4089.6</v>
      </c>
      <c r="BL43" s="100">
        <v>5.0720633414105336</v>
      </c>
      <c r="BM43" s="100">
        <v>5185.6775602581292</v>
      </c>
      <c r="BN43" s="100">
        <v>5.7521992021827639</v>
      </c>
      <c r="BO43" s="100">
        <v>5881.0484643116579</v>
      </c>
      <c r="BP43" s="100">
        <v>0.23410406830337105</v>
      </c>
      <c r="BQ43" s="100">
        <v>239.34799943336657</v>
      </c>
      <c r="BR43" s="100">
        <v>8</v>
      </c>
      <c r="BS43" s="100">
        <v>8179.2</v>
      </c>
      <c r="BT43" s="100">
        <v>9.4926689562635413</v>
      </c>
      <c r="BU43" s="100">
        <v>9705.3047408838447</v>
      </c>
      <c r="BV43" s="100">
        <v>2.1599875253270353</v>
      </c>
      <c r="BW43" s="100">
        <v>2208.371245894361</v>
      </c>
      <c r="BX43" s="100">
        <v>0.18252580778180336</v>
      </c>
      <c r="BY43" s="100">
        <v>186.61438587611573</v>
      </c>
      <c r="BZ43" s="100">
        <v>6</v>
      </c>
      <c r="CA43" s="100">
        <v>6134.4</v>
      </c>
      <c r="CB43" s="100">
        <v>5</v>
      </c>
      <c r="CC43" s="100">
        <v>5112</v>
      </c>
      <c r="CD43" s="100">
        <v>9</v>
      </c>
      <c r="CE43" s="100">
        <v>9201.6</v>
      </c>
      <c r="CF43" s="100">
        <v>8.4063727845444234</v>
      </c>
      <c r="CG43" s="100">
        <v>8594.6755349182185</v>
      </c>
      <c r="CH43" s="100">
        <v>5.4316247412425325</v>
      </c>
      <c r="CI43" s="100">
        <v>5553.2931354463653</v>
      </c>
      <c r="CJ43" s="100">
        <v>6</v>
      </c>
      <c r="CK43" s="100">
        <v>6134.4</v>
      </c>
      <c r="CL43" s="100">
        <v>10</v>
      </c>
      <c r="CM43" s="100">
        <v>10224</v>
      </c>
      <c r="CN43" s="100">
        <v>6.499476841025313</v>
      </c>
      <c r="CO43" s="100">
        <v>6645.06512226428</v>
      </c>
      <c r="CP43" s="100">
        <v>3.4540635786632775E-4</v>
      </c>
      <c r="CQ43" s="100">
        <v>0.35314346028253346</v>
      </c>
      <c r="CR43" s="100">
        <v>2.0425309635981947</v>
      </c>
      <c r="CS43" s="100">
        <v>2088.2836571827943</v>
      </c>
      <c r="CT43" s="100">
        <v>8</v>
      </c>
      <c r="CU43" s="100">
        <v>8179.2</v>
      </c>
    </row>
    <row r="44" spans="2:99">
      <c r="C44" s="99" t="s">
        <v>210</v>
      </c>
      <c r="D44" s="100">
        <v>5</v>
      </c>
      <c r="E44" s="100">
        <v>5112</v>
      </c>
      <c r="F44" s="100">
        <v>6</v>
      </c>
      <c r="G44" s="100">
        <v>6134.4</v>
      </c>
      <c r="H44" s="100">
        <v>8</v>
      </c>
      <c r="I44" s="100">
        <v>8179.2</v>
      </c>
      <c r="J44" s="100">
        <v>5.6900892439575212</v>
      </c>
      <c r="K44" s="100">
        <v>5817.5472430221698</v>
      </c>
      <c r="L44" s="100">
        <v>3.1976118113211882</v>
      </c>
      <c r="M44" s="100">
        <v>3269.2383158947828</v>
      </c>
      <c r="N44" s="100">
        <v>6</v>
      </c>
      <c r="O44" s="100">
        <v>6134.4</v>
      </c>
      <c r="P44" s="100">
        <v>8</v>
      </c>
      <c r="Q44" s="100">
        <v>8179.2</v>
      </c>
      <c r="R44" s="100">
        <v>9</v>
      </c>
      <c r="S44" s="100">
        <v>9201.6</v>
      </c>
      <c r="T44" s="100">
        <v>9</v>
      </c>
      <c r="U44" s="100">
        <v>9201.6</v>
      </c>
      <c r="V44" s="100">
        <v>6.2355033709173222</v>
      </c>
      <c r="W44" s="100">
        <v>6375.1786464258703</v>
      </c>
      <c r="X44" s="100">
        <v>5</v>
      </c>
      <c r="Y44" s="100">
        <v>5112</v>
      </c>
      <c r="Z44" s="100">
        <v>6</v>
      </c>
      <c r="AA44" s="100">
        <v>6134.4</v>
      </c>
      <c r="AB44" s="100">
        <v>5.3699209783081683</v>
      </c>
      <c r="AC44" s="100">
        <v>5490.2072082222712</v>
      </c>
      <c r="AD44" s="100">
        <v>1.6826600658126547</v>
      </c>
      <c r="AE44" s="100">
        <v>1720.3516512868582</v>
      </c>
      <c r="AF44" s="100">
        <v>7</v>
      </c>
      <c r="AG44" s="100">
        <v>7156.8</v>
      </c>
      <c r="AH44" s="100">
        <v>5</v>
      </c>
      <c r="AI44" s="100">
        <v>5112</v>
      </c>
      <c r="AJ44" s="100">
        <v>6.0000651934594966</v>
      </c>
      <c r="AK44" s="100">
        <v>6134.4666537929888</v>
      </c>
      <c r="AL44" s="100">
        <v>1.0608853990907403</v>
      </c>
      <c r="AM44" s="100">
        <v>1084.6492320303728</v>
      </c>
      <c r="AN44" s="100">
        <v>9.7151425707316054E-4</v>
      </c>
      <c r="AO44" s="100">
        <v>0.99327617643159927</v>
      </c>
      <c r="AP44" s="100">
        <v>1.4730705354543383</v>
      </c>
      <c r="AQ44" s="100">
        <v>1506.0673154485155</v>
      </c>
      <c r="AR44" s="100">
        <v>8</v>
      </c>
      <c r="AS44" s="100">
        <v>8179.2</v>
      </c>
      <c r="AT44" s="100">
        <v>8</v>
      </c>
      <c r="AU44" s="100">
        <v>8179.2</v>
      </c>
      <c r="AV44" s="100">
        <v>9.1811003284134394</v>
      </c>
      <c r="AW44" s="100">
        <v>9386.7569757699002</v>
      </c>
      <c r="AX44" s="100">
        <v>1.4715360869799068</v>
      </c>
      <c r="AY44" s="100">
        <v>1504.4984953282567</v>
      </c>
      <c r="AZ44" s="100">
        <v>8</v>
      </c>
      <c r="BA44" s="100">
        <v>8179.2</v>
      </c>
      <c r="BB44" s="100">
        <v>7.6604833063543278</v>
      </c>
      <c r="BC44" s="100">
        <v>7832.0781324166646</v>
      </c>
      <c r="BD44" s="100">
        <v>2.3139947535249514</v>
      </c>
      <c r="BE44" s="100">
        <v>2365.8282360039102</v>
      </c>
      <c r="BF44" s="100">
        <v>6.7936917493522104</v>
      </c>
      <c r="BG44" s="100">
        <v>6945.8704445376998</v>
      </c>
      <c r="BH44" s="100">
        <v>9.0318160940489332</v>
      </c>
      <c r="BI44" s="100">
        <v>9234.1287745556292</v>
      </c>
      <c r="BJ44" s="100">
        <v>5</v>
      </c>
      <c r="BK44" s="100">
        <v>5112</v>
      </c>
      <c r="BL44" s="100">
        <v>5.1047062333831859</v>
      </c>
      <c r="BM44" s="100">
        <v>5219.0516530109689</v>
      </c>
      <c r="BN44" s="100">
        <v>7.1776790570331039</v>
      </c>
      <c r="BO44" s="100">
        <v>7338.459067910645</v>
      </c>
      <c r="BP44" s="100">
        <v>0.20066062997431802</v>
      </c>
      <c r="BQ44" s="100">
        <v>205.15542808574273</v>
      </c>
      <c r="BR44" s="100">
        <v>8</v>
      </c>
      <c r="BS44" s="100">
        <v>8179.2</v>
      </c>
      <c r="BT44" s="100">
        <v>8.582245130129639</v>
      </c>
      <c r="BU44" s="100">
        <v>8774.4874210445432</v>
      </c>
      <c r="BV44" s="100">
        <v>2.1599875253270353</v>
      </c>
      <c r="BW44" s="100">
        <v>2208.371245894361</v>
      </c>
      <c r="BX44" s="100">
        <v>0.18252580778180336</v>
      </c>
      <c r="BY44" s="100">
        <v>186.61438587611573</v>
      </c>
      <c r="BZ44" s="100">
        <v>6</v>
      </c>
      <c r="CA44" s="100">
        <v>6134.4</v>
      </c>
      <c r="CB44" s="100">
        <v>5</v>
      </c>
      <c r="CC44" s="100">
        <v>5112</v>
      </c>
      <c r="CD44" s="100">
        <v>8</v>
      </c>
      <c r="CE44" s="100">
        <v>8179.2</v>
      </c>
      <c r="CF44" s="100">
        <v>7.3250982276355385</v>
      </c>
      <c r="CG44" s="100">
        <v>7489.1804279345743</v>
      </c>
      <c r="CH44" s="100">
        <v>6.3368955314496214</v>
      </c>
      <c r="CI44" s="100">
        <v>6478.8419913540929</v>
      </c>
      <c r="CJ44" s="100">
        <v>7</v>
      </c>
      <c r="CK44" s="100">
        <v>7156.8</v>
      </c>
      <c r="CL44" s="100">
        <v>10</v>
      </c>
      <c r="CM44" s="100">
        <v>10224</v>
      </c>
      <c r="CN44" s="100">
        <v>6.499476841025313</v>
      </c>
      <c r="CO44" s="100">
        <v>6645.06512226428</v>
      </c>
      <c r="CP44" s="100">
        <v>3.4540635786632775E-4</v>
      </c>
      <c r="CQ44" s="100">
        <v>0.35314346028253346</v>
      </c>
      <c r="CR44" s="100">
        <v>1.7872145931484207</v>
      </c>
      <c r="CS44" s="100">
        <v>1827.2482000349453</v>
      </c>
      <c r="CT44" s="100">
        <v>8</v>
      </c>
      <c r="CU44" s="100">
        <v>8179.2</v>
      </c>
    </row>
    <row r="45" spans="2:99">
      <c r="C45" s="99" t="s">
        <v>211</v>
      </c>
      <c r="D45" s="100">
        <v>5</v>
      </c>
      <c r="E45" s="100">
        <v>6246</v>
      </c>
      <c r="F45" s="100">
        <v>5</v>
      </c>
      <c r="G45" s="100">
        <v>6246</v>
      </c>
      <c r="H45" s="100">
        <v>7</v>
      </c>
      <c r="I45" s="100">
        <v>8744.4</v>
      </c>
      <c r="J45" s="100">
        <v>5.640797155103412</v>
      </c>
      <c r="K45" s="100">
        <v>7046.4838061551827</v>
      </c>
      <c r="L45" s="100">
        <v>2.8423216100632782</v>
      </c>
      <c r="M45" s="100">
        <v>3550.6281552910473</v>
      </c>
      <c r="N45" s="100">
        <v>6</v>
      </c>
      <c r="O45" s="100">
        <v>7495.2000000000007</v>
      </c>
      <c r="P45" s="100">
        <v>9</v>
      </c>
      <c r="Q45" s="100">
        <v>11242.800000000001</v>
      </c>
      <c r="R45" s="100">
        <v>8</v>
      </c>
      <c r="S45" s="100">
        <v>9993.6</v>
      </c>
      <c r="T45" s="100">
        <v>8</v>
      </c>
      <c r="U45" s="100">
        <v>9993.6</v>
      </c>
      <c r="V45" s="100">
        <v>5.5426696630376204</v>
      </c>
      <c r="W45" s="100">
        <v>6923.902943066596</v>
      </c>
      <c r="X45" s="100">
        <v>6</v>
      </c>
      <c r="Y45" s="100">
        <v>7495.2000000000007</v>
      </c>
      <c r="Z45" s="100">
        <v>6</v>
      </c>
      <c r="AA45" s="100">
        <v>7495.2000000000007</v>
      </c>
      <c r="AB45" s="100">
        <v>5.3699209783081683</v>
      </c>
      <c r="AC45" s="100">
        <v>6708.1052861025637</v>
      </c>
      <c r="AD45" s="100">
        <v>1.9631034101147637</v>
      </c>
      <c r="AE45" s="100">
        <v>2452.3087799153632</v>
      </c>
      <c r="AF45" s="100">
        <v>7</v>
      </c>
      <c r="AG45" s="100">
        <v>8744.4</v>
      </c>
      <c r="AH45" s="100">
        <v>6</v>
      </c>
      <c r="AI45" s="100">
        <v>7495.2000000000007</v>
      </c>
      <c r="AJ45" s="100">
        <v>6.0000601785779963</v>
      </c>
      <c r="AK45" s="100">
        <v>7495.2751750796333</v>
      </c>
      <c r="AL45" s="100">
        <v>1.237696893268758</v>
      </c>
      <c r="AM45" s="100">
        <v>1546.1309590713324</v>
      </c>
      <c r="AN45" s="100">
        <v>8.6144547959271739E-4</v>
      </c>
      <c r="AO45" s="100">
        <v>1.0761176931072225</v>
      </c>
      <c r="AP45" s="100">
        <v>1.227558779545282</v>
      </c>
      <c r="AQ45" s="100">
        <v>1533.4664274079664</v>
      </c>
      <c r="AR45" s="100">
        <v>7</v>
      </c>
      <c r="AS45" s="100">
        <v>8744.4</v>
      </c>
      <c r="AT45" s="100">
        <v>7</v>
      </c>
      <c r="AU45" s="100">
        <v>8744.4</v>
      </c>
      <c r="AV45" s="100">
        <v>9.1008209847772523</v>
      </c>
      <c r="AW45" s="100">
        <v>11368.745574183744</v>
      </c>
      <c r="AX45" s="100">
        <v>1.6817555279770362</v>
      </c>
      <c r="AY45" s="100">
        <v>2100.8490055489137</v>
      </c>
      <c r="AZ45" s="100">
        <v>7</v>
      </c>
      <c r="BA45" s="100">
        <v>8744.4</v>
      </c>
      <c r="BB45" s="100">
        <v>7.7076606853796372</v>
      </c>
      <c r="BC45" s="100">
        <v>9628.4097281762424</v>
      </c>
      <c r="BD45" s="100">
        <v>2.0568842253555126</v>
      </c>
      <c r="BE45" s="100">
        <v>2569.4597743141067</v>
      </c>
      <c r="BF45" s="100">
        <v>6.7936917493522104</v>
      </c>
      <c r="BG45" s="100">
        <v>8486.6797332907809</v>
      </c>
      <c r="BH45" s="100">
        <v>10.031816094048933</v>
      </c>
      <c r="BI45" s="100">
        <v>12531.744664685928</v>
      </c>
      <c r="BJ45" s="100">
        <v>5</v>
      </c>
      <c r="BK45" s="100">
        <v>6246</v>
      </c>
      <c r="BL45" s="100">
        <v>5.137349125355839</v>
      </c>
      <c r="BM45" s="100">
        <v>6417.5765273945144</v>
      </c>
      <c r="BN45" s="100">
        <v>5.7466125596514974</v>
      </c>
      <c r="BO45" s="100">
        <v>7178.6684095166511</v>
      </c>
      <c r="BP45" s="100">
        <v>0.23410406830337105</v>
      </c>
      <c r="BQ45" s="100">
        <v>292.44280212457113</v>
      </c>
      <c r="BR45" s="100">
        <v>7</v>
      </c>
      <c r="BS45" s="100">
        <v>8744.4</v>
      </c>
      <c r="BT45" s="100">
        <v>9.537457043196591</v>
      </c>
      <c r="BU45" s="100">
        <v>11914.191338361183</v>
      </c>
      <c r="BV45" s="100">
        <v>1.8523480796611376</v>
      </c>
      <c r="BW45" s="100">
        <v>2313.953221112693</v>
      </c>
      <c r="BX45" s="100">
        <v>0.21903096933816404</v>
      </c>
      <c r="BY45" s="100">
        <v>273.61348689723451</v>
      </c>
      <c r="BZ45" s="100">
        <v>6</v>
      </c>
      <c r="CA45" s="100">
        <v>7495.2000000000007</v>
      </c>
      <c r="CB45" s="100">
        <v>5</v>
      </c>
      <c r="CC45" s="100">
        <v>6246</v>
      </c>
      <c r="CD45" s="100">
        <v>8</v>
      </c>
      <c r="CE45" s="100">
        <v>9993.6</v>
      </c>
      <c r="CF45" s="100">
        <v>8.3657355060899814</v>
      </c>
      <c r="CG45" s="100">
        <v>10450.476794207605</v>
      </c>
      <c r="CH45" s="100">
        <v>6.3368955314496214</v>
      </c>
      <c r="CI45" s="100">
        <v>7916.0498978868673</v>
      </c>
      <c r="CJ45" s="100">
        <v>7</v>
      </c>
      <c r="CK45" s="100">
        <v>8744.4</v>
      </c>
      <c r="CL45" s="100">
        <v>10</v>
      </c>
      <c r="CM45" s="100">
        <v>12492</v>
      </c>
      <c r="CN45" s="100">
        <v>6.4873221931175964</v>
      </c>
      <c r="CO45" s="100">
        <v>8103.9628836425018</v>
      </c>
      <c r="CP45" s="100">
        <v>3.4336267548438923E-4</v>
      </c>
      <c r="CQ45" s="100">
        <v>0.42892865421509907</v>
      </c>
      <c r="CR45" s="100">
        <v>1.7872145931484207</v>
      </c>
      <c r="CS45" s="100">
        <v>2232.5884697610072</v>
      </c>
      <c r="CT45" s="100">
        <v>7</v>
      </c>
      <c r="CU45" s="100">
        <v>8744.4</v>
      </c>
    </row>
    <row r="46" spans="2:99">
      <c r="C46" s="99" t="s">
        <v>212</v>
      </c>
      <c r="D46" s="100">
        <v>5</v>
      </c>
      <c r="E46" s="100">
        <v>6060</v>
      </c>
      <c r="F46" s="100">
        <v>6</v>
      </c>
      <c r="G46" s="100">
        <v>7272</v>
      </c>
      <c r="H46" s="100">
        <v>8</v>
      </c>
      <c r="I46" s="100">
        <v>9696</v>
      </c>
      <c r="J46" s="100">
        <v>5.640797155103412</v>
      </c>
      <c r="K46" s="100">
        <v>6836.6461519853356</v>
      </c>
      <c r="L46" s="100">
        <v>2.8423216100632782</v>
      </c>
      <c r="M46" s="100">
        <v>3444.8937913966934</v>
      </c>
      <c r="N46" s="100">
        <v>6</v>
      </c>
      <c r="O46" s="100">
        <v>7272</v>
      </c>
      <c r="P46" s="100">
        <v>9</v>
      </c>
      <c r="Q46" s="100">
        <v>10908</v>
      </c>
      <c r="R46" s="100">
        <v>9</v>
      </c>
      <c r="S46" s="100">
        <v>10908</v>
      </c>
      <c r="T46" s="100">
        <v>8</v>
      </c>
      <c r="U46" s="100">
        <v>9696</v>
      </c>
      <c r="V46" s="100">
        <v>6.2355033709173222</v>
      </c>
      <c r="W46" s="100">
        <v>7557.4300855517949</v>
      </c>
      <c r="X46" s="100">
        <v>5</v>
      </c>
      <c r="Y46" s="100">
        <v>6060</v>
      </c>
      <c r="Z46" s="100">
        <v>6</v>
      </c>
      <c r="AA46" s="100">
        <v>7272</v>
      </c>
      <c r="AB46" s="100">
        <v>6.3699209783081683</v>
      </c>
      <c r="AC46" s="100">
        <v>7720.3442257095003</v>
      </c>
      <c r="AD46" s="100">
        <v>1.9631034101147637</v>
      </c>
      <c r="AE46" s="100">
        <v>2379.2813330590939</v>
      </c>
      <c r="AF46" s="100">
        <v>8</v>
      </c>
      <c r="AG46" s="100">
        <v>9696</v>
      </c>
      <c r="AH46" s="100">
        <v>5</v>
      </c>
      <c r="AI46" s="100">
        <v>6060</v>
      </c>
      <c r="AJ46" s="100">
        <v>6.0000551636964969</v>
      </c>
      <c r="AK46" s="100">
        <v>7272.0668584001542</v>
      </c>
      <c r="AL46" s="100">
        <v>1.0608853990907403</v>
      </c>
      <c r="AM46" s="100">
        <v>1285.7931036979774</v>
      </c>
      <c r="AN46" s="100">
        <v>8.6908737569304855E-4</v>
      </c>
      <c r="AO46" s="100">
        <v>1.0533338993399748</v>
      </c>
      <c r="AP46" s="100">
        <v>1.4730705354543383</v>
      </c>
      <c r="AQ46" s="100">
        <v>1785.361488970658</v>
      </c>
      <c r="AR46" s="100">
        <v>8</v>
      </c>
      <c r="AS46" s="100">
        <v>9696</v>
      </c>
      <c r="AT46" s="100">
        <v>8</v>
      </c>
      <c r="AU46" s="100">
        <v>9696</v>
      </c>
      <c r="AV46" s="100">
        <v>9.1409606565953467</v>
      </c>
      <c r="AW46" s="100">
        <v>11078.84431579356</v>
      </c>
      <c r="AX46" s="100">
        <v>1.6817555279770362</v>
      </c>
      <c r="AY46" s="100">
        <v>2038.287699908168</v>
      </c>
      <c r="AZ46" s="100">
        <v>7</v>
      </c>
      <c r="BA46" s="100">
        <v>8484</v>
      </c>
      <c r="BB46" s="100">
        <v>8.6133059273290193</v>
      </c>
      <c r="BC46" s="100">
        <v>10439.326783922772</v>
      </c>
      <c r="BD46" s="100">
        <v>2.0568842253555126</v>
      </c>
      <c r="BE46" s="100">
        <v>2492.9436811308815</v>
      </c>
      <c r="BF46" s="100">
        <v>6.7936917493522104</v>
      </c>
      <c r="BG46" s="100">
        <v>8233.9544002148796</v>
      </c>
      <c r="BH46" s="100">
        <v>9.0318160940489332</v>
      </c>
      <c r="BI46" s="100">
        <v>10946.561105987306</v>
      </c>
      <c r="BJ46" s="100">
        <v>5</v>
      </c>
      <c r="BK46" s="100">
        <v>6060</v>
      </c>
      <c r="BL46" s="100">
        <v>5.0720633414105336</v>
      </c>
      <c r="BM46" s="100">
        <v>6147.3407697895664</v>
      </c>
      <c r="BN46" s="100">
        <v>5.7521992021827639</v>
      </c>
      <c r="BO46" s="100">
        <v>6971.6654330455103</v>
      </c>
      <c r="BP46" s="100">
        <v>0.23410406830337105</v>
      </c>
      <c r="BQ46" s="100">
        <v>283.73413078368571</v>
      </c>
      <c r="BR46" s="100">
        <v>7</v>
      </c>
      <c r="BS46" s="100">
        <v>8484</v>
      </c>
      <c r="BT46" s="100">
        <v>10.492668956263541</v>
      </c>
      <c r="BU46" s="100">
        <v>12717.114774991413</v>
      </c>
      <c r="BV46" s="100">
        <v>1.8523480796611376</v>
      </c>
      <c r="BW46" s="100">
        <v>2245.0458725492986</v>
      </c>
      <c r="BX46" s="100">
        <v>0.21903096933816404</v>
      </c>
      <c r="BY46" s="100">
        <v>265.46553483785482</v>
      </c>
      <c r="BZ46" s="100">
        <v>6</v>
      </c>
      <c r="CA46" s="100">
        <v>7272</v>
      </c>
      <c r="CB46" s="100">
        <v>5</v>
      </c>
      <c r="CC46" s="100">
        <v>6060</v>
      </c>
      <c r="CD46" s="100">
        <v>8</v>
      </c>
      <c r="CE46" s="100">
        <v>9696</v>
      </c>
      <c r="CF46" s="100">
        <v>7.4063727845444234</v>
      </c>
      <c r="CG46" s="100">
        <v>8976.5238148678418</v>
      </c>
      <c r="CH46" s="100">
        <v>5.4316247412425325</v>
      </c>
      <c r="CI46" s="100">
        <v>6583.1291863859497</v>
      </c>
      <c r="CJ46" s="100">
        <v>7</v>
      </c>
      <c r="CK46" s="100">
        <v>8484</v>
      </c>
      <c r="CL46" s="100">
        <v>9</v>
      </c>
      <c r="CM46" s="100">
        <v>10908</v>
      </c>
      <c r="CN46" s="100">
        <v>5.7840653297490094</v>
      </c>
      <c r="CO46" s="100">
        <v>7010.2871796557993</v>
      </c>
      <c r="CP46" s="100">
        <v>3.9479935464962839E-4</v>
      </c>
      <c r="CQ46" s="100">
        <v>0.47849681783534959</v>
      </c>
      <c r="CR46" s="100">
        <v>1.7872145931484207</v>
      </c>
      <c r="CS46" s="100">
        <v>2166.1040868958858</v>
      </c>
      <c r="CT46" s="100">
        <v>8</v>
      </c>
      <c r="CU46" s="100">
        <v>9696</v>
      </c>
    </row>
    <row r="47" spans="2:99">
      <c r="C47" s="99" t="s">
        <v>213</v>
      </c>
      <c r="D47" s="100">
        <v>5</v>
      </c>
      <c r="E47" s="100">
        <v>7638</v>
      </c>
      <c r="F47" s="100">
        <v>6</v>
      </c>
      <c r="G47" s="100">
        <v>9165.5999999999985</v>
      </c>
      <c r="H47" s="100">
        <v>7</v>
      </c>
      <c r="I47" s="100">
        <v>10693.199999999999</v>
      </c>
      <c r="J47" s="100">
        <v>5.5915050662493035</v>
      </c>
      <c r="K47" s="100">
        <v>8541.5831392024356</v>
      </c>
      <c r="L47" s="100">
        <v>3.1976118113211882</v>
      </c>
      <c r="M47" s="100">
        <v>4884.6718029742469</v>
      </c>
      <c r="N47" s="100">
        <v>6</v>
      </c>
      <c r="O47" s="100">
        <v>9165.5999999999985</v>
      </c>
      <c r="P47" s="100">
        <v>8</v>
      </c>
      <c r="Q47" s="100">
        <v>12220.8</v>
      </c>
      <c r="R47" s="100">
        <v>9</v>
      </c>
      <c r="S47" s="100">
        <v>13748.4</v>
      </c>
      <c r="T47" s="100">
        <v>8</v>
      </c>
      <c r="U47" s="100">
        <v>12220.8</v>
      </c>
      <c r="V47" s="100">
        <v>6.2355033709173222</v>
      </c>
      <c r="W47" s="100">
        <v>9525.3549494133003</v>
      </c>
      <c r="X47" s="100">
        <v>5</v>
      </c>
      <c r="Y47" s="100">
        <v>7638</v>
      </c>
      <c r="Z47" s="100">
        <v>7</v>
      </c>
      <c r="AA47" s="100">
        <v>10693.199999999999</v>
      </c>
      <c r="AB47" s="100">
        <v>5.416161100596689</v>
      </c>
      <c r="AC47" s="100">
        <v>8273.7276972715008</v>
      </c>
      <c r="AD47" s="100">
        <v>1.9631034101147637</v>
      </c>
      <c r="AE47" s="100">
        <v>2998.836769291313</v>
      </c>
      <c r="AF47" s="100">
        <v>7</v>
      </c>
      <c r="AG47" s="100">
        <v>10693.199999999999</v>
      </c>
      <c r="AH47" s="100">
        <v>6</v>
      </c>
      <c r="AI47" s="100">
        <v>9165.5999999999985</v>
      </c>
      <c r="AJ47" s="100">
        <v>5.0000651934594966</v>
      </c>
      <c r="AK47" s="100">
        <v>7638.0995895287269</v>
      </c>
      <c r="AL47" s="100">
        <v>1.2376960715676262</v>
      </c>
      <c r="AM47" s="100">
        <v>1890.7045189267055</v>
      </c>
      <c r="AN47" s="100">
        <v>8.6526642764288286E-4</v>
      </c>
      <c r="AO47" s="100">
        <v>1.3217809948672679</v>
      </c>
      <c r="AP47" s="100">
        <v>1.4730705354543383</v>
      </c>
      <c r="AQ47" s="100">
        <v>2250.2625499600472</v>
      </c>
      <c r="AR47" s="100">
        <v>9</v>
      </c>
      <c r="AS47" s="100">
        <v>13748.4</v>
      </c>
      <c r="AT47" s="100">
        <v>7</v>
      </c>
      <c r="AU47" s="100">
        <v>10693.199999999999</v>
      </c>
      <c r="AV47" s="100">
        <v>9.1409606565953467</v>
      </c>
      <c r="AW47" s="100">
        <v>13963.731499015052</v>
      </c>
      <c r="AX47" s="100">
        <v>1.4715360869799068</v>
      </c>
      <c r="AY47" s="100">
        <v>2247.9185264705056</v>
      </c>
      <c r="AZ47" s="100">
        <v>7</v>
      </c>
      <c r="BA47" s="100">
        <v>10693.199999999999</v>
      </c>
      <c r="BB47" s="100">
        <v>6.6133059273290193</v>
      </c>
      <c r="BC47" s="100">
        <v>10102.486134587809</v>
      </c>
      <c r="BD47" s="100">
        <v>2.3286845152532014</v>
      </c>
      <c r="BE47" s="100">
        <v>3557.2984655007904</v>
      </c>
      <c r="BF47" s="100">
        <v>7.6429032180212362</v>
      </c>
      <c r="BG47" s="100">
        <v>11675.298955849239</v>
      </c>
      <c r="BH47" s="100">
        <v>8.0342634858988511</v>
      </c>
      <c r="BI47" s="100">
        <v>12273.140901059085</v>
      </c>
      <c r="BJ47" s="100">
        <v>5</v>
      </c>
      <c r="BK47" s="100">
        <v>7638</v>
      </c>
      <c r="BL47" s="100">
        <v>5.0720633414105336</v>
      </c>
      <c r="BM47" s="100">
        <v>7748.0839603387303</v>
      </c>
      <c r="BN47" s="100">
        <v>6.459352487076667</v>
      </c>
      <c r="BO47" s="100">
        <v>9867.3068592583168</v>
      </c>
      <c r="BP47" s="100">
        <v>0.20066062997431802</v>
      </c>
      <c r="BQ47" s="100">
        <v>306.5291783487682</v>
      </c>
      <c r="BR47" s="100">
        <v>7</v>
      </c>
      <c r="BS47" s="100">
        <v>10693.199999999999</v>
      </c>
      <c r="BT47" s="100">
        <v>9.582245130129639</v>
      </c>
      <c r="BU47" s="100">
        <v>14637.837660786035</v>
      </c>
      <c r="BV47" s="100">
        <v>1.8545185482163877</v>
      </c>
      <c r="BW47" s="100">
        <v>2832.9625342553536</v>
      </c>
      <c r="BX47" s="100">
        <v>0.21903096933816404</v>
      </c>
      <c r="BY47" s="100">
        <v>334.59170876097937</v>
      </c>
      <c r="BZ47" s="100">
        <v>5</v>
      </c>
      <c r="CA47" s="100">
        <v>7638</v>
      </c>
      <c r="CB47" s="100">
        <v>5</v>
      </c>
      <c r="CC47" s="100">
        <v>7638</v>
      </c>
      <c r="CD47" s="100">
        <v>9</v>
      </c>
      <c r="CE47" s="100">
        <v>13748.4</v>
      </c>
      <c r="CF47" s="100">
        <v>8.3250982276355394</v>
      </c>
      <c r="CG47" s="100">
        <v>12717.420052536048</v>
      </c>
      <c r="CH47" s="100">
        <v>6.3368955314496214</v>
      </c>
      <c r="CI47" s="100">
        <v>9680.2416138424414</v>
      </c>
      <c r="CJ47" s="100">
        <v>6</v>
      </c>
      <c r="CK47" s="100">
        <v>9165.5999999999985</v>
      </c>
      <c r="CL47" s="100">
        <v>9</v>
      </c>
      <c r="CM47" s="100">
        <v>13748.4</v>
      </c>
      <c r="CN47" s="100">
        <v>6.4873221931175964</v>
      </c>
      <c r="CO47" s="100">
        <v>9910.0333822064404</v>
      </c>
      <c r="CP47" s="100">
        <v>2.8783863155527314E-4</v>
      </c>
      <c r="CQ47" s="100">
        <v>0.43970229356383522</v>
      </c>
      <c r="CR47" s="100">
        <v>1.7872145931484207</v>
      </c>
      <c r="CS47" s="100">
        <v>2730.1490124935272</v>
      </c>
      <c r="CT47" s="100">
        <v>7</v>
      </c>
      <c r="CU47" s="100">
        <v>10693.199999999999</v>
      </c>
    </row>
    <row r="48" spans="2:99">
      <c r="C48" s="99" t="s">
        <v>214</v>
      </c>
      <c r="D48" s="100">
        <v>5</v>
      </c>
      <c r="E48" s="100">
        <v>4338</v>
      </c>
      <c r="F48" s="100">
        <v>7</v>
      </c>
      <c r="G48" s="100">
        <v>6073.2</v>
      </c>
      <c r="H48" s="100">
        <v>7</v>
      </c>
      <c r="I48" s="100">
        <v>6073.2</v>
      </c>
      <c r="J48" s="100">
        <v>5.7393813328116297</v>
      </c>
      <c r="K48" s="100">
        <v>4979.4872443473696</v>
      </c>
      <c r="L48" s="100">
        <v>3.1976118113211882</v>
      </c>
      <c r="M48" s="100">
        <v>2774.2480075022631</v>
      </c>
      <c r="N48" s="100">
        <v>7</v>
      </c>
      <c r="O48" s="100">
        <v>6073.2</v>
      </c>
      <c r="P48" s="100">
        <v>9</v>
      </c>
      <c r="Q48" s="100">
        <v>7808.4000000000005</v>
      </c>
      <c r="R48" s="100">
        <v>9</v>
      </c>
      <c r="S48" s="100">
        <v>7808.4000000000005</v>
      </c>
      <c r="T48" s="100">
        <v>9</v>
      </c>
      <c r="U48" s="100">
        <v>7808.4000000000005</v>
      </c>
      <c r="V48" s="100">
        <v>5.5426696630376204</v>
      </c>
      <c r="W48" s="100">
        <v>4808.8201996514399</v>
      </c>
      <c r="X48" s="100">
        <v>5</v>
      </c>
      <c r="Y48" s="100">
        <v>4338</v>
      </c>
      <c r="Z48" s="100">
        <v>7</v>
      </c>
      <c r="AA48" s="100">
        <v>6073.2</v>
      </c>
      <c r="AB48" s="100">
        <v>6.3699209783081683</v>
      </c>
      <c r="AC48" s="100">
        <v>5526.5434407801667</v>
      </c>
      <c r="AD48" s="100">
        <v>1.9631034101147637</v>
      </c>
      <c r="AE48" s="100">
        <v>1703.1885186155691</v>
      </c>
      <c r="AF48" s="100">
        <v>7</v>
      </c>
      <c r="AG48" s="100">
        <v>6073.2</v>
      </c>
      <c r="AH48" s="100">
        <v>5</v>
      </c>
      <c r="AI48" s="100">
        <v>4338</v>
      </c>
      <c r="AJ48" s="100">
        <v>5.0000601785779963</v>
      </c>
      <c r="AK48" s="100">
        <v>4338.0522109342701</v>
      </c>
      <c r="AL48" s="100">
        <v>1.237696893268758</v>
      </c>
      <c r="AM48" s="100">
        <v>1073.8258245999743</v>
      </c>
      <c r="AN48" s="100">
        <v>9.6769330902299507E-4</v>
      </c>
      <c r="AO48" s="100">
        <v>0.83957071490835056</v>
      </c>
      <c r="AP48" s="100">
        <v>1.4730705354543383</v>
      </c>
      <c r="AQ48" s="100">
        <v>1278.035996560184</v>
      </c>
      <c r="AR48" s="100">
        <v>8</v>
      </c>
      <c r="AS48" s="100">
        <v>6940.8</v>
      </c>
      <c r="AT48" s="100">
        <v>7</v>
      </c>
      <c r="AU48" s="100">
        <v>6073.2</v>
      </c>
      <c r="AV48" s="100">
        <v>8.2546373039430474</v>
      </c>
      <c r="AW48" s="100">
        <v>7161.7233249009878</v>
      </c>
      <c r="AX48" s="100">
        <v>1.6817555279770362</v>
      </c>
      <c r="AY48" s="100">
        <v>1459.0910960728766</v>
      </c>
      <c r="AZ48" s="100">
        <v>6</v>
      </c>
      <c r="BA48" s="100">
        <v>5205.6000000000004</v>
      </c>
      <c r="BB48" s="100">
        <v>7.6133059273290193</v>
      </c>
      <c r="BC48" s="100">
        <v>6605.304222550657</v>
      </c>
      <c r="BD48" s="100">
        <v>2.3139947535249514</v>
      </c>
      <c r="BE48" s="100">
        <v>2007.621848158248</v>
      </c>
      <c r="BF48" s="100">
        <v>7.6429032180212362</v>
      </c>
      <c r="BG48" s="100">
        <v>6630.9828319552244</v>
      </c>
      <c r="BH48" s="100">
        <v>8.0342634858988511</v>
      </c>
      <c r="BI48" s="100">
        <v>6970.5270003658434</v>
      </c>
      <c r="BJ48" s="100">
        <v>5</v>
      </c>
      <c r="BK48" s="100">
        <v>4338</v>
      </c>
      <c r="BL48" s="100">
        <v>5.1047062333831859</v>
      </c>
      <c r="BM48" s="100">
        <v>4428.8431280832519</v>
      </c>
      <c r="BN48" s="100">
        <v>5.7521992021827639</v>
      </c>
      <c r="BO48" s="100">
        <v>4990.6080278137661</v>
      </c>
      <c r="BP48" s="100">
        <v>0.23410406830337105</v>
      </c>
      <c r="BQ48" s="100">
        <v>203.10868966000473</v>
      </c>
      <c r="BR48" s="100">
        <v>7</v>
      </c>
      <c r="BS48" s="100">
        <v>6073.2</v>
      </c>
      <c r="BT48" s="100">
        <v>9.582245130129639</v>
      </c>
      <c r="BU48" s="100">
        <v>8313.5558749004758</v>
      </c>
      <c r="BV48" s="100">
        <v>1.8545185482163877</v>
      </c>
      <c r="BW48" s="100">
        <v>1608.9802924325381</v>
      </c>
      <c r="BX48" s="100">
        <v>0.18252580778180336</v>
      </c>
      <c r="BY48" s="100">
        <v>158.35939083149259</v>
      </c>
      <c r="BZ48" s="100">
        <v>6</v>
      </c>
      <c r="CA48" s="100">
        <v>5205.6000000000004</v>
      </c>
      <c r="CB48" s="100">
        <v>5</v>
      </c>
      <c r="CC48" s="100">
        <v>4338</v>
      </c>
      <c r="CD48" s="100">
        <v>9</v>
      </c>
      <c r="CE48" s="100">
        <v>7808.4000000000005</v>
      </c>
      <c r="CF48" s="100">
        <v>7.3657355060899814</v>
      </c>
      <c r="CG48" s="100">
        <v>6390.5121250836683</v>
      </c>
      <c r="CH48" s="100">
        <v>6.3368955314496214</v>
      </c>
      <c r="CI48" s="100">
        <v>5497.8905630856916</v>
      </c>
      <c r="CJ48" s="100">
        <v>7</v>
      </c>
      <c r="CK48" s="100">
        <v>6073.2</v>
      </c>
      <c r="CL48" s="100">
        <v>9</v>
      </c>
      <c r="CM48" s="100">
        <v>7808.4000000000005</v>
      </c>
      <c r="CN48" s="100">
        <v>6.4751675452098789</v>
      </c>
      <c r="CO48" s="100">
        <v>5617.8553622240906</v>
      </c>
      <c r="CP48" s="100">
        <v>3.4336267548438923E-4</v>
      </c>
      <c r="CQ48" s="100">
        <v>0.29790145725025613</v>
      </c>
      <c r="CR48" s="100">
        <v>1.7872145931484207</v>
      </c>
      <c r="CS48" s="100">
        <v>1550.5873810155699</v>
      </c>
      <c r="CT48" s="100">
        <v>8</v>
      </c>
      <c r="CU48" s="100">
        <v>6940.8</v>
      </c>
    </row>
    <row r="49" spans="2:99">
      <c r="B49" s="99" t="s">
        <v>129</v>
      </c>
      <c r="C49" s="99" t="s">
        <v>215</v>
      </c>
      <c r="D49" s="100">
        <v>6.0872146563648668</v>
      </c>
      <c r="E49" s="100">
        <v>5997.1238794506662</v>
      </c>
      <c r="F49" s="100">
        <v>4.2315978799634566</v>
      </c>
      <c r="G49" s="100">
        <v>4168.9702313399976</v>
      </c>
      <c r="H49" s="100">
        <v>7</v>
      </c>
      <c r="I49" s="100">
        <v>6896.4</v>
      </c>
      <c r="J49" s="100">
        <v>4.487425351889744</v>
      </c>
      <c r="K49" s="100">
        <v>4421.0114566817756</v>
      </c>
      <c r="L49" s="100">
        <v>4</v>
      </c>
      <c r="M49" s="100">
        <v>3940.7999999999997</v>
      </c>
      <c r="N49" s="100">
        <v>6</v>
      </c>
      <c r="O49" s="100">
        <v>5911.2</v>
      </c>
      <c r="P49" s="100">
        <v>6</v>
      </c>
      <c r="Q49" s="100">
        <v>5911.2</v>
      </c>
      <c r="R49" s="100">
        <v>7</v>
      </c>
      <c r="S49" s="100">
        <v>6896.4</v>
      </c>
      <c r="T49" s="100">
        <v>4</v>
      </c>
      <c r="U49" s="100">
        <v>3940.7999999999997</v>
      </c>
      <c r="V49" s="100">
        <v>4</v>
      </c>
      <c r="W49" s="100">
        <v>3940.7999999999997</v>
      </c>
      <c r="X49" s="100">
        <v>6</v>
      </c>
      <c r="Y49" s="100">
        <v>5911.2</v>
      </c>
      <c r="Z49" s="100">
        <v>4</v>
      </c>
      <c r="AA49" s="100">
        <v>3940.7999999999997</v>
      </c>
      <c r="AB49" s="100">
        <v>4</v>
      </c>
      <c r="AC49" s="100">
        <v>3940.7999999999997</v>
      </c>
      <c r="AD49" s="100">
        <v>3</v>
      </c>
      <c r="AE49" s="100">
        <v>2955.6</v>
      </c>
      <c r="AF49" s="100">
        <v>6</v>
      </c>
      <c r="AG49" s="100">
        <v>5911.2</v>
      </c>
      <c r="AH49" s="100">
        <v>6.4217328592502172</v>
      </c>
      <c r="AI49" s="100">
        <v>6326.6912129333132</v>
      </c>
      <c r="AJ49" s="100">
        <v>6.2710851179845539</v>
      </c>
      <c r="AK49" s="100">
        <v>6178.273058238382</v>
      </c>
      <c r="AL49" s="100">
        <v>6.0000279093700639</v>
      </c>
      <c r="AM49" s="100">
        <v>5911.2274963113869</v>
      </c>
      <c r="AN49" s="100">
        <v>1.7820864078878398</v>
      </c>
      <c r="AO49" s="100">
        <v>1755.7115290510997</v>
      </c>
      <c r="AP49" s="100">
        <v>2.7037086220715154</v>
      </c>
      <c r="AQ49" s="100">
        <v>2663.6937344648568</v>
      </c>
      <c r="AR49" s="100">
        <v>4</v>
      </c>
      <c r="AS49" s="100">
        <v>3940.7999999999997</v>
      </c>
      <c r="AT49" s="100">
        <v>7.0168649613325433</v>
      </c>
      <c r="AU49" s="100">
        <v>6913.0153599048208</v>
      </c>
      <c r="AV49" s="100">
        <v>6.2987729681534024</v>
      </c>
      <c r="AW49" s="100">
        <v>6205.5511282247317</v>
      </c>
      <c r="AX49" s="100">
        <v>3.9191288392372217</v>
      </c>
      <c r="AY49" s="100">
        <v>3861.1257324165103</v>
      </c>
      <c r="AZ49" s="100">
        <v>2.4484511372761224</v>
      </c>
      <c r="BA49" s="100">
        <v>2412.2140604444357</v>
      </c>
      <c r="BB49" s="100">
        <v>5</v>
      </c>
      <c r="BC49" s="100">
        <v>4926</v>
      </c>
      <c r="BD49" s="100">
        <v>7.0645595194816098</v>
      </c>
      <c r="BE49" s="100">
        <v>6960.0040385932816</v>
      </c>
      <c r="BF49" s="100">
        <v>2.5569929264360312</v>
      </c>
      <c r="BG49" s="100">
        <v>2519.1494311247775</v>
      </c>
      <c r="BH49" s="100">
        <v>5.4875626152803578</v>
      </c>
      <c r="BI49" s="100">
        <v>5406.3466885742082</v>
      </c>
      <c r="BJ49" s="100">
        <v>1.4514153372856295</v>
      </c>
      <c r="BK49" s="100">
        <v>1429.9343902938022</v>
      </c>
      <c r="BL49" s="100">
        <v>4</v>
      </c>
      <c r="BM49" s="100">
        <v>3940.7999999999997</v>
      </c>
      <c r="BN49" s="100">
        <v>6</v>
      </c>
      <c r="BO49" s="100">
        <v>5911.2</v>
      </c>
      <c r="BP49" s="100">
        <v>5</v>
      </c>
      <c r="BQ49" s="100">
        <v>4926</v>
      </c>
      <c r="BR49" s="100">
        <v>4</v>
      </c>
      <c r="BS49" s="100">
        <v>3940.7999999999997</v>
      </c>
      <c r="BT49" s="100">
        <v>7</v>
      </c>
      <c r="BU49" s="100">
        <v>6896.4</v>
      </c>
      <c r="BV49" s="100">
        <v>4</v>
      </c>
      <c r="BW49" s="100">
        <v>3940.7999999999997</v>
      </c>
      <c r="BX49" s="100">
        <v>4</v>
      </c>
      <c r="BY49" s="100">
        <v>3940.7999999999997</v>
      </c>
      <c r="BZ49" s="100">
        <v>5</v>
      </c>
      <c r="CA49" s="100">
        <v>4926</v>
      </c>
      <c r="CB49" s="100">
        <v>7.1907202050003223</v>
      </c>
      <c r="CC49" s="100">
        <v>7084.2975459663166</v>
      </c>
      <c r="CD49" s="100">
        <v>4</v>
      </c>
      <c r="CE49" s="100">
        <v>3940.7999999999997</v>
      </c>
      <c r="CF49" s="100">
        <v>7</v>
      </c>
      <c r="CG49" s="100">
        <v>6896.4</v>
      </c>
      <c r="CH49" s="100">
        <v>6</v>
      </c>
      <c r="CI49" s="100">
        <v>5911.2</v>
      </c>
      <c r="CJ49" s="100">
        <v>3</v>
      </c>
      <c r="CK49" s="100">
        <v>2955.6</v>
      </c>
      <c r="CL49" s="100">
        <v>7</v>
      </c>
      <c r="CM49" s="100">
        <v>6896.4</v>
      </c>
      <c r="CN49" s="100">
        <v>5</v>
      </c>
      <c r="CO49" s="100">
        <v>4926</v>
      </c>
      <c r="CP49" s="100">
        <v>3.1180351194275242</v>
      </c>
      <c r="CQ49" s="100">
        <v>3071.8881996599966</v>
      </c>
      <c r="CR49" s="100">
        <v>3</v>
      </c>
      <c r="CS49" s="100">
        <v>2955.6</v>
      </c>
      <c r="CT49" s="100">
        <v>4</v>
      </c>
      <c r="CU49" s="100">
        <v>3940.7999999999997</v>
      </c>
    </row>
    <row r="50" spans="2:99">
      <c r="C50" s="99" t="s">
        <v>216</v>
      </c>
      <c r="D50" s="100">
        <v>6</v>
      </c>
      <c r="E50" s="100">
        <v>1692</v>
      </c>
      <c r="F50" s="100">
        <v>4</v>
      </c>
      <c r="G50" s="100">
        <v>1128</v>
      </c>
      <c r="H50" s="100">
        <v>7</v>
      </c>
      <c r="I50" s="100">
        <v>1974</v>
      </c>
      <c r="J50" s="100">
        <v>4.5422129773951951</v>
      </c>
      <c r="K50" s="100">
        <v>1280.9040596254449</v>
      </c>
      <c r="L50" s="100">
        <v>1.4211608050316391</v>
      </c>
      <c r="M50" s="100">
        <v>400.76734701892224</v>
      </c>
      <c r="N50" s="100">
        <v>7</v>
      </c>
      <c r="O50" s="100">
        <v>1974</v>
      </c>
      <c r="P50" s="100">
        <v>5</v>
      </c>
      <c r="Q50" s="100">
        <v>1410</v>
      </c>
      <c r="R50" s="100">
        <v>6</v>
      </c>
      <c r="S50" s="100">
        <v>1692</v>
      </c>
      <c r="T50" s="100">
        <v>4</v>
      </c>
      <c r="U50" s="100">
        <v>1128</v>
      </c>
      <c r="V50" s="100">
        <v>2.7713348315188102</v>
      </c>
      <c r="W50" s="100">
        <v>781.51642248830444</v>
      </c>
      <c r="X50" s="100">
        <v>6</v>
      </c>
      <c r="Y50" s="100">
        <v>1692</v>
      </c>
      <c r="Z50" s="100">
        <v>4</v>
      </c>
      <c r="AA50" s="100">
        <v>1128</v>
      </c>
      <c r="AB50" s="100">
        <v>4</v>
      </c>
      <c r="AC50" s="100">
        <v>1128</v>
      </c>
      <c r="AD50" s="100">
        <v>1.1217733772084364</v>
      </c>
      <c r="AE50" s="100">
        <v>316.34009237277905</v>
      </c>
      <c r="AF50" s="100">
        <v>6</v>
      </c>
      <c r="AG50" s="100">
        <v>1692</v>
      </c>
      <c r="AH50" s="100">
        <v>6</v>
      </c>
      <c r="AI50" s="100">
        <v>1692</v>
      </c>
      <c r="AJ50" s="100">
        <v>5.0000351041704985</v>
      </c>
      <c r="AK50" s="100">
        <v>1410.0098993760805</v>
      </c>
      <c r="AL50" s="100">
        <v>1.0608829339873449</v>
      </c>
      <c r="AM50" s="100">
        <v>299.16898738443126</v>
      </c>
      <c r="AN50" s="100">
        <v>5.3888104325171911E-4</v>
      </c>
      <c r="AO50" s="100">
        <v>0.15196445419698479</v>
      </c>
      <c r="AP50" s="100">
        <v>1.227558779545282</v>
      </c>
      <c r="AQ50" s="100">
        <v>346.17157583176953</v>
      </c>
      <c r="AR50" s="100">
        <v>4</v>
      </c>
      <c r="AS50" s="100">
        <v>1128</v>
      </c>
      <c r="AT50" s="100">
        <v>7</v>
      </c>
      <c r="AU50" s="100">
        <v>1974</v>
      </c>
      <c r="AV50" s="100">
        <v>7.0070569049279232</v>
      </c>
      <c r="AW50" s="100">
        <v>1975.9900471896744</v>
      </c>
      <c r="AX50" s="100">
        <v>1.2613166459827774</v>
      </c>
      <c r="AY50" s="100">
        <v>355.69129416714321</v>
      </c>
      <c r="AZ50" s="100">
        <v>4</v>
      </c>
      <c r="BA50" s="100">
        <v>1128</v>
      </c>
      <c r="BB50" s="100">
        <v>6.4717737902530912</v>
      </c>
      <c r="BC50" s="100">
        <v>1825.0402088513717</v>
      </c>
      <c r="BD50" s="100">
        <v>1.815932435087148</v>
      </c>
      <c r="BE50" s="100">
        <v>512.09294669457574</v>
      </c>
      <c r="BF50" s="100">
        <v>5.0952688120141572</v>
      </c>
      <c r="BG50" s="100">
        <v>1436.8658049879923</v>
      </c>
      <c r="BH50" s="100">
        <v>5.0269213103490973</v>
      </c>
      <c r="BI50" s="100">
        <v>1417.5918095184454</v>
      </c>
      <c r="BJ50" s="100">
        <v>6</v>
      </c>
      <c r="BK50" s="100">
        <v>1692</v>
      </c>
      <c r="BL50" s="100">
        <v>4.0707078299174881</v>
      </c>
      <c r="BM50" s="100">
        <v>1147.9396080367317</v>
      </c>
      <c r="BN50" s="100">
        <v>5.033872632226327</v>
      </c>
      <c r="BO50" s="100">
        <v>1419.5520822878243</v>
      </c>
      <c r="BP50" s="100">
        <v>0.20066062997431802</v>
      </c>
      <c r="BQ50" s="100">
        <v>56.586297652757679</v>
      </c>
      <c r="BR50" s="100">
        <v>5</v>
      </c>
      <c r="BS50" s="100">
        <v>1410</v>
      </c>
      <c r="BT50" s="100">
        <v>6.3135166085313443</v>
      </c>
      <c r="BU50" s="100">
        <v>1780.411683605839</v>
      </c>
      <c r="BV50" s="100">
        <v>1.2414101254398429</v>
      </c>
      <c r="BW50" s="100">
        <v>350.07765537403571</v>
      </c>
      <c r="BX50" s="100">
        <v>0.1460206462254427</v>
      </c>
      <c r="BY50" s="100">
        <v>41.177822235574837</v>
      </c>
      <c r="BZ50" s="100">
        <v>4</v>
      </c>
      <c r="CA50" s="100">
        <v>1128</v>
      </c>
      <c r="CB50" s="100">
        <v>6</v>
      </c>
      <c r="CC50" s="100">
        <v>1692</v>
      </c>
      <c r="CD50" s="100">
        <v>5</v>
      </c>
      <c r="CE50" s="100">
        <v>1410</v>
      </c>
      <c r="CF50" s="100">
        <v>7.2844609491810965</v>
      </c>
      <c r="CG50" s="100">
        <v>2054.2179876690693</v>
      </c>
      <c r="CH50" s="100">
        <v>5.4316247412425325</v>
      </c>
      <c r="CI50" s="100">
        <v>1531.7181770303941</v>
      </c>
      <c r="CJ50" s="100">
        <v>4</v>
      </c>
      <c r="CK50" s="100">
        <v>1128</v>
      </c>
      <c r="CL50" s="100">
        <v>7</v>
      </c>
      <c r="CM50" s="100">
        <v>1974</v>
      </c>
      <c r="CN50" s="100">
        <v>3.6621400917355342</v>
      </c>
      <c r="CO50" s="100">
        <v>1032.7235058694207</v>
      </c>
      <c r="CP50" s="100">
        <v>3.3518794595663526E-4</v>
      </c>
      <c r="CQ50" s="100">
        <v>9.4523000759771145E-2</v>
      </c>
      <c r="CR50" s="100">
        <v>0.76594911134932309</v>
      </c>
      <c r="CS50" s="100">
        <v>215.99764940050912</v>
      </c>
      <c r="CT50" s="100">
        <v>4</v>
      </c>
      <c r="CU50" s="100">
        <v>1128</v>
      </c>
    </row>
    <row r="51" spans="2:99">
      <c r="C51" s="99" t="s">
        <v>217</v>
      </c>
      <c r="D51" s="100">
        <v>6</v>
      </c>
      <c r="E51" s="100">
        <v>5126.3999999999996</v>
      </c>
      <c r="F51" s="100">
        <v>4</v>
      </c>
      <c r="G51" s="100">
        <v>3417.6</v>
      </c>
      <c r="H51" s="100">
        <v>7</v>
      </c>
      <c r="I51" s="100">
        <v>5980.8</v>
      </c>
      <c r="J51" s="100">
        <v>5.5422129773951951</v>
      </c>
      <c r="K51" s="100">
        <v>4735.2667678864545</v>
      </c>
      <c r="L51" s="100">
        <v>1.4211608050316391</v>
      </c>
      <c r="M51" s="100">
        <v>1214.2397918190325</v>
      </c>
      <c r="N51" s="100">
        <v>6</v>
      </c>
      <c r="O51" s="100">
        <v>5126.3999999999996</v>
      </c>
      <c r="P51" s="100">
        <v>5</v>
      </c>
      <c r="Q51" s="100">
        <v>4272</v>
      </c>
      <c r="R51" s="100">
        <v>6</v>
      </c>
      <c r="S51" s="100">
        <v>5126.3999999999996</v>
      </c>
      <c r="T51" s="100">
        <v>4</v>
      </c>
      <c r="U51" s="100">
        <v>3417.6</v>
      </c>
      <c r="V51" s="100">
        <v>2.7713348315188102</v>
      </c>
      <c r="W51" s="100">
        <v>2367.8284800496713</v>
      </c>
      <c r="X51" s="100">
        <v>6</v>
      </c>
      <c r="Y51" s="100">
        <v>5126.3999999999996</v>
      </c>
      <c r="Z51" s="100">
        <v>4</v>
      </c>
      <c r="AA51" s="100">
        <v>3417.6</v>
      </c>
      <c r="AB51" s="100">
        <v>5</v>
      </c>
      <c r="AC51" s="100">
        <v>4272</v>
      </c>
      <c r="AD51" s="100">
        <v>0.84133003290632735</v>
      </c>
      <c r="AE51" s="100">
        <v>718.83238011516607</v>
      </c>
      <c r="AF51" s="100">
        <v>7</v>
      </c>
      <c r="AG51" s="100">
        <v>5980.8</v>
      </c>
      <c r="AH51" s="100">
        <v>7</v>
      </c>
      <c r="AI51" s="100">
        <v>5980.8</v>
      </c>
      <c r="AJ51" s="100">
        <v>5.0000300892889982</v>
      </c>
      <c r="AK51" s="100">
        <v>4272.02570828852</v>
      </c>
      <c r="AL51" s="100">
        <v>1.0608812905850817</v>
      </c>
      <c r="AM51" s="100">
        <v>906.41697467589381</v>
      </c>
      <c r="AN51" s="100">
        <v>4.3263321382144143E-4</v>
      </c>
      <c r="AO51" s="100">
        <v>0.36964181788903955</v>
      </c>
      <c r="AP51" s="100">
        <v>1.227558779545282</v>
      </c>
      <c r="AQ51" s="100">
        <v>1048.826221243489</v>
      </c>
      <c r="AR51" s="100">
        <v>3</v>
      </c>
      <c r="AS51" s="100">
        <v>2563.1999999999998</v>
      </c>
      <c r="AT51" s="100">
        <v>6</v>
      </c>
      <c r="AU51" s="100">
        <v>5126.3999999999996</v>
      </c>
      <c r="AV51" s="100">
        <v>6.080593880457533</v>
      </c>
      <c r="AW51" s="100">
        <v>5195.2594114629164</v>
      </c>
      <c r="AX51" s="100">
        <v>1.2613166459827774</v>
      </c>
      <c r="AY51" s="100">
        <v>1077.668942327685</v>
      </c>
      <c r="AZ51" s="100">
        <v>4</v>
      </c>
      <c r="BA51" s="100">
        <v>3417.6</v>
      </c>
      <c r="BB51" s="100">
        <v>6.4717737902530912</v>
      </c>
      <c r="BC51" s="100">
        <v>5529.4835263922414</v>
      </c>
      <c r="BD51" s="100">
        <v>1.5558839545720591</v>
      </c>
      <c r="BE51" s="100">
        <v>1329.3472507863673</v>
      </c>
      <c r="BF51" s="100">
        <v>5.0952688120141572</v>
      </c>
      <c r="BG51" s="100">
        <v>4353.3976729848955</v>
      </c>
      <c r="BH51" s="100">
        <v>5.0293687021990152</v>
      </c>
      <c r="BI51" s="100">
        <v>4297.0926191588387</v>
      </c>
      <c r="BJ51" s="100">
        <v>6</v>
      </c>
      <c r="BK51" s="100">
        <v>5126.3999999999996</v>
      </c>
      <c r="BL51" s="100">
        <v>4.0707078299174881</v>
      </c>
      <c r="BM51" s="100">
        <v>3478.0127698815018</v>
      </c>
      <c r="BN51" s="100">
        <v>5.033872632226327</v>
      </c>
      <c r="BO51" s="100">
        <v>4300.9407769741738</v>
      </c>
      <c r="BP51" s="100">
        <v>0.20066062997431802</v>
      </c>
      <c r="BQ51" s="100">
        <v>171.44444225005731</v>
      </c>
      <c r="BR51" s="100">
        <v>4</v>
      </c>
      <c r="BS51" s="100">
        <v>3417.6</v>
      </c>
      <c r="BT51" s="100">
        <v>6.3135166085313443</v>
      </c>
      <c r="BU51" s="100">
        <v>5394.2685903291804</v>
      </c>
      <c r="BV51" s="100">
        <v>1.2414101254398429</v>
      </c>
      <c r="BW51" s="100">
        <v>1060.6608111758017</v>
      </c>
      <c r="BX51" s="100">
        <v>0.1460206462254427</v>
      </c>
      <c r="BY51" s="100">
        <v>124.76004013501823</v>
      </c>
      <c r="BZ51" s="100">
        <v>5</v>
      </c>
      <c r="CA51" s="100">
        <v>4272</v>
      </c>
      <c r="CB51" s="100">
        <v>7</v>
      </c>
      <c r="CC51" s="100">
        <v>5980.8</v>
      </c>
      <c r="CD51" s="100">
        <v>4</v>
      </c>
      <c r="CE51" s="100">
        <v>3417.6</v>
      </c>
      <c r="CF51" s="100">
        <v>7.2844609491810965</v>
      </c>
      <c r="CG51" s="100">
        <v>6223.8434349803283</v>
      </c>
      <c r="CH51" s="100">
        <v>6.3368955314496214</v>
      </c>
      <c r="CI51" s="100">
        <v>5414.243542070556</v>
      </c>
      <c r="CJ51" s="100">
        <v>4</v>
      </c>
      <c r="CK51" s="100">
        <v>3417.6</v>
      </c>
      <c r="CL51" s="100">
        <v>7</v>
      </c>
      <c r="CM51" s="100">
        <v>5980.8</v>
      </c>
      <c r="CN51" s="100">
        <v>3.6499854438278172</v>
      </c>
      <c r="CO51" s="100">
        <v>3118.5475632064868</v>
      </c>
      <c r="CP51" s="100">
        <v>3.331442635746968E-4</v>
      </c>
      <c r="CQ51" s="100">
        <v>0.28463845879822092</v>
      </c>
      <c r="CR51" s="100">
        <v>0.76594911134932309</v>
      </c>
      <c r="CS51" s="100">
        <v>654.42692073686158</v>
      </c>
      <c r="CT51" s="100">
        <v>4</v>
      </c>
      <c r="CU51" s="100">
        <v>3417.6</v>
      </c>
    </row>
    <row r="52" spans="2:99">
      <c r="C52" s="99" t="s">
        <v>218</v>
      </c>
      <c r="D52" s="100">
        <v>6</v>
      </c>
      <c r="E52" s="100">
        <v>3240</v>
      </c>
      <c r="F52" s="100">
        <v>3</v>
      </c>
      <c r="G52" s="100">
        <v>1620</v>
      </c>
      <c r="H52" s="100">
        <v>7</v>
      </c>
      <c r="I52" s="100">
        <v>3780</v>
      </c>
      <c r="J52" s="100">
        <v>5.5422129773951951</v>
      </c>
      <c r="K52" s="100">
        <v>2992.7950077934056</v>
      </c>
      <c r="L52" s="100">
        <v>1.4211608050316391</v>
      </c>
      <c r="M52" s="100">
        <v>767.42683471708517</v>
      </c>
      <c r="N52" s="100">
        <v>7</v>
      </c>
      <c r="O52" s="100">
        <v>3780</v>
      </c>
      <c r="P52" s="100">
        <v>5</v>
      </c>
      <c r="Q52" s="100">
        <v>2700</v>
      </c>
      <c r="R52" s="100">
        <v>6</v>
      </c>
      <c r="S52" s="100">
        <v>3240</v>
      </c>
      <c r="T52" s="100">
        <v>4</v>
      </c>
      <c r="U52" s="100">
        <v>2160</v>
      </c>
      <c r="V52" s="100">
        <v>2.7713348315188102</v>
      </c>
      <c r="W52" s="100">
        <v>1496.5208090201575</v>
      </c>
      <c r="X52" s="100">
        <v>6</v>
      </c>
      <c r="Y52" s="100">
        <v>3240</v>
      </c>
      <c r="Z52" s="100">
        <v>4</v>
      </c>
      <c r="AA52" s="100">
        <v>2160</v>
      </c>
      <c r="AB52" s="100">
        <v>5</v>
      </c>
      <c r="AC52" s="100">
        <v>2700</v>
      </c>
      <c r="AD52" s="100">
        <v>1.1217733772084364</v>
      </c>
      <c r="AE52" s="100">
        <v>605.75762369255563</v>
      </c>
      <c r="AF52" s="100">
        <v>6</v>
      </c>
      <c r="AG52" s="100">
        <v>3240</v>
      </c>
      <c r="AH52" s="100">
        <v>7</v>
      </c>
      <c r="AI52" s="100">
        <v>3780</v>
      </c>
      <c r="AJ52" s="100">
        <v>5.0000351041704985</v>
      </c>
      <c r="AK52" s="100">
        <v>2700.0189562520691</v>
      </c>
      <c r="AL52" s="100">
        <v>1.2376952498664944</v>
      </c>
      <c r="AM52" s="100">
        <v>668.35543492790691</v>
      </c>
      <c r="AN52" s="100">
        <v>4.3263321382144143E-4</v>
      </c>
      <c r="AO52" s="100">
        <v>0.23362193546357837</v>
      </c>
      <c r="AP52" s="100">
        <v>1.227558779545282</v>
      </c>
      <c r="AQ52" s="100">
        <v>662.88174095445231</v>
      </c>
      <c r="AR52" s="100">
        <v>4</v>
      </c>
      <c r="AS52" s="100">
        <v>2160</v>
      </c>
      <c r="AT52" s="100">
        <v>6</v>
      </c>
      <c r="AU52" s="100">
        <v>3240</v>
      </c>
      <c r="AV52" s="100">
        <v>6.0404542086394422</v>
      </c>
      <c r="AW52" s="100">
        <v>3261.8452726652986</v>
      </c>
      <c r="AX52" s="100">
        <v>1.2613166459827774</v>
      </c>
      <c r="AY52" s="100">
        <v>681.11098883069974</v>
      </c>
      <c r="AZ52" s="100">
        <v>4</v>
      </c>
      <c r="BA52" s="100">
        <v>2160</v>
      </c>
      <c r="BB52" s="100">
        <v>6.56612854830371</v>
      </c>
      <c r="BC52" s="100">
        <v>3545.7094160840034</v>
      </c>
      <c r="BD52" s="100">
        <v>1.8144634589143231</v>
      </c>
      <c r="BE52" s="100">
        <v>979.81026781373453</v>
      </c>
      <c r="BF52" s="100">
        <v>5.0952688120141572</v>
      </c>
      <c r="BG52" s="100">
        <v>2751.4451584876447</v>
      </c>
      <c r="BH52" s="100">
        <v>5.0244739184991793</v>
      </c>
      <c r="BI52" s="100">
        <v>2713.2159159895568</v>
      </c>
      <c r="BJ52" s="100">
        <v>6</v>
      </c>
      <c r="BK52" s="100">
        <v>3240</v>
      </c>
      <c r="BL52" s="100">
        <v>4.0707078299174881</v>
      </c>
      <c r="BM52" s="100">
        <v>2198.1822281554437</v>
      </c>
      <c r="BN52" s="100">
        <v>5.033872632226327</v>
      </c>
      <c r="BO52" s="100">
        <v>2718.2912214022167</v>
      </c>
      <c r="BP52" s="100">
        <v>0.16721719164526505</v>
      </c>
      <c r="BQ52" s="100">
        <v>90.297283488443128</v>
      </c>
      <c r="BR52" s="100">
        <v>5</v>
      </c>
      <c r="BS52" s="100">
        <v>2700</v>
      </c>
      <c r="BT52" s="100">
        <v>6.3135166085313443</v>
      </c>
      <c r="BU52" s="100">
        <v>3409.2989686069259</v>
      </c>
      <c r="BV52" s="100">
        <v>1.2392396568845925</v>
      </c>
      <c r="BW52" s="100">
        <v>669.18941471767994</v>
      </c>
      <c r="BX52" s="100">
        <v>0.1460206462254427</v>
      </c>
      <c r="BY52" s="100">
        <v>78.851148961739057</v>
      </c>
      <c r="BZ52" s="100">
        <v>4</v>
      </c>
      <c r="CA52" s="100">
        <v>2160</v>
      </c>
      <c r="CB52" s="100">
        <v>7</v>
      </c>
      <c r="CC52" s="100">
        <v>3780</v>
      </c>
      <c r="CD52" s="100">
        <v>5</v>
      </c>
      <c r="CE52" s="100">
        <v>2700</v>
      </c>
      <c r="CF52" s="100">
        <v>7.3250982276355385</v>
      </c>
      <c r="CG52" s="100">
        <v>3955.5530429231908</v>
      </c>
      <c r="CH52" s="100">
        <v>5.4316247412425325</v>
      </c>
      <c r="CI52" s="100">
        <v>2933.0773602709673</v>
      </c>
      <c r="CJ52" s="100">
        <v>4</v>
      </c>
      <c r="CK52" s="100">
        <v>2160</v>
      </c>
      <c r="CL52" s="100">
        <v>7</v>
      </c>
      <c r="CM52" s="100">
        <v>3780</v>
      </c>
      <c r="CN52" s="100">
        <v>3.6378307959201002</v>
      </c>
      <c r="CO52" s="100">
        <v>1964.428629796854</v>
      </c>
      <c r="CP52" s="100">
        <v>2.7966390202751918E-4</v>
      </c>
      <c r="CQ52" s="100">
        <v>0.15101850709486037</v>
      </c>
      <c r="CR52" s="100">
        <v>0.76594911134932309</v>
      </c>
      <c r="CS52" s="100">
        <v>413.61252012863446</v>
      </c>
      <c r="CT52" s="100">
        <v>5</v>
      </c>
      <c r="CU52" s="100">
        <v>2700</v>
      </c>
    </row>
    <row r="53" spans="2:99">
      <c r="C53" s="99" t="s">
        <v>219</v>
      </c>
      <c r="D53" s="100">
        <v>6</v>
      </c>
      <c r="E53" s="100">
        <v>2440.8000000000002</v>
      </c>
      <c r="F53" s="100">
        <v>4</v>
      </c>
      <c r="G53" s="100">
        <v>1627.2</v>
      </c>
      <c r="H53" s="100">
        <v>7</v>
      </c>
      <c r="I53" s="100">
        <v>2847.6</v>
      </c>
      <c r="J53" s="100">
        <v>5.5422129773951951</v>
      </c>
      <c r="K53" s="100">
        <v>2254.5722392043654</v>
      </c>
      <c r="L53" s="100">
        <v>1.4211608050316391</v>
      </c>
      <c r="M53" s="100">
        <v>578.12821548687077</v>
      </c>
      <c r="N53" s="100">
        <v>7</v>
      </c>
      <c r="O53" s="100">
        <v>2847.6</v>
      </c>
      <c r="P53" s="100">
        <v>6</v>
      </c>
      <c r="Q53" s="100">
        <v>2440.8000000000002</v>
      </c>
      <c r="R53" s="100">
        <v>6</v>
      </c>
      <c r="S53" s="100">
        <v>2440.8000000000002</v>
      </c>
      <c r="T53" s="100">
        <v>4</v>
      </c>
      <c r="U53" s="100">
        <v>1627.2</v>
      </c>
      <c r="V53" s="100">
        <v>2.7713348315188102</v>
      </c>
      <c r="W53" s="100">
        <v>1127.3790094618521</v>
      </c>
      <c r="X53" s="100">
        <v>6</v>
      </c>
      <c r="Y53" s="100">
        <v>2440.8000000000002</v>
      </c>
      <c r="Z53" s="100">
        <v>4</v>
      </c>
      <c r="AA53" s="100">
        <v>1627.2</v>
      </c>
      <c r="AB53" s="100">
        <v>4</v>
      </c>
      <c r="AC53" s="100">
        <v>1627.2</v>
      </c>
      <c r="AD53" s="100">
        <v>1.1217733772084364</v>
      </c>
      <c r="AE53" s="100">
        <v>456.33740984839193</v>
      </c>
      <c r="AF53" s="100">
        <v>6</v>
      </c>
      <c r="AG53" s="100">
        <v>2440.8000000000002</v>
      </c>
      <c r="AH53" s="100">
        <v>7</v>
      </c>
      <c r="AI53" s="100">
        <v>2847.6</v>
      </c>
      <c r="AJ53" s="100">
        <v>6.0000401190519979</v>
      </c>
      <c r="AK53" s="100">
        <v>2440.8163204303528</v>
      </c>
      <c r="AL53" s="100">
        <v>1.2376944281653626</v>
      </c>
      <c r="AM53" s="100">
        <v>503.49409337766951</v>
      </c>
      <c r="AN53" s="100">
        <v>5.3888104325171911E-4</v>
      </c>
      <c r="AO53" s="100">
        <v>0.21921680839479935</v>
      </c>
      <c r="AP53" s="100">
        <v>1.227558779545282</v>
      </c>
      <c r="AQ53" s="100">
        <v>499.37091151902075</v>
      </c>
      <c r="AR53" s="100">
        <v>4</v>
      </c>
      <c r="AS53" s="100">
        <v>1627.2</v>
      </c>
      <c r="AT53" s="100">
        <v>7</v>
      </c>
      <c r="AU53" s="100">
        <v>2847.6</v>
      </c>
      <c r="AV53" s="100">
        <v>6.080593880457533</v>
      </c>
      <c r="AW53" s="100">
        <v>2473.5855905701246</v>
      </c>
      <c r="AX53" s="100">
        <v>1.2613166459827774</v>
      </c>
      <c r="AY53" s="100">
        <v>513.10361158579383</v>
      </c>
      <c r="AZ53" s="100">
        <v>4</v>
      </c>
      <c r="BA53" s="100">
        <v>1627.2</v>
      </c>
      <c r="BB53" s="100">
        <v>6.5189511692784006</v>
      </c>
      <c r="BC53" s="100">
        <v>2651.9093356624535</v>
      </c>
      <c r="BD53" s="100">
        <v>1.5573529307448841</v>
      </c>
      <c r="BE53" s="100">
        <v>633.53117222701883</v>
      </c>
      <c r="BF53" s="100">
        <v>5.0952688120141572</v>
      </c>
      <c r="BG53" s="100">
        <v>2072.755352727359</v>
      </c>
      <c r="BH53" s="100">
        <v>5.0269213103490973</v>
      </c>
      <c r="BI53" s="100">
        <v>2044.9515890500129</v>
      </c>
      <c r="BJ53" s="100">
        <v>7</v>
      </c>
      <c r="BK53" s="100">
        <v>2847.6</v>
      </c>
      <c r="BL53" s="100">
        <v>4.0380649379448359</v>
      </c>
      <c r="BM53" s="100">
        <v>1642.6848167559592</v>
      </c>
      <c r="BN53" s="100">
        <v>4.3211327048011574</v>
      </c>
      <c r="BO53" s="100">
        <v>1757.8367843131109</v>
      </c>
      <c r="BP53" s="100">
        <v>0.20066062997431802</v>
      </c>
      <c r="BQ53" s="100">
        <v>81.62874427355257</v>
      </c>
      <c r="BR53" s="100">
        <v>5</v>
      </c>
      <c r="BS53" s="100">
        <v>2034</v>
      </c>
      <c r="BT53" s="100">
        <v>7.3135166085313443</v>
      </c>
      <c r="BU53" s="100">
        <v>2975.138556350551</v>
      </c>
      <c r="BV53" s="100">
        <v>1.2414101254398429</v>
      </c>
      <c r="BW53" s="100">
        <v>505.0056390289281</v>
      </c>
      <c r="BX53" s="100">
        <v>0.1460206462254427</v>
      </c>
      <c r="BY53" s="100">
        <v>59.401198884510087</v>
      </c>
      <c r="BZ53" s="100">
        <v>4</v>
      </c>
      <c r="CA53" s="100">
        <v>1627.2</v>
      </c>
      <c r="CB53" s="100">
        <v>7</v>
      </c>
      <c r="CC53" s="100">
        <v>2847.6</v>
      </c>
      <c r="CD53" s="100">
        <v>5</v>
      </c>
      <c r="CE53" s="100">
        <v>2034</v>
      </c>
      <c r="CF53" s="100">
        <v>7.3250982276355385</v>
      </c>
      <c r="CG53" s="100">
        <v>2979.849959002137</v>
      </c>
      <c r="CH53" s="100">
        <v>6.3368955314496214</v>
      </c>
      <c r="CI53" s="100">
        <v>2577.8491021937061</v>
      </c>
      <c r="CJ53" s="100">
        <v>4</v>
      </c>
      <c r="CK53" s="100">
        <v>1627.2</v>
      </c>
      <c r="CL53" s="100">
        <v>8</v>
      </c>
      <c r="CM53" s="100">
        <v>3254.4</v>
      </c>
      <c r="CN53" s="100">
        <v>3.6499854438278172</v>
      </c>
      <c r="CO53" s="100">
        <v>1484.814078549156</v>
      </c>
      <c r="CP53" s="100">
        <v>3.331442635746968E-4</v>
      </c>
      <c r="CQ53" s="100">
        <v>0.13552308642218666</v>
      </c>
      <c r="CR53" s="100">
        <v>0.76594911134932309</v>
      </c>
      <c r="CS53" s="100">
        <v>311.58809849690465</v>
      </c>
      <c r="CT53" s="100">
        <v>4</v>
      </c>
      <c r="CU53" s="100">
        <v>1627.2</v>
      </c>
    </row>
    <row r="54" spans="2:99">
      <c r="C54" s="99" t="s">
        <v>220</v>
      </c>
      <c r="D54" s="100">
        <v>6</v>
      </c>
      <c r="E54" s="100">
        <v>2008.8000000000002</v>
      </c>
      <c r="F54" s="100">
        <v>4</v>
      </c>
      <c r="G54" s="100">
        <v>1339.2</v>
      </c>
      <c r="H54" s="100">
        <v>6</v>
      </c>
      <c r="I54" s="100">
        <v>2008.8000000000002</v>
      </c>
      <c r="J54" s="100">
        <v>4.5915050662493035</v>
      </c>
      <c r="K54" s="100">
        <v>1537.235896180267</v>
      </c>
      <c r="L54" s="100">
        <v>1.4211608050316391</v>
      </c>
      <c r="M54" s="100">
        <v>475.80463752459281</v>
      </c>
      <c r="N54" s="100">
        <v>7</v>
      </c>
      <c r="O54" s="100">
        <v>2343.6</v>
      </c>
      <c r="P54" s="100">
        <v>5</v>
      </c>
      <c r="Q54" s="100">
        <v>1674</v>
      </c>
      <c r="R54" s="100">
        <v>7</v>
      </c>
      <c r="S54" s="100">
        <v>2343.6</v>
      </c>
      <c r="T54" s="100">
        <v>4</v>
      </c>
      <c r="U54" s="100">
        <v>1339.2</v>
      </c>
      <c r="V54" s="100">
        <v>2.7713348315188102</v>
      </c>
      <c r="W54" s="100">
        <v>927.8429015924977</v>
      </c>
      <c r="X54" s="100">
        <v>7</v>
      </c>
      <c r="Y54" s="100">
        <v>2343.6</v>
      </c>
      <c r="Z54" s="100">
        <v>4</v>
      </c>
      <c r="AA54" s="100">
        <v>1339.2</v>
      </c>
      <c r="AB54" s="100">
        <v>5</v>
      </c>
      <c r="AC54" s="100">
        <v>1674</v>
      </c>
      <c r="AD54" s="100">
        <v>1.1217733772084364</v>
      </c>
      <c r="AE54" s="100">
        <v>375.56972668938454</v>
      </c>
      <c r="AF54" s="100">
        <v>6</v>
      </c>
      <c r="AG54" s="100">
        <v>2008.8000000000002</v>
      </c>
      <c r="AH54" s="100">
        <v>6</v>
      </c>
      <c r="AI54" s="100">
        <v>2008.8000000000002</v>
      </c>
      <c r="AJ54" s="100">
        <v>6.0000351041704985</v>
      </c>
      <c r="AK54" s="100">
        <v>2008.811752876283</v>
      </c>
      <c r="AL54" s="100">
        <v>1.2376944281653626</v>
      </c>
      <c r="AM54" s="100">
        <v>414.38009454976338</v>
      </c>
      <c r="AN54" s="100">
        <v>5.3506009520155353E-4</v>
      </c>
      <c r="AO54" s="100">
        <v>0.17913811987348013</v>
      </c>
      <c r="AP54" s="100">
        <v>1.227558779545282</v>
      </c>
      <c r="AQ54" s="100">
        <v>410.98667939176045</v>
      </c>
      <c r="AR54" s="100">
        <v>4</v>
      </c>
      <c r="AS54" s="100">
        <v>1339.2</v>
      </c>
      <c r="AT54" s="100">
        <v>7</v>
      </c>
      <c r="AU54" s="100">
        <v>2343.6</v>
      </c>
      <c r="AV54" s="100">
        <v>6.0404542086394422</v>
      </c>
      <c r="AW54" s="100">
        <v>2022.3440690524853</v>
      </c>
      <c r="AX54" s="100">
        <v>1.2613166459827774</v>
      </c>
      <c r="AY54" s="100">
        <v>422.28881307503389</v>
      </c>
      <c r="AZ54" s="100">
        <v>4</v>
      </c>
      <c r="BA54" s="100">
        <v>1339.2</v>
      </c>
      <c r="BB54" s="100">
        <v>5.56612854830371</v>
      </c>
      <c r="BC54" s="100">
        <v>1863.5398379720821</v>
      </c>
      <c r="BD54" s="100">
        <v>1.5573529307448841</v>
      </c>
      <c r="BE54" s="100">
        <v>521.4017612133872</v>
      </c>
      <c r="BF54" s="100">
        <v>5.0952688120141572</v>
      </c>
      <c r="BG54" s="100">
        <v>1705.8959982623398</v>
      </c>
      <c r="BH54" s="100">
        <v>5.0244739184991793</v>
      </c>
      <c r="BI54" s="100">
        <v>1682.1938679135253</v>
      </c>
      <c r="BJ54" s="100">
        <v>7</v>
      </c>
      <c r="BK54" s="100">
        <v>2343.6</v>
      </c>
      <c r="BL54" s="100">
        <v>4.0707078299174881</v>
      </c>
      <c r="BM54" s="100">
        <v>1362.8729814563751</v>
      </c>
      <c r="BN54" s="100">
        <v>5.7466125596514974</v>
      </c>
      <c r="BO54" s="100">
        <v>1923.9658849713214</v>
      </c>
      <c r="BP54" s="100">
        <v>0.20066062997431802</v>
      </c>
      <c r="BQ54" s="100">
        <v>67.181178915401674</v>
      </c>
      <c r="BR54" s="100">
        <v>5</v>
      </c>
      <c r="BS54" s="100">
        <v>1674</v>
      </c>
      <c r="BT54" s="100">
        <v>7.358304695464394</v>
      </c>
      <c r="BU54" s="100">
        <v>2463.5604120414791</v>
      </c>
      <c r="BV54" s="100">
        <v>1.2392396568845925</v>
      </c>
      <c r="BW54" s="100">
        <v>414.89743712496158</v>
      </c>
      <c r="BX54" s="100">
        <v>0.1460206462254427</v>
      </c>
      <c r="BY54" s="100">
        <v>48.887712356278215</v>
      </c>
      <c r="BZ54" s="100">
        <v>5</v>
      </c>
      <c r="CA54" s="100">
        <v>1674</v>
      </c>
      <c r="CB54" s="100">
        <v>7</v>
      </c>
      <c r="CC54" s="100">
        <v>2343.6</v>
      </c>
      <c r="CD54" s="100">
        <v>5</v>
      </c>
      <c r="CE54" s="100">
        <v>1674</v>
      </c>
      <c r="CF54" s="100">
        <v>7.2844609491810965</v>
      </c>
      <c r="CG54" s="100">
        <v>2438.8375257858311</v>
      </c>
      <c r="CH54" s="100">
        <v>6.3368955314496214</v>
      </c>
      <c r="CI54" s="100">
        <v>2121.5926239293335</v>
      </c>
      <c r="CJ54" s="100">
        <v>4</v>
      </c>
      <c r="CK54" s="100">
        <v>1339.2</v>
      </c>
      <c r="CL54" s="100">
        <v>6</v>
      </c>
      <c r="CM54" s="100">
        <v>2008.8000000000002</v>
      </c>
      <c r="CN54" s="100">
        <v>3.6499854438278172</v>
      </c>
      <c r="CO54" s="100">
        <v>1222.0151265935533</v>
      </c>
      <c r="CP54" s="100">
        <v>3.331442635746968E-4</v>
      </c>
      <c r="CQ54" s="100">
        <v>0.1115366994448085</v>
      </c>
      <c r="CR54" s="100">
        <v>0.76594911134932309</v>
      </c>
      <c r="CS54" s="100">
        <v>256.43976247975337</v>
      </c>
      <c r="CT54" s="100">
        <v>4</v>
      </c>
      <c r="CU54" s="100">
        <v>1339.2</v>
      </c>
    </row>
    <row r="55" spans="2:99">
      <c r="C55" s="99" t="s">
        <v>221</v>
      </c>
      <c r="D55" s="100">
        <v>7</v>
      </c>
      <c r="E55" s="100">
        <v>4645.2</v>
      </c>
      <c r="F55" s="100">
        <v>4</v>
      </c>
      <c r="G55" s="100">
        <v>2654.4</v>
      </c>
      <c r="H55" s="100">
        <v>6</v>
      </c>
      <c r="I55" s="100">
        <v>3981.6000000000004</v>
      </c>
      <c r="J55" s="100">
        <v>4.5422129773951951</v>
      </c>
      <c r="K55" s="100">
        <v>3014.2125317994514</v>
      </c>
      <c r="L55" s="100">
        <v>1.4211608050316391</v>
      </c>
      <c r="M55" s="100">
        <v>943.08231021899576</v>
      </c>
      <c r="N55" s="100">
        <v>6</v>
      </c>
      <c r="O55" s="100">
        <v>3981.6000000000004</v>
      </c>
      <c r="P55" s="100">
        <v>6</v>
      </c>
      <c r="Q55" s="100">
        <v>3981.6000000000004</v>
      </c>
      <c r="R55" s="100">
        <v>6</v>
      </c>
      <c r="S55" s="100">
        <v>3981.6000000000004</v>
      </c>
      <c r="T55" s="100">
        <v>4</v>
      </c>
      <c r="U55" s="100">
        <v>2654.4</v>
      </c>
      <c r="V55" s="100">
        <v>2.7713348315188102</v>
      </c>
      <c r="W55" s="100">
        <v>1839.0577941958825</v>
      </c>
      <c r="X55" s="100">
        <v>7</v>
      </c>
      <c r="Y55" s="100">
        <v>4645.2</v>
      </c>
      <c r="Z55" s="100">
        <v>4</v>
      </c>
      <c r="AA55" s="100">
        <v>2654.4</v>
      </c>
      <c r="AB55" s="100">
        <v>5</v>
      </c>
      <c r="AC55" s="100">
        <v>3318</v>
      </c>
      <c r="AD55" s="100">
        <v>1.1217733772084364</v>
      </c>
      <c r="AE55" s="100">
        <v>744.40881311551846</v>
      </c>
      <c r="AF55" s="100">
        <v>6</v>
      </c>
      <c r="AG55" s="100">
        <v>3981.6000000000004</v>
      </c>
      <c r="AH55" s="100">
        <v>7</v>
      </c>
      <c r="AI55" s="100">
        <v>4645.2</v>
      </c>
      <c r="AJ55" s="100">
        <v>5.0000401190519979</v>
      </c>
      <c r="AK55" s="100">
        <v>3318.026623002906</v>
      </c>
      <c r="AL55" s="100">
        <v>1.0608821122862133</v>
      </c>
      <c r="AM55" s="100">
        <v>704.00136971313123</v>
      </c>
      <c r="AN55" s="100">
        <v>4.3263321382144143E-4</v>
      </c>
      <c r="AO55" s="100">
        <v>0.28709540069190853</v>
      </c>
      <c r="AP55" s="100">
        <v>1.227558779545282</v>
      </c>
      <c r="AQ55" s="100">
        <v>814.60800610624915</v>
      </c>
      <c r="AR55" s="100">
        <v>4</v>
      </c>
      <c r="AS55" s="100">
        <v>2654.4</v>
      </c>
      <c r="AT55" s="100">
        <v>6</v>
      </c>
      <c r="AU55" s="100">
        <v>3981.6000000000004</v>
      </c>
      <c r="AV55" s="100">
        <v>6.080593880457533</v>
      </c>
      <c r="AW55" s="100">
        <v>4035.0820990716193</v>
      </c>
      <c r="AX55" s="100">
        <v>1.2613166459827774</v>
      </c>
      <c r="AY55" s="100">
        <v>837.00972627417104</v>
      </c>
      <c r="AZ55" s="100">
        <v>4</v>
      </c>
      <c r="BA55" s="100">
        <v>2654.4</v>
      </c>
      <c r="BB55" s="100">
        <v>5.5189511692784006</v>
      </c>
      <c r="BC55" s="100">
        <v>3662.3759959331469</v>
      </c>
      <c r="BD55" s="100">
        <v>1.8129944827414981</v>
      </c>
      <c r="BE55" s="100">
        <v>1203.1031387472581</v>
      </c>
      <c r="BF55" s="100">
        <v>4.2460573433451314</v>
      </c>
      <c r="BG55" s="100">
        <v>2817.6836530438295</v>
      </c>
      <c r="BH55" s="100">
        <v>5.0244739184991793</v>
      </c>
      <c r="BI55" s="100">
        <v>3334.2408923160556</v>
      </c>
      <c r="BJ55" s="100">
        <v>6</v>
      </c>
      <c r="BK55" s="100">
        <v>3981.6000000000004</v>
      </c>
      <c r="BL55" s="100">
        <v>4.0380649379448359</v>
      </c>
      <c r="BM55" s="100">
        <v>2679.6598928201934</v>
      </c>
      <c r="BN55" s="100">
        <v>5.0394592747575935</v>
      </c>
      <c r="BO55" s="100">
        <v>3344.1851747291394</v>
      </c>
      <c r="BP55" s="100">
        <v>0.16721719164526505</v>
      </c>
      <c r="BQ55" s="100">
        <v>110.9653283757979</v>
      </c>
      <c r="BR55" s="100">
        <v>5</v>
      </c>
      <c r="BS55" s="100">
        <v>3318</v>
      </c>
      <c r="BT55" s="100">
        <v>7.3135166085313443</v>
      </c>
      <c r="BU55" s="100">
        <v>4853.2496214214007</v>
      </c>
      <c r="BV55" s="100">
        <v>1.2392396568845925</v>
      </c>
      <c r="BW55" s="100">
        <v>822.35943630861561</v>
      </c>
      <c r="BX55" s="100">
        <v>0.18252580778180336</v>
      </c>
      <c r="BY55" s="100">
        <v>121.12412604400471</v>
      </c>
      <c r="BZ55" s="100">
        <v>5</v>
      </c>
      <c r="CA55" s="100">
        <v>3318</v>
      </c>
      <c r="CB55" s="100">
        <v>7</v>
      </c>
      <c r="CC55" s="100">
        <v>4645.2</v>
      </c>
      <c r="CD55" s="100">
        <v>5</v>
      </c>
      <c r="CE55" s="100">
        <v>3318</v>
      </c>
      <c r="CF55" s="100">
        <v>7.2844609491810965</v>
      </c>
      <c r="CG55" s="100">
        <v>4833.9682858765755</v>
      </c>
      <c r="CH55" s="100">
        <v>6.3368955314496214</v>
      </c>
      <c r="CI55" s="100">
        <v>4205.1638746699691</v>
      </c>
      <c r="CJ55" s="100">
        <v>3</v>
      </c>
      <c r="CK55" s="100">
        <v>1990.8000000000002</v>
      </c>
      <c r="CL55" s="100">
        <v>7</v>
      </c>
      <c r="CM55" s="100">
        <v>4645.2</v>
      </c>
      <c r="CN55" s="100">
        <v>3.6499854438278172</v>
      </c>
      <c r="CO55" s="100">
        <v>2422.1303405241397</v>
      </c>
      <c r="CP55" s="100">
        <v>2.7966390202751918E-4</v>
      </c>
      <c r="CQ55" s="100">
        <v>0.18558496538546174</v>
      </c>
      <c r="CR55" s="100">
        <v>0.76594911134932309</v>
      </c>
      <c r="CS55" s="100">
        <v>508.28383029141082</v>
      </c>
      <c r="CT55" s="100">
        <v>5</v>
      </c>
      <c r="CU55" s="100">
        <v>3318</v>
      </c>
    </row>
    <row r="56" spans="2:99">
      <c r="C56" s="99" t="s">
        <v>222</v>
      </c>
      <c r="D56" s="100">
        <v>5.8305830583058276</v>
      </c>
      <c r="E56" s="100">
        <v>5723.3003300330001</v>
      </c>
      <c r="F56" s="100">
        <v>2.7637790105697615</v>
      </c>
      <c r="G56" s="100">
        <v>2712.9254767752777</v>
      </c>
      <c r="H56" s="100">
        <v>0.60507954656698204</v>
      </c>
      <c r="I56" s="100">
        <v>593.94608291014947</v>
      </c>
      <c r="J56" s="100">
        <v>4</v>
      </c>
      <c r="K56" s="100">
        <v>3926.3999999999996</v>
      </c>
      <c r="L56" s="100">
        <v>4</v>
      </c>
      <c r="M56" s="100">
        <v>3926.3999999999996</v>
      </c>
      <c r="N56" s="100">
        <v>6</v>
      </c>
      <c r="O56" s="100">
        <v>5889.5999999999995</v>
      </c>
      <c r="P56" s="100">
        <v>5</v>
      </c>
      <c r="Q56" s="100">
        <v>4908</v>
      </c>
      <c r="R56" s="100">
        <v>4.805764349771108</v>
      </c>
      <c r="S56" s="100">
        <v>4717.338285735319</v>
      </c>
      <c r="T56" s="100">
        <v>1.6040340139037905</v>
      </c>
      <c r="U56" s="100">
        <v>1574.5197880479607</v>
      </c>
      <c r="V56" s="100">
        <v>3.0797627194688744</v>
      </c>
      <c r="W56" s="100">
        <v>3023.0950854306466</v>
      </c>
      <c r="X56" s="100">
        <v>5.8536585365853684</v>
      </c>
      <c r="Y56" s="100">
        <v>5745.951219512197</v>
      </c>
      <c r="Z56" s="100">
        <v>4</v>
      </c>
      <c r="AA56" s="100">
        <v>3926.3999999999996</v>
      </c>
      <c r="AB56" s="100">
        <v>5</v>
      </c>
      <c r="AC56" s="100">
        <v>4908</v>
      </c>
      <c r="AD56" s="100">
        <v>3.2305880467873735</v>
      </c>
      <c r="AE56" s="100">
        <v>3171.1452267264854</v>
      </c>
      <c r="AF56" s="100">
        <v>6</v>
      </c>
      <c r="AG56" s="100">
        <v>5889.5999999999995</v>
      </c>
      <c r="AH56" s="100">
        <v>7</v>
      </c>
      <c r="AI56" s="100">
        <v>6871.1999999999989</v>
      </c>
      <c r="AJ56" s="100">
        <v>5.03145945708797</v>
      </c>
      <c r="AK56" s="100">
        <v>4938.8806030775513</v>
      </c>
      <c r="AL56" s="100">
        <v>6.3589497275292857</v>
      </c>
      <c r="AM56" s="100">
        <v>6241.9450525427465</v>
      </c>
      <c r="AN56" s="100">
        <v>4</v>
      </c>
      <c r="AO56" s="100">
        <v>3926.3999999999996</v>
      </c>
      <c r="AP56" s="100">
        <v>5.2661837935717521</v>
      </c>
      <c r="AQ56" s="100">
        <v>5169.2860117700311</v>
      </c>
      <c r="AR56" s="100">
        <v>4</v>
      </c>
      <c r="AS56" s="100">
        <v>3926.3999999999996</v>
      </c>
      <c r="AT56" s="100">
        <v>7.2487940548237804</v>
      </c>
      <c r="AU56" s="100">
        <v>7115.4162442150218</v>
      </c>
      <c r="AV56" s="100">
        <v>4.0018005799348568</v>
      </c>
      <c r="AW56" s="100">
        <v>3928.167449264055</v>
      </c>
      <c r="AX56" s="100">
        <v>6.2107061994726962</v>
      </c>
      <c r="AY56" s="100">
        <v>6096.4292054023981</v>
      </c>
      <c r="AZ56" s="100">
        <v>3.9367025074965074</v>
      </c>
      <c r="BA56" s="100">
        <v>3864.2671813585712</v>
      </c>
      <c r="BB56" s="100">
        <v>3.8512231368606846</v>
      </c>
      <c r="BC56" s="100">
        <v>3780.3606311424478</v>
      </c>
      <c r="BD56" s="100">
        <v>2.5017219910028086</v>
      </c>
      <c r="BE56" s="100">
        <v>2455.6903063683567</v>
      </c>
      <c r="BF56" s="100">
        <v>4.413409068869055</v>
      </c>
      <c r="BG56" s="100">
        <v>4332.2023420018641</v>
      </c>
      <c r="BH56" s="100">
        <v>1.7073660350570017</v>
      </c>
      <c r="BI56" s="100">
        <v>1675.9505000119527</v>
      </c>
      <c r="BJ56" s="100">
        <v>5.61847957146359</v>
      </c>
      <c r="BK56" s="100">
        <v>5515.0995473486591</v>
      </c>
      <c r="BL56" s="100">
        <v>3.3544325803533628</v>
      </c>
      <c r="BM56" s="100">
        <v>3292.7110208748604</v>
      </c>
      <c r="BN56" s="100">
        <v>5.9129096122907168</v>
      </c>
      <c r="BO56" s="100">
        <v>5804.1120754245667</v>
      </c>
      <c r="BP56" s="100">
        <v>3.3589985571217675</v>
      </c>
      <c r="BQ56" s="100">
        <v>3297.1929836707268</v>
      </c>
      <c r="BR56" s="100">
        <v>4</v>
      </c>
      <c r="BS56" s="100">
        <v>3926.3999999999996</v>
      </c>
      <c r="BT56" s="100">
        <v>6</v>
      </c>
      <c r="BU56" s="100">
        <v>5889.5999999999995</v>
      </c>
      <c r="BV56" s="100">
        <v>4.3358857839945886</v>
      </c>
      <c r="BW56" s="100">
        <v>4256.1054855690882</v>
      </c>
      <c r="BX56" s="100">
        <v>1.3897146867089498</v>
      </c>
      <c r="BY56" s="100">
        <v>1364.1439364735049</v>
      </c>
      <c r="BZ56" s="100">
        <v>1.6588350188007162</v>
      </c>
      <c r="CA56" s="100">
        <v>1628.3124544547829</v>
      </c>
      <c r="CB56" s="100">
        <v>4.8967244380547221</v>
      </c>
      <c r="CC56" s="100">
        <v>4806.6247083945145</v>
      </c>
      <c r="CD56" s="100">
        <v>2.6269505826326673</v>
      </c>
      <c r="CE56" s="100">
        <v>2578.6146919122261</v>
      </c>
      <c r="CF56" s="100">
        <v>6.7878681423777607</v>
      </c>
      <c r="CG56" s="100">
        <v>6662.9713685580091</v>
      </c>
      <c r="CH56" s="100">
        <v>7</v>
      </c>
      <c r="CI56" s="100">
        <v>6871.1999999999989</v>
      </c>
      <c r="CJ56" s="100">
        <v>3.2690556505900537</v>
      </c>
      <c r="CK56" s="100">
        <v>3208.9050266191962</v>
      </c>
      <c r="CL56" s="100">
        <v>6.2542480039844577</v>
      </c>
      <c r="CM56" s="100">
        <v>6139.1698407111435</v>
      </c>
      <c r="CN56" s="100">
        <v>2.9800874741136365</v>
      </c>
      <c r="CO56" s="100">
        <v>2925.2538645899454</v>
      </c>
      <c r="CP56" s="100">
        <v>3.2406157401861164</v>
      </c>
      <c r="CQ56" s="100">
        <v>3180.9884105666915</v>
      </c>
      <c r="CR56" s="100">
        <v>4</v>
      </c>
      <c r="CS56" s="100">
        <v>3926.3999999999996</v>
      </c>
      <c r="CT56" s="100">
        <v>5.1512498490520464</v>
      </c>
      <c r="CU56" s="100">
        <v>5056.4668518294884</v>
      </c>
    </row>
    <row r="57" spans="2:99">
      <c r="C57" s="99" t="s">
        <v>223</v>
      </c>
      <c r="D57" s="100">
        <v>6</v>
      </c>
      <c r="E57" s="100">
        <v>8467.2000000000007</v>
      </c>
      <c r="F57" s="100">
        <v>4</v>
      </c>
      <c r="G57" s="100">
        <v>5644.8</v>
      </c>
      <c r="H57" s="100">
        <v>6</v>
      </c>
      <c r="I57" s="100">
        <v>8467.2000000000007</v>
      </c>
      <c r="J57" s="100">
        <v>4.5422129773951951</v>
      </c>
      <c r="K57" s="100">
        <v>6409.9709537000999</v>
      </c>
      <c r="L57" s="100">
        <v>1.4211608050316391</v>
      </c>
      <c r="M57" s="100">
        <v>2005.5421280606492</v>
      </c>
      <c r="N57" s="100">
        <v>7</v>
      </c>
      <c r="O57" s="100">
        <v>9878.4</v>
      </c>
      <c r="P57" s="100">
        <v>5</v>
      </c>
      <c r="Q57" s="100">
        <v>7056</v>
      </c>
      <c r="R57" s="100">
        <v>6</v>
      </c>
      <c r="S57" s="100">
        <v>8467.2000000000007</v>
      </c>
      <c r="T57" s="100">
        <v>4</v>
      </c>
      <c r="U57" s="100">
        <v>5644.8</v>
      </c>
      <c r="V57" s="100">
        <v>2.7713348315188102</v>
      </c>
      <c r="W57" s="100">
        <v>3910.9077142393453</v>
      </c>
      <c r="X57" s="100">
        <v>6</v>
      </c>
      <c r="Y57" s="100">
        <v>8467.2000000000007</v>
      </c>
      <c r="Z57" s="100">
        <v>4</v>
      </c>
      <c r="AA57" s="100">
        <v>5644.8</v>
      </c>
      <c r="AB57" s="100">
        <v>5</v>
      </c>
      <c r="AC57" s="100">
        <v>7056</v>
      </c>
      <c r="AD57" s="100">
        <v>0.84133003290632735</v>
      </c>
      <c r="AE57" s="100">
        <v>1187.2849424374092</v>
      </c>
      <c r="AF57" s="100">
        <v>6</v>
      </c>
      <c r="AG57" s="100">
        <v>8467.2000000000007</v>
      </c>
      <c r="AH57" s="100">
        <v>6</v>
      </c>
      <c r="AI57" s="100">
        <v>8467.2000000000007</v>
      </c>
      <c r="AJ57" s="100">
        <v>5.0000351041704985</v>
      </c>
      <c r="AK57" s="100">
        <v>7056.0495390054075</v>
      </c>
      <c r="AL57" s="100">
        <v>1.0608821122862133</v>
      </c>
      <c r="AM57" s="100">
        <v>1497.1168368583044</v>
      </c>
      <c r="AN57" s="100">
        <v>4.3645416187160701E-4</v>
      </c>
      <c r="AO57" s="100">
        <v>0.61592411323321183</v>
      </c>
      <c r="AP57" s="100">
        <v>1.227558779545282</v>
      </c>
      <c r="AQ57" s="100">
        <v>1732.330949694302</v>
      </c>
      <c r="AR57" s="100">
        <v>4</v>
      </c>
      <c r="AS57" s="100">
        <v>5644.8</v>
      </c>
      <c r="AT57" s="100">
        <v>7</v>
      </c>
      <c r="AU57" s="100">
        <v>9878.4</v>
      </c>
      <c r="AV57" s="100">
        <v>6.080593880457533</v>
      </c>
      <c r="AW57" s="100">
        <v>8580.934084101671</v>
      </c>
      <c r="AX57" s="100">
        <v>1.0510972049856475</v>
      </c>
      <c r="AY57" s="100">
        <v>1483.3083756757458</v>
      </c>
      <c r="AZ57" s="100">
        <v>4</v>
      </c>
      <c r="BA57" s="100">
        <v>5644.8</v>
      </c>
      <c r="BB57" s="100">
        <v>5.5189511692784006</v>
      </c>
      <c r="BC57" s="100">
        <v>7788.343890085679</v>
      </c>
      <c r="BD57" s="100">
        <v>1.5573529307448841</v>
      </c>
      <c r="BE57" s="100">
        <v>2197.7364558671807</v>
      </c>
      <c r="BF57" s="100">
        <v>5.0952688120141572</v>
      </c>
      <c r="BG57" s="100">
        <v>7190.4433475143787</v>
      </c>
      <c r="BH57" s="100">
        <v>5.0269213103490973</v>
      </c>
      <c r="BI57" s="100">
        <v>7093.9913531646462</v>
      </c>
      <c r="BJ57" s="100">
        <v>6</v>
      </c>
      <c r="BK57" s="100">
        <v>8467.2000000000007</v>
      </c>
      <c r="BL57" s="100">
        <v>4.0707078299174881</v>
      </c>
      <c r="BM57" s="100">
        <v>5744.5828895795594</v>
      </c>
      <c r="BN57" s="100">
        <v>5.0282859896950596</v>
      </c>
      <c r="BO57" s="100">
        <v>7095.9171886576687</v>
      </c>
      <c r="BP57" s="100">
        <v>0.20066062997431802</v>
      </c>
      <c r="BQ57" s="100">
        <v>283.17228101975758</v>
      </c>
      <c r="BR57" s="100">
        <v>5</v>
      </c>
      <c r="BS57" s="100">
        <v>7056</v>
      </c>
      <c r="BT57" s="100">
        <v>7.3135166085313443</v>
      </c>
      <c r="BU57" s="100">
        <v>10320.834637959433</v>
      </c>
      <c r="BV57" s="100">
        <v>1.2414101254398429</v>
      </c>
      <c r="BW57" s="100">
        <v>1751.8779690207064</v>
      </c>
      <c r="BX57" s="100">
        <v>0.1460206462254427</v>
      </c>
      <c r="BY57" s="100">
        <v>206.06433595334474</v>
      </c>
      <c r="BZ57" s="100">
        <v>4</v>
      </c>
      <c r="CA57" s="100">
        <v>5644.8</v>
      </c>
      <c r="CB57" s="100">
        <v>6</v>
      </c>
      <c r="CC57" s="100">
        <v>8467.2000000000007</v>
      </c>
      <c r="CD57" s="100">
        <v>5</v>
      </c>
      <c r="CE57" s="100">
        <v>7056</v>
      </c>
      <c r="CF57" s="100">
        <v>7.2844609491810965</v>
      </c>
      <c r="CG57" s="100">
        <v>10279.831291484365</v>
      </c>
      <c r="CH57" s="100">
        <v>5.4316247412425325</v>
      </c>
      <c r="CI57" s="100">
        <v>7665.1088348414623</v>
      </c>
      <c r="CJ57" s="100">
        <v>4</v>
      </c>
      <c r="CK57" s="100">
        <v>5644.8</v>
      </c>
      <c r="CL57" s="100">
        <v>6</v>
      </c>
      <c r="CM57" s="100">
        <v>8467.2000000000007</v>
      </c>
      <c r="CN57" s="100">
        <v>2.9345739325515132</v>
      </c>
      <c r="CO57" s="100">
        <v>4141.2707336166959</v>
      </c>
      <c r="CP57" s="100">
        <v>2.7966390202751918E-4</v>
      </c>
      <c r="CQ57" s="100">
        <v>0.39466169854123506</v>
      </c>
      <c r="CR57" s="100">
        <v>0.76594911134932309</v>
      </c>
      <c r="CS57" s="100">
        <v>1080.9073859361647</v>
      </c>
      <c r="CT57" s="100">
        <v>4</v>
      </c>
      <c r="CU57" s="100">
        <v>5644.8</v>
      </c>
    </row>
    <row r="58" spans="2:99">
      <c r="C58" s="99" t="s">
        <v>224</v>
      </c>
      <c r="D58" s="100">
        <v>6.0872146563648668</v>
      </c>
      <c r="E58" s="100">
        <v>7165.869093472721</v>
      </c>
      <c r="F58" s="100">
        <v>4.2547576679598027</v>
      </c>
      <c r="G58" s="100">
        <v>5008.7007267222798</v>
      </c>
      <c r="H58" s="100">
        <v>7</v>
      </c>
      <c r="I58" s="100">
        <v>8240.4</v>
      </c>
      <c r="J58" s="100">
        <v>4.487425351889744</v>
      </c>
      <c r="K58" s="100">
        <v>5282.5971242446067</v>
      </c>
      <c r="L58" s="100">
        <v>4</v>
      </c>
      <c r="M58" s="100">
        <v>4708.8</v>
      </c>
      <c r="N58" s="100">
        <v>7</v>
      </c>
      <c r="O58" s="100">
        <v>8240.4</v>
      </c>
      <c r="P58" s="100">
        <v>5</v>
      </c>
      <c r="Q58" s="100">
        <v>5886</v>
      </c>
      <c r="R58" s="100">
        <v>6</v>
      </c>
      <c r="S58" s="100">
        <v>7063.2000000000007</v>
      </c>
      <c r="T58" s="100">
        <v>4</v>
      </c>
      <c r="U58" s="100">
        <v>4708.8</v>
      </c>
      <c r="V58" s="100">
        <v>4</v>
      </c>
      <c r="W58" s="100">
        <v>4708.8</v>
      </c>
      <c r="X58" s="100">
        <v>7</v>
      </c>
      <c r="Y58" s="100">
        <v>8240.4</v>
      </c>
      <c r="Z58" s="100">
        <v>4</v>
      </c>
      <c r="AA58" s="100">
        <v>4708.8</v>
      </c>
      <c r="AB58" s="100">
        <v>5</v>
      </c>
      <c r="AC58" s="100">
        <v>5886</v>
      </c>
      <c r="AD58" s="100">
        <v>4</v>
      </c>
      <c r="AE58" s="100">
        <v>4708.8</v>
      </c>
      <c r="AF58" s="100">
        <v>7</v>
      </c>
      <c r="AG58" s="100">
        <v>8240.4</v>
      </c>
      <c r="AH58" s="100">
        <v>7.3795595733251949</v>
      </c>
      <c r="AI58" s="100">
        <v>8687.2175297184203</v>
      </c>
      <c r="AJ58" s="100">
        <v>5.2710851179845539</v>
      </c>
      <c r="AK58" s="100">
        <v>6205.1214008914167</v>
      </c>
      <c r="AL58" s="100">
        <v>6.0000310104111829</v>
      </c>
      <c r="AM58" s="100">
        <v>7063.2365054560451</v>
      </c>
      <c r="AN58" s="100">
        <v>1.7998607146284777</v>
      </c>
      <c r="AO58" s="100">
        <v>2118.796033260644</v>
      </c>
      <c r="AP58" s="100">
        <v>2.1642356691546429</v>
      </c>
      <c r="AQ58" s="100">
        <v>2547.7382297288459</v>
      </c>
      <c r="AR58" s="100">
        <v>4</v>
      </c>
      <c r="AS58" s="100">
        <v>4708.8</v>
      </c>
      <c r="AT58" s="100">
        <v>6.0144556811421799</v>
      </c>
      <c r="AU58" s="100">
        <v>7080.2172278405742</v>
      </c>
      <c r="AV58" s="100">
        <v>6.2987729681534024</v>
      </c>
      <c r="AW58" s="100">
        <v>7414.9155381101855</v>
      </c>
      <c r="AX58" s="100">
        <v>4.6518674951177905</v>
      </c>
      <c r="AY58" s="100">
        <v>5476.1784152526634</v>
      </c>
      <c r="AZ58" s="100">
        <v>2.4484511372761224</v>
      </c>
      <c r="BA58" s="100">
        <v>2882.3166788014514</v>
      </c>
      <c r="BB58" s="100">
        <v>6</v>
      </c>
      <c r="BC58" s="100">
        <v>7063.2000000000007</v>
      </c>
      <c r="BD58" s="100">
        <v>7</v>
      </c>
      <c r="BE58" s="100">
        <v>8240.4</v>
      </c>
      <c r="BF58" s="100">
        <v>2.1308274386966928</v>
      </c>
      <c r="BG58" s="100">
        <v>2508.4100608337467</v>
      </c>
      <c r="BH58" s="100">
        <v>5.4875626152803578</v>
      </c>
      <c r="BI58" s="100">
        <v>6459.9587107080379</v>
      </c>
      <c r="BJ58" s="100">
        <v>1.4514153372856295</v>
      </c>
      <c r="BK58" s="100">
        <v>1708.6061350526431</v>
      </c>
      <c r="BL58" s="100">
        <v>4</v>
      </c>
      <c r="BM58" s="100">
        <v>4708.8</v>
      </c>
      <c r="BN58" s="100">
        <v>7</v>
      </c>
      <c r="BO58" s="100">
        <v>8240.4</v>
      </c>
      <c r="BP58" s="100">
        <v>6</v>
      </c>
      <c r="BQ58" s="100">
        <v>7063.2000000000007</v>
      </c>
      <c r="BR58" s="100">
        <v>4</v>
      </c>
      <c r="BS58" s="100">
        <v>4708.8</v>
      </c>
      <c r="BT58" s="100">
        <v>7</v>
      </c>
      <c r="BU58" s="100">
        <v>8240.4</v>
      </c>
      <c r="BV58" s="100">
        <v>4</v>
      </c>
      <c r="BW58" s="100">
        <v>4708.8</v>
      </c>
      <c r="BX58" s="100">
        <v>4</v>
      </c>
      <c r="BY58" s="100">
        <v>4708.8</v>
      </c>
      <c r="BZ58" s="100">
        <v>4</v>
      </c>
      <c r="CA58" s="100">
        <v>4708.8</v>
      </c>
      <c r="CB58" s="100">
        <v>7.1560438040911727</v>
      </c>
      <c r="CC58" s="100">
        <v>8424.0947661761293</v>
      </c>
      <c r="CD58" s="100">
        <v>5</v>
      </c>
      <c r="CE58" s="100">
        <v>5886</v>
      </c>
      <c r="CF58" s="100">
        <v>7</v>
      </c>
      <c r="CG58" s="100">
        <v>8240.4</v>
      </c>
      <c r="CH58" s="100">
        <v>6</v>
      </c>
      <c r="CI58" s="100">
        <v>7063.2000000000007</v>
      </c>
      <c r="CJ58" s="100">
        <v>4</v>
      </c>
      <c r="CK58" s="100">
        <v>4708.8</v>
      </c>
      <c r="CL58" s="100">
        <v>7</v>
      </c>
      <c r="CM58" s="100">
        <v>8240.4</v>
      </c>
      <c r="CN58" s="100">
        <v>5</v>
      </c>
      <c r="CO58" s="100">
        <v>5886</v>
      </c>
      <c r="CP58" s="100">
        <v>3.1180351194275242</v>
      </c>
      <c r="CQ58" s="100">
        <v>3670.5509425900818</v>
      </c>
      <c r="CR58" s="100">
        <v>4</v>
      </c>
      <c r="CS58" s="100">
        <v>4708.8</v>
      </c>
      <c r="CT58" s="100">
        <v>4</v>
      </c>
      <c r="CU58" s="100">
        <v>4708.8</v>
      </c>
    </row>
    <row r="59" spans="2:99">
      <c r="C59" s="99" t="s">
        <v>225</v>
      </c>
      <c r="D59" s="100">
        <v>6</v>
      </c>
      <c r="E59" s="100">
        <v>1821.6</v>
      </c>
      <c r="F59" s="100">
        <v>4</v>
      </c>
      <c r="G59" s="100">
        <v>1214.3999999999999</v>
      </c>
      <c r="H59" s="100">
        <v>6</v>
      </c>
      <c r="I59" s="100">
        <v>1821.6</v>
      </c>
      <c r="J59" s="100">
        <v>4.5422129773951951</v>
      </c>
      <c r="K59" s="100">
        <v>1379.0158599371812</v>
      </c>
      <c r="L59" s="100">
        <v>1.7764510062895489</v>
      </c>
      <c r="M59" s="100">
        <v>539.33052550950697</v>
      </c>
      <c r="N59" s="100">
        <v>7</v>
      </c>
      <c r="O59" s="100">
        <v>2125.1999999999998</v>
      </c>
      <c r="P59" s="100">
        <v>6</v>
      </c>
      <c r="Q59" s="100">
        <v>1821.6</v>
      </c>
      <c r="R59" s="100">
        <v>6</v>
      </c>
      <c r="S59" s="100">
        <v>1821.6</v>
      </c>
      <c r="T59" s="100">
        <v>4</v>
      </c>
      <c r="U59" s="100">
        <v>1214.3999999999999</v>
      </c>
      <c r="V59" s="100">
        <v>2.7713348315188102</v>
      </c>
      <c r="W59" s="100">
        <v>841.37725484911073</v>
      </c>
      <c r="X59" s="100">
        <v>6</v>
      </c>
      <c r="Y59" s="100">
        <v>1821.6</v>
      </c>
      <c r="Z59" s="100">
        <v>4</v>
      </c>
      <c r="AA59" s="100">
        <v>1214.3999999999999</v>
      </c>
      <c r="AB59" s="100">
        <v>5.416161100596689</v>
      </c>
      <c r="AC59" s="100">
        <v>1644.3465101411546</v>
      </c>
      <c r="AD59" s="100">
        <v>1.1217733772084364</v>
      </c>
      <c r="AE59" s="100">
        <v>340.57039732048128</v>
      </c>
      <c r="AF59" s="100">
        <v>7</v>
      </c>
      <c r="AG59" s="100">
        <v>2125.1999999999998</v>
      </c>
      <c r="AH59" s="100">
        <v>6</v>
      </c>
      <c r="AI59" s="100">
        <v>1821.6</v>
      </c>
      <c r="AJ59" s="100">
        <v>6.0000351041704985</v>
      </c>
      <c r="AK59" s="100">
        <v>1821.6106576261632</v>
      </c>
      <c r="AL59" s="100">
        <v>1.2376944281653626</v>
      </c>
      <c r="AM59" s="100">
        <v>375.76402839100405</v>
      </c>
      <c r="AN59" s="100">
        <v>5.3888104325171911E-4</v>
      </c>
      <c r="AO59" s="100">
        <v>0.16360428473122191</v>
      </c>
      <c r="AP59" s="100">
        <v>1.227558779545282</v>
      </c>
      <c r="AQ59" s="100">
        <v>372.68684546994757</v>
      </c>
      <c r="AR59" s="100">
        <v>4</v>
      </c>
      <c r="AS59" s="100">
        <v>1214.3999999999999</v>
      </c>
      <c r="AT59" s="100">
        <v>7</v>
      </c>
      <c r="AU59" s="100">
        <v>2125.1999999999998</v>
      </c>
      <c r="AV59" s="100">
        <v>7.047196576746015</v>
      </c>
      <c r="AW59" s="100">
        <v>2139.5288807000898</v>
      </c>
      <c r="AX59" s="100">
        <v>1.2613166459827774</v>
      </c>
      <c r="AY59" s="100">
        <v>382.93573372037116</v>
      </c>
      <c r="AZ59" s="100">
        <v>4</v>
      </c>
      <c r="BA59" s="100">
        <v>1214.3999999999999</v>
      </c>
      <c r="BB59" s="100">
        <v>6.56612854830371</v>
      </c>
      <c r="BC59" s="100">
        <v>1993.4766272650061</v>
      </c>
      <c r="BD59" s="100">
        <v>1.8144634589143231</v>
      </c>
      <c r="BE59" s="100">
        <v>550.87110612638844</v>
      </c>
      <c r="BF59" s="100">
        <v>5.0952688120141572</v>
      </c>
      <c r="BG59" s="100">
        <v>1546.9236113274978</v>
      </c>
      <c r="BH59" s="100">
        <v>5.0269213103490973</v>
      </c>
      <c r="BI59" s="100">
        <v>1526.1733098219859</v>
      </c>
      <c r="BJ59" s="100">
        <v>7</v>
      </c>
      <c r="BK59" s="100">
        <v>2125.1999999999998</v>
      </c>
      <c r="BL59" s="100">
        <v>4.1033507218901404</v>
      </c>
      <c r="BM59" s="100">
        <v>1245.7772791658465</v>
      </c>
      <c r="BN59" s="100">
        <v>4.3267193473324239</v>
      </c>
      <c r="BO59" s="100">
        <v>1313.5919938501238</v>
      </c>
      <c r="BP59" s="100">
        <v>0.20066062997431802</v>
      </c>
      <c r="BQ59" s="100">
        <v>60.920567260202944</v>
      </c>
      <c r="BR59" s="100">
        <v>4</v>
      </c>
      <c r="BS59" s="100">
        <v>1214.3999999999999</v>
      </c>
      <c r="BT59" s="100">
        <v>7.358304695464394</v>
      </c>
      <c r="BU59" s="100">
        <v>2233.98130554299</v>
      </c>
      <c r="BV59" s="100">
        <v>1.5447086339952396</v>
      </c>
      <c r="BW59" s="100">
        <v>468.97354128095469</v>
      </c>
      <c r="BX59" s="100">
        <v>0.1460206462254427</v>
      </c>
      <c r="BY59" s="100">
        <v>44.331868194044397</v>
      </c>
      <c r="BZ59" s="100">
        <v>4</v>
      </c>
      <c r="CA59" s="100">
        <v>1214.3999999999999</v>
      </c>
      <c r="CB59" s="100">
        <v>7</v>
      </c>
      <c r="CC59" s="100">
        <v>2125.1999999999998</v>
      </c>
      <c r="CD59" s="100">
        <v>5</v>
      </c>
      <c r="CE59" s="100">
        <v>1517.9999999999998</v>
      </c>
      <c r="CF59" s="100">
        <v>7.2844609491810965</v>
      </c>
      <c r="CG59" s="100">
        <v>2211.5623441713806</v>
      </c>
      <c r="CH59" s="100">
        <v>6.3368955314496214</v>
      </c>
      <c r="CI59" s="100">
        <v>1923.8814833481049</v>
      </c>
      <c r="CJ59" s="100">
        <v>4</v>
      </c>
      <c r="CK59" s="100">
        <v>1214.3999999999999</v>
      </c>
      <c r="CL59" s="100">
        <v>8</v>
      </c>
      <c r="CM59" s="100">
        <v>2428.7999999999997</v>
      </c>
      <c r="CN59" s="100">
        <v>3.6499854438278172</v>
      </c>
      <c r="CO59" s="100">
        <v>1108.1355807461252</v>
      </c>
      <c r="CP59" s="100">
        <v>3.331442635746968E-4</v>
      </c>
      <c r="CQ59" s="100">
        <v>0.10114259842127794</v>
      </c>
      <c r="CR59" s="100">
        <v>1.0212654817990974</v>
      </c>
      <c r="CS59" s="100">
        <v>310.05620027420593</v>
      </c>
      <c r="CT59" s="100">
        <v>5</v>
      </c>
      <c r="CU59" s="100">
        <v>1517.9999999999998</v>
      </c>
    </row>
    <row r="60" spans="2:99">
      <c r="C60" s="99" t="s">
        <v>226</v>
      </c>
      <c r="D60" s="100">
        <v>6</v>
      </c>
      <c r="E60" s="100">
        <v>3909.6000000000004</v>
      </c>
      <c r="F60" s="100">
        <v>4</v>
      </c>
      <c r="G60" s="100">
        <v>2606.4</v>
      </c>
      <c r="H60" s="100">
        <v>6</v>
      </c>
      <c r="I60" s="100">
        <v>3909.6000000000004</v>
      </c>
      <c r="J60" s="100">
        <v>5.5422129773951951</v>
      </c>
      <c r="K60" s="100">
        <v>3611.3059760707092</v>
      </c>
      <c r="L60" s="100">
        <v>1.7764510062895489</v>
      </c>
      <c r="M60" s="100">
        <v>1157.5354756982701</v>
      </c>
      <c r="N60" s="100">
        <v>6</v>
      </c>
      <c r="O60" s="100">
        <v>3909.6000000000004</v>
      </c>
      <c r="P60" s="100">
        <v>5</v>
      </c>
      <c r="Q60" s="100">
        <v>3258</v>
      </c>
      <c r="R60" s="100">
        <v>7</v>
      </c>
      <c r="S60" s="100">
        <v>4561.2</v>
      </c>
      <c r="T60" s="100">
        <v>4</v>
      </c>
      <c r="U60" s="100">
        <v>2606.4</v>
      </c>
      <c r="V60" s="100">
        <v>2.7713348315188102</v>
      </c>
      <c r="W60" s="100">
        <v>1805.8017762176569</v>
      </c>
      <c r="X60" s="100">
        <v>6</v>
      </c>
      <c r="Y60" s="100">
        <v>3909.6000000000004</v>
      </c>
      <c r="Z60" s="100">
        <v>4</v>
      </c>
      <c r="AA60" s="100">
        <v>2606.4</v>
      </c>
      <c r="AB60" s="100">
        <v>4.416161100596689</v>
      </c>
      <c r="AC60" s="100">
        <v>2877.5705731488029</v>
      </c>
      <c r="AD60" s="100">
        <v>1.1217733772084364</v>
      </c>
      <c r="AE60" s="100">
        <v>730.94753258901721</v>
      </c>
      <c r="AF60" s="100">
        <v>7</v>
      </c>
      <c r="AG60" s="100">
        <v>4561.2</v>
      </c>
      <c r="AH60" s="100">
        <v>7</v>
      </c>
      <c r="AI60" s="100">
        <v>4561.2</v>
      </c>
      <c r="AJ60" s="100">
        <v>5.0000351041704985</v>
      </c>
      <c r="AK60" s="100">
        <v>3258.0228738774967</v>
      </c>
      <c r="AL60" s="100">
        <v>1.0608812905850817</v>
      </c>
      <c r="AM60" s="100">
        <v>691.27024894523925</v>
      </c>
      <c r="AN60" s="100">
        <v>4.3645416187160701E-4</v>
      </c>
      <c r="AO60" s="100">
        <v>0.28439353187553912</v>
      </c>
      <c r="AP60" s="100">
        <v>1.227558779545282</v>
      </c>
      <c r="AQ60" s="100">
        <v>799.87730075170577</v>
      </c>
      <c r="AR60" s="100">
        <v>4</v>
      </c>
      <c r="AS60" s="100">
        <v>2606.4</v>
      </c>
      <c r="AT60" s="100">
        <v>7</v>
      </c>
      <c r="AU60" s="100">
        <v>4561.2</v>
      </c>
      <c r="AV60" s="100">
        <v>6.080593880457533</v>
      </c>
      <c r="AW60" s="100">
        <v>3962.1149725061287</v>
      </c>
      <c r="AX60" s="100">
        <v>1.2613166459827774</v>
      </c>
      <c r="AY60" s="100">
        <v>821.87392652237781</v>
      </c>
      <c r="AZ60" s="100">
        <v>4</v>
      </c>
      <c r="BA60" s="100">
        <v>2606.4</v>
      </c>
      <c r="BB60" s="100">
        <v>6.5189511692784006</v>
      </c>
      <c r="BC60" s="100">
        <v>4247.7485819018057</v>
      </c>
      <c r="BD60" s="100">
        <v>1.5588219069177089</v>
      </c>
      <c r="BE60" s="100">
        <v>1015.7283545475792</v>
      </c>
      <c r="BF60" s="100">
        <v>5.0952688120141572</v>
      </c>
      <c r="BG60" s="100">
        <v>3320.0771579084249</v>
      </c>
      <c r="BH60" s="100">
        <v>5.0269213103490973</v>
      </c>
      <c r="BI60" s="100">
        <v>3275.541925823472</v>
      </c>
      <c r="BJ60" s="100">
        <v>6</v>
      </c>
      <c r="BK60" s="100">
        <v>3909.6000000000004</v>
      </c>
      <c r="BL60" s="100">
        <v>4.0707078299174881</v>
      </c>
      <c r="BM60" s="100">
        <v>2652.4732219742355</v>
      </c>
      <c r="BN60" s="100">
        <v>4.3211327048011574</v>
      </c>
      <c r="BO60" s="100">
        <v>2815.6500704484342</v>
      </c>
      <c r="BP60" s="100">
        <v>0.20066062997431802</v>
      </c>
      <c r="BQ60" s="100">
        <v>130.75046649126563</v>
      </c>
      <c r="BR60" s="100">
        <v>5</v>
      </c>
      <c r="BS60" s="100">
        <v>3258</v>
      </c>
      <c r="BT60" s="100">
        <v>7.3135166085313443</v>
      </c>
      <c r="BU60" s="100">
        <v>4765.4874221190239</v>
      </c>
      <c r="BV60" s="100">
        <v>1.2414101254398429</v>
      </c>
      <c r="BW60" s="100">
        <v>808.90283773660167</v>
      </c>
      <c r="BX60" s="100">
        <v>0.1460206462254427</v>
      </c>
      <c r="BY60" s="100">
        <v>95.147053080498466</v>
      </c>
      <c r="BZ60" s="100">
        <v>4</v>
      </c>
      <c r="CA60" s="100">
        <v>2606.4</v>
      </c>
      <c r="CB60" s="100">
        <v>7</v>
      </c>
      <c r="CC60" s="100">
        <v>4561.2</v>
      </c>
      <c r="CD60" s="100">
        <v>5</v>
      </c>
      <c r="CE60" s="100">
        <v>3258</v>
      </c>
      <c r="CF60" s="100">
        <v>7.2844609491810965</v>
      </c>
      <c r="CG60" s="100">
        <v>4746.554754486403</v>
      </c>
      <c r="CH60" s="100">
        <v>6.3368955314496214</v>
      </c>
      <c r="CI60" s="100">
        <v>4129.1211282925733</v>
      </c>
      <c r="CJ60" s="100">
        <v>4</v>
      </c>
      <c r="CK60" s="100">
        <v>2606.4</v>
      </c>
      <c r="CL60" s="100">
        <v>7</v>
      </c>
      <c r="CM60" s="100">
        <v>4561.2</v>
      </c>
      <c r="CN60" s="100">
        <v>3.6499854438278172</v>
      </c>
      <c r="CO60" s="100">
        <v>2378.3305151982058</v>
      </c>
      <c r="CP60" s="100">
        <v>3.331442635746968E-4</v>
      </c>
      <c r="CQ60" s="100">
        <v>0.21707680214527245</v>
      </c>
      <c r="CR60" s="100">
        <v>1.0212654817990974</v>
      </c>
      <c r="CS60" s="100">
        <v>665.45658794029191</v>
      </c>
      <c r="CT60" s="100">
        <v>5</v>
      </c>
      <c r="CU60" s="100">
        <v>3258</v>
      </c>
    </row>
    <row r="61" spans="2:99">
      <c r="C61" s="99" t="s">
        <v>227</v>
      </c>
      <c r="D61" s="100">
        <v>6</v>
      </c>
      <c r="E61" s="100">
        <v>5709.5999999999995</v>
      </c>
      <c r="F61" s="100">
        <v>4</v>
      </c>
      <c r="G61" s="100">
        <v>3806.3999999999996</v>
      </c>
      <c r="H61" s="100">
        <v>6</v>
      </c>
      <c r="I61" s="100">
        <v>5709.5999999999995</v>
      </c>
      <c r="J61" s="100">
        <v>4.5422129773951951</v>
      </c>
      <c r="K61" s="100">
        <v>4322.3698692892676</v>
      </c>
      <c r="L61" s="100">
        <v>1.4211608050316391</v>
      </c>
      <c r="M61" s="100">
        <v>1352.3766220681077</v>
      </c>
      <c r="N61" s="100">
        <v>7</v>
      </c>
      <c r="O61" s="100">
        <v>6661.1999999999989</v>
      </c>
      <c r="P61" s="100">
        <v>6</v>
      </c>
      <c r="Q61" s="100">
        <v>5709.5999999999995</v>
      </c>
      <c r="R61" s="100">
        <v>7</v>
      </c>
      <c r="S61" s="100">
        <v>6661.1999999999989</v>
      </c>
      <c r="T61" s="100">
        <v>4</v>
      </c>
      <c r="U61" s="100">
        <v>3806.3999999999996</v>
      </c>
      <c r="V61" s="100">
        <v>2.7713348315188102</v>
      </c>
      <c r="W61" s="100">
        <v>2637.2022256732994</v>
      </c>
      <c r="X61" s="100">
        <v>6</v>
      </c>
      <c r="Y61" s="100">
        <v>5709.5999999999995</v>
      </c>
      <c r="Z61" s="100">
        <v>4</v>
      </c>
      <c r="AA61" s="100">
        <v>3806.3999999999996</v>
      </c>
      <c r="AB61" s="100">
        <v>4</v>
      </c>
      <c r="AC61" s="100">
        <v>3806.3999999999996</v>
      </c>
      <c r="AD61" s="100">
        <v>0.84133003290632735</v>
      </c>
      <c r="AE61" s="100">
        <v>800.60965931366104</v>
      </c>
      <c r="AF61" s="100">
        <v>6</v>
      </c>
      <c r="AG61" s="100">
        <v>5709.5999999999995</v>
      </c>
      <c r="AH61" s="100">
        <v>7</v>
      </c>
      <c r="AI61" s="100">
        <v>6661.1999999999989</v>
      </c>
      <c r="AJ61" s="100">
        <v>5.0000351041704985</v>
      </c>
      <c r="AK61" s="100">
        <v>4758.0334051286454</v>
      </c>
      <c r="AL61" s="100">
        <v>1.237693606464231</v>
      </c>
      <c r="AM61" s="100">
        <v>1177.7892359113621</v>
      </c>
      <c r="AN61" s="100">
        <v>5.3506009520155353E-4</v>
      </c>
      <c r="AO61" s="100">
        <v>0.50916318659379833</v>
      </c>
      <c r="AP61" s="100">
        <v>1.227558779545282</v>
      </c>
      <c r="AQ61" s="100">
        <v>1168.1449346152904</v>
      </c>
      <c r="AR61" s="100">
        <v>4</v>
      </c>
      <c r="AS61" s="100">
        <v>3806.3999999999996</v>
      </c>
      <c r="AT61" s="100">
        <v>7</v>
      </c>
      <c r="AU61" s="100">
        <v>6661.1999999999989</v>
      </c>
      <c r="AV61" s="100">
        <v>6.0404542086394422</v>
      </c>
      <c r="AW61" s="100">
        <v>5748.0962249412923</v>
      </c>
      <c r="AX61" s="100">
        <v>1.0510972049856475</v>
      </c>
      <c r="AY61" s="100">
        <v>1000.224100264342</v>
      </c>
      <c r="AZ61" s="100">
        <v>4</v>
      </c>
      <c r="BA61" s="100">
        <v>3806.3999999999996</v>
      </c>
      <c r="BB61" s="100">
        <v>5.5189511692784006</v>
      </c>
      <c r="BC61" s="100">
        <v>5251.8339326853256</v>
      </c>
      <c r="BD61" s="100">
        <v>1.8129944827414981</v>
      </c>
      <c r="BE61" s="100">
        <v>1725.2455497768094</v>
      </c>
      <c r="BF61" s="100">
        <v>4.2460573433451314</v>
      </c>
      <c r="BG61" s="100">
        <v>4040.5481679272266</v>
      </c>
      <c r="BH61" s="100">
        <v>4</v>
      </c>
      <c r="BI61" s="100">
        <v>3806.3999999999996</v>
      </c>
      <c r="BJ61" s="100">
        <v>6</v>
      </c>
      <c r="BK61" s="100">
        <v>5709.5999999999995</v>
      </c>
      <c r="BL61" s="100">
        <v>4.0707078299174881</v>
      </c>
      <c r="BM61" s="100">
        <v>3873.6855709494812</v>
      </c>
      <c r="BN61" s="100">
        <v>5.033872632226327</v>
      </c>
      <c r="BO61" s="100">
        <v>4790.2331968265726</v>
      </c>
      <c r="BP61" s="100">
        <v>0.20066062997431802</v>
      </c>
      <c r="BQ61" s="100">
        <v>190.948655483561</v>
      </c>
      <c r="BR61" s="100">
        <v>4</v>
      </c>
      <c r="BS61" s="100">
        <v>3806.3999999999996</v>
      </c>
      <c r="BT61" s="100">
        <v>7.3135166085313443</v>
      </c>
      <c r="BU61" s="100">
        <v>6959.5424046784265</v>
      </c>
      <c r="BV61" s="100">
        <v>1.2392396568845925</v>
      </c>
      <c r="BW61" s="100">
        <v>1179.260457491378</v>
      </c>
      <c r="BX61" s="100">
        <v>0.1460206462254427</v>
      </c>
      <c r="BY61" s="100">
        <v>138.95324694813127</v>
      </c>
      <c r="BZ61" s="100">
        <v>5</v>
      </c>
      <c r="CA61" s="100">
        <v>4758</v>
      </c>
      <c r="CB61" s="100">
        <v>7</v>
      </c>
      <c r="CC61" s="100">
        <v>6661.1999999999989</v>
      </c>
      <c r="CD61" s="100">
        <v>4</v>
      </c>
      <c r="CE61" s="100">
        <v>3806.3999999999996</v>
      </c>
      <c r="CF61" s="100">
        <v>7.2438236707266537</v>
      </c>
      <c r="CG61" s="100">
        <v>6893.2226050634827</v>
      </c>
      <c r="CH61" s="100">
        <v>5.4316247412425325</v>
      </c>
      <c r="CI61" s="100">
        <v>5168.7341037663937</v>
      </c>
      <c r="CJ61" s="100">
        <v>4</v>
      </c>
      <c r="CK61" s="100">
        <v>3806.3999999999996</v>
      </c>
      <c r="CL61" s="100">
        <v>7</v>
      </c>
      <c r="CM61" s="100">
        <v>6661.1999999999989</v>
      </c>
      <c r="CN61" s="100">
        <v>2.9467285804592303</v>
      </c>
      <c r="CO61" s="100">
        <v>2804.1069171650033</v>
      </c>
      <c r="CP61" s="100">
        <v>2.7966390202751918E-4</v>
      </c>
      <c r="CQ61" s="100">
        <v>0.2661281691693872</v>
      </c>
      <c r="CR61" s="100">
        <v>1.0212654817990974</v>
      </c>
      <c r="CS61" s="100">
        <v>971.83623248002095</v>
      </c>
      <c r="CT61" s="100">
        <v>5</v>
      </c>
      <c r="CU61" s="100">
        <v>4758</v>
      </c>
    </row>
    <row r="62" spans="2:99">
      <c r="C62" s="99" t="s">
        <v>228</v>
      </c>
      <c r="D62" s="100">
        <v>5.8305830583058276</v>
      </c>
      <c r="E62" s="100">
        <v>9732.4092409240875</v>
      </c>
      <c r="F62" s="100">
        <v>2.7637790105697615</v>
      </c>
      <c r="G62" s="100">
        <v>4613.2999244430457</v>
      </c>
      <c r="H62" s="100">
        <v>0.51863961134312753</v>
      </c>
      <c r="I62" s="100">
        <v>865.71323925394847</v>
      </c>
      <c r="J62" s="100">
        <v>4</v>
      </c>
      <c r="K62" s="100">
        <v>6676.8</v>
      </c>
      <c r="L62" s="100">
        <v>4</v>
      </c>
      <c r="M62" s="100">
        <v>6676.8</v>
      </c>
      <c r="N62" s="100">
        <v>6</v>
      </c>
      <c r="O62" s="100">
        <v>10015.200000000001</v>
      </c>
      <c r="P62" s="100">
        <v>5</v>
      </c>
      <c r="Q62" s="100">
        <v>8346</v>
      </c>
      <c r="R62" s="100">
        <v>4.8416601803462589</v>
      </c>
      <c r="S62" s="100">
        <v>8081.699173033976</v>
      </c>
      <c r="T62" s="100">
        <v>1.6040340139037905</v>
      </c>
      <c r="U62" s="100">
        <v>2677.4535760082072</v>
      </c>
      <c r="V62" s="100">
        <v>2.335889958172066</v>
      </c>
      <c r="W62" s="100">
        <v>3899.0675181808128</v>
      </c>
      <c r="X62" s="100">
        <v>4.8780487804878065</v>
      </c>
      <c r="Y62" s="100">
        <v>8142.4390243902471</v>
      </c>
      <c r="Z62" s="100">
        <v>4</v>
      </c>
      <c r="AA62" s="100">
        <v>6676.8</v>
      </c>
      <c r="AB62" s="100">
        <v>5</v>
      </c>
      <c r="AC62" s="100">
        <v>8346</v>
      </c>
      <c r="AD62" s="100">
        <v>4.2305880467873731</v>
      </c>
      <c r="AE62" s="100">
        <v>7061.6975676974835</v>
      </c>
      <c r="AF62" s="100">
        <v>7</v>
      </c>
      <c r="AG62" s="100">
        <v>11684.4</v>
      </c>
      <c r="AH62" s="100">
        <v>6</v>
      </c>
      <c r="AI62" s="100">
        <v>10015.200000000001</v>
      </c>
      <c r="AJ62" s="100">
        <v>5.0269652489325454</v>
      </c>
      <c r="AK62" s="100">
        <v>8391.0103935182051</v>
      </c>
      <c r="AL62" s="100">
        <v>7.3988330305880954</v>
      </c>
      <c r="AM62" s="100">
        <v>12350.132094657649</v>
      </c>
      <c r="AN62" s="100">
        <v>4</v>
      </c>
      <c r="AO62" s="100">
        <v>6676.8</v>
      </c>
      <c r="AP62" s="100">
        <v>5.2661837935717521</v>
      </c>
      <c r="AQ62" s="100">
        <v>8790.3139882299693</v>
      </c>
      <c r="AR62" s="100">
        <v>4</v>
      </c>
      <c r="AS62" s="100">
        <v>6676.8</v>
      </c>
      <c r="AT62" s="100">
        <v>7.213252046991812</v>
      </c>
      <c r="AU62" s="100">
        <v>12040.360316838733</v>
      </c>
      <c r="AV62" s="100">
        <v>4.0018005799348568</v>
      </c>
      <c r="AW62" s="100">
        <v>6679.8055280272629</v>
      </c>
      <c r="AX62" s="100">
        <v>5.2107061994726962</v>
      </c>
      <c r="AY62" s="100">
        <v>8697.710788159824</v>
      </c>
      <c r="AZ62" s="100">
        <v>3.9775640928189371</v>
      </c>
      <c r="BA62" s="100">
        <v>6639.3499837333702</v>
      </c>
      <c r="BB62" s="100">
        <v>3.821099401749275</v>
      </c>
      <c r="BC62" s="100">
        <v>6378.1791213998904</v>
      </c>
      <c r="BD62" s="100">
        <v>2.5017219910028086</v>
      </c>
      <c r="BE62" s="100">
        <v>4175.8743473818886</v>
      </c>
      <c r="BF62" s="100">
        <v>3.7645116258133564</v>
      </c>
      <c r="BG62" s="100">
        <v>6283.7228058076544</v>
      </c>
      <c r="BH62" s="100">
        <v>1.3658928280456015</v>
      </c>
      <c r="BI62" s="100">
        <v>2279.9483085737184</v>
      </c>
      <c r="BJ62" s="100">
        <v>5.6156711714425747</v>
      </c>
      <c r="BK62" s="100">
        <v>9373.6783193719457</v>
      </c>
      <c r="BL62" s="100">
        <v>3.3242001428402892</v>
      </c>
      <c r="BM62" s="100">
        <v>5548.7548784290111</v>
      </c>
      <c r="BN62" s="100">
        <v>5.8670733975752745</v>
      </c>
      <c r="BO62" s="100">
        <v>9793.3189152326486</v>
      </c>
      <c r="BP62" s="100">
        <v>3.3589985571217675</v>
      </c>
      <c r="BQ62" s="100">
        <v>5606.8403915476547</v>
      </c>
      <c r="BR62" s="100">
        <v>4</v>
      </c>
      <c r="BS62" s="100">
        <v>6676.8</v>
      </c>
      <c r="BT62" s="100">
        <v>6</v>
      </c>
      <c r="BU62" s="100">
        <v>10015.200000000001</v>
      </c>
      <c r="BV62" s="100">
        <v>4.2939000609952647</v>
      </c>
      <c r="BW62" s="100">
        <v>7167.3779818132962</v>
      </c>
      <c r="BX62" s="100">
        <v>1.3749427390358435</v>
      </c>
      <c r="BY62" s="100">
        <v>2295.0544199986302</v>
      </c>
      <c r="BZ62" s="100">
        <v>1.34104216151179</v>
      </c>
      <c r="CA62" s="100">
        <v>2238.4675759954798</v>
      </c>
      <c r="CB62" s="100">
        <v>4.8608921189353715</v>
      </c>
      <c r="CC62" s="100">
        <v>8113.8011249269221</v>
      </c>
      <c r="CD62" s="100">
        <v>3.2148429591211203</v>
      </c>
      <c r="CE62" s="100">
        <v>5366.2158673649737</v>
      </c>
      <c r="CF62" s="100">
        <v>5.8181726934666518</v>
      </c>
      <c r="CG62" s="100">
        <v>9711.6938599345358</v>
      </c>
      <c r="CH62" s="100">
        <v>6</v>
      </c>
      <c r="CI62" s="100">
        <v>10015.200000000001</v>
      </c>
      <c r="CJ62" s="100">
        <v>3.2201364413918623</v>
      </c>
      <c r="CK62" s="100">
        <v>5375.0517479712971</v>
      </c>
      <c r="CL62" s="100">
        <v>6.2542480039844577</v>
      </c>
      <c r="CM62" s="100">
        <v>10439.590768250857</v>
      </c>
      <c r="CN62" s="100">
        <v>3.6042283373553543</v>
      </c>
      <c r="CO62" s="100">
        <v>6016.1779407135573</v>
      </c>
      <c r="CP62" s="100">
        <v>3.2406157401861164</v>
      </c>
      <c r="CQ62" s="100">
        <v>5409.2357935186656</v>
      </c>
      <c r="CR62" s="100">
        <v>3</v>
      </c>
      <c r="CS62" s="100">
        <v>5007.6000000000004</v>
      </c>
      <c r="CT62" s="100">
        <v>5.1512498490520464</v>
      </c>
      <c r="CU62" s="100">
        <v>8598.4662480376755</v>
      </c>
    </row>
    <row r="63" spans="2:99">
      <c r="C63" s="99" t="s">
        <v>229</v>
      </c>
      <c r="D63" s="100">
        <v>6</v>
      </c>
      <c r="E63" s="100">
        <v>4773.6000000000004</v>
      </c>
      <c r="F63" s="100">
        <v>4</v>
      </c>
      <c r="G63" s="100">
        <v>3182.4</v>
      </c>
      <c r="H63" s="100">
        <v>6</v>
      </c>
      <c r="I63" s="100">
        <v>4773.6000000000004</v>
      </c>
      <c r="J63" s="100">
        <v>5.4929208885410867</v>
      </c>
      <c r="K63" s="100">
        <v>4370.1678589232888</v>
      </c>
      <c r="L63" s="100">
        <v>1.4211608050316391</v>
      </c>
      <c r="M63" s="100">
        <v>1130.6755364831722</v>
      </c>
      <c r="N63" s="100">
        <v>7</v>
      </c>
      <c r="O63" s="100">
        <v>5569.2</v>
      </c>
      <c r="P63" s="100">
        <v>5</v>
      </c>
      <c r="Q63" s="100">
        <v>3978</v>
      </c>
      <c r="R63" s="100">
        <v>6</v>
      </c>
      <c r="S63" s="100">
        <v>4773.6000000000004</v>
      </c>
      <c r="T63" s="100">
        <v>4</v>
      </c>
      <c r="U63" s="100">
        <v>3182.4</v>
      </c>
      <c r="V63" s="100">
        <v>2.7713348315188102</v>
      </c>
      <c r="W63" s="100">
        <v>2204.8739919563654</v>
      </c>
      <c r="X63" s="100">
        <v>6</v>
      </c>
      <c r="Y63" s="100">
        <v>4773.6000000000004</v>
      </c>
      <c r="Z63" s="100">
        <v>4</v>
      </c>
      <c r="AA63" s="100">
        <v>3182.4</v>
      </c>
      <c r="AB63" s="100">
        <v>5</v>
      </c>
      <c r="AC63" s="100">
        <v>3978</v>
      </c>
      <c r="AD63" s="100">
        <v>0.84133003290632735</v>
      </c>
      <c r="AE63" s="100">
        <v>669.36217418027411</v>
      </c>
      <c r="AF63" s="100">
        <v>7</v>
      </c>
      <c r="AG63" s="100">
        <v>5569.2</v>
      </c>
      <c r="AH63" s="100">
        <v>7</v>
      </c>
      <c r="AI63" s="100">
        <v>5569.2</v>
      </c>
      <c r="AJ63" s="100">
        <v>5.0000351041704985</v>
      </c>
      <c r="AK63" s="100">
        <v>3978.0279288780489</v>
      </c>
      <c r="AL63" s="100">
        <v>1.237693606464231</v>
      </c>
      <c r="AM63" s="100">
        <v>984.7090333029422</v>
      </c>
      <c r="AN63" s="100">
        <v>4.3645416187160701E-4</v>
      </c>
      <c r="AO63" s="100">
        <v>0.34724293118505056</v>
      </c>
      <c r="AP63" s="100">
        <v>1.227558779545282</v>
      </c>
      <c r="AQ63" s="100">
        <v>976.64576500622638</v>
      </c>
      <c r="AR63" s="100">
        <v>4</v>
      </c>
      <c r="AS63" s="100">
        <v>3182.4</v>
      </c>
      <c r="AT63" s="100">
        <v>7</v>
      </c>
      <c r="AU63" s="100">
        <v>5569.2</v>
      </c>
      <c r="AV63" s="100">
        <v>6.080593880457533</v>
      </c>
      <c r="AW63" s="100">
        <v>4837.7204912920133</v>
      </c>
      <c r="AX63" s="100">
        <v>1.2613166459827774</v>
      </c>
      <c r="AY63" s="100">
        <v>1003.5035235438977</v>
      </c>
      <c r="AZ63" s="100">
        <v>4</v>
      </c>
      <c r="BA63" s="100">
        <v>3182.4</v>
      </c>
      <c r="BB63" s="100">
        <v>6.4717737902530912</v>
      </c>
      <c r="BC63" s="100">
        <v>5148.9432275253594</v>
      </c>
      <c r="BD63" s="100">
        <v>1.5558839545720591</v>
      </c>
      <c r="BE63" s="100">
        <v>1237.8612742575303</v>
      </c>
      <c r="BF63" s="100">
        <v>5.0952688120141572</v>
      </c>
      <c r="BG63" s="100">
        <v>4053.7958668384636</v>
      </c>
      <c r="BH63" s="100">
        <v>5</v>
      </c>
      <c r="BI63" s="100">
        <v>3978</v>
      </c>
      <c r="BJ63" s="100">
        <v>6</v>
      </c>
      <c r="BK63" s="100">
        <v>4773.6000000000004</v>
      </c>
      <c r="BL63" s="100">
        <v>4.0380649379448359</v>
      </c>
      <c r="BM63" s="100">
        <v>3212.6844646289114</v>
      </c>
      <c r="BN63" s="100">
        <v>4.3211327048011574</v>
      </c>
      <c r="BO63" s="100">
        <v>3437.893179939801</v>
      </c>
      <c r="BP63" s="100">
        <v>0.16721719164526505</v>
      </c>
      <c r="BQ63" s="100">
        <v>133.03799767297289</v>
      </c>
      <c r="BR63" s="100">
        <v>5</v>
      </c>
      <c r="BS63" s="100">
        <v>3978</v>
      </c>
      <c r="BT63" s="100">
        <v>6.358304695464394</v>
      </c>
      <c r="BU63" s="100">
        <v>5058.6672157114717</v>
      </c>
      <c r="BV63" s="100">
        <v>1.2392396568845925</v>
      </c>
      <c r="BW63" s="100">
        <v>985.93907101738182</v>
      </c>
      <c r="BX63" s="100">
        <v>0.1460206462254427</v>
      </c>
      <c r="BY63" s="100">
        <v>116.17402613696221</v>
      </c>
      <c r="BZ63" s="100">
        <v>4</v>
      </c>
      <c r="CA63" s="100">
        <v>3182.4</v>
      </c>
      <c r="CB63" s="100">
        <v>7</v>
      </c>
      <c r="CC63" s="100">
        <v>5569.2</v>
      </c>
      <c r="CD63" s="100">
        <v>4</v>
      </c>
      <c r="CE63" s="100">
        <v>3182.4</v>
      </c>
      <c r="CF63" s="100">
        <v>7.2844609491810965</v>
      </c>
      <c r="CG63" s="100">
        <v>5795.5171311684808</v>
      </c>
      <c r="CH63" s="100">
        <v>5.4316247412425325</v>
      </c>
      <c r="CI63" s="100">
        <v>4321.4006441325591</v>
      </c>
      <c r="CJ63" s="100">
        <v>4</v>
      </c>
      <c r="CK63" s="100">
        <v>3182.4</v>
      </c>
      <c r="CL63" s="100">
        <v>7</v>
      </c>
      <c r="CM63" s="100">
        <v>5569.2</v>
      </c>
      <c r="CN63" s="100">
        <v>3.6499854438278172</v>
      </c>
      <c r="CO63" s="100">
        <v>2903.9284191094116</v>
      </c>
      <c r="CP63" s="100">
        <v>3.331442635746968E-4</v>
      </c>
      <c r="CQ63" s="100">
        <v>0.26504957610002877</v>
      </c>
      <c r="CR63" s="100">
        <v>0.76594911134932309</v>
      </c>
      <c r="CS63" s="100">
        <v>609.38911298952144</v>
      </c>
      <c r="CT63" s="100">
        <v>4</v>
      </c>
      <c r="CU63" s="100">
        <v>3182.4</v>
      </c>
    </row>
    <row r="64" spans="2:99">
      <c r="C64" s="99" t="s">
        <v>230</v>
      </c>
      <c r="D64" s="100">
        <v>7</v>
      </c>
      <c r="E64" s="100">
        <v>7064.3999999999987</v>
      </c>
      <c r="F64" s="100">
        <v>4</v>
      </c>
      <c r="G64" s="100">
        <v>4036.7999999999993</v>
      </c>
      <c r="H64" s="100">
        <v>6</v>
      </c>
      <c r="I64" s="100">
        <v>6055.1999999999989</v>
      </c>
      <c r="J64" s="100">
        <v>5.4929208885410867</v>
      </c>
      <c r="K64" s="100">
        <v>5543.4557607156639</v>
      </c>
      <c r="L64" s="100">
        <v>1.4211608050316391</v>
      </c>
      <c r="M64" s="100">
        <v>1434.2354844379299</v>
      </c>
      <c r="N64" s="100">
        <v>6</v>
      </c>
      <c r="O64" s="100">
        <v>6055.1999999999989</v>
      </c>
      <c r="P64" s="100">
        <v>6</v>
      </c>
      <c r="Q64" s="100">
        <v>6055.1999999999989</v>
      </c>
      <c r="R64" s="100">
        <v>7</v>
      </c>
      <c r="S64" s="100">
        <v>7064.3999999999987</v>
      </c>
      <c r="T64" s="100">
        <v>4</v>
      </c>
      <c r="U64" s="100">
        <v>4036.7999999999993</v>
      </c>
      <c r="V64" s="100">
        <v>2.7713348315188102</v>
      </c>
      <c r="W64" s="100">
        <v>2796.8311119687828</v>
      </c>
      <c r="X64" s="100">
        <v>7</v>
      </c>
      <c r="Y64" s="100">
        <v>7064.3999999999987</v>
      </c>
      <c r="Z64" s="100">
        <v>4</v>
      </c>
      <c r="AA64" s="100">
        <v>4036.7999999999993</v>
      </c>
      <c r="AB64" s="100">
        <v>5</v>
      </c>
      <c r="AC64" s="100">
        <v>5045.9999999999991</v>
      </c>
      <c r="AD64" s="100">
        <v>0.84133003290632735</v>
      </c>
      <c r="AE64" s="100">
        <v>849.07026920906537</v>
      </c>
      <c r="AF64" s="100">
        <v>6</v>
      </c>
      <c r="AG64" s="100">
        <v>6055.1999999999989</v>
      </c>
      <c r="AH64" s="100">
        <v>6</v>
      </c>
      <c r="AI64" s="100">
        <v>6055.1999999999989</v>
      </c>
      <c r="AJ64" s="100">
        <v>5.0000401190519979</v>
      </c>
      <c r="AK64" s="100">
        <v>5046.040488147275</v>
      </c>
      <c r="AL64" s="100">
        <v>1.2376944281653626</v>
      </c>
      <c r="AM64" s="100">
        <v>1249.0812169044837</v>
      </c>
      <c r="AN64" s="100">
        <v>4.3263321382144143E-4</v>
      </c>
      <c r="AO64" s="100">
        <v>0.43661343938859859</v>
      </c>
      <c r="AP64" s="100">
        <v>1.227558779545282</v>
      </c>
      <c r="AQ64" s="100">
        <v>1238.8523203170985</v>
      </c>
      <c r="AR64" s="100">
        <v>3</v>
      </c>
      <c r="AS64" s="100">
        <v>3027.5999999999995</v>
      </c>
      <c r="AT64" s="100">
        <v>6</v>
      </c>
      <c r="AU64" s="100">
        <v>6055.1999999999989</v>
      </c>
      <c r="AV64" s="100">
        <v>5.113991184169052</v>
      </c>
      <c r="AW64" s="100">
        <v>5161.0399030634062</v>
      </c>
      <c r="AX64" s="100">
        <v>1.2613166459827774</v>
      </c>
      <c r="AY64" s="100">
        <v>1272.9207591258187</v>
      </c>
      <c r="AZ64" s="100">
        <v>4</v>
      </c>
      <c r="BA64" s="100">
        <v>4036.7999999999993</v>
      </c>
      <c r="BB64" s="100">
        <v>5.4717737902530912</v>
      </c>
      <c r="BC64" s="100">
        <v>5522.1141091234185</v>
      </c>
      <c r="BD64" s="100">
        <v>1.8144634589143231</v>
      </c>
      <c r="BE64" s="100">
        <v>1831.1565227363346</v>
      </c>
      <c r="BF64" s="100">
        <v>5.0952688120141572</v>
      </c>
      <c r="BG64" s="100">
        <v>5142.1452850846863</v>
      </c>
      <c r="BH64" s="100">
        <v>5</v>
      </c>
      <c r="BI64" s="100">
        <v>5045.9999999999991</v>
      </c>
      <c r="BJ64" s="100">
        <v>6</v>
      </c>
      <c r="BK64" s="100">
        <v>6055.1999999999989</v>
      </c>
      <c r="BL64" s="100">
        <v>4.0707078299174881</v>
      </c>
      <c r="BM64" s="100">
        <v>4108.1583419527287</v>
      </c>
      <c r="BN64" s="100">
        <v>4.3211327048011574</v>
      </c>
      <c r="BO64" s="100">
        <v>4360.8871256853272</v>
      </c>
      <c r="BP64" s="100">
        <v>0.20066062997431802</v>
      </c>
      <c r="BQ64" s="100">
        <v>202.5067077700817</v>
      </c>
      <c r="BR64" s="100">
        <v>5</v>
      </c>
      <c r="BS64" s="100">
        <v>5045.9999999999991</v>
      </c>
      <c r="BT64" s="100">
        <v>7.3135166085313443</v>
      </c>
      <c r="BU64" s="100">
        <v>7380.8009613298318</v>
      </c>
      <c r="BV64" s="100">
        <v>1.2392396568845925</v>
      </c>
      <c r="BW64" s="100">
        <v>1250.6406617279306</v>
      </c>
      <c r="BX64" s="100">
        <v>0.1460206462254427</v>
      </c>
      <c r="BY64" s="100">
        <v>147.36403617071673</v>
      </c>
      <c r="BZ64" s="100">
        <v>5</v>
      </c>
      <c r="CA64" s="100">
        <v>5045.9999999999991</v>
      </c>
      <c r="CB64" s="100">
        <v>7</v>
      </c>
      <c r="CC64" s="100">
        <v>7064.3999999999987</v>
      </c>
      <c r="CD64" s="100">
        <v>4</v>
      </c>
      <c r="CE64" s="100">
        <v>4036.7999999999993</v>
      </c>
      <c r="CF64" s="100">
        <v>7.2844609491810965</v>
      </c>
      <c r="CG64" s="100">
        <v>7351.477989913561</v>
      </c>
      <c r="CH64" s="100">
        <v>6.3368955314496214</v>
      </c>
      <c r="CI64" s="100">
        <v>6395.1949703389564</v>
      </c>
      <c r="CJ64" s="100">
        <v>3</v>
      </c>
      <c r="CK64" s="100">
        <v>3027.5999999999995</v>
      </c>
      <c r="CL64" s="100">
        <v>6</v>
      </c>
      <c r="CM64" s="100">
        <v>6055.1999999999989</v>
      </c>
      <c r="CN64" s="100">
        <v>2.9345739325515132</v>
      </c>
      <c r="CO64" s="100">
        <v>2961.5720127309864</v>
      </c>
      <c r="CP64" s="100">
        <v>2.8170758440945764E-4</v>
      </c>
      <c r="CQ64" s="100">
        <v>0.28429929418602462</v>
      </c>
      <c r="CR64" s="100">
        <v>0.76594911134932309</v>
      </c>
      <c r="CS64" s="100">
        <v>772.99584317373672</v>
      </c>
      <c r="CT64" s="100">
        <v>5</v>
      </c>
      <c r="CU64" s="100">
        <v>5045.9999999999991</v>
      </c>
    </row>
    <row r="65" spans="2:99">
      <c r="C65" s="99" t="s">
        <v>231</v>
      </c>
      <c r="D65" s="100">
        <v>6</v>
      </c>
      <c r="E65" s="100">
        <v>6156</v>
      </c>
      <c r="F65" s="100">
        <v>3</v>
      </c>
      <c r="G65" s="100">
        <v>3078</v>
      </c>
      <c r="H65" s="100">
        <v>7</v>
      </c>
      <c r="I65" s="100">
        <v>7182</v>
      </c>
      <c r="J65" s="100">
        <v>4.4929208885410867</v>
      </c>
      <c r="K65" s="100">
        <v>4609.7368316431548</v>
      </c>
      <c r="L65" s="100">
        <v>1.4211608050316391</v>
      </c>
      <c r="M65" s="100">
        <v>1458.1109859624617</v>
      </c>
      <c r="N65" s="100">
        <v>7</v>
      </c>
      <c r="O65" s="100">
        <v>7182</v>
      </c>
      <c r="P65" s="100">
        <v>6</v>
      </c>
      <c r="Q65" s="100">
        <v>6156</v>
      </c>
      <c r="R65" s="100">
        <v>6</v>
      </c>
      <c r="S65" s="100">
        <v>6156</v>
      </c>
      <c r="T65" s="100">
        <v>4</v>
      </c>
      <c r="U65" s="100">
        <v>4104</v>
      </c>
      <c r="V65" s="100">
        <v>2.7713348315188102</v>
      </c>
      <c r="W65" s="100">
        <v>2843.3895371382991</v>
      </c>
      <c r="X65" s="100">
        <v>7</v>
      </c>
      <c r="Y65" s="100">
        <v>7182</v>
      </c>
      <c r="Z65" s="100">
        <v>4</v>
      </c>
      <c r="AA65" s="100">
        <v>4104</v>
      </c>
      <c r="AB65" s="100">
        <v>5</v>
      </c>
      <c r="AC65" s="100">
        <v>5130</v>
      </c>
      <c r="AD65" s="100">
        <v>1.1217733772084364</v>
      </c>
      <c r="AE65" s="100">
        <v>1150.9394850158558</v>
      </c>
      <c r="AF65" s="100">
        <v>7</v>
      </c>
      <c r="AG65" s="100">
        <v>7182</v>
      </c>
      <c r="AH65" s="100">
        <v>6</v>
      </c>
      <c r="AI65" s="100">
        <v>6156</v>
      </c>
      <c r="AJ65" s="100">
        <v>6.0000351041704985</v>
      </c>
      <c r="AK65" s="100">
        <v>6156.0360168789312</v>
      </c>
      <c r="AL65" s="100">
        <v>1.237693606464231</v>
      </c>
      <c r="AM65" s="100">
        <v>1269.8736402323009</v>
      </c>
      <c r="AN65" s="100">
        <v>4.3263321382144143E-4</v>
      </c>
      <c r="AO65" s="100">
        <v>0.44388167738079892</v>
      </c>
      <c r="AP65" s="100">
        <v>1.227558779545282</v>
      </c>
      <c r="AQ65" s="100">
        <v>1259.4753078134593</v>
      </c>
      <c r="AR65" s="100">
        <v>4</v>
      </c>
      <c r="AS65" s="100">
        <v>4104</v>
      </c>
      <c r="AT65" s="100">
        <v>6</v>
      </c>
      <c r="AU65" s="100">
        <v>6156</v>
      </c>
      <c r="AV65" s="100">
        <v>7.047196576746015</v>
      </c>
      <c r="AW65" s="100">
        <v>7230.4236877414114</v>
      </c>
      <c r="AX65" s="100">
        <v>1.0510972049856475</v>
      </c>
      <c r="AY65" s="100">
        <v>1078.4257323152744</v>
      </c>
      <c r="AZ65" s="100">
        <v>4</v>
      </c>
      <c r="BA65" s="100">
        <v>4104</v>
      </c>
      <c r="BB65" s="100">
        <v>5.5189511692784006</v>
      </c>
      <c r="BC65" s="100">
        <v>5662.4438996796389</v>
      </c>
      <c r="BD65" s="100">
        <v>1.8129944827414981</v>
      </c>
      <c r="BE65" s="100">
        <v>1860.132339292777</v>
      </c>
      <c r="BF65" s="100">
        <v>5.0952688120141572</v>
      </c>
      <c r="BG65" s="100">
        <v>5227.7458011265253</v>
      </c>
      <c r="BH65" s="100">
        <v>4.0244739184991793</v>
      </c>
      <c r="BI65" s="100">
        <v>4129.1102403801578</v>
      </c>
      <c r="BJ65" s="100">
        <v>6</v>
      </c>
      <c r="BK65" s="100">
        <v>6156</v>
      </c>
      <c r="BL65" s="100">
        <v>4.1033507218901404</v>
      </c>
      <c r="BM65" s="100">
        <v>4210.0378406592845</v>
      </c>
      <c r="BN65" s="100">
        <v>5.0394592747575935</v>
      </c>
      <c r="BO65" s="100">
        <v>5170.4852159012908</v>
      </c>
      <c r="BP65" s="100">
        <v>0.16721719164526505</v>
      </c>
      <c r="BQ65" s="100">
        <v>171.56483862804194</v>
      </c>
      <c r="BR65" s="100">
        <v>4</v>
      </c>
      <c r="BS65" s="100">
        <v>4104</v>
      </c>
      <c r="BT65" s="100">
        <v>6.358304695464394</v>
      </c>
      <c r="BU65" s="100">
        <v>6523.6206175464686</v>
      </c>
      <c r="BV65" s="100">
        <v>1.2392396568845925</v>
      </c>
      <c r="BW65" s="100">
        <v>1271.4598879635919</v>
      </c>
      <c r="BX65" s="100">
        <v>0.1460206462254427</v>
      </c>
      <c r="BY65" s="100">
        <v>149.8171830273042</v>
      </c>
      <c r="BZ65" s="100">
        <v>4</v>
      </c>
      <c r="CA65" s="100">
        <v>4104</v>
      </c>
      <c r="CB65" s="100">
        <v>7</v>
      </c>
      <c r="CC65" s="100">
        <v>7182</v>
      </c>
      <c r="CD65" s="100">
        <v>4</v>
      </c>
      <c r="CE65" s="100">
        <v>4104</v>
      </c>
      <c r="CF65" s="100">
        <v>7.2844609491810965</v>
      </c>
      <c r="CG65" s="100">
        <v>7473.8569338598054</v>
      </c>
      <c r="CH65" s="100">
        <v>5.4316247412425325</v>
      </c>
      <c r="CI65" s="100">
        <v>5572.8469845148384</v>
      </c>
      <c r="CJ65" s="100">
        <v>4</v>
      </c>
      <c r="CK65" s="100">
        <v>4104</v>
      </c>
      <c r="CL65" s="100">
        <v>6</v>
      </c>
      <c r="CM65" s="100">
        <v>6156</v>
      </c>
      <c r="CN65" s="100">
        <v>3.6378307959201002</v>
      </c>
      <c r="CO65" s="100">
        <v>3732.4143966140227</v>
      </c>
      <c r="CP65" s="100">
        <v>2.8170758440945764E-4</v>
      </c>
      <c r="CQ65" s="100">
        <v>0.28903198160410354</v>
      </c>
      <c r="CR65" s="100">
        <v>1.0212654817990974</v>
      </c>
      <c r="CS65" s="100">
        <v>1047.8183843258739</v>
      </c>
      <c r="CT65" s="100">
        <v>5</v>
      </c>
      <c r="CU65" s="100">
        <v>5130</v>
      </c>
    </row>
    <row r="66" spans="2:99">
      <c r="C66" s="99" t="s">
        <v>232</v>
      </c>
      <c r="D66" s="100">
        <v>6</v>
      </c>
      <c r="E66" s="100">
        <v>7142.4</v>
      </c>
      <c r="F66" s="100">
        <v>4</v>
      </c>
      <c r="G66" s="100">
        <v>4761.5999999999995</v>
      </c>
      <c r="H66" s="100">
        <v>6</v>
      </c>
      <c r="I66" s="100">
        <v>7142.4</v>
      </c>
      <c r="J66" s="100">
        <v>4.5422129773951951</v>
      </c>
      <c r="K66" s="100">
        <v>5407.0503282912396</v>
      </c>
      <c r="L66" s="100">
        <v>1.4211608050316391</v>
      </c>
      <c r="M66" s="100">
        <v>1691.7498223096629</v>
      </c>
      <c r="N66" s="100">
        <v>6</v>
      </c>
      <c r="O66" s="100">
        <v>7142.4</v>
      </c>
      <c r="P66" s="100">
        <v>6</v>
      </c>
      <c r="Q66" s="100">
        <v>7142.4</v>
      </c>
      <c r="R66" s="100">
        <v>7</v>
      </c>
      <c r="S66" s="100">
        <v>8332.7999999999993</v>
      </c>
      <c r="T66" s="100">
        <v>4</v>
      </c>
      <c r="U66" s="100">
        <v>4761.5999999999995</v>
      </c>
      <c r="V66" s="100">
        <v>2.7713348315188102</v>
      </c>
      <c r="W66" s="100">
        <v>3298.9969834399913</v>
      </c>
      <c r="X66" s="100">
        <v>7</v>
      </c>
      <c r="Y66" s="100">
        <v>8332.7999999999993</v>
      </c>
      <c r="Z66" s="100">
        <v>4</v>
      </c>
      <c r="AA66" s="100">
        <v>4761.5999999999995</v>
      </c>
      <c r="AB66" s="100">
        <v>5</v>
      </c>
      <c r="AC66" s="100">
        <v>5951.9999999999991</v>
      </c>
      <c r="AD66" s="100">
        <v>1.1217733772084364</v>
      </c>
      <c r="AE66" s="100">
        <v>1335.3590282289226</v>
      </c>
      <c r="AF66" s="100">
        <v>7</v>
      </c>
      <c r="AG66" s="100">
        <v>8332.7999999999993</v>
      </c>
      <c r="AH66" s="100">
        <v>6</v>
      </c>
      <c r="AI66" s="100">
        <v>7142.4</v>
      </c>
      <c r="AJ66" s="100">
        <v>5.0000351041704985</v>
      </c>
      <c r="AK66" s="100">
        <v>5952.0417880045607</v>
      </c>
      <c r="AL66" s="100">
        <v>1.0608821122862133</v>
      </c>
      <c r="AM66" s="100">
        <v>1262.8740664655081</v>
      </c>
      <c r="AN66" s="100">
        <v>4.3645416187160701E-4</v>
      </c>
      <c r="AO66" s="100">
        <v>0.51955503429196093</v>
      </c>
      <c r="AP66" s="100">
        <v>1.227558779545282</v>
      </c>
      <c r="AQ66" s="100">
        <v>1461.2859711707035</v>
      </c>
      <c r="AR66" s="100">
        <v>3</v>
      </c>
      <c r="AS66" s="100">
        <v>3571.2</v>
      </c>
      <c r="AT66" s="100">
        <v>7</v>
      </c>
      <c r="AU66" s="100">
        <v>8332.7999999999993</v>
      </c>
      <c r="AV66" s="100">
        <v>7.047196576746015</v>
      </c>
      <c r="AW66" s="100">
        <v>8388.9828049584557</v>
      </c>
      <c r="AX66" s="100">
        <v>1.0510972049856475</v>
      </c>
      <c r="AY66" s="100">
        <v>1251.2261128149146</v>
      </c>
      <c r="AZ66" s="100">
        <v>4</v>
      </c>
      <c r="BA66" s="100">
        <v>4761.5999999999995</v>
      </c>
      <c r="BB66" s="100">
        <v>6.5189511692784006</v>
      </c>
      <c r="BC66" s="100">
        <v>7760.1594719090072</v>
      </c>
      <c r="BD66" s="100">
        <v>1.5558839545720591</v>
      </c>
      <c r="BE66" s="100">
        <v>1852.124259522579</v>
      </c>
      <c r="BF66" s="100">
        <v>4.2460573433451314</v>
      </c>
      <c r="BG66" s="100">
        <v>5054.506661518044</v>
      </c>
      <c r="BH66" s="100">
        <v>5.0269213103490973</v>
      </c>
      <c r="BI66" s="100">
        <v>5984.0471278395644</v>
      </c>
      <c r="BJ66" s="100">
        <v>6</v>
      </c>
      <c r="BK66" s="100">
        <v>7142.4</v>
      </c>
      <c r="BL66" s="100">
        <v>4.0380649379448359</v>
      </c>
      <c r="BM66" s="100">
        <v>4806.9125021295322</v>
      </c>
      <c r="BN66" s="100">
        <v>5.033872632226327</v>
      </c>
      <c r="BO66" s="100">
        <v>5992.3219814022186</v>
      </c>
      <c r="BP66" s="100">
        <v>0.20066062997431802</v>
      </c>
      <c r="BQ66" s="100">
        <v>238.86641392142815</v>
      </c>
      <c r="BR66" s="100">
        <v>5</v>
      </c>
      <c r="BS66" s="100">
        <v>5951.9999999999991</v>
      </c>
      <c r="BT66" s="100">
        <v>7.3135166085313443</v>
      </c>
      <c r="BU66" s="100">
        <v>8706.010170795711</v>
      </c>
      <c r="BV66" s="100">
        <v>1.2370691883293421</v>
      </c>
      <c r="BW66" s="100">
        <v>1472.6071617872487</v>
      </c>
      <c r="BX66" s="100">
        <v>0.1460206462254427</v>
      </c>
      <c r="BY66" s="100">
        <v>173.82297726676697</v>
      </c>
      <c r="BZ66" s="100">
        <v>4</v>
      </c>
      <c r="CA66" s="100">
        <v>4761.5999999999995</v>
      </c>
      <c r="CB66" s="100">
        <v>6</v>
      </c>
      <c r="CC66" s="100">
        <v>7142.4</v>
      </c>
      <c r="CD66" s="100">
        <v>5</v>
      </c>
      <c r="CE66" s="100">
        <v>5951.9999999999991</v>
      </c>
      <c r="CF66" s="100">
        <v>7.2844609491810965</v>
      </c>
      <c r="CG66" s="100">
        <v>8671.4223139051755</v>
      </c>
      <c r="CH66" s="100">
        <v>6.3368955314496214</v>
      </c>
      <c r="CI66" s="100">
        <v>7543.4404406376289</v>
      </c>
      <c r="CJ66" s="100">
        <v>4</v>
      </c>
      <c r="CK66" s="100">
        <v>4761.5999999999995</v>
      </c>
      <c r="CL66" s="100">
        <v>7</v>
      </c>
      <c r="CM66" s="100">
        <v>8332.7999999999993</v>
      </c>
      <c r="CN66" s="100">
        <v>3.6378307959201002</v>
      </c>
      <c r="CO66" s="100">
        <v>4330.4737794632865</v>
      </c>
      <c r="CP66" s="100">
        <v>2.7966390202751918E-4</v>
      </c>
      <c r="CQ66" s="100">
        <v>0.33291190897355877</v>
      </c>
      <c r="CR66" s="100">
        <v>1.0212654817990974</v>
      </c>
      <c r="CS66" s="100">
        <v>1215.7144295336454</v>
      </c>
      <c r="CT66" s="100">
        <v>4</v>
      </c>
      <c r="CU66" s="100">
        <v>4761.5999999999995</v>
      </c>
    </row>
    <row r="67" spans="2:99">
      <c r="C67" s="99" t="s">
        <v>233</v>
      </c>
      <c r="D67" s="100">
        <v>6</v>
      </c>
      <c r="E67" s="100">
        <v>6739.2000000000007</v>
      </c>
      <c r="F67" s="100">
        <v>4</v>
      </c>
      <c r="G67" s="100">
        <v>4492.8</v>
      </c>
      <c r="H67" s="100">
        <v>6</v>
      </c>
      <c r="I67" s="100">
        <v>6739.2000000000007</v>
      </c>
      <c r="J67" s="100">
        <v>4.5422129773951951</v>
      </c>
      <c r="K67" s="100">
        <v>5101.8136162102837</v>
      </c>
      <c r="L67" s="100">
        <v>1.4211608050316391</v>
      </c>
      <c r="M67" s="100">
        <v>1596.2478162115372</v>
      </c>
      <c r="N67" s="100">
        <v>6</v>
      </c>
      <c r="O67" s="100">
        <v>6739.2000000000007</v>
      </c>
      <c r="P67" s="100">
        <v>6</v>
      </c>
      <c r="Q67" s="100">
        <v>6739.2000000000007</v>
      </c>
      <c r="R67" s="100">
        <v>6</v>
      </c>
      <c r="S67" s="100">
        <v>6739.2000000000007</v>
      </c>
      <c r="T67" s="100">
        <v>4</v>
      </c>
      <c r="U67" s="100">
        <v>4492.8</v>
      </c>
      <c r="V67" s="100">
        <v>2.7713348315188102</v>
      </c>
      <c r="W67" s="100">
        <v>3112.7632827619277</v>
      </c>
      <c r="X67" s="100">
        <v>6</v>
      </c>
      <c r="Y67" s="100">
        <v>6739.2000000000007</v>
      </c>
      <c r="Z67" s="100">
        <v>4</v>
      </c>
      <c r="AA67" s="100">
        <v>4492.8</v>
      </c>
      <c r="AB67" s="100">
        <v>4</v>
      </c>
      <c r="AC67" s="100">
        <v>4492.8</v>
      </c>
      <c r="AD67" s="100">
        <v>0.84133003290632735</v>
      </c>
      <c r="AE67" s="100">
        <v>944.98189296038697</v>
      </c>
      <c r="AF67" s="100">
        <v>7</v>
      </c>
      <c r="AG67" s="100">
        <v>7862.4000000000005</v>
      </c>
      <c r="AH67" s="100">
        <v>7</v>
      </c>
      <c r="AI67" s="100">
        <v>7862.4000000000005</v>
      </c>
      <c r="AJ67" s="100">
        <v>5.0000351041704985</v>
      </c>
      <c r="AK67" s="100">
        <v>5616.0394290043041</v>
      </c>
      <c r="AL67" s="100">
        <v>1.0608812905850817</v>
      </c>
      <c r="AM67" s="100">
        <v>1191.5818655851638</v>
      </c>
      <c r="AN67" s="100">
        <v>5.3888104325171911E-4</v>
      </c>
      <c r="AO67" s="100">
        <v>0.60527118778033095</v>
      </c>
      <c r="AP67" s="100">
        <v>1.227558779545282</v>
      </c>
      <c r="AQ67" s="100">
        <v>1378.7940211852608</v>
      </c>
      <c r="AR67" s="100">
        <v>3</v>
      </c>
      <c r="AS67" s="100">
        <v>3369.6000000000004</v>
      </c>
      <c r="AT67" s="100">
        <v>6</v>
      </c>
      <c r="AU67" s="100">
        <v>6739.2000000000007</v>
      </c>
      <c r="AV67" s="100">
        <v>6.0404542086394422</v>
      </c>
      <c r="AW67" s="100">
        <v>6784.6381671438221</v>
      </c>
      <c r="AX67" s="100">
        <v>1.2613166459827774</v>
      </c>
      <c r="AY67" s="100">
        <v>1416.7108567678556</v>
      </c>
      <c r="AZ67" s="100">
        <v>4</v>
      </c>
      <c r="BA67" s="100">
        <v>4492.8</v>
      </c>
      <c r="BB67" s="100">
        <v>5.4717737902530912</v>
      </c>
      <c r="BC67" s="100">
        <v>6145.8963212122726</v>
      </c>
      <c r="BD67" s="100">
        <v>1.8144634589143231</v>
      </c>
      <c r="BE67" s="100">
        <v>2038.0053570525679</v>
      </c>
      <c r="BF67" s="100">
        <v>4.2460573433451314</v>
      </c>
      <c r="BG67" s="100">
        <v>4769.1716080452516</v>
      </c>
      <c r="BH67" s="100">
        <v>5.0244739184991793</v>
      </c>
      <c r="BI67" s="100">
        <v>5643.4891052582789</v>
      </c>
      <c r="BJ67" s="100">
        <v>7</v>
      </c>
      <c r="BK67" s="100">
        <v>7862.4000000000005</v>
      </c>
      <c r="BL67" s="100">
        <v>4.0380649379448359</v>
      </c>
      <c r="BM67" s="100">
        <v>4535.5545382996397</v>
      </c>
      <c r="BN67" s="100">
        <v>4.3211327048011574</v>
      </c>
      <c r="BO67" s="100">
        <v>4853.4962540326605</v>
      </c>
      <c r="BP67" s="100">
        <v>0.16721719164526505</v>
      </c>
      <c r="BQ67" s="100">
        <v>187.81834965596173</v>
      </c>
      <c r="BR67" s="100">
        <v>4</v>
      </c>
      <c r="BS67" s="100">
        <v>4492.8</v>
      </c>
      <c r="BT67" s="100">
        <v>6.2687285215982955</v>
      </c>
      <c r="BU67" s="100">
        <v>7041.0358754592062</v>
      </c>
      <c r="BV67" s="100">
        <v>1.2370691883293421</v>
      </c>
      <c r="BW67" s="100">
        <v>1389.476112331517</v>
      </c>
      <c r="BX67" s="100">
        <v>0.1460206462254427</v>
      </c>
      <c r="BY67" s="100">
        <v>164.01038984041725</v>
      </c>
      <c r="BZ67" s="100">
        <v>4</v>
      </c>
      <c r="CA67" s="100">
        <v>4492.8</v>
      </c>
      <c r="CB67" s="100">
        <v>7</v>
      </c>
      <c r="CC67" s="100">
        <v>7862.4000000000005</v>
      </c>
      <c r="CD67" s="100">
        <v>4</v>
      </c>
      <c r="CE67" s="100">
        <v>4492.8</v>
      </c>
      <c r="CF67" s="100">
        <v>6.2438236707266537</v>
      </c>
      <c r="CG67" s="100">
        <v>7013.0627469601777</v>
      </c>
      <c r="CH67" s="100">
        <v>5.4316247412425325</v>
      </c>
      <c r="CI67" s="100">
        <v>6100.8009093636128</v>
      </c>
      <c r="CJ67" s="100">
        <v>3</v>
      </c>
      <c r="CK67" s="100">
        <v>3369.6000000000004</v>
      </c>
      <c r="CL67" s="100">
        <v>6</v>
      </c>
      <c r="CM67" s="100">
        <v>6739.2000000000007</v>
      </c>
      <c r="CN67" s="100">
        <v>3.6499854438278172</v>
      </c>
      <c r="CO67" s="100">
        <v>4099.6636505074048</v>
      </c>
      <c r="CP67" s="100">
        <v>3.331442635746968E-4</v>
      </c>
      <c r="CQ67" s="100">
        <v>0.37418763684709944</v>
      </c>
      <c r="CR67" s="100">
        <v>0.76594911134932309</v>
      </c>
      <c r="CS67" s="100">
        <v>860.31404186755969</v>
      </c>
      <c r="CT67" s="100">
        <v>5</v>
      </c>
      <c r="CU67" s="100">
        <v>5616</v>
      </c>
    </row>
    <row r="68" spans="2:99">
      <c r="C68" s="99" t="s">
        <v>234</v>
      </c>
      <c r="D68" s="100">
        <v>6</v>
      </c>
      <c r="E68" s="100">
        <v>6199.2000000000007</v>
      </c>
      <c r="F68" s="100">
        <v>4</v>
      </c>
      <c r="G68" s="100">
        <v>4132.8</v>
      </c>
      <c r="H68" s="100">
        <v>6</v>
      </c>
      <c r="I68" s="100">
        <v>6199.2000000000007</v>
      </c>
      <c r="J68" s="100">
        <v>4.4929208885410867</v>
      </c>
      <c r="K68" s="100">
        <v>4642.0858620406507</v>
      </c>
      <c r="L68" s="100">
        <v>1.4211608050316391</v>
      </c>
      <c r="M68" s="100">
        <v>1468.3433437586896</v>
      </c>
      <c r="N68" s="100">
        <v>6</v>
      </c>
      <c r="O68" s="100">
        <v>6199.2000000000007</v>
      </c>
      <c r="P68" s="100">
        <v>5</v>
      </c>
      <c r="Q68" s="100">
        <v>5166</v>
      </c>
      <c r="R68" s="100">
        <v>6</v>
      </c>
      <c r="S68" s="100">
        <v>6199.2000000000007</v>
      </c>
      <c r="T68" s="100">
        <v>4</v>
      </c>
      <c r="U68" s="100">
        <v>4132.8</v>
      </c>
      <c r="V68" s="100">
        <v>2.7713348315188102</v>
      </c>
      <c r="W68" s="100">
        <v>2863.3431479252349</v>
      </c>
      <c r="X68" s="100">
        <v>6</v>
      </c>
      <c r="Y68" s="100">
        <v>6199.2000000000007</v>
      </c>
      <c r="Z68" s="100">
        <v>4</v>
      </c>
      <c r="AA68" s="100">
        <v>4132.8</v>
      </c>
      <c r="AB68" s="100">
        <v>5</v>
      </c>
      <c r="AC68" s="100">
        <v>5166</v>
      </c>
      <c r="AD68" s="100">
        <v>1.1217733772084364</v>
      </c>
      <c r="AE68" s="100">
        <v>1159.0162533317566</v>
      </c>
      <c r="AF68" s="100">
        <v>7</v>
      </c>
      <c r="AG68" s="100">
        <v>7232.4000000000005</v>
      </c>
      <c r="AH68" s="100">
        <v>6</v>
      </c>
      <c r="AI68" s="100">
        <v>6199.2000000000007</v>
      </c>
      <c r="AJ68" s="100">
        <v>5.0000300892889982</v>
      </c>
      <c r="AK68" s="100">
        <v>5166.0310882533931</v>
      </c>
      <c r="AL68" s="100">
        <v>1.2376944281653626</v>
      </c>
      <c r="AM68" s="100">
        <v>1278.7858831804526</v>
      </c>
      <c r="AN68" s="100">
        <v>5.3888104325171911E-4</v>
      </c>
      <c r="AO68" s="100">
        <v>0.55677189388767623</v>
      </c>
      <c r="AP68" s="100">
        <v>1.227558779545282</v>
      </c>
      <c r="AQ68" s="100">
        <v>1268.3137310261855</v>
      </c>
      <c r="AR68" s="100">
        <v>4</v>
      </c>
      <c r="AS68" s="100">
        <v>4132.8</v>
      </c>
      <c r="AT68" s="100">
        <v>7</v>
      </c>
      <c r="AU68" s="100">
        <v>7232.4000000000005</v>
      </c>
      <c r="AV68" s="100">
        <v>6.080593880457533</v>
      </c>
      <c r="AW68" s="100">
        <v>6282.469597288723</v>
      </c>
      <c r="AX68" s="100">
        <v>1.0510972049856475</v>
      </c>
      <c r="AY68" s="100">
        <v>1085.9936321911712</v>
      </c>
      <c r="AZ68" s="100">
        <v>4</v>
      </c>
      <c r="BA68" s="100">
        <v>4132.8</v>
      </c>
      <c r="BB68" s="100">
        <v>5.5189511692784006</v>
      </c>
      <c r="BC68" s="100">
        <v>5702.1803480984436</v>
      </c>
      <c r="BD68" s="100">
        <v>1.5558839545720591</v>
      </c>
      <c r="BE68" s="100">
        <v>1607.5393018638515</v>
      </c>
      <c r="BF68" s="100">
        <v>4.2460573433451314</v>
      </c>
      <c r="BG68" s="100">
        <v>4387.0264471441897</v>
      </c>
      <c r="BH68" s="100">
        <v>5.0269213103490973</v>
      </c>
      <c r="BI68" s="100">
        <v>5193.8150978526874</v>
      </c>
      <c r="BJ68" s="100">
        <v>6</v>
      </c>
      <c r="BK68" s="100">
        <v>6199.2000000000007</v>
      </c>
      <c r="BL68" s="100">
        <v>4.0380649379448359</v>
      </c>
      <c r="BM68" s="100">
        <v>4172.1286938846042</v>
      </c>
      <c r="BN68" s="100">
        <v>5.0282859896950596</v>
      </c>
      <c r="BO68" s="100">
        <v>5195.2250845529361</v>
      </c>
      <c r="BP68" s="100">
        <v>0.20066062997431802</v>
      </c>
      <c r="BQ68" s="100">
        <v>207.32256288946539</v>
      </c>
      <c r="BR68" s="100">
        <v>4</v>
      </c>
      <c r="BS68" s="100">
        <v>4132.8</v>
      </c>
      <c r="BT68" s="100">
        <v>7.358304695464394</v>
      </c>
      <c r="BU68" s="100">
        <v>7602.600411353812</v>
      </c>
      <c r="BV68" s="100">
        <v>1.2370691883293421</v>
      </c>
      <c r="BW68" s="100">
        <v>1278.1398853818764</v>
      </c>
      <c r="BX68" s="100">
        <v>0.1460206462254427</v>
      </c>
      <c r="BY68" s="100">
        <v>150.8685316801274</v>
      </c>
      <c r="BZ68" s="100">
        <v>5</v>
      </c>
      <c r="CA68" s="100">
        <v>5166</v>
      </c>
      <c r="CB68" s="100">
        <v>6</v>
      </c>
      <c r="CC68" s="100">
        <v>6199.2000000000007</v>
      </c>
      <c r="CD68" s="100">
        <v>4</v>
      </c>
      <c r="CE68" s="100">
        <v>4132.8</v>
      </c>
      <c r="CF68" s="100">
        <v>7.2844609491810965</v>
      </c>
      <c r="CG68" s="100">
        <v>7526.3050526939096</v>
      </c>
      <c r="CH68" s="100">
        <v>5.4316247412425325</v>
      </c>
      <c r="CI68" s="100">
        <v>5611.9546826517844</v>
      </c>
      <c r="CJ68" s="100">
        <v>3</v>
      </c>
      <c r="CK68" s="100">
        <v>3099.6000000000004</v>
      </c>
      <c r="CL68" s="100">
        <v>7</v>
      </c>
      <c r="CM68" s="100">
        <v>7232.4000000000005</v>
      </c>
      <c r="CN68" s="100">
        <v>3.6378307959201002</v>
      </c>
      <c r="CO68" s="100">
        <v>3758.6067783446479</v>
      </c>
      <c r="CP68" s="100">
        <v>2.7966390202751918E-4</v>
      </c>
      <c r="CQ68" s="100">
        <v>0.2889487435748328</v>
      </c>
      <c r="CR68" s="100">
        <v>1.0212654817990974</v>
      </c>
      <c r="CS68" s="100">
        <v>1055.1714957948275</v>
      </c>
      <c r="CT68" s="100">
        <v>5</v>
      </c>
      <c r="CU68" s="100">
        <v>5166</v>
      </c>
    </row>
    <row r="69" spans="2:99">
      <c r="C69" s="99" t="s">
        <v>235</v>
      </c>
      <c r="D69" s="100">
        <v>6</v>
      </c>
      <c r="E69" s="100">
        <v>4550.3999999999996</v>
      </c>
      <c r="F69" s="100">
        <v>3</v>
      </c>
      <c r="G69" s="100">
        <v>2275.1999999999998</v>
      </c>
      <c r="H69" s="100">
        <v>6</v>
      </c>
      <c r="I69" s="100">
        <v>4550.3999999999996</v>
      </c>
      <c r="J69" s="100">
        <v>4.5915050662493035</v>
      </c>
      <c r="K69" s="100">
        <v>3482.1974422434719</v>
      </c>
      <c r="L69" s="100">
        <v>1.4211608050316391</v>
      </c>
      <c r="M69" s="100">
        <v>1077.808354535995</v>
      </c>
      <c r="N69" s="100">
        <v>7</v>
      </c>
      <c r="O69" s="100">
        <v>5308.8</v>
      </c>
      <c r="P69" s="100">
        <v>5</v>
      </c>
      <c r="Q69" s="100">
        <v>3792</v>
      </c>
      <c r="R69" s="100">
        <v>6</v>
      </c>
      <c r="S69" s="100">
        <v>4550.3999999999996</v>
      </c>
      <c r="T69" s="100">
        <v>4</v>
      </c>
      <c r="U69" s="100">
        <v>3033.6</v>
      </c>
      <c r="V69" s="100">
        <v>2.7713348315188102</v>
      </c>
      <c r="W69" s="100">
        <v>2101.7803362238656</v>
      </c>
      <c r="X69" s="100">
        <v>6</v>
      </c>
      <c r="Y69" s="100">
        <v>4550.3999999999996</v>
      </c>
      <c r="Z69" s="100">
        <v>4</v>
      </c>
      <c r="AA69" s="100">
        <v>3033.6</v>
      </c>
      <c r="AB69" s="100">
        <v>5</v>
      </c>
      <c r="AC69" s="100">
        <v>3792</v>
      </c>
      <c r="AD69" s="100">
        <v>0.84133003290632735</v>
      </c>
      <c r="AE69" s="100">
        <v>638.06469695615863</v>
      </c>
      <c r="AF69" s="100">
        <v>6</v>
      </c>
      <c r="AG69" s="100">
        <v>4550.3999999999996</v>
      </c>
      <c r="AH69" s="100">
        <v>7</v>
      </c>
      <c r="AI69" s="100">
        <v>5308.8</v>
      </c>
      <c r="AJ69" s="100">
        <v>6.0000300892889982</v>
      </c>
      <c r="AK69" s="100">
        <v>4550.4228197167758</v>
      </c>
      <c r="AL69" s="100">
        <v>1.0608812905850817</v>
      </c>
      <c r="AM69" s="100">
        <v>804.57237077972593</v>
      </c>
      <c r="AN69" s="100">
        <v>5.3888104325171911E-4</v>
      </c>
      <c r="AO69" s="100">
        <v>0.40868738320210374</v>
      </c>
      <c r="AP69" s="100">
        <v>1.227558779545282</v>
      </c>
      <c r="AQ69" s="100">
        <v>930.98057840714182</v>
      </c>
      <c r="AR69" s="100">
        <v>3</v>
      </c>
      <c r="AS69" s="100">
        <v>2275.1999999999998</v>
      </c>
      <c r="AT69" s="100">
        <v>7</v>
      </c>
      <c r="AU69" s="100">
        <v>5308.8</v>
      </c>
      <c r="AV69" s="100">
        <v>6.0404542086394422</v>
      </c>
      <c r="AW69" s="100">
        <v>4581.0804718321524</v>
      </c>
      <c r="AX69" s="100">
        <v>1.2613166459827774</v>
      </c>
      <c r="AY69" s="100">
        <v>956.5825443133383</v>
      </c>
      <c r="AZ69" s="100">
        <v>4</v>
      </c>
      <c r="BA69" s="100">
        <v>3033.6</v>
      </c>
      <c r="BB69" s="100">
        <v>6.56612854830371</v>
      </c>
      <c r="BC69" s="100">
        <v>4979.7518910335339</v>
      </c>
      <c r="BD69" s="100">
        <v>1.8144634589143231</v>
      </c>
      <c r="BE69" s="100">
        <v>1376.0890872406226</v>
      </c>
      <c r="BF69" s="100">
        <v>4.2460573433451314</v>
      </c>
      <c r="BG69" s="100">
        <v>3220.2098891929477</v>
      </c>
      <c r="BH69" s="100">
        <v>5.0244739184991793</v>
      </c>
      <c r="BI69" s="100">
        <v>3810.5610197897777</v>
      </c>
      <c r="BJ69" s="100">
        <v>6</v>
      </c>
      <c r="BK69" s="100">
        <v>4550.3999999999996</v>
      </c>
      <c r="BL69" s="100">
        <v>4.1033507218901404</v>
      </c>
      <c r="BM69" s="100">
        <v>3111.9811874814823</v>
      </c>
      <c r="BN69" s="100">
        <v>5.0394592747575935</v>
      </c>
      <c r="BO69" s="100">
        <v>3821.9259139761589</v>
      </c>
      <c r="BP69" s="100">
        <v>0.20066062997431802</v>
      </c>
      <c r="BQ69" s="100">
        <v>152.1810217725228</v>
      </c>
      <c r="BR69" s="100">
        <v>4</v>
      </c>
      <c r="BS69" s="100">
        <v>3033.6</v>
      </c>
      <c r="BT69" s="100">
        <v>6.3135166085313443</v>
      </c>
      <c r="BU69" s="100">
        <v>4788.1709959101718</v>
      </c>
      <c r="BV69" s="100">
        <v>1.2392396568845925</v>
      </c>
      <c r="BW69" s="100">
        <v>939.83935578127489</v>
      </c>
      <c r="BX69" s="100">
        <v>0.1460206462254427</v>
      </c>
      <c r="BY69" s="100">
        <v>110.74205809737573</v>
      </c>
      <c r="BZ69" s="100">
        <v>4</v>
      </c>
      <c r="CA69" s="100">
        <v>3033.6</v>
      </c>
      <c r="CB69" s="100">
        <v>7</v>
      </c>
      <c r="CC69" s="100">
        <v>5308.8</v>
      </c>
      <c r="CD69" s="100">
        <v>4</v>
      </c>
      <c r="CE69" s="100">
        <v>3033.6</v>
      </c>
      <c r="CF69" s="100">
        <v>6.2844609491810965</v>
      </c>
      <c r="CG69" s="100">
        <v>4766.1351838589435</v>
      </c>
      <c r="CH69" s="100">
        <v>5.4316247412425325</v>
      </c>
      <c r="CI69" s="100">
        <v>4119.3442037583363</v>
      </c>
      <c r="CJ69" s="100">
        <v>3</v>
      </c>
      <c r="CK69" s="100">
        <v>2275.1999999999998</v>
      </c>
      <c r="CL69" s="100">
        <v>7</v>
      </c>
      <c r="CM69" s="100">
        <v>5308.8</v>
      </c>
      <c r="CN69" s="100">
        <v>3.6378307959201002</v>
      </c>
      <c r="CO69" s="100">
        <v>2758.9308756258038</v>
      </c>
      <c r="CP69" s="100">
        <v>2.8170758440945764E-4</v>
      </c>
      <c r="CQ69" s="100">
        <v>0.21364703201613267</v>
      </c>
      <c r="CR69" s="100">
        <v>1.0212654817990974</v>
      </c>
      <c r="CS69" s="100">
        <v>774.52774139643543</v>
      </c>
      <c r="CT69" s="100">
        <v>4</v>
      </c>
      <c r="CU69" s="100">
        <v>3033.6</v>
      </c>
    </row>
    <row r="70" spans="2:99">
      <c r="C70" s="99" t="s">
        <v>236</v>
      </c>
      <c r="D70" s="100">
        <v>6</v>
      </c>
      <c r="E70" s="100">
        <v>3211.2</v>
      </c>
      <c r="F70" s="100">
        <v>4</v>
      </c>
      <c r="G70" s="100">
        <v>2140.7999999999997</v>
      </c>
      <c r="H70" s="100">
        <v>7</v>
      </c>
      <c r="I70" s="100">
        <v>3746.3999999999996</v>
      </c>
      <c r="J70" s="100">
        <v>4.5422129773951951</v>
      </c>
      <c r="K70" s="100">
        <v>2430.9923855019083</v>
      </c>
      <c r="L70" s="100">
        <v>1.4211608050316391</v>
      </c>
      <c r="M70" s="100">
        <v>760.60526285293315</v>
      </c>
      <c r="N70" s="100">
        <v>7</v>
      </c>
      <c r="O70" s="100">
        <v>3746.3999999999996</v>
      </c>
      <c r="P70" s="100">
        <v>6</v>
      </c>
      <c r="Q70" s="100">
        <v>3211.2</v>
      </c>
      <c r="R70" s="100">
        <v>6</v>
      </c>
      <c r="S70" s="100">
        <v>3211.2</v>
      </c>
      <c r="T70" s="100">
        <v>4</v>
      </c>
      <c r="U70" s="100">
        <v>2140.7999999999997</v>
      </c>
      <c r="V70" s="100">
        <v>2.7713348315188102</v>
      </c>
      <c r="W70" s="100">
        <v>1483.2184018288669</v>
      </c>
      <c r="X70" s="100">
        <v>7</v>
      </c>
      <c r="Y70" s="100">
        <v>3746.3999999999996</v>
      </c>
      <c r="Z70" s="100">
        <v>4</v>
      </c>
      <c r="AA70" s="100">
        <v>2140.7999999999997</v>
      </c>
      <c r="AB70" s="100">
        <v>5</v>
      </c>
      <c r="AC70" s="100">
        <v>2675.9999999999995</v>
      </c>
      <c r="AD70" s="100">
        <v>1.1217733772084364</v>
      </c>
      <c r="AE70" s="100">
        <v>600.37311148195511</v>
      </c>
      <c r="AF70" s="100">
        <v>7</v>
      </c>
      <c r="AG70" s="100">
        <v>3746.3999999999996</v>
      </c>
      <c r="AH70" s="100">
        <v>7</v>
      </c>
      <c r="AI70" s="100">
        <v>3746.3999999999996</v>
      </c>
      <c r="AJ70" s="100">
        <v>6.0000401190519979</v>
      </c>
      <c r="AK70" s="100">
        <v>3211.2214717166289</v>
      </c>
      <c r="AL70" s="100">
        <v>1.2376944281653626</v>
      </c>
      <c r="AM70" s="100">
        <v>662.41405795410196</v>
      </c>
      <c r="AN70" s="100">
        <v>5.3888104325171911E-4</v>
      </c>
      <c r="AO70" s="100">
        <v>0.28840913434832005</v>
      </c>
      <c r="AP70" s="100">
        <v>1.227558779545282</v>
      </c>
      <c r="AQ70" s="100">
        <v>656.98945881263489</v>
      </c>
      <c r="AR70" s="100">
        <v>4</v>
      </c>
      <c r="AS70" s="100">
        <v>2140.7999999999997</v>
      </c>
      <c r="AT70" s="100">
        <v>7</v>
      </c>
      <c r="AU70" s="100">
        <v>3746.3999999999996</v>
      </c>
      <c r="AV70" s="100">
        <v>7.047196576746015</v>
      </c>
      <c r="AW70" s="100">
        <v>3771.6596078744669</v>
      </c>
      <c r="AX70" s="100">
        <v>1.2613166459827774</v>
      </c>
      <c r="AY70" s="100">
        <v>675.05666892998238</v>
      </c>
      <c r="AZ70" s="100">
        <v>4</v>
      </c>
      <c r="BA70" s="100">
        <v>2140.7999999999997</v>
      </c>
      <c r="BB70" s="100">
        <v>5.5189511692784006</v>
      </c>
      <c r="BC70" s="100">
        <v>2953.7426657977994</v>
      </c>
      <c r="BD70" s="100">
        <v>1.815932435087148</v>
      </c>
      <c r="BE70" s="100">
        <v>971.88703925864149</v>
      </c>
      <c r="BF70" s="100">
        <v>4.2460573433451314</v>
      </c>
      <c r="BG70" s="100">
        <v>2272.4898901583142</v>
      </c>
      <c r="BH70" s="100">
        <v>5.0244739184991793</v>
      </c>
      <c r="BI70" s="100">
        <v>2689.0984411807603</v>
      </c>
      <c r="BJ70" s="100">
        <v>6</v>
      </c>
      <c r="BK70" s="100">
        <v>3211.2</v>
      </c>
      <c r="BL70" s="100">
        <v>4.0707078299174881</v>
      </c>
      <c r="BM70" s="100">
        <v>2178.6428305718396</v>
      </c>
      <c r="BN70" s="100">
        <v>5.0394592747575935</v>
      </c>
      <c r="BO70" s="100">
        <v>2697.1186038502638</v>
      </c>
      <c r="BP70" s="100">
        <v>0.20066062997431802</v>
      </c>
      <c r="BQ70" s="100">
        <v>107.39356916225499</v>
      </c>
      <c r="BR70" s="100">
        <v>5</v>
      </c>
      <c r="BS70" s="100">
        <v>2675.9999999999995</v>
      </c>
      <c r="BT70" s="100">
        <v>6.3135166085313443</v>
      </c>
      <c r="BU70" s="100">
        <v>3378.9940888859751</v>
      </c>
      <c r="BV70" s="100">
        <v>1.2392396568845925</v>
      </c>
      <c r="BW70" s="100">
        <v>663.24106436463376</v>
      </c>
      <c r="BX70" s="100">
        <v>0.1460206462254427</v>
      </c>
      <c r="BY70" s="100">
        <v>78.150249859856928</v>
      </c>
      <c r="BZ70" s="100">
        <v>5</v>
      </c>
      <c r="CA70" s="100">
        <v>2675.9999999999995</v>
      </c>
      <c r="CB70" s="100">
        <v>7</v>
      </c>
      <c r="CC70" s="100">
        <v>3746.3999999999996</v>
      </c>
      <c r="CD70" s="100">
        <v>5</v>
      </c>
      <c r="CE70" s="100">
        <v>2675.9999999999995</v>
      </c>
      <c r="CF70" s="100">
        <v>6.2844609491810965</v>
      </c>
      <c r="CG70" s="100">
        <v>3363.4435000017224</v>
      </c>
      <c r="CH70" s="100">
        <v>6.3368955314496214</v>
      </c>
      <c r="CI70" s="100">
        <v>3391.5064884318367</v>
      </c>
      <c r="CJ70" s="100">
        <v>4</v>
      </c>
      <c r="CK70" s="100">
        <v>2140.7999999999997</v>
      </c>
      <c r="CL70" s="100">
        <v>7</v>
      </c>
      <c r="CM70" s="100">
        <v>3746.3999999999996</v>
      </c>
      <c r="CN70" s="100">
        <v>3.6378307959201002</v>
      </c>
      <c r="CO70" s="100">
        <v>1946.9670419764373</v>
      </c>
      <c r="CP70" s="100">
        <v>2.8170758440945764E-4</v>
      </c>
      <c r="CQ70" s="100">
        <v>0.15076989917594172</v>
      </c>
      <c r="CR70" s="100">
        <v>0.76594911134932309</v>
      </c>
      <c r="CS70" s="100">
        <v>409.93596439415768</v>
      </c>
      <c r="CT70" s="100">
        <v>4</v>
      </c>
      <c r="CU70" s="100">
        <v>2140.7999999999997</v>
      </c>
    </row>
    <row r="71" spans="2:99">
      <c r="B71" s="99" t="s">
        <v>130</v>
      </c>
      <c r="C71" s="99" t="s">
        <v>237</v>
      </c>
      <c r="D71" s="100">
        <v>4</v>
      </c>
      <c r="E71" s="100">
        <v>2256</v>
      </c>
      <c r="F71" s="100">
        <v>5</v>
      </c>
      <c r="G71" s="100">
        <v>2820</v>
      </c>
      <c r="H71" s="100">
        <v>3</v>
      </c>
      <c r="I71" s="100">
        <v>1692</v>
      </c>
      <c r="J71" s="100">
        <v>4.5849104222676935</v>
      </c>
      <c r="K71" s="100">
        <v>2585.8894781589793</v>
      </c>
      <c r="L71" s="100">
        <v>6</v>
      </c>
      <c r="M71" s="100">
        <v>3384</v>
      </c>
      <c r="N71" s="100">
        <v>4</v>
      </c>
      <c r="O71" s="100">
        <v>2256</v>
      </c>
      <c r="P71" s="100">
        <v>3</v>
      </c>
      <c r="Q71" s="100">
        <v>1692</v>
      </c>
      <c r="R71" s="100">
        <v>4</v>
      </c>
      <c r="S71" s="100">
        <v>2256</v>
      </c>
      <c r="T71" s="100">
        <v>5</v>
      </c>
      <c r="U71" s="100">
        <v>2820</v>
      </c>
      <c r="V71" s="100">
        <v>5</v>
      </c>
      <c r="W71" s="100">
        <v>2820</v>
      </c>
      <c r="X71" s="100">
        <v>5</v>
      </c>
      <c r="Y71" s="100">
        <v>2820</v>
      </c>
      <c r="Z71" s="100">
        <v>6</v>
      </c>
      <c r="AA71" s="100">
        <v>3384</v>
      </c>
      <c r="AB71" s="100">
        <v>3</v>
      </c>
      <c r="AC71" s="100">
        <v>1692</v>
      </c>
      <c r="AD71" s="100">
        <v>5</v>
      </c>
      <c r="AE71" s="100">
        <v>2820</v>
      </c>
      <c r="AF71" s="100">
        <v>4</v>
      </c>
      <c r="AG71" s="100">
        <v>2256</v>
      </c>
      <c r="AH71" s="100">
        <v>4.2952130014751519</v>
      </c>
      <c r="AI71" s="100">
        <v>2422.5001328319859</v>
      </c>
      <c r="AJ71" s="100">
        <v>3</v>
      </c>
      <c r="AK71" s="100">
        <v>1692</v>
      </c>
      <c r="AL71" s="100">
        <v>5.000034111452301</v>
      </c>
      <c r="AM71" s="100">
        <v>2820.0192388590976</v>
      </c>
      <c r="AN71" s="100">
        <v>1.6754405674440132</v>
      </c>
      <c r="AO71" s="100">
        <v>944.94848003842344</v>
      </c>
      <c r="AP71" s="100">
        <v>2.6973647645843619</v>
      </c>
      <c r="AQ71" s="100">
        <v>1521.3137272255801</v>
      </c>
      <c r="AR71" s="100">
        <v>5</v>
      </c>
      <c r="AS71" s="100">
        <v>2820</v>
      </c>
      <c r="AT71" s="100">
        <v>4</v>
      </c>
      <c r="AU71" s="100">
        <v>2256</v>
      </c>
      <c r="AV71" s="100">
        <v>4.6473414309990391</v>
      </c>
      <c r="AW71" s="100">
        <v>2621.1005670834579</v>
      </c>
      <c r="AX71" s="100">
        <v>4.3964319352834123</v>
      </c>
      <c r="AY71" s="100">
        <v>2479.5876114998446</v>
      </c>
      <c r="AZ71" s="100">
        <v>2.4484511372761224</v>
      </c>
      <c r="BA71" s="100">
        <v>1380.926441423733</v>
      </c>
      <c r="BB71" s="100">
        <v>6</v>
      </c>
      <c r="BC71" s="100">
        <v>3384</v>
      </c>
      <c r="BD71" s="100">
        <v>4</v>
      </c>
      <c r="BE71" s="100">
        <v>2256</v>
      </c>
      <c r="BF71" s="100">
        <v>1.7046619509573542</v>
      </c>
      <c r="BG71" s="100">
        <v>961.42934033994777</v>
      </c>
      <c r="BH71" s="100">
        <v>4.3900500922242864</v>
      </c>
      <c r="BI71" s="100">
        <v>2475.9882520144974</v>
      </c>
      <c r="BJ71" s="100">
        <v>0.96761022485708648</v>
      </c>
      <c r="BK71" s="100">
        <v>545.73216681939675</v>
      </c>
      <c r="BL71" s="100">
        <v>4</v>
      </c>
      <c r="BM71" s="100">
        <v>2256</v>
      </c>
      <c r="BN71" s="100">
        <v>5</v>
      </c>
      <c r="BO71" s="100">
        <v>2820</v>
      </c>
      <c r="BP71" s="100">
        <v>3</v>
      </c>
      <c r="BQ71" s="100">
        <v>1692</v>
      </c>
      <c r="BR71" s="100">
        <v>6</v>
      </c>
      <c r="BS71" s="100">
        <v>3384</v>
      </c>
      <c r="BT71" s="100">
        <v>6</v>
      </c>
      <c r="BU71" s="100">
        <v>3384</v>
      </c>
      <c r="BV71" s="100">
        <v>4</v>
      </c>
      <c r="BW71" s="100">
        <v>2256</v>
      </c>
      <c r="BX71" s="100">
        <v>5</v>
      </c>
      <c r="BY71" s="100">
        <v>2820</v>
      </c>
      <c r="BZ71" s="100">
        <v>4</v>
      </c>
      <c r="CA71" s="100">
        <v>2256</v>
      </c>
      <c r="CB71" s="100">
        <v>4.2427348063640471</v>
      </c>
      <c r="CC71" s="100">
        <v>2392.9024307893224</v>
      </c>
      <c r="CD71" s="100">
        <v>6</v>
      </c>
      <c r="CE71" s="100">
        <v>3384</v>
      </c>
      <c r="CF71" s="100">
        <v>5</v>
      </c>
      <c r="CG71" s="100">
        <v>2820</v>
      </c>
      <c r="CH71" s="100">
        <v>5</v>
      </c>
      <c r="CI71" s="100">
        <v>2820</v>
      </c>
      <c r="CJ71" s="100">
        <v>5</v>
      </c>
      <c r="CK71" s="100">
        <v>2820</v>
      </c>
      <c r="CL71" s="100">
        <v>5</v>
      </c>
      <c r="CM71" s="100">
        <v>2820</v>
      </c>
      <c r="CN71" s="100">
        <v>6</v>
      </c>
      <c r="CO71" s="100">
        <v>3384</v>
      </c>
      <c r="CP71" s="100">
        <v>3.7416421433130291</v>
      </c>
      <c r="CQ71" s="100">
        <v>2110.2861688285484</v>
      </c>
      <c r="CR71" s="100">
        <v>4</v>
      </c>
      <c r="CS71" s="100">
        <v>2256</v>
      </c>
      <c r="CT71" s="100">
        <v>4</v>
      </c>
      <c r="CU71" s="100">
        <v>2256</v>
      </c>
    </row>
    <row r="72" spans="2:99">
      <c r="C72" s="99" t="s">
        <v>238</v>
      </c>
      <c r="D72" s="100">
        <v>4</v>
      </c>
      <c r="E72" s="100">
        <v>297.59999999999997</v>
      </c>
      <c r="F72" s="100">
        <v>6</v>
      </c>
      <c r="G72" s="100">
        <v>446.4</v>
      </c>
      <c r="H72" s="100">
        <v>3</v>
      </c>
      <c r="I72" s="100">
        <v>223.2</v>
      </c>
      <c r="J72" s="100">
        <v>5.6336529574566683</v>
      </c>
      <c r="K72" s="100">
        <v>419.14378003477606</v>
      </c>
      <c r="L72" s="100">
        <v>6</v>
      </c>
      <c r="M72" s="100">
        <v>446.4</v>
      </c>
      <c r="N72" s="100">
        <v>4</v>
      </c>
      <c r="O72" s="100">
        <v>297.59999999999997</v>
      </c>
      <c r="P72" s="100">
        <v>3</v>
      </c>
      <c r="Q72" s="100">
        <v>223.2</v>
      </c>
      <c r="R72" s="100">
        <v>4</v>
      </c>
      <c r="S72" s="100">
        <v>297.59999999999997</v>
      </c>
      <c r="T72" s="100">
        <v>5</v>
      </c>
      <c r="U72" s="100">
        <v>371.99999999999994</v>
      </c>
      <c r="V72" s="100">
        <v>4</v>
      </c>
      <c r="W72" s="100">
        <v>297.59999999999997</v>
      </c>
      <c r="X72" s="100">
        <v>5</v>
      </c>
      <c r="Y72" s="100">
        <v>371.99999999999994</v>
      </c>
      <c r="Z72" s="100">
        <v>6</v>
      </c>
      <c r="AA72" s="100">
        <v>446.4</v>
      </c>
      <c r="AB72" s="100">
        <v>3</v>
      </c>
      <c r="AC72" s="100">
        <v>223.2</v>
      </c>
      <c r="AD72" s="100">
        <v>5</v>
      </c>
      <c r="AE72" s="100">
        <v>371.99999999999994</v>
      </c>
      <c r="AF72" s="100">
        <v>4</v>
      </c>
      <c r="AG72" s="100">
        <v>297.59999999999997</v>
      </c>
      <c r="AH72" s="100">
        <v>5.2952130014751519</v>
      </c>
      <c r="AI72" s="100">
        <v>393.96384730975126</v>
      </c>
      <c r="AJ72" s="100">
        <v>4</v>
      </c>
      <c r="AK72" s="100">
        <v>297.59999999999997</v>
      </c>
      <c r="AL72" s="100">
        <v>5.000034111452301</v>
      </c>
      <c r="AM72" s="100">
        <v>372.00253789205118</v>
      </c>
      <c r="AN72" s="100">
        <v>1.6754405674440132</v>
      </c>
      <c r="AO72" s="100">
        <v>124.65277821783457</v>
      </c>
      <c r="AP72" s="100">
        <v>3.2368377175012344</v>
      </c>
      <c r="AQ72" s="100">
        <v>240.82072618209182</v>
      </c>
      <c r="AR72" s="100">
        <v>4</v>
      </c>
      <c r="AS72" s="100">
        <v>297.59999999999997</v>
      </c>
      <c r="AT72" s="100">
        <v>4</v>
      </c>
      <c r="AU72" s="100">
        <v>297.59999999999997</v>
      </c>
      <c r="AV72" s="100">
        <v>4</v>
      </c>
      <c r="AW72" s="100">
        <v>297.59999999999997</v>
      </c>
      <c r="AX72" s="100">
        <v>4.3964319352834123</v>
      </c>
      <c r="AY72" s="100">
        <v>327.09453598508583</v>
      </c>
      <c r="AZ72" s="100">
        <v>2.4484511372761224</v>
      </c>
      <c r="BA72" s="100">
        <v>182.16476461334349</v>
      </c>
      <c r="BB72" s="100">
        <v>6</v>
      </c>
      <c r="BC72" s="100">
        <v>446.4</v>
      </c>
      <c r="BD72" s="100">
        <v>4</v>
      </c>
      <c r="BE72" s="100">
        <v>297.59999999999997</v>
      </c>
      <c r="BF72" s="100">
        <v>2.1308274386966928</v>
      </c>
      <c r="BG72" s="100">
        <v>158.53356143903392</v>
      </c>
      <c r="BH72" s="100">
        <v>5.4388063537523221</v>
      </c>
      <c r="BI72" s="100">
        <v>404.64719271917272</v>
      </c>
      <c r="BJ72" s="100">
        <v>1.209512781071358</v>
      </c>
      <c r="BK72" s="100">
        <v>89.987750911709028</v>
      </c>
      <c r="BL72" s="100">
        <v>4</v>
      </c>
      <c r="BM72" s="100">
        <v>297.59999999999997</v>
      </c>
      <c r="BN72" s="100">
        <v>4</v>
      </c>
      <c r="BO72" s="100">
        <v>297.59999999999997</v>
      </c>
      <c r="BP72" s="100">
        <v>4</v>
      </c>
      <c r="BQ72" s="100">
        <v>297.59999999999997</v>
      </c>
      <c r="BR72" s="100">
        <v>6</v>
      </c>
      <c r="BS72" s="100">
        <v>446.4</v>
      </c>
      <c r="BT72" s="100">
        <v>7</v>
      </c>
      <c r="BU72" s="100">
        <v>520.79999999999995</v>
      </c>
      <c r="BV72" s="100">
        <v>4</v>
      </c>
      <c r="BW72" s="100">
        <v>297.59999999999997</v>
      </c>
      <c r="BX72" s="100">
        <v>5</v>
      </c>
      <c r="BY72" s="100">
        <v>371.99999999999994</v>
      </c>
      <c r="BZ72" s="100">
        <v>4</v>
      </c>
      <c r="CA72" s="100">
        <v>297.59999999999997</v>
      </c>
      <c r="CB72" s="100">
        <v>4.2253966059094719</v>
      </c>
      <c r="CC72" s="100">
        <v>314.36950747966466</v>
      </c>
      <c r="CD72" s="100">
        <v>7</v>
      </c>
      <c r="CE72" s="100">
        <v>520.79999999999995</v>
      </c>
      <c r="CF72" s="100">
        <v>5</v>
      </c>
      <c r="CG72" s="100">
        <v>371.99999999999994</v>
      </c>
      <c r="CH72" s="100">
        <v>5</v>
      </c>
      <c r="CI72" s="100">
        <v>371.99999999999994</v>
      </c>
      <c r="CJ72" s="100">
        <v>5</v>
      </c>
      <c r="CK72" s="100">
        <v>371.99999999999994</v>
      </c>
      <c r="CL72" s="100">
        <v>6</v>
      </c>
      <c r="CM72" s="100">
        <v>446.4</v>
      </c>
      <c r="CN72" s="100">
        <v>6</v>
      </c>
      <c r="CO72" s="100">
        <v>446.4</v>
      </c>
      <c r="CP72" s="100">
        <v>3.7416421433130291</v>
      </c>
      <c r="CQ72" s="100">
        <v>278.37817546248931</v>
      </c>
      <c r="CR72" s="100">
        <v>3</v>
      </c>
      <c r="CS72" s="100">
        <v>223.2</v>
      </c>
      <c r="CT72" s="100">
        <v>4</v>
      </c>
      <c r="CU72" s="100">
        <v>297.59999999999997</v>
      </c>
    </row>
    <row r="73" spans="2:99">
      <c r="C73" s="99" t="s">
        <v>239</v>
      </c>
      <c r="D73" s="100">
        <v>4</v>
      </c>
      <c r="E73" s="100">
        <v>2236.7999999999997</v>
      </c>
      <c r="F73" s="100">
        <v>6</v>
      </c>
      <c r="G73" s="100">
        <v>3355.2</v>
      </c>
      <c r="H73" s="100">
        <v>3</v>
      </c>
      <c r="I73" s="100">
        <v>1677.6</v>
      </c>
      <c r="J73" s="100">
        <v>4.5361678870787188</v>
      </c>
      <c r="K73" s="100">
        <v>2536.625082454419</v>
      </c>
      <c r="L73" s="100">
        <v>6</v>
      </c>
      <c r="M73" s="100">
        <v>3355.2</v>
      </c>
      <c r="N73" s="100">
        <v>4</v>
      </c>
      <c r="O73" s="100">
        <v>2236.7999999999997</v>
      </c>
      <c r="P73" s="100">
        <v>3</v>
      </c>
      <c r="Q73" s="100">
        <v>1677.6</v>
      </c>
      <c r="R73" s="100">
        <v>4</v>
      </c>
      <c r="S73" s="100">
        <v>2236.7999999999997</v>
      </c>
      <c r="T73" s="100">
        <v>5</v>
      </c>
      <c r="U73" s="100">
        <v>2795.9999999999995</v>
      </c>
      <c r="V73" s="100">
        <v>4</v>
      </c>
      <c r="W73" s="100">
        <v>2236.7999999999997</v>
      </c>
      <c r="X73" s="100">
        <v>4</v>
      </c>
      <c r="Y73" s="100">
        <v>2236.7999999999997</v>
      </c>
      <c r="Z73" s="100">
        <v>5</v>
      </c>
      <c r="AA73" s="100">
        <v>2795.9999999999995</v>
      </c>
      <c r="AB73" s="100">
        <v>3</v>
      </c>
      <c r="AC73" s="100">
        <v>1677.6</v>
      </c>
      <c r="AD73" s="100">
        <v>5</v>
      </c>
      <c r="AE73" s="100">
        <v>2795.9999999999995</v>
      </c>
      <c r="AF73" s="100">
        <v>4</v>
      </c>
      <c r="AG73" s="100">
        <v>2236.7999999999997</v>
      </c>
      <c r="AH73" s="100">
        <v>4.2952130014751519</v>
      </c>
      <c r="AI73" s="100">
        <v>2401.8831104249048</v>
      </c>
      <c r="AJ73" s="100">
        <v>3</v>
      </c>
      <c r="AK73" s="100">
        <v>1677.6</v>
      </c>
      <c r="AL73" s="100">
        <v>4.0000372124934191</v>
      </c>
      <c r="AM73" s="100">
        <v>2236.8208092263199</v>
      </c>
      <c r="AN73" s="100">
        <v>1.6754405674440132</v>
      </c>
      <c r="AO73" s="100">
        <v>936.90636531469204</v>
      </c>
      <c r="AP73" s="100">
        <v>3.2368377175012344</v>
      </c>
      <c r="AQ73" s="100">
        <v>1810.0396516266901</v>
      </c>
      <c r="AR73" s="100">
        <v>4</v>
      </c>
      <c r="AS73" s="100">
        <v>2236.7999999999997</v>
      </c>
      <c r="AT73" s="100">
        <v>3</v>
      </c>
      <c r="AU73" s="100">
        <v>1677.6</v>
      </c>
      <c r="AV73" s="100">
        <v>4</v>
      </c>
      <c r="AW73" s="100">
        <v>2236.7999999999997</v>
      </c>
      <c r="AX73" s="100">
        <v>4.3964319352834123</v>
      </c>
      <c r="AY73" s="100">
        <v>2458.484738210484</v>
      </c>
      <c r="AZ73" s="100">
        <v>2.4484511372761224</v>
      </c>
      <c r="BA73" s="100">
        <v>1369.1738759648074</v>
      </c>
      <c r="BB73" s="100">
        <v>6</v>
      </c>
      <c r="BC73" s="100">
        <v>3355.2</v>
      </c>
      <c r="BD73" s="100">
        <v>5</v>
      </c>
      <c r="BE73" s="100">
        <v>2795.9999999999995</v>
      </c>
      <c r="BF73" s="100">
        <v>2.1308274386966928</v>
      </c>
      <c r="BG73" s="100">
        <v>1191.5587037191904</v>
      </c>
      <c r="BH73" s="100">
        <v>4.3900500922242864</v>
      </c>
      <c r="BI73" s="100">
        <v>2454.9160115718205</v>
      </c>
      <c r="BJ73" s="100">
        <v>1.209512781071358</v>
      </c>
      <c r="BK73" s="100">
        <v>676.35954717510333</v>
      </c>
      <c r="BL73" s="100">
        <v>4</v>
      </c>
      <c r="BM73" s="100">
        <v>2236.7999999999997</v>
      </c>
      <c r="BN73" s="100">
        <v>4</v>
      </c>
      <c r="BO73" s="100">
        <v>2236.7999999999997</v>
      </c>
      <c r="BP73" s="100">
        <v>3</v>
      </c>
      <c r="BQ73" s="100">
        <v>1677.6</v>
      </c>
      <c r="BR73" s="100">
        <v>5</v>
      </c>
      <c r="BS73" s="100">
        <v>2795.9999999999995</v>
      </c>
      <c r="BT73" s="100">
        <v>6</v>
      </c>
      <c r="BU73" s="100">
        <v>3355.2</v>
      </c>
      <c r="BV73" s="100">
        <v>4</v>
      </c>
      <c r="BW73" s="100">
        <v>2236.7999999999997</v>
      </c>
      <c r="BX73" s="100">
        <v>5</v>
      </c>
      <c r="BY73" s="100">
        <v>2795.9999999999995</v>
      </c>
      <c r="BZ73" s="100">
        <v>4</v>
      </c>
      <c r="CA73" s="100">
        <v>2236.7999999999997</v>
      </c>
      <c r="CB73" s="100">
        <v>4.2253966059094719</v>
      </c>
      <c r="CC73" s="100">
        <v>2362.8417820245763</v>
      </c>
      <c r="CD73" s="100">
        <v>6</v>
      </c>
      <c r="CE73" s="100">
        <v>3355.2</v>
      </c>
      <c r="CF73" s="100">
        <v>5</v>
      </c>
      <c r="CG73" s="100">
        <v>2795.9999999999995</v>
      </c>
      <c r="CH73" s="100">
        <v>5</v>
      </c>
      <c r="CI73" s="100">
        <v>2795.9999999999995</v>
      </c>
      <c r="CJ73" s="100">
        <v>4</v>
      </c>
      <c r="CK73" s="100">
        <v>2236.7999999999997</v>
      </c>
      <c r="CL73" s="100">
        <v>6</v>
      </c>
      <c r="CM73" s="100">
        <v>3355.2</v>
      </c>
      <c r="CN73" s="100">
        <v>6</v>
      </c>
      <c r="CO73" s="100">
        <v>3355.2</v>
      </c>
      <c r="CP73" s="100">
        <v>3.7416421433130291</v>
      </c>
      <c r="CQ73" s="100">
        <v>2092.3262865406455</v>
      </c>
      <c r="CR73" s="100">
        <v>3</v>
      </c>
      <c r="CS73" s="100">
        <v>1677.6</v>
      </c>
      <c r="CT73" s="100">
        <v>4</v>
      </c>
      <c r="CU73" s="100">
        <v>2236.7999999999997</v>
      </c>
    </row>
    <row r="74" spans="2:99">
      <c r="C74" s="99" t="s">
        <v>240</v>
      </c>
      <c r="D74" s="100">
        <v>4</v>
      </c>
      <c r="E74" s="100">
        <v>1612.8</v>
      </c>
      <c r="F74" s="100">
        <v>6</v>
      </c>
      <c r="G74" s="100">
        <v>2419.1999999999998</v>
      </c>
      <c r="H74" s="100">
        <v>3</v>
      </c>
      <c r="I74" s="100">
        <v>1209.5999999999999</v>
      </c>
      <c r="J74" s="100">
        <v>4.6336529574566683</v>
      </c>
      <c r="K74" s="100">
        <v>1868.2888724465286</v>
      </c>
      <c r="L74" s="100">
        <v>6</v>
      </c>
      <c r="M74" s="100">
        <v>2419.1999999999998</v>
      </c>
      <c r="N74" s="100">
        <v>4</v>
      </c>
      <c r="O74" s="100">
        <v>1612.8</v>
      </c>
      <c r="P74" s="100">
        <v>3</v>
      </c>
      <c r="Q74" s="100">
        <v>1209.5999999999999</v>
      </c>
      <c r="R74" s="100">
        <v>4</v>
      </c>
      <c r="S74" s="100">
        <v>1612.8</v>
      </c>
      <c r="T74" s="100">
        <v>5</v>
      </c>
      <c r="U74" s="100">
        <v>2016</v>
      </c>
      <c r="V74" s="100">
        <v>5</v>
      </c>
      <c r="W74" s="100">
        <v>2016</v>
      </c>
      <c r="X74" s="100">
        <v>5</v>
      </c>
      <c r="Y74" s="100">
        <v>2016</v>
      </c>
      <c r="Z74" s="100">
        <v>5</v>
      </c>
      <c r="AA74" s="100">
        <v>2016</v>
      </c>
      <c r="AB74" s="100">
        <v>3</v>
      </c>
      <c r="AC74" s="100">
        <v>1209.5999999999999</v>
      </c>
      <c r="AD74" s="100">
        <v>4</v>
      </c>
      <c r="AE74" s="100">
        <v>1612.8</v>
      </c>
      <c r="AF74" s="100">
        <v>4</v>
      </c>
      <c r="AG74" s="100">
        <v>1612.8</v>
      </c>
      <c r="AH74" s="100">
        <v>4.3373862874001734</v>
      </c>
      <c r="AI74" s="100">
        <v>1748.83415107975</v>
      </c>
      <c r="AJ74" s="100">
        <v>3</v>
      </c>
      <c r="AK74" s="100">
        <v>1209.5999999999999</v>
      </c>
      <c r="AL74" s="100">
        <v>5.0000403135345373</v>
      </c>
      <c r="AM74" s="100">
        <v>2016.0162544171253</v>
      </c>
      <c r="AN74" s="100">
        <v>1.6754405674440132</v>
      </c>
      <c r="AO74" s="100">
        <v>675.53763679342603</v>
      </c>
      <c r="AP74" s="100">
        <v>3.2368377175012344</v>
      </c>
      <c r="AQ74" s="100">
        <v>1305.0929676964977</v>
      </c>
      <c r="AR74" s="100">
        <v>5</v>
      </c>
      <c r="AS74" s="100">
        <v>2016</v>
      </c>
      <c r="AT74" s="100">
        <v>3</v>
      </c>
      <c r="AU74" s="100">
        <v>1209.5999999999999</v>
      </c>
      <c r="AV74" s="100">
        <v>4</v>
      </c>
      <c r="AW74" s="100">
        <v>1612.8</v>
      </c>
      <c r="AX74" s="100">
        <v>5.6035509165706836</v>
      </c>
      <c r="AY74" s="100">
        <v>2259.3517295612996</v>
      </c>
      <c r="AZ74" s="100">
        <v>2.4484511372761224</v>
      </c>
      <c r="BA74" s="100">
        <v>987.2154985497325</v>
      </c>
      <c r="BB74" s="100">
        <v>6</v>
      </c>
      <c r="BC74" s="100">
        <v>2419.1999999999998</v>
      </c>
      <c r="BD74" s="100">
        <v>4</v>
      </c>
      <c r="BE74" s="100">
        <v>1612.8</v>
      </c>
      <c r="BF74" s="100">
        <v>2.1308274386966928</v>
      </c>
      <c r="BG74" s="100">
        <v>859.14962328250647</v>
      </c>
      <c r="BH74" s="100">
        <v>4.3900500922242864</v>
      </c>
      <c r="BI74" s="100">
        <v>1770.0681971848323</v>
      </c>
      <c r="BJ74" s="100">
        <v>0.96761022485708648</v>
      </c>
      <c r="BK74" s="100">
        <v>390.14044266237727</v>
      </c>
      <c r="BL74" s="100">
        <v>4</v>
      </c>
      <c r="BM74" s="100">
        <v>1612.8</v>
      </c>
      <c r="BN74" s="100">
        <v>4</v>
      </c>
      <c r="BO74" s="100">
        <v>1612.8</v>
      </c>
      <c r="BP74" s="100">
        <v>3</v>
      </c>
      <c r="BQ74" s="100">
        <v>1209.5999999999999</v>
      </c>
      <c r="BR74" s="100">
        <v>6</v>
      </c>
      <c r="BS74" s="100">
        <v>2419.1999999999998</v>
      </c>
      <c r="BT74" s="100">
        <v>7</v>
      </c>
      <c r="BU74" s="100">
        <v>2822.4</v>
      </c>
      <c r="BV74" s="100">
        <v>4</v>
      </c>
      <c r="BW74" s="100">
        <v>1612.8</v>
      </c>
      <c r="BX74" s="100">
        <v>5</v>
      </c>
      <c r="BY74" s="100">
        <v>2016</v>
      </c>
      <c r="BZ74" s="100">
        <v>4</v>
      </c>
      <c r="CA74" s="100">
        <v>1612.8</v>
      </c>
      <c r="CB74" s="100">
        <v>4.2253966059094719</v>
      </c>
      <c r="CC74" s="100">
        <v>1703.679911502699</v>
      </c>
      <c r="CD74" s="100">
        <v>6</v>
      </c>
      <c r="CE74" s="100">
        <v>2419.1999999999998</v>
      </c>
      <c r="CF74" s="100">
        <v>5</v>
      </c>
      <c r="CG74" s="100">
        <v>2016</v>
      </c>
      <c r="CH74" s="100">
        <v>5</v>
      </c>
      <c r="CI74" s="100">
        <v>2016</v>
      </c>
      <c r="CJ74" s="100">
        <v>5</v>
      </c>
      <c r="CK74" s="100">
        <v>2016</v>
      </c>
      <c r="CL74" s="100">
        <v>6</v>
      </c>
      <c r="CM74" s="100">
        <v>2419.1999999999998</v>
      </c>
      <c r="CN74" s="100">
        <v>6</v>
      </c>
      <c r="CO74" s="100">
        <v>2419.1999999999998</v>
      </c>
      <c r="CP74" s="100">
        <v>3.7416421433130291</v>
      </c>
      <c r="CQ74" s="100">
        <v>1508.6301121838133</v>
      </c>
      <c r="CR74" s="100">
        <v>3</v>
      </c>
      <c r="CS74" s="100">
        <v>1209.5999999999999</v>
      </c>
      <c r="CT74" s="100">
        <v>4</v>
      </c>
      <c r="CU74" s="100">
        <v>1612.8</v>
      </c>
    </row>
    <row r="75" spans="2:99">
      <c r="C75" s="99" t="s">
        <v>241</v>
      </c>
      <c r="D75" s="100">
        <v>4</v>
      </c>
      <c r="E75" s="100">
        <v>2572.7999999999997</v>
      </c>
      <c r="F75" s="100">
        <v>5</v>
      </c>
      <c r="G75" s="100">
        <v>3215.9999999999995</v>
      </c>
      <c r="H75" s="100">
        <v>3</v>
      </c>
      <c r="I75" s="100">
        <v>1929.6</v>
      </c>
      <c r="J75" s="100">
        <v>5.5849104222676935</v>
      </c>
      <c r="K75" s="100">
        <v>3592.2143836025803</v>
      </c>
      <c r="L75" s="100">
        <v>6</v>
      </c>
      <c r="M75" s="100">
        <v>3859.2</v>
      </c>
      <c r="N75" s="100">
        <v>4</v>
      </c>
      <c r="O75" s="100">
        <v>2572.7999999999997</v>
      </c>
      <c r="P75" s="100">
        <v>3</v>
      </c>
      <c r="Q75" s="100">
        <v>1929.6</v>
      </c>
      <c r="R75" s="100">
        <v>4</v>
      </c>
      <c r="S75" s="100">
        <v>2572.7999999999997</v>
      </c>
      <c r="T75" s="100">
        <v>5</v>
      </c>
      <c r="U75" s="100">
        <v>3215.9999999999995</v>
      </c>
      <c r="V75" s="100">
        <v>4</v>
      </c>
      <c r="W75" s="100">
        <v>2572.7999999999997</v>
      </c>
      <c r="X75" s="100">
        <v>5</v>
      </c>
      <c r="Y75" s="100">
        <v>3215.9999999999995</v>
      </c>
      <c r="Z75" s="100">
        <v>6</v>
      </c>
      <c r="AA75" s="100">
        <v>3859.2</v>
      </c>
      <c r="AB75" s="100">
        <v>3</v>
      </c>
      <c r="AC75" s="100">
        <v>1929.6</v>
      </c>
      <c r="AD75" s="100">
        <v>5</v>
      </c>
      <c r="AE75" s="100">
        <v>3215.9999999999995</v>
      </c>
      <c r="AF75" s="100">
        <v>4</v>
      </c>
      <c r="AG75" s="100">
        <v>2572.7999999999997</v>
      </c>
      <c r="AH75" s="100">
        <v>5.2952130014751519</v>
      </c>
      <c r="AI75" s="100">
        <v>3405.8810025488174</v>
      </c>
      <c r="AJ75" s="100">
        <v>3</v>
      </c>
      <c r="AK75" s="100">
        <v>1929.6</v>
      </c>
      <c r="AL75" s="100">
        <v>5.000034111452301</v>
      </c>
      <c r="AM75" s="100">
        <v>3216.0219404861195</v>
      </c>
      <c r="AN75" s="100">
        <v>1.2565804255830098</v>
      </c>
      <c r="AO75" s="100">
        <v>808.23252973499177</v>
      </c>
      <c r="AP75" s="100">
        <v>2.6973647645843619</v>
      </c>
      <c r="AQ75" s="100">
        <v>1734.9450165806613</v>
      </c>
      <c r="AR75" s="100">
        <v>4</v>
      </c>
      <c r="AS75" s="100">
        <v>2572.7999999999997</v>
      </c>
      <c r="AT75" s="100">
        <v>3</v>
      </c>
      <c r="AU75" s="100">
        <v>1929.6</v>
      </c>
      <c r="AV75" s="100">
        <v>4</v>
      </c>
      <c r="AW75" s="100">
        <v>2572.7999999999997</v>
      </c>
      <c r="AX75" s="100">
        <v>4.3964319352834123</v>
      </c>
      <c r="AY75" s="100">
        <v>2827.7850207742904</v>
      </c>
      <c r="AZ75" s="100">
        <v>2.4484511372761224</v>
      </c>
      <c r="BA75" s="100">
        <v>1574.8437714960019</v>
      </c>
      <c r="BB75" s="100">
        <v>6</v>
      </c>
      <c r="BC75" s="100">
        <v>3859.2</v>
      </c>
      <c r="BD75" s="100">
        <v>4</v>
      </c>
      <c r="BE75" s="100">
        <v>2572.7999999999997</v>
      </c>
      <c r="BF75" s="100">
        <v>2.1308274386966928</v>
      </c>
      <c r="BG75" s="100">
        <v>1370.5482085697126</v>
      </c>
      <c r="BH75" s="100">
        <v>4.3900500922242864</v>
      </c>
      <c r="BI75" s="100">
        <v>2823.6802193186609</v>
      </c>
      <c r="BJ75" s="100">
        <v>1.209512781071358</v>
      </c>
      <c r="BK75" s="100">
        <v>777.95862078509731</v>
      </c>
      <c r="BL75" s="100">
        <v>4</v>
      </c>
      <c r="BM75" s="100">
        <v>2572.7999999999997</v>
      </c>
      <c r="BN75" s="100">
        <v>4</v>
      </c>
      <c r="BO75" s="100">
        <v>2572.7999999999997</v>
      </c>
      <c r="BP75" s="100">
        <v>3</v>
      </c>
      <c r="BQ75" s="100">
        <v>1929.6</v>
      </c>
      <c r="BR75" s="100">
        <v>5</v>
      </c>
      <c r="BS75" s="100">
        <v>3215.9999999999995</v>
      </c>
      <c r="BT75" s="100">
        <v>7</v>
      </c>
      <c r="BU75" s="100">
        <v>4502.3999999999996</v>
      </c>
      <c r="BV75" s="100">
        <v>3</v>
      </c>
      <c r="BW75" s="100">
        <v>1929.6</v>
      </c>
      <c r="BX75" s="100">
        <v>5</v>
      </c>
      <c r="BY75" s="100">
        <v>3215.9999999999995</v>
      </c>
      <c r="BZ75" s="100">
        <v>4</v>
      </c>
      <c r="CA75" s="100">
        <v>2572.7999999999997</v>
      </c>
      <c r="CB75" s="100">
        <v>4.2253966059094719</v>
      </c>
      <c r="CC75" s="100">
        <v>2717.7750969209719</v>
      </c>
      <c r="CD75" s="100">
        <v>6</v>
      </c>
      <c r="CE75" s="100">
        <v>3859.2</v>
      </c>
      <c r="CF75" s="100">
        <v>5</v>
      </c>
      <c r="CG75" s="100">
        <v>3215.9999999999995</v>
      </c>
      <c r="CH75" s="100">
        <v>5</v>
      </c>
      <c r="CI75" s="100">
        <v>3215.9999999999995</v>
      </c>
      <c r="CJ75" s="100">
        <v>5</v>
      </c>
      <c r="CK75" s="100">
        <v>3215.9999999999995</v>
      </c>
      <c r="CL75" s="100">
        <v>6</v>
      </c>
      <c r="CM75" s="100">
        <v>3859.2</v>
      </c>
      <c r="CN75" s="100">
        <v>6</v>
      </c>
      <c r="CO75" s="100">
        <v>3859.2</v>
      </c>
      <c r="CP75" s="100">
        <v>3.7416421433130291</v>
      </c>
      <c r="CQ75" s="100">
        <v>2406.6242265789401</v>
      </c>
      <c r="CR75" s="100">
        <v>4</v>
      </c>
      <c r="CS75" s="100">
        <v>2572.7999999999997</v>
      </c>
      <c r="CT75" s="100">
        <v>4</v>
      </c>
      <c r="CU75" s="100">
        <v>2572.7999999999997</v>
      </c>
    </row>
    <row r="76" spans="2:99">
      <c r="C76" s="99" t="s">
        <v>242</v>
      </c>
      <c r="D76" s="100">
        <v>4</v>
      </c>
      <c r="E76" s="100">
        <v>3115.2</v>
      </c>
      <c r="F76" s="100">
        <v>5</v>
      </c>
      <c r="G76" s="100">
        <v>3894</v>
      </c>
      <c r="H76" s="100">
        <v>3</v>
      </c>
      <c r="I76" s="100">
        <v>2336.3999999999996</v>
      </c>
      <c r="J76" s="100">
        <v>5.5361678870787188</v>
      </c>
      <c r="K76" s="100">
        <v>4311.5675504569062</v>
      </c>
      <c r="L76" s="100">
        <v>6</v>
      </c>
      <c r="M76" s="100">
        <v>4672.7999999999993</v>
      </c>
      <c r="N76" s="100">
        <v>4</v>
      </c>
      <c r="O76" s="100">
        <v>3115.2</v>
      </c>
      <c r="P76" s="100">
        <v>3</v>
      </c>
      <c r="Q76" s="100">
        <v>2336.3999999999996</v>
      </c>
      <c r="R76" s="100">
        <v>4</v>
      </c>
      <c r="S76" s="100">
        <v>3115.2</v>
      </c>
      <c r="T76" s="100">
        <v>5</v>
      </c>
      <c r="U76" s="100">
        <v>3894</v>
      </c>
      <c r="V76" s="100">
        <v>4</v>
      </c>
      <c r="W76" s="100">
        <v>3115.2</v>
      </c>
      <c r="X76" s="100">
        <v>5</v>
      </c>
      <c r="Y76" s="100">
        <v>3894</v>
      </c>
      <c r="Z76" s="100">
        <v>5</v>
      </c>
      <c r="AA76" s="100">
        <v>3894</v>
      </c>
      <c r="AB76" s="100">
        <v>3</v>
      </c>
      <c r="AC76" s="100">
        <v>2336.3999999999996</v>
      </c>
      <c r="AD76" s="100">
        <v>4</v>
      </c>
      <c r="AE76" s="100">
        <v>3115.2</v>
      </c>
      <c r="AF76" s="100">
        <v>4</v>
      </c>
      <c r="AG76" s="100">
        <v>3115.2</v>
      </c>
      <c r="AH76" s="100">
        <v>4.3373862874001734</v>
      </c>
      <c r="AI76" s="100">
        <v>3377.9564406272548</v>
      </c>
      <c r="AJ76" s="100">
        <v>4</v>
      </c>
      <c r="AK76" s="100">
        <v>3115.2</v>
      </c>
      <c r="AL76" s="100">
        <v>5.000034111452301</v>
      </c>
      <c r="AM76" s="100">
        <v>3894.0265659990519</v>
      </c>
      <c r="AN76" s="100">
        <v>1.2565804255830098</v>
      </c>
      <c r="AO76" s="100">
        <v>978.6248354440479</v>
      </c>
      <c r="AP76" s="100">
        <v>2.6973647645843619</v>
      </c>
      <c r="AQ76" s="100">
        <v>2100.7076786583011</v>
      </c>
      <c r="AR76" s="100">
        <v>4</v>
      </c>
      <c r="AS76" s="100">
        <v>3115.2</v>
      </c>
      <c r="AT76" s="100">
        <v>4</v>
      </c>
      <c r="AU76" s="100">
        <v>3115.2</v>
      </c>
      <c r="AV76" s="100">
        <v>4</v>
      </c>
      <c r="AW76" s="100">
        <v>3115.2</v>
      </c>
      <c r="AX76" s="100">
        <v>3.6636932794028438</v>
      </c>
      <c r="AY76" s="100">
        <v>2853.2843259989345</v>
      </c>
      <c r="AZ76" s="100">
        <v>2.4484511372761224</v>
      </c>
      <c r="BA76" s="100">
        <v>1906.853745710644</v>
      </c>
      <c r="BB76" s="100">
        <v>6</v>
      </c>
      <c r="BC76" s="100">
        <v>4672.7999999999993</v>
      </c>
      <c r="BD76" s="100">
        <v>4</v>
      </c>
      <c r="BE76" s="100">
        <v>3115.2</v>
      </c>
      <c r="BF76" s="100">
        <v>1.7046619509573542</v>
      </c>
      <c r="BG76" s="100">
        <v>1327.5907274055874</v>
      </c>
      <c r="BH76" s="100">
        <v>4.3900500922242864</v>
      </c>
      <c r="BI76" s="100">
        <v>3418.9710118242742</v>
      </c>
      <c r="BJ76" s="100">
        <v>0.96761022485708648</v>
      </c>
      <c r="BK76" s="100">
        <v>753.57484311869894</v>
      </c>
      <c r="BL76" s="100">
        <v>4</v>
      </c>
      <c r="BM76" s="100">
        <v>3115.2</v>
      </c>
      <c r="BN76" s="100">
        <v>4</v>
      </c>
      <c r="BO76" s="100">
        <v>3115.2</v>
      </c>
      <c r="BP76" s="100">
        <v>3</v>
      </c>
      <c r="BQ76" s="100">
        <v>2336.3999999999996</v>
      </c>
      <c r="BR76" s="100">
        <v>5</v>
      </c>
      <c r="BS76" s="100">
        <v>3894</v>
      </c>
      <c r="BT76" s="100">
        <v>6</v>
      </c>
      <c r="BU76" s="100">
        <v>4672.7999999999993</v>
      </c>
      <c r="BV76" s="100">
        <v>3</v>
      </c>
      <c r="BW76" s="100">
        <v>2336.3999999999996</v>
      </c>
      <c r="BX76" s="100">
        <v>5</v>
      </c>
      <c r="BY76" s="100">
        <v>3894</v>
      </c>
      <c r="BZ76" s="100">
        <v>4</v>
      </c>
      <c r="CA76" s="100">
        <v>3115.2</v>
      </c>
      <c r="CB76" s="100">
        <v>4.2253966059094719</v>
      </c>
      <c r="CC76" s="100">
        <v>3290.7388766822964</v>
      </c>
      <c r="CD76" s="100">
        <v>6</v>
      </c>
      <c r="CE76" s="100">
        <v>4672.7999999999993</v>
      </c>
      <c r="CF76" s="100">
        <v>5</v>
      </c>
      <c r="CG76" s="100">
        <v>3894</v>
      </c>
      <c r="CH76" s="100">
        <v>4</v>
      </c>
      <c r="CI76" s="100">
        <v>3115.2</v>
      </c>
      <c r="CJ76" s="100">
        <v>4</v>
      </c>
      <c r="CK76" s="100">
        <v>3115.2</v>
      </c>
      <c r="CL76" s="100">
        <v>5</v>
      </c>
      <c r="CM76" s="100">
        <v>3894</v>
      </c>
      <c r="CN76" s="100">
        <v>5</v>
      </c>
      <c r="CO76" s="100">
        <v>3894</v>
      </c>
      <c r="CP76" s="100">
        <v>3.7416421433130291</v>
      </c>
      <c r="CQ76" s="100">
        <v>2913.9909012121871</v>
      </c>
      <c r="CR76" s="100">
        <v>3</v>
      </c>
      <c r="CS76" s="100">
        <v>2336.3999999999996</v>
      </c>
      <c r="CT76" s="100">
        <v>4</v>
      </c>
      <c r="CU76" s="100">
        <v>3115.2</v>
      </c>
    </row>
    <row r="77" spans="2:99">
      <c r="C77" s="99" t="s">
        <v>243</v>
      </c>
      <c r="D77" s="100">
        <v>4</v>
      </c>
      <c r="E77" s="100">
        <v>1113.5999999999999</v>
      </c>
      <c r="F77" s="100">
        <v>6</v>
      </c>
      <c r="G77" s="100">
        <v>1670.3999999999999</v>
      </c>
      <c r="H77" s="100">
        <v>3</v>
      </c>
      <c r="I77" s="100">
        <v>835.19999999999993</v>
      </c>
      <c r="J77" s="100">
        <v>4.6336529574566683</v>
      </c>
      <c r="K77" s="100">
        <v>1290.0089833559364</v>
      </c>
      <c r="L77" s="100">
        <v>5</v>
      </c>
      <c r="M77" s="100">
        <v>1392</v>
      </c>
      <c r="N77" s="100">
        <v>4</v>
      </c>
      <c r="O77" s="100">
        <v>1113.5999999999999</v>
      </c>
      <c r="P77" s="100">
        <v>3</v>
      </c>
      <c r="Q77" s="100">
        <v>835.19999999999993</v>
      </c>
      <c r="R77" s="100">
        <v>4</v>
      </c>
      <c r="S77" s="100">
        <v>1113.5999999999999</v>
      </c>
      <c r="T77" s="100">
        <v>6</v>
      </c>
      <c r="U77" s="100">
        <v>1670.3999999999999</v>
      </c>
      <c r="V77" s="100">
        <v>4</v>
      </c>
      <c r="W77" s="100">
        <v>1113.5999999999999</v>
      </c>
      <c r="X77" s="100">
        <v>5</v>
      </c>
      <c r="Y77" s="100">
        <v>1392</v>
      </c>
      <c r="Z77" s="100">
        <v>6</v>
      </c>
      <c r="AA77" s="100">
        <v>1670.3999999999999</v>
      </c>
      <c r="AB77" s="100">
        <v>3</v>
      </c>
      <c r="AC77" s="100">
        <v>835.19999999999993</v>
      </c>
      <c r="AD77" s="100">
        <v>5</v>
      </c>
      <c r="AE77" s="100">
        <v>1392</v>
      </c>
      <c r="AF77" s="100">
        <v>4</v>
      </c>
      <c r="AG77" s="100">
        <v>1113.5999999999999</v>
      </c>
      <c r="AH77" s="100">
        <v>5.3373862874001734</v>
      </c>
      <c r="AI77" s="100">
        <v>1485.9283424122082</v>
      </c>
      <c r="AJ77" s="100">
        <v>3</v>
      </c>
      <c r="AK77" s="100">
        <v>835.19999999999993</v>
      </c>
      <c r="AL77" s="100">
        <v>5.0000372124934191</v>
      </c>
      <c r="AM77" s="100">
        <v>1392.0103599581678</v>
      </c>
      <c r="AN77" s="100">
        <v>1.2565804255830098</v>
      </c>
      <c r="AO77" s="100">
        <v>349.83199048230989</v>
      </c>
      <c r="AP77" s="100">
        <v>3.2368377175012344</v>
      </c>
      <c r="AQ77" s="100">
        <v>901.13562055234354</v>
      </c>
      <c r="AR77" s="100">
        <v>5</v>
      </c>
      <c r="AS77" s="100">
        <v>1392</v>
      </c>
      <c r="AT77" s="100">
        <v>4</v>
      </c>
      <c r="AU77" s="100">
        <v>1113.5999999999999</v>
      </c>
      <c r="AV77" s="100">
        <v>4</v>
      </c>
      <c r="AW77" s="100">
        <v>1113.5999999999999</v>
      </c>
      <c r="AX77" s="100">
        <v>4.3964319352834123</v>
      </c>
      <c r="AY77" s="100">
        <v>1223.966650782902</v>
      </c>
      <c r="AZ77" s="100">
        <v>2.4484511372761224</v>
      </c>
      <c r="BA77" s="100">
        <v>681.64879661767247</v>
      </c>
      <c r="BB77" s="100">
        <v>7</v>
      </c>
      <c r="BC77" s="100">
        <v>1948.7999999999997</v>
      </c>
      <c r="BD77" s="100">
        <v>5</v>
      </c>
      <c r="BE77" s="100">
        <v>1392</v>
      </c>
      <c r="BF77" s="100">
        <v>2.1308274386966928</v>
      </c>
      <c r="BG77" s="100">
        <v>593.22235893315917</v>
      </c>
      <c r="BH77" s="100">
        <v>4.3412938306962507</v>
      </c>
      <c r="BI77" s="100">
        <v>1208.6162024658361</v>
      </c>
      <c r="BJ77" s="100">
        <v>0.96761022485708648</v>
      </c>
      <c r="BK77" s="100">
        <v>269.38268660021288</v>
      </c>
      <c r="BL77" s="100">
        <v>4</v>
      </c>
      <c r="BM77" s="100">
        <v>1113.5999999999999</v>
      </c>
      <c r="BN77" s="100">
        <v>4</v>
      </c>
      <c r="BO77" s="100">
        <v>1113.5999999999999</v>
      </c>
      <c r="BP77" s="100">
        <v>3</v>
      </c>
      <c r="BQ77" s="100">
        <v>835.19999999999993</v>
      </c>
      <c r="BR77" s="100">
        <v>5</v>
      </c>
      <c r="BS77" s="100">
        <v>1392</v>
      </c>
      <c r="BT77" s="100">
        <v>6</v>
      </c>
      <c r="BU77" s="100">
        <v>1670.3999999999999</v>
      </c>
      <c r="BV77" s="100">
        <v>3</v>
      </c>
      <c r="BW77" s="100">
        <v>835.19999999999993</v>
      </c>
      <c r="BX77" s="100">
        <v>5</v>
      </c>
      <c r="BY77" s="100">
        <v>1392</v>
      </c>
      <c r="BZ77" s="100">
        <v>4</v>
      </c>
      <c r="CA77" s="100">
        <v>1113.5999999999999</v>
      </c>
      <c r="CB77" s="100">
        <v>4.2427348063640471</v>
      </c>
      <c r="CC77" s="100">
        <v>1181.1773700917506</v>
      </c>
      <c r="CD77" s="100">
        <v>6</v>
      </c>
      <c r="CE77" s="100">
        <v>1670.3999999999999</v>
      </c>
      <c r="CF77" s="100">
        <v>5</v>
      </c>
      <c r="CG77" s="100">
        <v>1392</v>
      </c>
      <c r="CH77" s="100">
        <v>5</v>
      </c>
      <c r="CI77" s="100">
        <v>1392</v>
      </c>
      <c r="CJ77" s="100">
        <v>5</v>
      </c>
      <c r="CK77" s="100">
        <v>1392</v>
      </c>
      <c r="CL77" s="100">
        <v>6</v>
      </c>
      <c r="CM77" s="100">
        <v>1670.3999999999999</v>
      </c>
      <c r="CN77" s="100">
        <v>6</v>
      </c>
      <c r="CO77" s="100">
        <v>1670.3999999999999</v>
      </c>
      <c r="CP77" s="100">
        <v>3.7416421433130291</v>
      </c>
      <c r="CQ77" s="100">
        <v>1041.6731726983471</v>
      </c>
      <c r="CR77" s="100">
        <v>4</v>
      </c>
      <c r="CS77" s="100">
        <v>1113.5999999999999</v>
      </c>
      <c r="CT77" s="100">
        <v>4</v>
      </c>
      <c r="CU77" s="100">
        <v>1113.5999999999999</v>
      </c>
    </row>
    <row r="78" spans="2:99">
      <c r="C78" s="99" t="s">
        <v>244</v>
      </c>
      <c r="D78" s="100">
        <v>4</v>
      </c>
      <c r="E78" s="100">
        <v>2208</v>
      </c>
      <c r="F78" s="100">
        <v>5</v>
      </c>
      <c r="G78" s="100">
        <v>2760</v>
      </c>
      <c r="H78" s="100">
        <v>3</v>
      </c>
      <c r="I78" s="100">
        <v>1656</v>
      </c>
      <c r="J78" s="100">
        <v>4.5849104222676935</v>
      </c>
      <c r="K78" s="100">
        <v>2530.8705530917669</v>
      </c>
      <c r="L78" s="100">
        <v>6</v>
      </c>
      <c r="M78" s="100">
        <v>3312</v>
      </c>
      <c r="N78" s="100">
        <v>4</v>
      </c>
      <c r="O78" s="100">
        <v>2208</v>
      </c>
      <c r="P78" s="100">
        <v>3</v>
      </c>
      <c r="Q78" s="100">
        <v>1656</v>
      </c>
      <c r="R78" s="100">
        <v>4</v>
      </c>
      <c r="S78" s="100">
        <v>2208</v>
      </c>
      <c r="T78" s="100">
        <v>6</v>
      </c>
      <c r="U78" s="100">
        <v>3312</v>
      </c>
      <c r="V78" s="100">
        <v>4</v>
      </c>
      <c r="W78" s="100">
        <v>2208</v>
      </c>
      <c r="X78" s="100">
        <v>4</v>
      </c>
      <c r="Y78" s="100">
        <v>2208</v>
      </c>
      <c r="Z78" s="100">
        <v>6</v>
      </c>
      <c r="AA78" s="100">
        <v>3312</v>
      </c>
      <c r="AB78" s="100">
        <v>3</v>
      </c>
      <c r="AC78" s="100">
        <v>1656</v>
      </c>
      <c r="AD78" s="100">
        <v>5</v>
      </c>
      <c r="AE78" s="100">
        <v>2760</v>
      </c>
      <c r="AF78" s="100">
        <v>4</v>
      </c>
      <c r="AG78" s="100">
        <v>2208</v>
      </c>
      <c r="AH78" s="100">
        <v>5.3373862874001734</v>
      </c>
      <c r="AI78" s="100">
        <v>2946.2372306448956</v>
      </c>
      <c r="AJ78" s="100">
        <v>3</v>
      </c>
      <c r="AK78" s="100">
        <v>1656</v>
      </c>
      <c r="AL78" s="100">
        <v>5.0000372124934191</v>
      </c>
      <c r="AM78" s="100">
        <v>2760.0205412963674</v>
      </c>
      <c r="AN78" s="100">
        <v>1.6754405674440132</v>
      </c>
      <c r="AO78" s="100">
        <v>924.84319322909528</v>
      </c>
      <c r="AP78" s="100">
        <v>2.6973647645843619</v>
      </c>
      <c r="AQ78" s="100">
        <v>1488.9453500505679</v>
      </c>
      <c r="AR78" s="100">
        <v>4</v>
      </c>
      <c r="AS78" s="100">
        <v>2208</v>
      </c>
      <c r="AT78" s="100">
        <v>4</v>
      </c>
      <c r="AU78" s="100">
        <v>2208</v>
      </c>
      <c r="AV78" s="100">
        <v>4</v>
      </c>
      <c r="AW78" s="100">
        <v>2208</v>
      </c>
      <c r="AX78" s="100">
        <v>4.3964319352834123</v>
      </c>
      <c r="AY78" s="100">
        <v>2426.8304282764434</v>
      </c>
      <c r="AZ78" s="100">
        <v>1.8363383529570918</v>
      </c>
      <c r="BA78" s="100">
        <v>1013.6587708323146</v>
      </c>
      <c r="BB78" s="100">
        <v>7</v>
      </c>
      <c r="BC78" s="100">
        <v>3864</v>
      </c>
      <c r="BD78" s="100">
        <v>5</v>
      </c>
      <c r="BE78" s="100">
        <v>2760</v>
      </c>
      <c r="BF78" s="100">
        <v>1.7046619509573542</v>
      </c>
      <c r="BG78" s="100">
        <v>940.97339692845947</v>
      </c>
      <c r="BH78" s="100">
        <v>5.3900500922242864</v>
      </c>
      <c r="BI78" s="100">
        <v>2975.307650907806</v>
      </c>
      <c r="BJ78" s="100">
        <v>1.209512781071358</v>
      </c>
      <c r="BK78" s="100">
        <v>667.65105515138964</v>
      </c>
      <c r="BL78" s="100">
        <v>4</v>
      </c>
      <c r="BM78" s="100">
        <v>2208</v>
      </c>
      <c r="BN78" s="100">
        <v>4</v>
      </c>
      <c r="BO78" s="100">
        <v>2208</v>
      </c>
      <c r="BP78" s="100">
        <v>3</v>
      </c>
      <c r="BQ78" s="100">
        <v>1656</v>
      </c>
      <c r="BR78" s="100">
        <v>6</v>
      </c>
      <c r="BS78" s="100">
        <v>3312</v>
      </c>
      <c r="BT78" s="100">
        <v>6</v>
      </c>
      <c r="BU78" s="100">
        <v>3312</v>
      </c>
      <c r="BV78" s="100">
        <v>4</v>
      </c>
      <c r="BW78" s="100">
        <v>2208</v>
      </c>
      <c r="BX78" s="100">
        <v>5</v>
      </c>
      <c r="BY78" s="100">
        <v>2760</v>
      </c>
      <c r="BZ78" s="100">
        <v>4</v>
      </c>
      <c r="CA78" s="100">
        <v>2208</v>
      </c>
      <c r="CB78" s="100">
        <v>4.2253966059094719</v>
      </c>
      <c r="CC78" s="100">
        <v>2332.4189264620286</v>
      </c>
      <c r="CD78" s="100">
        <v>6</v>
      </c>
      <c r="CE78" s="100">
        <v>3312</v>
      </c>
      <c r="CF78" s="100">
        <v>5</v>
      </c>
      <c r="CG78" s="100">
        <v>2760</v>
      </c>
      <c r="CH78" s="100">
        <v>5</v>
      </c>
      <c r="CI78" s="100">
        <v>2760</v>
      </c>
      <c r="CJ78" s="100">
        <v>5</v>
      </c>
      <c r="CK78" s="100">
        <v>2760</v>
      </c>
      <c r="CL78" s="100">
        <v>6</v>
      </c>
      <c r="CM78" s="100">
        <v>3312</v>
      </c>
      <c r="CN78" s="100">
        <v>6</v>
      </c>
      <c r="CO78" s="100">
        <v>3312</v>
      </c>
      <c r="CP78" s="100">
        <v>3.1180351194275242</v>
      </c>
      <c r="CQ78" s="100">
        <v>1721.1553859239934</v>
      </c>
      <c r="CR78" s="100">
        <v>3</v>
      </c>
      <c r="CS78" s="100">
        <v>1656</v>
      </c>
      <c r="CT78" s="100">
        <v>4</v>
      </c>
      <c r="CU78" s="100">
        <v>2208</v>
      </c>
    </row>
    <row r="79" spans="2:99">
      <c r="C79" s="99" t="s">
        <v>245</v>
      </c>
      <c r="D79" s="100">
        <v>4</v>
      </c>
      <c r="E79" s="100">
        <v>3028.7999999999997</v>
      </c>
      <c r="F79" s="100">
        <v>5</v>
      </c>
      <c r="G79" s="100">
        <v>3785.9999999999995</v>
      </c>
      <c r="H79" s="100">
        <v>3</v>
      </c>
      <c r="I79" s="100">
        <v>2271.6</v>
      </c>
      <c r="J79" s="100">
        <v>4.5361678870787188</v>
      </c>
      <c r="K79" s="100">
        <v>3434.7863240960055</v>
      </c>
      <c r="L79" s="100">
        <v>5</v>
      </c>
      <c r="M79" s="100">
        <v>3785.9999999999995</v>
      </c>
      <c r="N79" s="100">
        <v>4</v>
      </c>
      <c r="O79" s="100">
        <v>3028.7999999999997</v>
      </c>
      <c r="P79" s="100">
        <v>3</v>
      </c>
      <c r="Q79" s="100">
        <v>2271.6</v>
      </c>
      <c r="R79" s="100">
        <v>4</v>
      </c>
      <c r="S79" s="100">
        <v>3028.7999999999997</v>
      </c>
      <c r="T79" s="100">
        <v>5</v>
      </c>
      <c r="U79" s="100">
        <v>3785.9999999999995</v>
      </c>
      <c r="V79" s="100">
        <v>5</v>
      </c>
      <c r="W79" s="100">
        <v>3785.9999999999995</v>
      </c>
      <c r="X79" s="100">
        <v>5</v>
      </c>
      <c r="Y79" s="100">
        <v>3785.9999999999995</v>
      </c>
      <c r="Z79" s="100">
        <v>6</v>
      </c>
      <c r="AA79" s="100">
        <v>4543.2</v>
      </c>
      <c r="AB79" s="100">
        <v>3</v>
      </c>
      <c r="AC79" s="100">
        <v>2271.6</v>
      </c>
      <c r="AD79" s="100">
        <v>5</v>
      </c>
      <c r="AE79" s="100">
        <v>3785.9999999999995</v>
      </c>
      <c r="AF79" s="100">
        <v>4</v>
      </c>
      <c r="AG79" s="100">
        <v>3028.7999999999997</v>
      </c>
      <c r="AH79" s="100">
        <v>4.2952130014751519</v>
      </c>
      <c r="AI79" s="100">
        <v>3252.3352847169849</v>
      </c>
      <c r="AJ79" s="100">
        <v>3</v>
      </c>
      <c r="AK79" s="100">
        <v>2271.6</v>
      </c>
      <c r="AL79" s="100">
        <v>5.0000403135345373</v>
      </c>
      <c r="AM79" s="100">
        <v>3786.0305254083514</v>
      </c>
      <c r="AN79" s="100">
        <v>1.6754405674440132</v>
      </c>
      <c r="AO79" s="100">
        <v>1268.6435976686066</v>
      </c>
      <c r="AP79" s="100">
        <v>2.6973647645843619</v>
      </c>
      <c r="AQ79" s="100">
        <v>2042.4445997432786</v>
      </c>
      <c r="AR79" s="100">
        <v>5</v>
      </c>
      <c r="AS79" s="100">
        <v>3785.9999999999995</v>
      </c>
      <c r="AT79" s="100">
        <v>4</v>
      </c>
      <c r="AU79" s="100">
        <v>3028.7999999999997</v>
      </c>
      <c r="AV79" s="100">
        <v>4</v>
      </c>
      <c r="AW79" s="100">
        <v>3028.7999999999997</v>
      </c>
      <c r="AX79" s="100">
        <v>4.3964319352834123</v>
      </c>
      <c r="AY79" s="100">
        <v>3328.9782613965995</v>
      </c>
      <c r="AZ79" s="100">
        <v>2.4484511372761224</v>
      </c>
      <c r="BA79" s="100">
        <v>1853.9672011454797</v>
      </c>
      <c r="BB79" s="100">
        <v>6</v>
      </c>
      <c r="BC79" s="100">
        <v>4543.2</v>
      </c>
      <c r="BD79" s="100">
        <v>5</v>
      </c>
      <c r="BE79" s="100">
        <v>3785.9999999999995</v>
      </c>
      <c r="BF79" s="100">
        <v>2.1308274386966928</v>
      </c>
      <c r="BG79" s="100">
        <v>1613.4625365811357</v>
      </c>
      <c r="BH79" s="100">
        <v>4.3412938306962507</v>
      </c>
      <c r="BI79" s="100">
        <v>3287.2276886032009</v>
      </c>
      <c r="BJ79" s="100">
        <v>0.96761022485708648</v>
      </c>
      <c r="BK79" s="100">
        <v>732.67446226178583</v>
      </c>
      <c r="BL79" s="100">
        <v>4</v>
      </c>
      <c r="BM79" s="100">
        <v>3028.7999999999997</v>
      </c>
      <c r="BN79" s="100">
        <v>4</v>
      </c>
      <c r="BO79" s="100">
        <v>3028.7999999999997</v>
      </c>
      <c r="BP79" s="100">
        <v>3</v>
      </c>
      <c r="BQ79" s="100">
        <v>2271.6</v>
      </c>
      <c r="BR79" s="100">
        <v>5</v>
      </c>
      <c r="BS79" s="100">
        <v>3785.9999999999995</v>
      </c>
      <c r="BT79" s="100">
        <v>6</v>
      </c>
      <c r="BU79" s="100">
        <v>4543.2</v>
      </c>
      <c r="BV79" s="100">
        <v>3</v>
      </c>
      <c r="BW79" s="100">
        <v>2271.6</v>
      </c>
      <c r="BX79" s="100">
        <v>5</v>
      </c>
      <c r="BY79" s="100">
        <v>3785.9999999999995</v>
      </c>
      <c r="BZ79" s="100">
        <v>4</v>
      </c>
      <c r="CA79" s="100">
        <v>3028.7999999999997</v>
      </c>
      <c r="CB79" s="100">
        <v>4.2427348063640471</v>
      </c>
      <c r="CC79" s="100">
        <v>3212.5987953788563</v>
      </c>
      <c r="CD79" s="100">
        <v>5</v>
      </c>
      <c r="CE79" s="100">
        <v>3785.9999999999995</v>
      </c>
      <c r="CF79" s="100">
        <v>5</v>
      </c>
      <c r="CG79" s="100">
        <v>3785.9999999999995</v>
      </c>
      <c r="CH79" s="100">
        <v>5</v>
      </c>
      <c r="CI79" s="100">
        <v>3785.9999999999995</v>
      </c>
      <c r="CJ79" s="100">
        <v>5</v>
      </c>
      <c r="CK79" s="100">
        <v>3785.9999999999995</v>
      </c>
      <c r="CL79" s="100">
        <v>6</v>
      </c>
      <c r="CM79" s="100">
        <v>4543.2</v>
      </c>
      <c r="CN79" s="100">
        <v>6</v>
      </c>
      <c r="CO79" s="100">
        <v>4543.2</v>
      </c>
      <c r="CP79" s="100">
        <v>3.7416421433130291</v>
      </c>
      <c r="CQ79" s="100">
        <v>2833.1714309166255</v>
      </c>
      <c r="CR79" s="100">
        <v>3</v>
      </c>
      <c r="CS79" s="100">
        <v>2271.6</v>
      </c>
      <c r="CT79" s="100">
        <v>4</v>
      </c>
      <c r="CU79" s="100">
        <v>3028.7999999999997</v>
      </c>
    </row>
    <row r="80" spans="2:99">
      <c r="C80" s="99" t="s">
        <v>246</v>
      </c>
      <c r="D80" s="100">
        <v>3</v>
      </c>
      <c r="E80" s="100">
        <v>2415.6</v>
      </c>
      <c r="F80" s="100">
        <v>6</v>
      </c>
      <c r="G80" s="100">
        <v>4831.2</v>
      </c>
      <c r="H80" s="100">
        <v>3</v>
      </c>
      <c r="I80" s="100">
        <v>2415.6</v>
      </c>
      <c r="J80" s="100">
        <v>4.6336529574566683</v>
      </c>
      <c r="K80" s="100">
        <v>3731.0173613441088</v>
      </c>
      <c r="L80" s="100">
        <v>5</v>
      </c>
      <c r="M80" s="100">
        <v>4025.9999999999995</v>
      </c>
      <c r="N80" s="100">
        <v>4</v>
      </c>
      <c r="O80" s="100">
        <v>3220.7999999999997</v>
      </c>
      <c r="P80" s="100">
        <v>3</v>
      </c>
      <c r="Q80" s="100">
        <v>2415.6</v>
      </c>
      <c r="R80" s="100">
        <v>4</v>
      </c>
      <c r="S80" s="100">
        <v>3220.7999999999997</v>
      </c>
      <c r="T80" s="100">
        <v>5</v>
      </c>
      <c r="U80" s="100">
        <v>4025.9999999999995</v>
      </c>
      <c r="V80" s="100">
        <v>4</v>
      </c>
      <c r="W80" s="100">
        <v>3220.7999999999997</v>
      </c>
      <c r="X80" s="100">
        <v>5</v>
      </c>
      <c r="Y80" s="100">
        <v>4025.9999999999995</v>
      </c>
      <c r="Z80" s="100">
        <v>6</v>
      </c>
      <c r="AA80" s="100">
        <v>4831.2</v>
      </c>
      <c r="AB80" s="100">
        <v>3</v>
      </c>
      <c r="AC80" s="100">
        <v>2415.6</v>
      </c>
      <c r="AD80" s="100">
        <v>4</v>
      </c>
      <c r="AE80" s="100">
        <v>3220.7999999999997</v>
      </c>
      <c r="AF80" s="100">
        <v>4</v>
      </c>
      <c r="AG80" s="100">
        <v>3220.7999999999997</v>
      </c>
      <c r="AH80" s="100">
        <v>5.2952130014751519</v>
      </c>
      <c r="AI80" s="100">
        <v>4263.7055087877916</v>
      </c>
      <c r="AJ80" s="100">
        <v>4</v>
      </c>
      <c r="AK80" s="100">
        <v>3220.7999999999997</v>
      </c>
      <c r="AL80" s="100">
        <v>5.0000372124934191</v>
      </c>
      <c r="AM80" s="100">
        <v>4026.0299634997009</v>
      </c>
      <c r="AN80" s="100">
        <v>1.2565804255830098</v>
      </c>
      <c r="AO80" s="100">
        <v>1011.7985586794393</v>
      </c>
      <c r="AP80" s="100">
        <v>2.6973647645843619</v>
      </c>
      <c r="AQ80" s="100">
        <v>2171.918108443328</v>
      </c>
      <c r="AR80" s="100">
        <v>4</v>
      </c>
      <c r="AS80" s="100">
        <v>3220.7999999999997</v>
      </c>
      <c r="AT80" s="100">
        <v>4</v>
      </c>
      <c r="AU80" s="100">
        <v>3220.7999999999997</v>
      </c>
      <c r="AV80" s="100">
        <v>4</v>
      </c>
      <c r="AW80" s="100">
        <v>3220.7999999999997</v>
      </c>
      <c r="AX80" s="100">
        <v>4.3964319352834123</v>
      </c>
      <c r="AY80" s="100">
        <v>3540.0069942902032</v>
      </c>
      <c r="AZ80" s="100">
        <v>2.4484511372761224</v>
      </c>
      <c r="BA80" s="100">
        <v>1971.4928557347337</v>
      </c>
      <c r="BB80" s="100">
        <v>7</v>
      </c>
      <c r="BC80" s="100">
        <v>5636.4</v>
      </c>
      <c r="BD80" s="100">
        <v>5</v>
      </c>
      <c r="BE80" s="100">
        <v>4025.9999999999995</v>
      </c>
      <c r="BF80" s="100">
        <v>1.7046619509573542</v>
      </c>
      <c r="BG80" s="100">
        <v>1372.5938029108615</v>
      </c>
      <c r="BH80" s="100">
        <v>4.3900500922242864</v>
      </c>
      <c r="BI80" s="100">
        <v>3534.8683342589952</v>
      </c>
      <c r="BJ80" s="100">
        <v>1.209512781071358</v>
      </c>
      <c r="BK80" s="100">
        <v>973.89969131865735</v>
      </c>
      <c r="BL80" s="100">
        <v>4</v>
      </c>
      <c r="BM80" s="100">
        <v>3220.7999999999997</v>
      </c>
      <c r="BN80" s="100">
        <v>4</v>
      </c>
      <c r="BO80" s="100">
        <v>3220.7999999999997</v>
      </c>
      <c r="BP80" s="100">
        <v>3</v>
      </c>
      <c r="BQ80" s="100">
        <v>2415.6</v>
      </c>
      <c r="BR80" s="100">
        <v>5</v>
      </c>
      <c r="BS80" s="100">
        <v>4025.9999999999995</v>
      </c>
      <c r="BT80" s="100">
        <v>7</v>
      </c>
      <c r="BU80" s="100">
        <v>5636.4</v>
      </c>
      <c r="BV80" s="100">
        <v>4</v>
      </c>
      <c r="BW80" s="100">
        <v>3220.7999999999997</v>
      </c>
      <c r="BX80" s="100">
        <v>5</v>
      </c>
      <c r="BY80" s="100">
        <v>4025.9999999999995</v>
      </c>
      <c r="BZ80" s="100">
        <v>4</v>
      </c>
      <c r="CA80" s="100">
        <v>3220.7999999999997</v>
      </c>
      <c r="CB80" s="100">
        <v>4.2080584054548975</v>
      </c>
      <c r="CC80" s="100">
        <v>3388.3286280722832</v>
      </c>
      <c r="CD80" s="100">
        <v>5</v>
      </c>
      <c r="CE80" s="100">
        <v>4025.9999999999995</v>
      </c>
      <c r="CF80" s="100">
        <v>4</v>
      </c>
      <c r="CG80" s="100">
        <v>3220.7999999999997</v>
      </c>
      <c r="CH80" s="100">
        <v>4</v>
      </c>
      <c r="CI80" s="100">
        <v>3220.7999999999997</v>
      </c>
      <c r="CJ80" s="100">
        <v>5</v>
      </c>
      <c r="CK80" s="100">
        <v>4025.9999999999995</v>
      </c>
      <c r="CL80" s="100">
        <v>5</v>
      </c>
      <c r="CM80" s="100">
        <v>4025.9999999999995</v>
      </c>
      <c r="CN80" s="100">
        <v>5</v>
      </c>
      <c r="CO80" s="100">
        <v>4025.9999999999995</v>
      </c>
      <c r="CP80" s="100">
        <v>3.7416421433130291</v>
      </c>
      <c r="CQ80" s="100">
        <v>3012.7702537956507</v>
      </c>
      <c r="CR80" s="100">
        <v>4</v>
      </c>
      <c r="CS80" s="100">
        <v>3220.7999999999997</v>
      </c>
      <c r="CT80" s="100">
        <v>4</v>
      </c>
      <c r="CU80" s="100">
        <v>3220.7999999999997</v>
      </c>
    </row>
    <row r="81" spans="2:99">
      <c r="C81" s="99" t="s">
        <v>247</v>
      </c>
      <c r="D81" s="100">
        <v>4</v>
      </c>
      <c r="E81" s="100">
        <v>3014.4</v>
      </c>
      <c r="F81" s="100">
        <v>5</v>
      </c>
      <c r="G81" s="100">
        <v>3768</v>
      </c>
      <c r="H81" s="100">
        <v>3</v>
      </c>
      <c r="I81" s="100">
        <v>2260.8000000000002</v>
      </c>
      <c r="J81" s="100">
        <v>4.5849104222676935</v>
      </c>
      <c r="K81" s="100">
        <v>3455.188494220934</v>
      </c>
      <c r="L81" s="100">
        <v>6</v>
      </c>
      <c r="M81" s="100">
        <v>4521.6000000000004</v>
      </c>
      <c r="N81" s="100">
        <v>4</v>
      </c>
      <c r="O81" s="100">
        <v>3014.4</v>
      </c>
      <c r="P81" s="100">
        <v>3</v>
      </c>
      <c r="Q81" s="100">
        <v>2260.8000000000002</v>
      </c>
      <c r="R81" s="100">
        <v>4</v>
      </c>
      <c r="S81" s="100">
        <v>3014.4</v>
      </c>
      <c r="T81" s="100">
        <v>6</v>
      </c>
      <c r="U81" s="100">
        <v>4521.6000000000004</v>
      </c>
      <c r="V81" s="100">
        <v>4</v>
      </c>
      <c r="W81" s="100">
        <v>3014.4</v>
      </c>
      <c r="X81" s="100">
        <v>4</v>
      </c>
      <c r="Y81" s="100">
        <v>3014.4</v>
      </c>
      <c r="Z81" s="100">
        <v>6</v>
      </c>
      <c r="AA81" s="100">
        <v>4521.6000000000004</v>
      </c>
      <c r="AB81" s="100">
        <v>3</v>
      </c>
      <c r="AC81" s="100">
        <v>2260.8000000000002</v>
      </c>
      <c r="AD81" s="100">
        <v>5</v>
      </c>
      <c r="AE81" s="100">
        <v>3768</v>
      </c>
      <c r="AF81" s="100">
        <v>4</v>
      </c>
      <c r="AG81" s="100">
        <v>3014.4</v>
      </c>
      <c r="AH81" s="100">
        <v>4.2952130014751519</v>
      </c>
      <c r="AI81" s="100">
        <v>3236.8725179116745</v>
      </c>
      <c r="AJ81" s="100">
        <v>3</v>
      </c>
      <c r="AK81" s="100">
        <v>2260.8000000000002</v>
      </c>
      <c r="AL81" s="100">
        <v>4.0000372124934191</v>
      </c>
      <c r="AM81" s="100">
        <v>3014.4280433350409</v>
      </c>
      <c r="AN81" s="100">
        <v>1.2565804255830098</v>
      </c>
      <c r="AO81" s="100">
        <v>946.95900871935623</v>
      </c>
      <c r="AP81" s="100">
        <v>2.6973647645843619</v>
      </c>
      <c r="AQ81" s="100">
        <v>2032.7340865907752</v>
      </c>
      <c r="AR81" s="100">
        <v>4</v>
      </c>
      <c r="AS81" s="100">
        <v>3014.4</v>
      </c>
      <c r="AT81" s="100">
        <v>3</v>
      </c>
      <c r="AU81" s="100">
        <v>2260.8000000000002</v>
      </c>
      <c r="AV81" s="100">
        <v>4</v>
      </c>
      <c r="AW81" s="100">
        <v>3014.4</v>
      </c>
      <c r="AX81" s="100">
        <v>4.3964319352834123</v>
      </c>
      <c r="AY81" s="100">
        <v>3313.1511064295796</v>
      </c>
      <c r="AZ81" s="100">
        <v>2.4484511372761224</v>
      </c>
      <c r="BA81" s="100">
        <v>1845.152777051286</v>
      </c>
      <c r="BB81" s="100">
        <v>6</v>
      </c>
      <c r="BC81" s="100">
        <v>4521.6000000000004</v>
      </c>
      <c r="BD81" s="100">
        <v>5</v>
      </c>
      <c r="BE81" s="100">
        <v>3768</v>
      </c>
      <c r="BF81" s="100">
        <v>2.1308274386966928</v>
      </c>
      <c r="BG81" s="100">
        <v>1605.7915578018278</v>
      </c>
      <c r="BH81" s="100">
        <v>4.3900500922242864</v>
      </c>
      <c r="BI81" s="100">
        <v>3308.3417495002222</v>
      </c>
      <c r="BJ81" s="100">
        <v>0.96761022485708648</v>
      </c>
      <c r="BK81" s="100">
        <v>729.19106545230034</v>
      </c>
      <c r="BL81" s="100">
        <v>4</v>
      </c>
      <c r="BM81" s="100">
        <v>3014.4</v>
      </c>
      <c r="BN81" s="100">
        <v>5</v>
      </c>
      <c r="BO81" s="100">
        <v>3768</v>
      </c>
      <c r="BP81" s="100">
        <v>3</v>
      </c>
      <c r="BQ81" s="100">
        <v>2260.8000000000002</v>
      </c>
      <c r="BR81" s="100">
        <v>5</v>
      </c>
      <c r="BS81" s="100">
        <v>3768</v>
      </c>
      <c r="BT81" s="100">
        <v>6</v>
      </c>
      <c r="BU81" s="100">
        <v>4521.6000000000004</v>
      </c>
      <c r="BV81" s="100">
        <v>4</v>
      </c>
      <c r="BW81" s="100">
        <v>3014.4</v>
      </c>
      <c r="BX81" s="100">
        <v>5</v>
      </c>
      <c r="BY81" s="100">
        <v>3768</v>
      </c>
      <c r="BZ81" s="100">
        <v>4</v>
      </c>
      <c r="CA81" s="100">
        <v>3014.4</v>
      </c>
      <c r="CB81" s="100">
        <v>4.2253966059094719</v>
      </c>
      <c r="CC81" s="100">
        <v>3184.258882213378</v>
      </c>
      <c r="CD81" s="100">
        <v>6</v>
      </c>
      <c r="CE81" s="100">
        <v>4521.6000000000004</v>
      </c>
      <c r="CF81" s="100">
        <v>5</v>
      </c>
      <c r="CG81" s="100">
        <v>3768</v>
      </c>
      <c r="CH81" s="100">
        <v>5</v>
      </c>
      <c r="CI81" s="100">
        <v>3768</v>
      </c>
      <c r="CJ81" s="100">
        <v>4</v>
      </c>
      <c r="CK81" s="100">
        <v>3014.4</v>
      </c>
      <c r="CL81" s="100">
        <v>5</v>
      </c>
      <c r="CM81" s="100">
        <v>3768</v>
      </c>
      <c r="CN81" s="100">
        <v>6</v>
      </c>
      <c r="CO81" s="100">
        <v>4521.6000000000004</v>
      </c>
      <c r="CP81" s="100">
        <v>3.7416421433130291</v>
      </c>
      <c r="CQ81" s="100">
        <v>2819.7015192006988</v>
      </c>
      <c r="CR81" s="100">
        <v>3</v>
      </c>
      <c r="CS81" s="100">
        <v>2260.8000000000002</v>
      </c>
      <c r="CT81" s="100">
        <v>4</v>
      </c>
      <c r="CU81" s="100">
        <v>3014.4</v>
      </c>
    </row>
    <row r="82" spans="2:99">
      <c r="C82" s="99" t="s">
        <v>248</v>
      </c>
      <c r="D82" s="100">
        <v>4</v>
      </c>
      <c r="E82" s="100">
        <v>2035.1999999999996</v>
      </c>
      <c r="F82" s="100">
        <v>6</v>
      </c>
      <c r="G82" s="100">
        <v>3052.7999999999993</v>
      </c>
      <c r="H82" s="100">
        <v>3</v>
      </c>
      <c r="I82" s="100">
        <v>1526.3999999999996</v>
      </c>
      <c r="J82" s="100">
        <v>5.5849104222676935</v>
      </c>
      <c r="K82" s="100">
        <v>2841.6024228498018</v>
      </c>
      <c r="L82" s="100">
        <v>6</v>
      </c>
      <c r="M82" s="100">
        <v>3052.7999999999993</v>
      </c>
      <c r="N82" s="100">
        <v>4</v>
      </c>
      <c r="O82" s="100">
        <v>2035.1999999999996</v>
      </c>
      <c r="P82" s="100">
        <v>3</v>
      </c>
      <c r="Q82" s="100">
        <v>1526.3999999999996</v>
      </c>
      <c r="R82" s="100">
        <v>4</v>
      </c>
      <c r="S82" s="100">
        <v>2035.1999999999996</v>
      </c>
      <c r="T82" s="100">
        <v>5</v>
      </c>
      <c r="U82" s="100">
        <v>2543.9999999999995</v>
      </c>
      <c r="V82" s="100">
        <v>4</v>
      </c>
      <c r="W82" s="100">
        <v>2035.1999999999996</v>
      </c>
      <c r="X82" s="100">
        <v>5</v>
      </c>
      <c r="Y82" s="100">
        <v>2543.9999999999995</v>
      </c>
      <c r="Z82" s="100">
        <v>6</v>
      </c>
      <c r="AA82" s="100">
        <v>3052.7999999999993</v>
      </c>
      <c r="AB82" s="100">
        <v>3</v>
      </c>
      <c r="AC82" s="100">
        <v>1526.3999999999996</v>
      </c>
      <c r="AD82" s="100">
        <v>4</v>
      </c>
      <c r="AE82" s="100">
        <v>2035.1999999999996</v>
      </c>
      <c r="AF82" s="100">
        <v>4</v>
      </c>
      <c r="AG82" s="100">
        <v>2035.1999999999996</v>
      </c>
      <c r="AH82" s="100">
        <v>5.2952130014751519</v>
      </c>
      <c r="AI82" s="100">
        <v>2694.2043751505566</v>
      </c>
      <c r="AJ82" s="100">
        <v>3</v>
      </c>
      <c r="AK82" s="100">
        <v>1526.3999999999996</v>
      </c>
      <c r="AL82" s="100">
        <v>5.0000403135345373</v>
      </c>
      <c r="AM82" s="100">
        <v>2544.020511526372</v>
      </c>
      <c r="AN82" s="100">
        <v>1.2565804255830098</v>
      </c>
      <c r="AO82" s="100">
        <v>639.34812053663518</v>
      </c>
      <c r="AP82" s="100">
        <v>3.2368377175012344</v>
      </c>
      <c r="AQ82" s="100">
        <v>1646.9030306646277</v>
      </c>
      <c r="AR82" s="100">
        <v>5</v>
      </c>
      <c r="AS82" s="100">
        <v>2543.9999999999995</v>
      </c>
      <c r="AT82" s="100">
        <v>3</v>
      </c>
      <c r="AU82" s="100">
        <v>1526.3999999999996</v>
      </c>
      <c r="AV82" s="100">
        <v>4</v>
      </c>
      <c r="AW82" s="100">
        <v>2035.1999999999996</v>
      </c>
      <c r="AX82" s="100">
        <v>5.1291705911639811</v>
      </c>
      <c r="AY82" s="100">
        <v>2609.7219967842329</v>
      </c>
      <c r="AZ82" s="100">
        <v>2.4484511372761224</v>
      </c>
      <c r="BA82" s="100">
        <v>1245.7719386460908</v>
      </c>
      <c r="BB82" s="100">
        <v>7</v>
      </c>
      <c r="BC82" s="100">
        <v>3561.5999999999995</v>
      </c>
      <c r="BD82" s="100">
        <v>5</v>
      </c>
      <c r="BE82" s="100">
        <v>2543.9999999999995</v>
      </c>
      <c r="BF82" s="100">
        <v>2.1308274386966928</v>
      </c>
      <c r="BG82" s="100">
        <v>1084.165000808877</v>
      </c>
      <c r="BH82" s="100">
        <v>5.3412938306962507</v>
      </c>
      <c r="BI82" s="100">
        <v>2717.6503010582519</v>
      </c>
      <c r="BJ82" s="100">
        <v>0.96761022485708648</v>
      </c>
      <c r="BK82" s="100">
        <v>492.3200824072855</v>
      </c>
      <c r="BL82" s="100">
        <v>4</v>
      </c>
      <c r="BM82" s="100">
        <v>2035.1999999999996</v>
      </c>
      <c r="BN82" s="100">
        <v>5</v>
      </c>
      <c r="BO82" s="100">
        <v>2543.9999999999995</v>
      </c>
      <c r="BP82" s="100">
        <v>3</v>
      </c>
      <c r="BQ82" s="100">
        <v>1526.3999999999996</v>
      </c>
      <c r="BR82" s="100">
        <v>5</v>
      </c>
      <c r="BS82" s="100">
        <v>2543.9999999999995</v>
      </c>
      <c r="BT82" s="100">
        <v>6</v>
      </c>
      <c r="BU82" s="100">
        <v>3052.7999999999993</v>
      </c>
      <c r="BV82" s="100">
        <v>4</v>
      </c>
      <c r="BW82" s="100">
        <v>2035.1999999999996</v>
      </c>
      <c r="BX82" s="100">
        <v>4</v>
      </c>
      <c r="BY82" s="100">
        <v>2035.1999999999996</v>
      </c>
      <c r="BZ82" s="100">
        <v>4</v>
      </c>
      <c r="CA82" s="100">
        <v>2035.1999999999996</v>
      </c>
      <c r="CB82" s="100">
        <v>4.2080584054548975</v>
      </c>
      <c r="CC82" s="100">
        <v>2141.0601166954516</v>
      </c>
      <c r="CD82" s="100">
        <v>6</v>
      </c>
      <c r="CE82" s="100">
        <v>3052.7999999999993</v>
      </c>
      <c r="CF82" s="100">
        <v>4</v>
      </c>
      <c r="CG82" s="100">
        <v>2035.1999999999996</v>
      </c>
      <c r="CH82" s="100">
        <v>5</v>
      </c>
      <c r="CI82" s="100">
        <v>2543.9999999999995</v>
      </c>
      <c r="CJ82" s="100">
        <v>5</v>
      </c>
      <c r="CK82" s="100">
        <v>2543.9999999999995</v>
      </c>
      <c r="CL82" s="100">
        <v>5</v>
      </c>
      <c r="CM82" s="100">
        <v>2543.9999999999995</v>
      </c>
      <c r="CN82" s="100">
        <v>6</v>
      </c>
      <c r="CO82" s="100">
        <v>3052.7999999999993</v>
      </c>
      <c r="CP82" s="100">
        <v>3.1180351194275242</v>
      </c>
      <c r="CQ82" s="100">
        <v>1586.456268764724</v>
      </c>
      <c r="CR82" s="100">
        <v>4</v>
      </c>
      <c r="CS82" s="100">
        <v>2035.1999999999996</v>
      </c>
      <c r="CT82" s="100">
        <v>4</v>
      </c>
      <c r="CU82" s="100">
        <v>2035.1999999999996</v>
      </c>
    </row>
    <row r="83" spans="2:99">
      <c r="C83" s="99" t="s">
        <v>249</v>
      </c>
      <c r="D83" s="100">
        <v>4</v>
      </c>
      <c r="E83" s="100">
        <v>3441.6</v>
      </c>
      <c r="F83" s="100">
        <v>6</v>
      </c>
      <c r="G83" s="100">
        <v>5162.3999999999996</v>
      </c>
      <c r="H83" s="100">
        <v>3</v>
      </c>
      <c r="I83" s="100">
        <v>2581.1999999999998</v>
      </c>
      <c r="J83" s="100">
        <v>5.5361678870787188</v>
      </c>
      <c r="K83" s="100">
        <v>4763.3188500425294</v>
      </c>
      <c r="L83" s="100">
        <v>6</v>
      </c>
      <c r="M83" s="100">
        <v>5162.3999999999996</v>
      </c>
      <c r="N83" s="100">
        <v>4</v>
      </c>
      <c r="O83" s="100">
        <v>3441.6</v>
      </c>
      <c r="P83" s="100">
        <v>3</v>
      </c>
      <c r="Q83" s="100">
        <v>2581.1999999999998</v>
      </c>
      <c r="R83" s="100">
        <v>4</v>
      </c>
      <c r="S83" s="100">
        <v>3441.6</v>
      </c>
      <c r="T83" s="100">
        <v>5</v>
      </c>
      <c r="U83" s="100">
        <v>4302</v>
      </c>
      <c r="V83" s="100">
        <v>4</v>
      </c>
      <c r="W83" s="100">
        <v>3441.6</v>
      </c>
      <c r="X83" s="100">
        <v>5</v>
      </c>
      <c r="Y83" s="100">
        <v>4302</v>
      </c>
      <c r="Z83" s="100">
        <v>6</v>
      </c>
      <c r="AA83" s="100">
        <v>5162.3999999999996</v>
      </c>
      <c r="AB83" s="100">
        <v>3</v>
      </c>
      <c r="AC83" s="100">
        <v>2581.1999999999998</v>
      </c>
      <c r="AD83" s="100">
        <v>4</v>
      </c>
      <c r="AE83" s="100">
        <v>3441.6</v>
      </c>
      <c r="AF83" s="100">
        <v>4</v>
      </c>
      <c r="AG83" s="100">
        <v>3441.6</v>
      </c>
      <c r="AH83" s="100">
        <v>5.2952130014751519</v>
      </c>
      <c r="AI83" s="100">
        <v>4556.0012664692204</v>
      </c>
      <c r="AJ83" s="100">
        <v>3</v>
      </c>
      <c r="AK83" s="100">
        <v>2581.1999999999998</v>
      </c>
      <c r="AL83" s="100">
        <v>5.000034111452301</v>
      </c>
      <c r="AM83" s="100">
        <v>4302.0293494935595</v>
      </c>
      <c r="AN83" s="100">
        <v>1.6754405674440132</v>
      </c>
      <c r="AO83" s="100">
        <v>1441.5490642288289</v>
      </c>
      <c r="AP83" s="100">
        <v>2.6973647645843619</v>
      </c>
      <c r="AQ83" s="100">
        <v>2320.8126434483847</v>
      </c>
      <c r="AR83" s="100">
        <v>5</v>
      </c>
      <c r="AS83" s="100">
        <v>4302</v>
      </c>
      <c r="AT83" s="100">
        <v>4</v>
      </c>
      <c r="AU83" s="100">
        <v>3441.6</v>
      </c>
      <c r="AV83" s="100">
        <v>4</v>
      </c>
      <c r="AW83" s="100">
        <v>3441.6</v>
      </c>
      <c r="AX83" s="100">
        <v>4.3964319352834123</v>
      </c>
      <c r="AY83" s="100">
        <v>3782.6900371178476</v>
      </c>
      <c r="AZ83" s="100">
        <v>2.4484511372761224</v>
      </c>
      <c r="BA83" s="100">
        <v>2106.6473585123758</v>
      </c>
      <c r="BB83" s="100">
        <v>6</v>
      </c>
      <c r="BC83" s="100">
        <v>5162.3999999999996</v>
      </c>
      <c r="BD83" s="100">
        <v>5</v>
      </c>
      <c r="BE83" s="100">
        <v>4302</v>
      </c>
      <c r="BF83" s="100">
        <v>2.1308274386966928</v>
      </c>
      <c r="BG83" s="100">
        <v>1833.3639282546344</v>
      </c>
      <c r="BH83" s="100">
        <v>4.3900500922242864</v>
      </c>
      <c r="BI83" s="100">
        <v>3777.1990993497761</v>
      </c>
      <c r="BJ83" s="100">
        <v>0.96761022485708648</v>
      </c>
      <c r="BK83" s="100">
        <v>832.53183746703724</v>
      </c>
      <c r="BL83" s="100">
        <v>4</v>
      </c>
      <c r="BM83" s="100">
        <v>3441.6</v>
      </c>
      <c r="BN83" s="100">
        <v>4</v>
      </c>
      <c r="BO83" s="100">
        <v>3441.6</v>
      </c>
      <c r="BP83" s="100">
        <v>3</v>
      </c>
      <c r="BQ83" s="100">
        <v>2581.1999999999998</v>
      </c>
      <c r="BR83" s="100">
        <v>5</v>
      </c>
      <c r="BS83" s="100">
        <v>4302</v>
      </c>
      <c r="BT83" s="100">
        <v>6</v>
      </c>
      <c r="BU83" s="100">
        <v>5162.3999999999996</v>
      </c>
      <c r="BV83" s="100">
        <v>3</v>
      </c>
      <c r="BW83" s="100">
        <v>2581.1999999999998</v>
      </c>
      <c r="BX83" s="100">
        <v>5</v>
      </c>
      <c r="BY83" s="100">
        <v>4302</v>
      </c>
      <c r="BZ83" s="100">
        <v>4</v>
      </c>
      <c r="CA83" s="100">
        <v>3441.6</v>
      </c>
      <c r="CB83" s="100">
        <v>4.2427348063640471</v>
      </c>
      <c r="CC83" s="100">
        <v>3650.4490273956262</v>
      </c>
      <c r="CD83" s="100">
        <v>6</v>
      </c>
      <c r="CE83" s="100">
        <v>5162.3999999999996</v>
      </c>
      <c r="CF83" s="100">
        <v>4</v>
      </c>
      <c r="CG83" s="100">
        <v>3441.6</v>
      </c>
      <c r="CH83" s="100">
        <v>4</v>
      </c>
      <c r="CI83" s="100">
        <v>3441.6</v>
      </c>
      <c r="CJ83" s="100">
        <v>4</v>
      </c>
      <c r="CK83" s="100">
        <v>3441.6</v>
      </c>
      <c r="CL83" s="100">
        <v>6</v>
      </c>
      <c r="CM83" s="100">
        <v>5162.3999999999996</v>
      </c>
      <c r="CN83" s="100">
        <v>6</v>
      </c>
      <c r="CO83" s="100">
        <v>5162.3999999999996</v>
      </c>
      <c r="CP83" s="100">
        <v>3.1180351194275242</v>
      </c>
      <c r="CQ83" s="100">
        <v>2682.7574167554417</v>
      </c>
      <c r="CR83" s="100">
        <v>3</v>
      </c>
      <c r="CS83" s="100">
        <v>2581.1999999999998</v>
      </c>
      <c r="CT83" s="100">
        <v>4</v>
      </c>
      <c r="CU83" s="100">
        <v>3441.6</v>
      </c>
    </row>
    <row r="84" spans="2:99">
      <c r="C84" s="99" t="s">
        <v>250</v>
      </c>
      <c r="D84" s="100">
        <v>4</v>
      </c>
      <c r="E84" s="100">
        <v>3124.7999999999997</v>
      </c>
      <c r="F84" s="100">
        <v>5</v>
      </c>
      <c r="G84" s="100">
        <v>3905.9999999999995</v>
      </c>
      <c r="H84" s="100">
        <v>3</v>
      </c>
      <c r="I84" s="100">
        <v>2343.6</v>
      </c>
      <c r="J84" s="100">
        <v>5.6336529574566683</v>
      </c>
      <c r="K84" s="100">
        <v>4401.0096903651493</v>
      </c>
      <c r="L84" s="100">
        <v>6</v>
      </c>
      <c r="M84" s="100">
        <v>4687.2</v>
      </c>
      <c r="N84" s="100">
        <v>4</v>
      </c>
      <c r="O84" s="100">
        <v>3124.7999999999997</v>
      </c>
      <c r="P84" s="100">
        <v>3</v>
      </c>
      <c r="Q84" s="100">
        <v>2343.6</v>
      </c>
      <c r="R84" s="100">
        <v>4</v>
      </c>
      <c r="S84" s="100">
        <v>3124.7999999999997</v>
      </c>
      <c r="T84" s="100">
        <v>5</v>
      </c>
      <c r="U84" s="100">
        <v>3905.9999999999995</v>
      </c>
      <c r="V84" s="100">
        <v>5</v>
      </c>
      <c r="W84" s="100">
        <v>3905.9999999999995</v>
      </c>
      <c r="X84" s="100">
        <v>5</v>
      </c>
      <c r="Y84" s="100">
        <v>3905.9999999999995</v>
      </c>
      <c r="Z84" s="100">
        <v>6</v>
      </c>
      <c r="AA84" s="100">
        <v>4687.2</v>
      </c>
      <c r="AB84" s="100">
        <v>3</v>
      </c>
      <c r="AC84" s="100">
        <v>2343.6</v>
      </c>
      <c r="AD84" s="100">
        <v>4</v>
      </c>
      <c r="AE84" s="100">
        <v>3124.7999999999997</v>
      </c>
      <c r="AF84" s="100">
        <v>4</v>
      </c>
      <c r="AG84" s="100">
        <v>3124.7999999999997</v>
      </c>
      <c r="AH84" s="100">
        <v>5.2952130014751519</v>
      </c>
      <c r="AI84" s="100">
        <v>4136.6203967523879</v>
      </c>
      <c r="AJ84" s="100">
        <v>3</v>
      </c>
      <c r="AK84" s="100">
        <v>2343.6</v>
      </c>
      <c r="AL84" s="100">
        <v>5.0000372124934191</v>
      </c>
      <c r="AM84" s="100">
        <v>3906.0290703998585</v>
      </c>
      <c r="AN84" s="100">
        <v>1.2565804255830098</v>
      </c>
      <c r="AO84" s="100">
        <v>981.64062846544709</v>
      </c>
      <c r="AP84" s="100">
        <v>3.2368377175012344</v>
      </c>
      <c r="AQ84" s="100">
        <v>2528.617624911964</v>
      </c>
      <c r="AR84" s="100">
        <v>5</v>
      </c>
      <c r="AS84" s="100">
        <v>3905.9999999999995</v>
      </c>
      <c r="AT84" s="100">
        <v>3</v>
      </c>
      <c r="AU84" s="100">
        <v>2343.6</v>
      </c>
      <c r="AV84" s="100">
        <v>4</v>
      </c>
      <c r="AW84" s="100">
        <v>3124.7999999999997</v>
      </c>
      <c r="AX84" s="100">
        <v>3.6636932794028438</v>
      </c>
      <c r="AY84" s="100">
        <v>2862.0771898695016</v>
      </c>
      <c r="AZ84" s="100">
        <v>2.4484511372761224</v>
      </c>
      <c r="BA84" s="100">
        <v>1912.7300284401067</v>
      </c>
      <c r="BB84" s="100">
        <v>6</v>
      </c>
      <c r="BC84" s="100">
        <v>4687.2</v>
      </c>
      <c r="BD84" s="100">
        <v>4</v>
      </c>
      <c r="BE84" s="100">
        <v>3124.7999999999997</v>
      </c>
      <c r="BF84" s="100">
        <v>2.1308274386966928</v>
      </c>
      <c r="BG84" s="100">
        <v>1664.6023951098562</v>
      </c>
      <c r="BH84" s="100">
        <v>4.3900500922242864</v>
      </c>
      <c r="BI84" s="100">
        <v>3429.5071320456123</v>
      </c>
      <c r="BJ84" s="100">
        <v>0.96761022485708648</v>
      </c>
      <c r="BK84" s="100">
        <v>755.89710765835594</v>
      </c>
      <c r="BL84" s="100">
        <v>4</v>
      </c>
      <c r="BM84" s="100">
        <v>3124.7999999999997</v>
      </c>
      <c r="BN84" s="100">
        <v>4</v>
      </c>
      <c r="BO84" s="100">
        <v>3124.7999999999997</v>
      </c>
      <c r="BP84" s="100">
        <v>3</v>
      </c>
      <c r="BQ84" s="100">
        <v>2343.6</v>
      </c>
      <c r="BR84" s="100">
        <v>5</v>
      </c>
      <c r="BS84" s="100">
        <v>3905.9999999999995</v>
      </c>
      <c r="BT84" s="100">
        <v>6</v>
      </c>
      <c r="BU84" s="100">
        <v>4687.2</v>
      </c>
      <c r="BV84" s="100">
        <v>4</v>
      </c>
      <c r="BW84" s="100">
        <v>3124.7999999999997</v>
      </c>
      <c r="BX84" s="100">
        <v>5</v>
      </c>
      <c r="BY84" s="100">
        <v>3905.9999999999995</v>
      </c>
      <c r="BZ84" s="100">
        <v>4</v>
      </c>
      <c r="CA84" s="100">
        <v>3124.7999999999997</v>
      </c>
      <c r="CB84" s="100">
        <v>4.2080584054548975</v>
      </c>
      <c r="CC84" s="100">
        <v>3287.3352263413658</v>
      </c>
      <c r="CD84" s="100">
        <v>6</v>
      </c>
      <c r="CE84" s="100">
        <v>4687.2</v>
      </c>
      <c r="CF84" s="100">
        <v>5</v>
      </c>
      <c r="CG84" s="100">
        <v>3905.9999999999995</v>
      </c>
      <c r="CH84" s="100">
        <v>4</v>
      </c>
      <c r="CI84" s="100">
        <v>3124.7999999999997</v>
      </c>
      <c r="CJ84" s="100">
        <v>5</v>
      </c>
      <c r="CK84" s="100">
        <v>3905.9999999999995</v>
      </c>
      <c r="CL84" s="100">
        <v>6</v>
      </c>
      <c r="CM84" s="100">
        <v>4687.2</v>
      </c>
      <c r="CN84" s="100">
        <v>6</v>
      </c>
      <c r="CO84" s="100">
        <v>4687.2</v>
      </c>
      <c r="CP84" s="100">
        <v>3.7416421433130291</v>
      </c>
      <c r="CQ84" s="100">
        <v>2922.9708423561383</v>
      </c>
      <c r="CR84" s="100">
        <v>4</v>
      </c>
      <c r="CS84" s="100">
        <v>3124.7999999999997</v>
      </c>
      <c r="CT84" s="100">
        <v>4</v>
      </c>
      <c r="CU84" s="100">
        <v>3124.7999999999997</v>
      </c>
    </row>
    <row r="85" spans="2:99">
      <c r="C85" s="99" t="s">
        <v>251</v>
      </c>
      <c r="D85" s="100">
        <v>4</v>
      </c>
      <c r="E85" s="100">
        <v>600</v>
      </c>
      <c r="F85" s="100">
        <v>5</v>
      </c>
      <c r="G85" s="100">
        <v>750</v>
      </c>
      <c r="H85" s="100">
        <v>3</v>
      </c>
      <c r="I85" s="100">
        <v>450</v>
      </c>
      <c r="J85" s="100">
        <v>4.6336529574566683</v>
      </c>
      <c r="K85" s="100">
        <v>695.0479436185002</v>
      </c>
      <c r="L85" s="100">
        <v>6</v>
      </c>
      <c r="M85" s="100">
        <v>900</v>
      </c>
      <c r="N85" s="100">
        <v>5</v>
      </c>
      <c r="O85" s="100">
        <v>750</v>
      </c>
      <c r="P85" s="100">
        <v>3</v>
      </c>
      <c r="Q85" s="100">
        <v>450</v>
      </c>
      <c r="R85" s="100">
        <v>4</v>
      </c>
      <c r="S85" s="100">
        <v>600</v>
      </c>
      <c r="T85" s="100">
        <v>5</v>
      </c>
      <c r="U85" s="100">
        <v>750</v>
      </c>
      <c r="V85" s="100">
        <v>5</v>
      </c>
      <c r="W85" s="100">
        <v>750</v>
      </c>
      <c r="X85" s="100">
        <v>5</v>
      </c>
      <c r="Y85" s="100">
        <v>750</v>
      </c>
      <c r="Z85" s="100">
        <v>6</v>
      </c>
      <c r="AA85" s="100">
        <v>900</v>
      </c>
      <c r="AB85" s="100">
        <v>3</v>
      </c>
      <c r="AC85" s="100">
        <v>450</v>
      </c>
      <c r="AD85" s="100">
        <v>4</v>
      </c>
      <c r="AE85" s="100">
        <v>600</v>
      </c>
      <c r="AF85" s="100">
        <v>4</v>
      </c>
      <c r="AG85" s="100">
        <v>600</v>
      </c>
      <c r="AH85" s="100">
        <v>5.2952130014751519</v>
      </c>
      <c r="AI85" s="100">
        <v>794.28195022127284</v>
      </c>
      <c r="AJ85" s="100">
        <v>3</v>
      </c>
      <c r="AK85" s="100">
        <v>450</v>
      </c>
      <c r="AL85" s="100">
        <v>5.0000372124934191</v>
      </c>
      <c r="AM85" s="100">
        <v>750.00558187401282</v>
      </c>
      <c r="AN85" s="100">
        <v>1.6754405674440132</v>
      </c>
      <c r="AO85" s="100">
        <v>251.31608511660198</v>
      </c>
      <c r="AP85" s="100">
        <v>3.2368377175012344</v>
      </c>
      <c r="AQ85" s="100">
        <v>485.52565762518515</v>
      </c>
      <c r="AR85" s="100">
        <v>5</v>
      </c>
      <c r="AS85" s="100">
        <v>750</v>
      </c>
      <c r="AT85" s="100">
        <v>3</v>
      </c>
      <c r="AU85" s="100">
        <v>450</v>
      </c>
      <c r="AV85" s="100">
        <v>4</v>
      </c>
      <c r="AW85" s="100">
        <v>600</v>
      </c>
      <c r="AX85" s="100">
        <v>4.3964319352834123</v>
      </c>
      <c r="AY85" s="100">
        <v>659.46479029251179</v>
      </c>
      <c r="AZ85" s="100">
        <v>2.4484511372761224</v>
      </c>
      <c r="BA85" s="100">
        <v>367.26767059141838</v>
      </c>
      <c r="BB85" s="100">
        <v>6</v>
      </c>
      <c r="BC85" s="100">
        <v>900</v>
      </c>
      <c r="BD85" s="100">
        <v>5</v>
      </c>
      <c r="BE85" s="100">
        <v>750</v>
      </c>
      <c r="BF85" s="100">
        <v>2.1308274386966928</v>
      </c>
      <c r="BG85" s="100">
        <v>319.6241158045039</v>
      </c>
      <c r="BH85" s="100">
        <v>4.4388063537523221</v>
      </c>
      <c r="BI85" s="100">
        <v>665.82095306284828</v>
      </c>
      <c r="BJ85" s="100">
        <v>1.209512781071358</v>
      </c>
      <c r="BK85" s="100">
        <v>181.42691716070368</v>
      </c>
      <c r="BL85" s="100">
        <v>4</v>
      </c>
      <c r="BM85" s="100">
        <v>600</v>
      </c>
      <c r="BN85" s="100">
        <v>4</v>
      </c>
      <c r="BO85" s="100">
        <v>600</v>
      </c>
      <c r="BP85" s="100">
        <v>3</v>
      </c>
      <c r="BQ85" s="100">
        <v>450</v>
      </c>
      <c r="BR85" s="100">
        <v>6</v>
      </c>
      <c r="BS85" s="100">
        <v>900</v>
      </c>
      <c r="BT85" s="100">
        <v>6</v>
      </c>
      <c r="BU85" s="100">
        <v>900</v>
      </c>
      <c r="BV85" s="100">
        <v>4</v>
      </c>
      <c r="BW85" s="100">
        <v>600</v>
      </c>
      <c r="BX85" s="100">
        <v>5</v>
      </c>
      <c r="BY85" s="100">
        <v>750</v>
      </c>
      <c r="BZ85" s="100">
        <v>4</v>
      </c>
      <c r="CA85" s="100">
        <v>600</v>
      </c>
      <c r="CB85" s="100">
        <v>4.2253966059094719</v>
      </c>
      <c r="CC85" s="100">
        <v>633.8094908864208</v>
      </c>
      <c r="CD85" s="100">
        <v>7</v>
      </c>
      <c r="CE85" s="100">
        <v>1050</v>
      </c>
      <c r="CF85" s="100">
        <v>5</v>
      </c>
      <c r="CG85" s="100">
        <v>750</v>
      </c>
      <c r="CH85" s="100">
        <v>5</v>
      </c>
      <c r="CI85" s="100">
        <v>750</v>
      </c>
      <c r="CJ85" s="100">
        <v>5</v>
      </c>
      <c r="CK85" s="100">
        <v>750</v>
      </c>
      <c r="CL85" s="100">
        <v>6</v>
      </c>
      <c r="CM85" s="100">
        <v>900</v>
      </c>
      <c r="CN85" s="100">
        <v>7</v>
      </c>
      <c r="CO85" s="100">
        <v>1050</v>
      </c>
      <c r="CP85" s="100">
        <v>3.7416421433130291</v>
      </c>
      <c r="CQ85" s="100">
        <v>561.24632149695435</v>
      </c>
      <c r="CR85" s="100">
        <v>4</v>
      </c>
      <c r="CS85" s="100">
        <v>600</v>
      </c>
      <c r="CT85" s="100">
        <v>4</v>
      </c>
      <c r="CU85" s="100">
        <v>600</v>
      </c>
    </row>
    <row r="86" spans="2:99">
      <c r="C86" s="99" t="s">
        <v>252</v>
      </c>
      <c r="D86" s="100">
        <v>4</v>
      </c>
      <c r="E86" s="100">
        <v>2160</v>
      </c>
      <c r="F86" s="100">
        <v>5</v>
      </c>
      <c r="G86" s="100">
        <v>2700</v>
      </c>
      <c r="H86" s="100">
        <v>3</v>
      </c>
      <c r="I86" s="100">
        <v>1620</v>
      </c>
      <c r="J86" s="100">
        <v>5.6823954926456421</v>
      </c>
      <c r="K86" s="100">
        <v>3068.4935660286469</v>
      </c>
      <c r="L86" s="100">
        <v>6</v>
      </c>
      <c r="M86" s="100">
        <v>3240</v>
      </c>
      <c r="N86" s="100">
        <v>5</v>
      </c>
      <c r="O86" s="100">
        <v>2700</v>
      </c>
      <c r="P86" s="100">
        <v>3</v>
      </c>
      <c r="Q86" s="100">
        <v>1620</v>
      </c>
      <c r="R86" s="100">
        <v>4</v>
      </c>
      <c r="S86" s="100">
        <v>2160</v>
      </c>
      <c r="T86" s="100">
        <v>6</v>
      </c>
      <c r="U86" s="100">
        <v>3240</v>
      </c>
      <c r="V86" s="100">
        <v>4</v>
      </c>
      <c r="W86" s="100">
        <v>2160</v>
      </c>
      <c r="X86" s="100">
        <v>5</v>
      </c>
      <c r="Y86" s="100">
        <v>2700</v>
      </c>
      <c r="Z86" s="100">
        <v>6</v>
      </c>
      <c r="AA86" s="100">
        <v>3240</v>
      </c>
      <c r="AB86" s="100">
        <v>3</v>
      </c>
      <c r="AC86" s="100">
        <v>1620</v>
      </c>
      <c r="AD86" s="100">
        <v>4</v>
      </c>
      <c r="AE86" s="100">
        <v>2160</v>
      </c>
      <c r="AF86" s="100">
        <v>4</v>
      </c>
      <c r="AG86" s="100">
        <v>2160</v>
      </c>
      <c r="AH86" s="100">
        <v>5.3373862874001734</v>
      </c>
      <c r="AI86" s="100">
        <v>2882.1885951960935</v>
      </c>
      <c r="AJ86" s="100">
        <v>4</v>
      </c>
      <c r="AK86" s="100">
        <v>2160</v>
      </c>
      <c r="AL86" s="100">
        <v>5.0000372124934191</v>
      </c>
      <c r="AM86" s="100">
        <v>2700.0200947464464</v>
      </c>
      <c r="AN86" s="100">
        <v>1.6754405674440132</v>
      </c>
      <c r="AO86" s="100">
        <v>904.73790641976711</v>
      </c>
      <c r="AP86" s="100">
        <v>2.6973647645843619</v>
      </c>
      <c r="AQ86" s="100">
        <v>1456.5769728755554</v>
      </c>
      <c r="AR86" s="100">
        <v>4</v>
      </c>
      <c r="AS86" s="100">
        <v>2160</v>
      </c>
      <c r="AT86" s="100">
        <v>4</v>
      </c>
      <c r="AU86" s="100">
        <v>2160</v>
      </c>
      <c r="AV86" s="100">
        <v>4</v>
      </c>
      <c r="AW86" s="100">
        <v>2160</v>
      </c>
      <c r="AX86" s="100">
        <v>4.3964319352834123</v>
      </c>
      <c r="AY86" s="100">
        <v>2374.0732450530427</v>
      </c>
      <c r="AZ86" s="100">
        <v>2.4484511372761224</v>
      </c>
      <c r="BA86" s="100">
        <v>1322.163614129106</v>
      </c>
      <c r="BB86" s="100">
        <v>6</v>
      </c>
      <c r="BC86" s="100">
        <v>3240</v>
      </c>
      <c r="BD86" s="100">
        <v>4</v>
      </c>
      <c r="BE86" s="100">
        <v>2160</v>
      </c>
      <c r="BF86" s="100">
        <v>2.1308274386966928</v>
      </c>
      <c r="BG86" s="100">
        <v>1150.6468168962142</v>
      </c>
      <c r="BH86" s="100">
        <v>4.3900500922242864</v>
      </c>
      <c r="BI86" s="100">
        <v>2370.6270498011145</v>
      </c>
      <c r="BJ86" s="100">
        <v>1.209512781071358</v>
      </c>
      <c r="BK86" s="100">
        <v>653.13690177853334</v>
      </c>
      <c r="BL86" s="100">
        <v>4</v>
      </c>
      <c r="BM86" s="100">
        <v>2160</v>
      </c>
      <c r="BN86" s="100">
        <v>5</v>
      </c>
      <c r="BO86" s="100">
        <v>2700</v>
      </c>
      <c r="BP86" s="100">
        <v>3</v>
      </c>
      <c r="BQ86" s="100">
        <v>1620</v>
      </c>
      <c r="BR86" s="100">
        <v>6</v>
      </c>
      <c r="BS86" s="100">
        <v>3240</v>
      </c>
      <c r="BT86" s="100">
        <v>7</v>
      </c>
      <c r="BU86" s="100">
        <v>3780</v>
      </c>
      <c r="BV86" s="100">
        <v>4</v>
      </c>
      <c r="BW86" s="100">
        <v>2160</v>
      </c>
      <c r="BX86" s="100">
        <v>5</v>
      </c>
      <c r="BY86" s="100">
        <v>2700</v>
      </c>
      <c r="BZ86" s="100">
        <v>4</v>
      </c>
      <c r="CA86" s="100">
        <v>2160</v>
      </c>
      <c r="CB86" s="100">
        <v>4.2253966059094719</v>
      </c>
      <c r="CC86" s="100">
        <v>2281.7141671911149</v>
      </c>
      <c r="CD86" s="100">
        <v>6</v>
      </c>
      <c r="CE86" s="100">
        <v>3240</v>
      </c>
      <c r="CF86" s="100">
        <v>5</v>
      </c>
      <c r="CG86" s="100">
        <v>2700</v>
      </c>
      <c r="CH86" s="100">
        <v>4</v>
      </c>
      <c r="CI86" s="100">
        <v>2160</v>
      </c>
      <c r="CJ86" s="100">
        <v>5</v>
      </c>
      <c r="CK86" s="100">
        <v>2700</v>
      </c>
      <c r="CL86" s="100">
        <v>6</v>
      </c>
      <c r="CM86" s="100">
        <v>3240</v>
      </c>
      <c r="CN86" s="100">
        <v>6</v>
      </c>
      <c r="CO86" s="100">
        <v>3240</v>
      </c>
      <c r="CP86" s="100">
        <v>3.7416421433130291</v>
      </c>
      <c r="CQ86" s="100">
        <v>2020.4867573890358</v>
      </c>
      <c r="CR86" s="100">
        <v>4</v>
      </c>
      <c r="CS86" s="100">
        <v>2160</v>
      </c>
      <c r="CT86" s="100">
        <v>4</v>
      </c>
      <c r="CU86" s="100">
        <v>2160</v>
      </c>
    </row>
    <row r="87" spans="2:99">
      <c r="B87" s="99" t="s">
        <v>131</v>
      </c>
      <c r="C87" s="99" t="s">
        <v>253</v>
      </c>
      <c r="D87" s="100">
        <v>3.9140130229239118</v>
      </c>
      <c r="E87" s="100">
        <v>4203.6499866202812</v>
      </c>
      <c r="F87" s="100">
        <v>2.7308697999307689</v>
      </c>
      <c r="G87" s="100">
        <v>2932.9541651256459</v>
      </c>
      <c r="H87" s="100">
        <v>0.51863961134312753</v>
      </c>
      <c r="I87" s="100">
        <v>557.018942582519</v>
      </c>
      <c r="J87" s="100">
        <v>3</v>
      </c>
      <c r="K87" s="100">
        <v>3222</v>
      </c>
      <c r="L87" s="100">
        <v>6</v>
      </c>
      <c r="M87" s="100">
        <v>6444</v>
      </c>
      <c r="N87" s="100">
        <v>4</v>
      </c>
      <c r="O87" s="100">
        <v>4296</v>
      </c>
      <c r="P87" s="100">
        <v>5</v>
      </c>
      <c r="Q87" s="100">
        <v>5370</v>
      </c>
      <c r="R87" s="100">
        <v>4.1124911165347093</v>
      </c>
      <c r="S87" s="100">
        <v>4416.8154591582779</v>
      </c>
      <c r="T87" s="100">
        <v>2.5527848402876532</v>
      </c>
      <c r="U87" s="100">
        <v>2741.6909184689393</v>
      </c>
      <c r="V87" s="100">
        <v>5.0611289850833598</v>
      </c>
      <c r="W87" s="100">
        <v>5435.6525299795285</v>
      </c>
      <c r="X87" s="100">
        <v>5.8536585365853684</v>
      </c>
      <c r="Y87" s="100">
        <v>6286.8292682926858</v>
      </c>
      <c r="Z87" s="100">
        <v>4</v>
      </c>
      <c r="AA87" s="100">
        <v>4296</v>
      </c>
      <c r="AB87" s="100">
        <v>4</v>
      </c>
      <c r="AC87" s="100">
        <v>4296</v>
      </c>
      <c r="AD87" s="100">
        <v>5</v>
      </c>
      <c r="AE87" s="100">
        <v>5370</v>
      </c>
      <c r="AF87" s="100">
        <v>5</v>
      </c>
      <c r="AG87" s="100">
        <v>5370</v>
      </c>
      <c r="AH87" s="100">
        <v>6</v>
      </c>
      <c r="AI87" s="100">
        <v>6444</v>
      </c>
      <c r="AJ87" s="100">
        <v>5</v>
      </c>
      <c r="AK87" s="100">
        <v>5370</v>
      </c>
      <c r="AL87" s="100">
        <v>5.3988330305880954</v>
      </c>
      <c r="AM87" s="100">
        <v>5798.3466748516148</v>
      </c>
      <c r="AN87" s="100">
        <v>6</v>
      </c>
      <c r="AO87" s="100">
        <v>6444</v>
      </c>
      <c r="AP87" s="100">
        <v>6</v>
      </c>
      <c r="AQ87" s="100">
        <v>6444</v>
      </c>
      <c r="AR87" s="100">
        <v>4</v>
      </c>
      <c r="AS87" s="100">
        <v>4296</v>
      </c>
      <c r="AT87" s="100">
        <v>7.2843360626557487</v>
      </c>
      <c r="AU87" s="100">
        <v>7823.3769312922741</v>
      </c>
      <c r="AV87" s="100">
        <v>2.6678670532899047</v>
      </c>
      <c r="AW87" s="100">
        <v>2865.2892152333575</v>
      </c>
      <c r="AX87" s="100">
        <v>6</v>
      </c>
      <c r="AY87" s="100">
        <v>6444</v>
      </c>
      <c r="AZ87" s="100">
        <v>4.6961394150972717</v>
      </c>
      <c r="BA87" s="100">
        <v>5043.6537318144701</v>
      </c>
      <c r="BB87" s="100">
        <v>4.5250718118763098</v>
      </c>
      <c r="BC87" s="100">
        <v>4859.927125955157</v>
      </c>
      <c r="BD87" s="100">
        <v>1.6678146606685391</v>
      </c>
      <c r="BE87" s="100">
        <v>1791.2329455580111</v>
      </c>
      <c r="BF87" s="100">
        <v>4.2834029662353386</v>
      </c>
      <c r="BG87" s="100">
        <v>4600.3747857367534</v>
      </c>
      <c r="BH87" s="100">
        <v>2.0488392420684018</v>
      </c>
      <c r="BI87" s="100">
        <v>2200.4533459814634</v>
      </c>
      <c r="BJ87" s="100">
        <v>4.6839385762336683</v>
      </c>
      <c r="BK87" s="100">
        <v>5030.5500308749597</v>
      </c>
      <c r="BL87" s="100">
        <v>4.0796690847676755</v>
      </c>
      <c r="BM87" s="100">
        <v>4381.5645970404839</v>
      </c>
      <c r="BN87" s="100">
        <v>5.9587458270061582</v>
      </c>
      <c r="BO87" s="100">
        <v>6399.6930182046135</v>
      </c>
      <c r="BP87" s="100">
        <v>4.0307982685461212</v>
      </c>
      <c r="BQ87" s="100">
        <v>4329.0773404185338</v>
      </c>
      <c r="BR87" s="100">
        <v>4</v>
      </c>
      <c r="BS87" s="100">
        <v>4296</v>
      </c>
      <c r="BT87" s="100">
        <v>6</v>
      </c>
      <c r="BU87" s="100">
        <v>6444</v>
      </c>
      <c r="BV87" s="100">
        <v>5.4618429529925585</v>
      </c>
      <c r="BW87" s="100">
        <v>5866.0193315140077</v>
      </c>
      <c r="BX87" s="100">
        <v>2.0107122916978928</v>
      </c>
      <c r="BY87" s="100">
        <v>2159.5050012835368</v>
      </c>
      <c r="BZ87" s="100">
        <v>1.9067571437335586</v>
      </c>
      <c r="CA87" s="100">
        <v>2047.8571723698419</v>
      </c>
      <c r="CB87" s="100">
        <v>4.8608921189353715</v>
      </c>
      <c r="CC87" s="100">
        <v>5220.598135736589</v>
      </c>
      <c r="CD87" s="100">
        <v>3.6650447972701454</v>
      </c>
      <c r="CE87" s="100">
        <v>3936.2581122681363</v>
      </c>
      <c r="CF87" s="100">
        <v>3.8787817956444348</v>
      </c>
      <c r="CG87" s="100">
        <v>4165.8116485221226</v>
      </c>
      <c r="CH87" s="100">
        <v>4</v>
      </c>
      <c r="CI87" s="100">
        <v>4296</v>
      </c>
      <c r="CJ87" s="100">
        <v>5</v>
      </c>
      <c r="CK87" s="100">
        <v>5370</v>
      </c>
      <c r="CL87" s="100">
        <v>5.3178788779398856</v>
      </c>
      <c r="CM87" s="100">
        <v>5711.4019149074375</v>
      </c>
      <c r="CN87" s="100">
        <v>4.1961342658539538</v>
      </c>
      <c r="CO87" s="100">
        <v>4506.6482015271467</v>
      </c>
      <c r="CP87" s="100">
        <v>2.6084832344707491</v>
      </c>
      <c r="CQ87" s="100">
        <v>2801.5109938215846</v>
      </c>
      <c r="CR87" s="100">
        <v>5</v>
      </c>
      <c r="CS87" s="100">
        <v>5370</v>
      </c>
      <c r="CT87" s="100">
        <v>5</v>
      </c>
      <c r="CU87" s="100">
        <v>5370</v>
      </c>
    </row>
    <row r="88" spans="2:99">
      <c r="C88" s="99" t="s">
        <v>254</v>
      </c>
      <c r="D88" s="100">
        <v>3.9140130229239118</v>
      </c>
      <c r="E88" s="100">
        <v>3884.2665239496901</v>
      </c>
      <c r="F88" s="100">
        <v>2.7308697999307689</v>
      </c>
      <c r="G88" s="100">
        <v>2710.115189451295</v>
      </c>
      <c r="H88" s="100">
        <v>0.51863961134312753</v>
      </c>
      <c r="I88" s="100">
        <v>514.69795029691977</v>
      </c>
      <c r="J88" s="100">
        <v>3</v>
      </c>
      <c r="K88" s="100">
        <v>2977.2</v>
      </c>
      <c r="L88" s="100">
        <v>6</v>
      </c>
      <c r="M88" s="100">
        <v>5954.4</v>
      </c>
      <c r="N88" s="100">
        <v>5</v>
      </c>
      <c r="O88" s="100">
        <v>4962</v>
      </c>
      <c r="P88" s="100">
        <v>5</v>
      </c>
      <c r="Q88" s="100">
        <v>4962</v>
      </c>
      <c r="R88" s="100">
        <v>4.1483869471098611</v>
      </c>
      <c r="S88" s="100">
        <v>4116.8592063118258</v>
      </c>
      <c r="T88" s="100">
        <v>2.5674582222308504</v>
      </c>
      <c r="U88" s="100">
        <v>2547.945539741896</v>
      </c>
      <c r="V88" s="100">
        <v>4.3381105586428799</v>
      </c>
      <c r="W88" s="100">
        <v>4305.1409183971937</v>
      </c>
      <c r="X88" s="100">
        <v>5.8536585365853684</v>
      </c>
      <c r="Y88" s="100">
        <v>5809.1707317073196</v>
      </c>
      <c r="Z88" s="100">
        <v>4</v>
      </c>
      <c r="AA88" s="100">
        <v>3969.6</v>
      </c>
      <c r="AB88" s="100">
        <v>4</v>
      </c>
      <c r="AC88" s="100">
        <v>3969.6</v>
      </c>
      <c r="AD88" s="100">
        <v>5</v>
      </c>
      <c r="AE88" s="100">
        <v>4962</v>
      </c>
      <c r="AF88" s="100">
        <v>6</v>
      </c>
      <c r="AG88" s="100">
        <v>5954.4</v>
      </c>
      <c r="AH88" s="100">
        <v>6</v>
      </c>
      <c r="AI88" s="100">
        <v>5954.4</v>
      </c>
      <c r="AJ88" s="100">
        <v>4</v>
      </c>
      <c r="AK88" s="100">
        <v>3969.6</v>
      </c>
      <c r="AL88" s="100">
        <v>6.3589497275292857</v>
      </c>
      <c r="AM88" s="100">
        <v>6310.6217096000628</v>
      </c>
      <c r="AN88" s="100">
        <v>6</v>
      </c>
      <c r="AO88" s="100">
        <v>5954.4</v>
      </c>
      <c r="AP88" s="100">
        <v>6</v>
      </c>
      <c r="AQ88" s="100">
        <v>5954.4</v>
      </c>
      <c r="AR88" s="100">
        <v>4</v>
      </c>
      <c r="AS88" s="100">
        <v>3969.6</v>
      </c>
      <c r="AT88" s="100">
        <v>7.319878070487718</v>
      </c>
      <c r="AU88" s="100">
        <v>7264.2469971520113</v>
      </c>
      <c r="AV88" s="100">
        <v>2.6678670532899047</v>
      </c>
      <c r="AW88" s="100">
        <v>2647.5912636849012</v>
      </c>
      <c r="AX88" s="100">
        <v>5</v>
      </c>
      <c r="AY88" s="100">
        <v>4962</v>
      </c>
      <c r="AZ88" s="100">
        <v>4.6961394150972717</v>
      </c>
      <c r="BA88" s="100">
        <v>4660.4487555425321</v>
      </c>
      <c r="BB88" s="100">
        <v>4.5250718118763098</v>
      </c>
      <c r="BC88" s="100">
        <v>4490.6812661060494</v>
      </c>
      <c r="BD88" s="100">
        <v>1.6678146606685391</v>
      </c>
      <c r="BE88" s="100">
        <v>1655.1392692474583</v>
      </c>
      <c r="BF88" s="100">
        <v>4.9648019349494659</v>
      </c>
      <c r="BG88" s="100">
        <v>4927.0694402438494</v>
      </c>
      <c r="BH88" s="100">
        <v>2.3903124490798024</v>
      </c>
      <c r="BI88" s="100">
        <v>2372.1460744667961</v>
      </c>
      <c r="BJ88" s="100">
        <v>3.7493975810037465</v>
      </c>
      <c r="BK88" s="100">
        <v>3720.902159388118</v>
      </c>
      <c r="BL88" s="100">
        <v>4.0494366472546011</v>
      </c>
      <c r="BM88" s="100">
        <v>4018.6609287354659</v>
      </c>
      <c r="BN88" s="100">
        <v>6.0045820417216005</v>
      </c>
      <c r="BO88" s="100">
        <v>5958.9472182045165</v>
      </c>
      <c r="BP88" s="100">
        <v>4.0307982685461212</v>
      </c>
      <c r="BQ88" s="100">
        <v>4000.1642017051704</v>
      </c>
      <c r="BR88" s="100">
        <v>4</v>
      </c>
      <c r="BS88" s="100">
        <v>3969.6</v>
      </c>
      <c r="BT88" s="100">
        <v>6</v>
      </c>
      <c r="BU88" s="100">
        <v>5954.4</v>
      </c>
      <c r="BV88" s="100">
        <v>6.4618429529925585</v>
      </c>
      <c r="BW88" s="100">
        <v>6412.7329465498151</v>
      </c>
      <c r="BX88" s="100">
        <v>2.3138251203558107</v>
      </c>
      <c r="BY88" s="100">
        <v>2296.2400494411063</v>
      </c>
      <c r="BZ88" s="100">
        <v>1.6029384329158491</v>
      </c>
      <c r="CA88" s="100">
        <v>1590.7561008256887</v>
      </c>
      <c r="CB88" s="100">
        <v>4.8967244380547221</v>
      </c>
      <c r="CC88" s="100">
        <v>4859.509332325506</v>
      </c>
      <c r="CD88" s="100">
        <v>3.6650447972701454</v>
      </c>
      <c r="CE88" s="100">
        <v>3637.1904568108921</v>
      </c>
      <c r="CF88" s="100">
        <v>2.9090863467333259</v>
      </c>
      <c r="CG88" s="100">
        <v>2886.9772904981523</v>
      </c>
      <c r="CH88" s="100">
        <v>4</v>
      </c>
      <c r="CI88" s="100">
        <v>3969.6</v>
      </c>
      <c r="CJ88" s="100">
        <v>5</v>
      </c>
      <c r="CK88" s="100">
        <v>4962</v>
      </c>
      <c r="CL88" s="100">
        <v>4.3815097518953152</v>
      </c>
      <c r="CM88" s="100">
        <v>4348.2102777809105</v>
      </c>
      <c r="CN88" s="100">
        <v>4.8202751290956716</v>
      </c>
      <c r="CO88" s="100">
        <v>4783.6410381145442</v>
      </c>
      <c r="CP88" s="100">
        <v>3.2539412754543298</v>
      </c>
      <c r="CQ88" s="100">
        <v>3229.2113217608767</v>
      </c>
      <c r="CR88" s="100">
        <v>4</v>
      </c>
      <c r="CS88" s="100">
        <v>3969.6</v>
      </c>
      <c r="CT88" s="100">
        <v>6</v>
      </c>
      <c r="CU88" s="100">
        <v>5954.4</v>
      </c>
    </row>
    <row r="89" spans="2:99">
      <c r="C89" s="99" t="s">
        <v>255</v>
      </c>
      <c r="D89" s="100">
        <v>4.8672434811048637</v>
      </c>
      <c r="E89" s="100">
        <v>5169.0125769333654</v>
      </c>
      <c r="F89" s="100">
        <v>2.7308697999307689</v>
      </c>
      <c r="G89" s="100">
        <v>2900.1837275264766</v>
      </c>
      <c r="H89" s="100">
        <v>0.51863961134312753</v>
      </c>
      <c r="I89" s="100">
        <v>550.79526724640141</v>
      </c>
      <c r="J89" s="100">
        <v>4</v>
      </c>
      <c r="K89" s="100">
        <v>4248</v>
      </c>
      <c r="L89" s="100">
        <v>6</v>
      </c>
      <c r="M89" s="100">
        <v>6372</v>
      </c>
      <c r="N89" s="100">
        <v>4</v>
      </c>
      <c r="O89" s="100">
        <v>4248</v>
      </c>
      <c r="P89" s="100">
        <v>6</v>
      </c>
      <c r="Q89" s="100">
        <v>6372</v>
      </c>
      <c r="R89" s="100">
        <v>3.3833220527231611</v>
      </c>
      <c r="S89" s="100">
        <v>3593.088019991997</v>
      </c>
      <c r="T89" s="100">
        <v>2.4060510208556858</v>
      </c>
      <c r="U89" s="100">
        <v>2555.2261841487384</v>
      </c>
      <c r="V89" s="100">
        <v>5.0611289850833598</v>
      </c>
      <c r="W89" s="100">
        <v>5374.9189821585278</v>
      </c>
      <c r="X89" s="100">
        <v>5.8536585365853684</v>
      </c>
      <c r="Y89" s="100">
        <v>6216.5853658536616</v>
      </c>
      <c r="Z89" s="100">
        <v>4</v>
      </c>
      <c r="AA89" s="100">
        <v>4248</v>
      </c>
      <c r="AB89" s="100">
        <v>4</v>
      </c>
      <c r="AC89" s="100">
        <v>4248</v>
      </c>
      <c r="AD89" s="100">
        <v>6</v>
      </c>
      <c r="AE89" s="100">
        <v>6372</v>
      </c>
      <c r="AF89" s="100">
        <v>6</v>
      </c>
      <c r="AG89" s="100">
        <v>6372</v>
      </c>
      <c r="AH89" s="100">
        <v>6</v>
      </c>
      <c r="AI89" s="100">
        <v>6372</v>
      </c>
      <c r="AJ89" s="100">
        <v>5.0404478733988185</v>
      </c>
      <c r="AK89" s="100">
        <v>5352.9556415495454</v>
      </c>
      <c r="AL89" s="100">
        <v>5.3589497275292857</v>
      </c>
      <c r="AM89" s="100">
        <v>5691.2046106361013</v>
      </c>
      <c r="AN89" s="100">
        <v>6</v>
      </c>
      <c r="AO89" s="100">
        <v>6372</v>
      </c>
      <c r="AP89" s="100">
        <v>6</v>
      </c>
      <c r="AQ89" s="100">
        <v>6372</v>
      </c>
      <c r="AR89" s="100">
        <v>4</v>
      </c>
      <c r="AS89" s="100">
        <v>4248</v>
      </c>
      <c r="AT89" s="100">
        <v>7.2843360626557487</v>
      </c>
      <c r="AU89" s="100">
        <v>7735.9648985404056</v>
      </c>
      <c r="AV89" s="100">
        <v>2.6678670532899047</v>
      </c>
      <c r="AW89" s="100">
        <v>2833.274810593879</v>
      </c>
      <c r="AX89" s="100">
        <v>5</v>
      </c>
      <c r="AY89" s="100">
        <v>5310</v>
      </c>
      <c r="AZ89" s="100">
        <v>4.6961394150972717</v>
      </c>
      <c r="BA89" s="100">
        <v>4987.3000588333025</v>
      </c>
      <c r="BB89" s="100">
        <v>4.5250718118763098</v>
      </c>
      <c r="BC89" s="100">
        <v>4805.6262642126412</v>
      </c>
      <c r="BD89" s="100">
        <v>1.6678146606685391</v>
      </c>
      <c r="BE89" s="100">
        <v>1771.2191696299885</v>
      </c>
      <c r="BF89" s="100">
        <v>4.9323004092910372</v>
      </c>
      <c r="BG89" s="100">
        <v>5238.1030346670814</v>
      </c>
      <c r="BH89" s="100">
        <v>2.3903124490798024</v>
      </c>
      <c r="BI89" s="100">
        <v>2538.5118209227503</v>
      </c>
      <c r="BJ89" s="100">
        <v>3.7493975810037465</v>
      </c>
      <c r="BK89" s="100">
        <v>3981.8602310259789</v>
      </c>
      <c r="BL89" s="100">
        <v>3.2939677053272147</v>
      </c>
      <c r="BM89" s="100">
        <v>3498.1937030575023</v>
      </c>
      <c r="BN89" s="100">
        <v>5.13368764312842</v>
      </c>
      <c r="BO89" s="100">
        <v>5451.9762770023817</v>
      </c>
      <c r="BP89" s="100">
        <v>4.0307982685461212</v>
      </c>
      <c r="BQ89" s="100">
        <v>4280.7077611959803</v>
      </c>
      <c r="BR89" s="100">
        <v>4</v>
      </c>
      <c r="BS89" s="100">
        <v>4248</v>
      </c>
      <c r="BT89" s="100">
        <v>5</v>
      </c>
      <c r="BU89" s="100">
        <v>5310</v>
      </c>
      <c r="BV89" s="100">
        <v>5.4198572299932355</v>
      </c>
      <c r="BW89" s="100">
        <v>5755.8883782528164</v>
      </c>
      <c r="BX89" s="100">
        <v>2.3138251203558107</v>
      </c>
      <c r="BY89" s="100">
        <v>2457.2822778178711</v>
      </c>
      <c r="BZ89" s="100">
        <v>1.9207312902047755</v>
      </c>
      <c r="CA89" s="100">
        <v>2039.8166301974716</v>
      </c>
      <c r="CB89" s="100">
        <v>4.074631645192377</v>
      </c>
      <c r="CC89" s="100">
        <v>4327.2588071943046</v>
      </c>
      <c r="CD89" s="100">
        <v>3.6650447972701454</v>
      </c>
      <c r="CE89" s="100">
        <v>3892.2775747008945</v>
      </c>
      <c r="CF89" s="100">
        <v>3.8787817956444348</v>
      </c>
      <c r="CG89" s="100">
        <v>4119.2662669743895</v>
      </c>
      <c r="CH89" s="100">
        <v>4</v>
      </c>
      <c r="CI89" s="100">
        <v>4248</v>
      </c>
      <c r="CJ89" s="100">
        <v>6</v>
      </c>
      <c r="CK89" s="100">
        <v>6372</v>
      </c>
      <c r="CL89" s="100">
        <v>5.3602810944543551</v>
      </c>
      <c r="CM89" s="100">
        <v>5692.6185223105249</v>
      </c>
      <c r="CN89" s="100">
        <v>4.852510063838789</v>
      </c>
      <c r="CO89" s="100">
        <v>5153.3656877967942</v>
      </c>
      <c r="CP89" s="100">
        <v>3.2406157401861164</v>
      </c>
      <c r="CQ89" s="100">
        <v>3441.5339160776557</v>
      </c>
      <c r="CR89" s="100">
        <v>4</v>
      </c>
      <c r="CS89" s="100">
        <v>4248</v>
      </c>
      <c r="CT89" s="100">
        <v>6.1058748943364325</v>
      </c>
      <c r="CU89" s="100">
        <v>6484.4391377852917</v>
      </c>
    </row>
    <row r="90" spans="2:99">
      <c r="C90" s="99" t="s">
        <v>256</v>
      </c>
      <c r="D90" s="100">
        <v>4.8672434811048637</v>
      </c>
      <c r="E90" s="100">
        <v>5396.7995718490729</v>
      </c>
      <c r="F90" s="100">
        <v>2.7308697999307689</v>
      </c>
      <c r="G90" s="100">
        <v>3027.9884341632364</v>
      </c>
      <c r="H90" s="100">
        <v>0.51863961134312753</v>
      </c>
      <c r="I90" s="100">
        <v>575.06760105725982</v>
      </c>
      <c r="J90" s="100">
        <v>3</v>
      </c>
      <c r="K90" s="100">
        <v>3326.3999999999996</v>
      </c>
      <c r="L90" s="100">
        <v>7</v>
      </c>
      <c r="M90" s="100">
        <v>7761.5999999999995</v>
      </c>
      <c r="N90" s="100">
        <v>4</v>
      </c>
      <c r="O90" s="100">
        <v>4435.2</v>
      </c>
      <c r="P90" s="100">
        <v>5</v>
      </c>
      <c r="Q90" s="100">
        <v>5544</v>
      </c>
      <c r="R90" s="100">
        <v>3.3833220527231611</v>
      </c>
      <c r="S90" s="100">
        <v>3751.4274920594407</v>
      </c>
      <c r="T90" s="100">
        <v>2.4060510208556858</v>
      </c>
      <c r="U90" s="100">
        <v>2667.8293719247845</v>
      </c>
      <c r="V90" s="100">
        <v>4.3381105586428799</v>
      </c>
      <c r="W90" s="100">
        <v>4810.0969874232251</v>
      </c>
      <c r="X90" s="100">
        <v>5.8536585365853684</v>
      </c>
      <c r="Y90" s="100">
        <v>6490.5365853658559</v>
      </c>
      <c r="Z90" s="100">
        <v>4</v>
      </c>
      <c r="AA90" s="100">
        <v>4435.2</v>
      </c>
      <c r="AB90" s="100">
        <v>4</v>
      </c>
      <c r="AC90" s="100">
        <v>4435.2</v>
      </c>
      <c r="AD90" s="100">
        <v>5</v>
      </c>
      <c r="AE90" s="100">
        <v>5544</v>
      </c>
      <c r="AF90" s="100">
        <v>6</v>
      </c>
      <c r="AG90" s="100">
        <v>6652.7999999999993</v>
      </c>
      <c r="AH90" s="100">
        <v>6</v>
      </c>
      <c r="AI90" s="100">
        <v>6652.7999999999993</v>
      </c>
      <c r="AJ90" s="100">
        <v>4.0449420815542423</v>
      </c>
      <c r="AK90" s="100">
        <v>4485.0317800273433</v>
      </c>
      <c r="AL90" s="100">
        <v>5.3589497275292857</v>
      </c>
      <c r="AM90" s="100">
        <v>5942.0034578844716</v>
      </c>
      <c r="AN90" s="100">
        <v>6</v>
      </c>
      <c r="AO90" s="100">
        <v>6652.7999999999993</v>
      </c>
      <c r="AP90" s="100">
        <v>6</v>
      </c>
      <c r="AQ90" s="100">
        <v>6652.7999999999993</v>
      </c>
      <c r="AR90" s="100">
        <v>4</v>
      </c>
      <c r="AS90" s="100">
        <v>4435.2</v>
      </c>
      <c r="AT90" s="100">
        <v>6.2843360626557487</v>
      </c>
      <c r="AU90" s="100">
        <v>6968.0718262726941</v>
      </c>
      <c r="AV90" s="100">
        <v>2.6678670532899047</v>
      </c>
      <c r="AW90" s="100">
        <v>2958.1309886878462</v>
      </c>
      <c r="AX90" s="100">
        <v>6</v>
      </c>
      <c r="AY90" s="100">
        <v>6652.7999999999993</v>
      </c>
      <c r="AZ90" s="100">
        <v>4.6961394150972717</v>
      </c>
      <c r="BA90" s="100">
        <v>5207.0793834598544</v>
      </c>
      <c r="BB90" s="100">
        <v>4.5250718118763098</v>
      </c>
      <c r="BC90" s="100">
        <v>5017.3996250084519</v>
      </c>
      <c r="BD90" s="100">
        <v>1.6678146606685391</v>
      </c>
      <c r="BE90" s="100">
        <v>1849.2728957492761</v>
      </c>
      <c r="BF90" s="100">
        <v>4.2834029662353386</v>
      </c>
      <c r="BG90" s="100">
        <v>4749.4372089617436</v>
      </c>
      <c r="BH90" s="100">
        <v>2.3903124490798024</v>
      </c>
      <c r="BI90" s="100">
        <v>2650.3784435396847</v>
      </c>
      <c r="BJ90" s="100">
        <v>3.7493975810037465</v>
      </c>
      <c r="BK90" s="100">
        <v>4157.3320378169537</v>
      </c>
      <c r="BL90" s="100">
        <v>4.0494366472546011</v>
      </c>
      <c r="BM90" s="100">
        <v>4490.0153544759014</v>
      </c>
      <c r="BN90" s="100">
        <v>5.13368764312842</v>
      </c>
      <c r="BO90" s="100">
        <v>5692.2328587007914</v>
      </c>
      <c r="BP90" s="100">
        <v>4.0307982685461212</v>
      </c>
      <c r="BQ90" s="100">
        <v>4469.349120163939</v>
      </c>
      <c r="BR90" s="100">
        <v>4</v>
      </c>
      <c r="BS90" s="100">
        <v>4435.2</v>
      </c>
      <c r="BT90" s="100">
        <v>6</v>
      </c>
      <c r="BU90" s="100">
        <v>6652.7999999999993</v>
      </c>
      <c r="BV90" s="100">
        <v>5.4618429529925585</v>
      </c>
      <c r="BW90" s="100">
        <v>6056.0914662781488</v>
      </c>
      <c r="BX90" s="100">
        <v>2.3138251203558107</v>
      </c>
      <c r="BY90" s="100">
        <v>2565.5692934505228</v>
      </c>
      <c r="BZ90" s="100">
        <v>1.9067571437335586</v>
      </c>
      <c r="CA90" s="100">
        <v>2114.2123209717697</v>
      </c>
      <c r="CB90" s="100">
        <v>4.074631645192377</v>
      </c>
      <c r="CC90" s="100">
        <v>4517.9515681893072</v>
      </c>
      <c r="CD90" s="100">
        <v>3.917477450892429</v>
      </c>
      <c r="CE90" s="100">
        <v>4343.6989975495253</v>
      </c>
      <c r="CF90" s="100">
        <v>3.8787817956444348</v>
      </c>
      <c r="CG90" s="100">
        <v>4300.7932550105488</v>
      </c>
      <c r="CH90" s="100">
        <v>4</v>
      </c>
      <c r="CI90" s="100">
        <v>4435.2</v>
      </c>
      <c r="CJ90" s="100">
        <v>5</v>
      </c>
      <c r="CK90" s="100">
        <v>5544</v>
      </c>
      <c r="CL90" s="100">
        <v>4.3815097518953152</v>
      </c>
      <c r="CM90" s="100">
        <v>4858.2180129015251</v>
      </c>
      <c r="CN90" s="100">
        <v>4.1638993311108354</v>
      </c>
      <c r="CO90" s="100">
        <v>4616.9315783356942</v>
      </c>
      <c r="CP90" s="100">
        <v>3.2406157401861164</v>
      </c>
      <c r="CQ90" s="100">
        <v>3593.1947327183657</v>
      </c>
      <c r="CR90" s="100">
        <v>4</v>
      </c>
      <c r="CS90" s="100">
        <v>4435.2</v>
      </c>
      <c r="CT90" s="100">
        <v>5.0907499094312278</v>
      </c>
      <c r="CU90" s="100">
        <v>5644.6234995773448</v>
      </c>
    </row>
    <row r="91" spans="2:99">
      <c r="C91" s="99" t="s">
        <v>257</v>
      </c>
      <c r="D91" s="100">
        <v>3.9140130229239118</v>
      </c>
      <c r="E91" s="100">
        <v>4447.8843992507327</v>
      </c>
      <c r="F91" s="100">
        <v>2.7308697999307689</v>
      </c>
      <c r="G91" s="100">
        <v>3103.3604406413256</v>
      </c>
      <c r="H91" s="100">
        <v>0.51863961134312753</v>
      </c>
      <c r="I91" s="100">
        <v>589.38205433033011</v>
      </c>
      <c r="J91" s="100">
        <v>3</v>
      </c>
      <c r="K91" s="100">
        <v>3409.2</v>
      </c>
      <c r="L91" s="100">
        <v>6</v>
      </c>
      <c r="M91" s="100">
        <v>6818.4</v>
      </c>
      <c r="N91" s="100">
        <v>4</v>
      </c>
      <c r="O91" s="100">
        <v>4545.5999999999995</v>
      </c>
      <c r="P91" s="100">
        <v>6</v>
      </c>
      <c r="Q91" s="100">
        <v>6818.4</v>
      </c>
      <c r="R91" s="100">
        <v>4.1842827776850129</v>
      </c>
      <c r="S91" s="100">
        <v>4755.0189485612482</v>
      </c>
      <c r="T91" s="100">
        <v>2.4060510208556858</v>
      </c>
      <c r="U91" s="100">
        <v>2734.2363801004012</v>
      </c>
      <c r="V91" s="100">
        <v>5.0611289850833598</v>
      </c>
      <c r="W91" s="100">
        <v>5751.4669786487293</v>
      </c>
      <c r="X91" s="100">
        <v>5.8536585365853684</v>
      </c>
      <c r="Y91" s="100">
        <v>6652.0975609756115</v>
      </c>
      <c r="Z91" s="100">
        <v>4</v>
      </c>
      <c r="AA91" s="100">
        <v>4545.5999999999995</v>
      </c>
      <c r="AB91" s="100">
        <v>4</v>
      </c>
      <c r="AC91" s="100">
        <v>4545.5999999999995</v>
      </c>
      <c r="AD91" s="100">
        <v>5</v>
      </c>
      <c r="AE91" s="100">
        <v>5681.9999999999991</v>
      </c>
      <c r="AF91" s="100">
        <v>6</v>
      </c>
      <c r="AG91" s="100">
        <v>6818.4</v>
      </c>
      <c r="AH91" s="100">
        <v>7</v>
      </c>
      <c r="AI91" s="100">
        <v>7954.7999999999993</v>
      </c>
      <c r="AJ91" s="100">
        <v>5.0404478733988185</v>
      </c>
      <c r="AK91" s="100">
        <v>5727.964963330417</v>
      </c>
      <c r="AL91" s="100">
        <v>5.3988330305880954</v>
      </c>
      <c r="AM91" s="100">
        <v>6135.2338559603113</v>
      </c>
      <c r="AN91" s="100">
        <v>6</v>
      </c>
      <c r="AO91" s="100">
        <v>6818.4</v>
      </c>
      <c r="AP91" s="100">
        <v>5</v>
      </c>
      <c r="AQ91" s="100">
        <v>5681.9999999999991</v>
      </c>
      <c r="AR91" s="100">
        <v>4</v>
      </c>
      <c r="AS91" s="100">
        <v>4545.5999999999995</v>
      </c>
      <c r="AT91" s="100">
        <v>7.319878070487718</v>
      </c>
      <c r="AU91" s="100">
        <v>8318.309439302242</v>
      </c>
      <c r="AV91" s="100">
        <v>2.6678670532899047</v>
      </c>
      <c r="AW91" s="100">
        <v>3031.7641193586473</v>
      </c>
      <c r="AX91" s="100">
        <v>6</v>
      </c>
      <c r="AY91" s="100">
        <v>6818.4</v>
      </c>
      <c r="AZ91" s="100">
        <v>5.5781610786653246</v>
      </c>
      <c r="BA91" s="100">
        <v>6339.0222497952745</v>
      </c>
      <c r="BB91" s="100">
        <v>5.2290442220033446</v>
      </c>
      <c r="BC91" s="100">
        <v>5942.2858538846003</v>
      </c>
      <c r="BD91" s="100">
        <v>1.6678146606685391</v>
      </c>
      <c r="BE91" s="100">
        <v>1895.3045803837276</v>
      </c>
      <c r="BF91" s="100">
        <v>4.2834029662353386</v>
      </c>
      <c r="BG91" s="100">
        <v>4867.6591308298384</v>
      </c>
      <c r="BH91" s="100">
        <v>2.0488392420684018</v>
      </c>
      <c r="BI91" s="100">
        <v>2328.3009146865315</v>
      </c>
      <c r="BJ91" s="100">
        <v>3.7493975810037465</v>
      </c>
      <c r="BK91" s="100">
        <v>4260.8154110526566</v>
      </c>
      <c r="BL91" s="100">
        <v>3.2939677053272147</v>
      </c>
      <c r="BM91" s="100">
        <v>3743.2649003338465</v>
      </c>
      <c r="BN91" s="100">
        <v>5.9587458270061582</v>
      </c>
      <c r="BO91" s="100">
        <v>6771.5187578097975</v>
      </c>
      <c r="BP91" s="100">
        <v>4.7025979799704745</v>
      </c>
      <c r="BQ91" s="100">
        <v>5344.0323444384467</v>
      </c>
      <c r="BR91" s="100">
        <v>4</v>
      </c>
      <c r="BS91" s="100">
        <v>4545.5999999999995</v>
      </c>
      <c r="BT91" s="100">
        <v>6</v>
      </c>
      <c r="BU91" s="100">
        <v>6818.4</v>
      </c>
      <c r="BV91" s="100">
        <v>6.4198572299932355</v>
      </c>
      <c r="BW91" s="100">
        <v>7295.525756164312</v>
      </c>
      <c r="BX91" s="100">
        <v>2.328597068028917</v>
      </c>
      <c r="BY91" s="100">
        <v>2646.2177081080608</v>
      </c>
      <c r="BZ91" s="100">
        <v>1.9067571437335586</v>
      </c>
      <c r="CA91" s="100">
        <v>2166.8388181388159</v>
      </c>
      <c r="CB91" s="100">
        <v>4.8967244380547221</v>
      </c>
      <c r="CC91" s="100">
        <v>5564.6376514053854</v>
      </c>
      <c r="CD91" s="100">
        <v>3.054203997725121</v>
      </c>
      <c r="CE91" s="100">
        <v>3470.797423014827</v>
      </c>
      <c r="CF91" s="100">
        <v>2.9090863467333259</v>
      </c>
      <c r="CG91" s="100">
        <v>3305.885724427751</v>
      </c>
      <c r="CH91" s="100">
        <v>4</v>
      </c>
      <c r="CI91" s="100">
        <v>4545.5999999999995</v>
      </c>
      <c r="CJ91" s="100">
        <v>5</v>
      </c>
      <c r="CK91" s="100">
        <v>5681.9999999999991</v>
      </c>
      <c r="CL91" s="100">
        <v>3.9150853702361585</v>
      </c>
      <c r="CM91" s="100">
        <v>4449.1030147363699</v>
      </c>
      <c r="CN91" s="100">
        <v>4.8202751290956716</v>
      </c>
      <c r="CO91" s="100">
        <v>5477.7606567043204</v>
      </c>
      <c r="CP91" s="100">
        <v>2.6218087697389625</v>
      </c>
      <c r="CQ91" s="100">
        <v>2979.4234859313565</v>
      </c>
      <c r="CR91" s="100">
        <v>4</v>
      </c>
      <c r="CS91" s="100">
        <v>4545.5999999999995</v>
      </c>
      <c r="CT91" s="100">
        <v>6.0907499094312278</v>
      </c>
      <c r="CU91" s="100">
        <v>6921.5281970776468</v>
      </c>
    </row>
    <row r="92" spans="2:99">
      <c r="C92" s="99" t="s">
        <v>258</v>
      </c>
      <c r="D92" s="100">
        <v>3.9039039039039016</v>
      </c>
      <c r="E92" s="100">
        <v>3063.7837837837819</v>
      </c>
      <c r="F92" s="100">
        <v>2.7308697999307689</v>
      </c>
      <c r="G92" s="100">
        <v>2143.1866189856673</v>
      </c>
      <c r="H92" s="100">
        <v>0.60507954656698204</v>
      </c>
      <c r="I92" s="100">
        <v>474.86642814576749</v>
      </c>
      <c r="J92" s="100">
        <v>3</v>
      </c>
      <c r="K92" s="100">
        <v>2354.3999999999996</v>
      </c>
      <c r="L92" s="100">
        <v>6</v>
      </c>
      <c r="M92" s="100">
        <v>4708.7999999999993</v>
      </c>
      <c r="N92" s="100">
        <v>4</v>
      </c>
      <c r="O92" s="100">
        <v>3139.2</v>
      </c>
      <c r="P92" s="100">
        <v>6</v>
      </c>
      <c r="Q92" s="100">
        <v>4708.7999999999993</v>
      </c>
      <c r="R92" s="100">
        <v>4.1842827776850129</v>
      </c>
      <c r="S92" s="100">
        <v>3283.8251239271981</v>
      </c>
      <c r="T92" s="100">
        <v>2.5527848402876532</v>
      </c>
      <c r="U92" s="100">
        <v>2003.4255426577502</v>
      </c>
      <c r="V92" s="100">
        <v>5.0611289850833598</v>
      </c>
      <c r="W92" s="100">
        <v>3971.9740274934206</v>
      </c>
      <c r="X92" s="100">
        <v>5.8536585365853684</v>
      </c>
      <c r="Y92" s="100">
        <v>4593.951219512197</v>
      </c>
      <c r="Z92" s="100">
        <v>4</v>
      </c>
      <c r="AA92" s="100">
        <v>3139.2</v>
      </c>
      <c r="AB92" s="100">
        <v>4</v>
      </c>
      <c r="AC92" s="100">
        <v>3139.2</v>
      </c>
      <c r="AD92" s="100">
        <v>6</v>
      </c>
      <c r="AE92" s="100">
        <v>4708.7999999999993</v>
      </c>
      <c r="AF92" s="100">
        <v>6</v>
      </c>
      <c r="AG92" s="100">
        <v>4708.7999999999993</v>
      </c>
      <c r="AH92" s="100">
        <v>6</v>
      </c>
      <c r="AI92" s="100">
        <v>4708.7999999999993</v>
      </c>
      <c r="AJ92" s="100">
        <v>5</v>
      </c>
      <c r="AK92" s="100">
        <v>3924</v>
      </c>
      <c r="AL92" s="100">
        <v>5.3589497275292857</v>
      </c>
      <c r="AM92" s="100">
        <v>4205.7037461649834</v>
      </c>
      <c r="AN92" s="100">
        <v>6</v>
      </c>
      <c r="AO92" s="100">
        <v>4708.7999999999993</v>
      </c>
      <c r="AP92" s="100">
        <v>6</v>
      </c>
      <c r="AQ92" s="100">
        <v>4708.7999999999993</v>
      </c>
      <c r="AR92" s="100">
        <v>4</v>
      </c>
      <c r="AS92" s="100">
        <v>3139.2</v>
      </c>
      <c r="AT92" s="100">
        <v>6.319878070487718</v>
      </c>
      <c r="AU92" s="100">
        <v>4959.8403097187611</v>
      </c>
      <c r="AV92" s="100">
        <v>2.6678670532899047</v>
      </c>
      <c r="AW92" s="100">
        <v>2093.742063421917</v>
      </c>
      <c r="AX92" s="100">
        <v>5</v>
      </c>
      <c r="AY92" s="100">
        <v>3924</v>
      </c>
      <c r="AZ92" s="100">
        <v>5.5781610786653246</v>
      </c>
      <c r="BA92" s="100">
        <v>4377.7408145365462</v>
      </c>
      <c r="BB92" s="100">
        <v>5.1989204868919359</v>
      </c>
      <c r="BC92" s="100">
        <v>4080.1127981127911</v>
      </c>
      <c r="BD92" s="100">
        <v>1.6678146606685391</v>
      </c>
      <c r="BE92" s="100">
        <v>1308.9009456926694</v>
      </c>
      <c r="BF92" s="100">
        <v>4.9648019349494659</v>
      </c>
      <c r="BG92" s="100">
        <v>3896.3765585483407</v>
      </c>
      <c r="BH92" s="100">
        <v>2.3903124490798024</v>
      </c>
      <c r="BI92" s="100">
        <v>1875.9172100378289</v>
      </c>
      <c r="BJ92" s="100">
        <v>4.6839385762336683</v>
      </c>
      <c r="BK92" s="100">
        <v>3675.9549946281827</v>
      </c>
      <c r="BL92" s="100">
        <v>4.0796690847676755</v>
      </c>
      <c r="BM92" s="100">
        <v>3201.7242977256715</v>
      </c>
      <c r="BN92" s="100">
        <v>5.0878514284129768</v>
      </c>
      <c r="BO92" s="100">
        <v>3992.945801018504</v>
      </c>
      <c r="BP92" s="100">
        <v>4.0307982685461212</v>
      </c>
      <c r="BQ92" s="100">
        <v>3163.3704811549956</v>
      </c>
      <c r="BR92" s="100">
        <v>5</v>
      </c>
      <c r="BS92" s="100">
        <v>3924</v>
      </c>
      <c r="BT92" s="100">
        <v>6</v>
      </c>
      <c r="BU92" s="100">
        <v>4708.7999999999993</v>
      </c>
      <c r="BV92" s="100">
        <v>5.4618429529925585</v>
      </c>
      <c r="BW92" s="100">
        <v>4286.45434950856</v>
      </c>
      <c r="BX92" s="100">
        <v>2.3138251203558107</v>
      </c>
      <c r="BY92" s="100">
        <v>1815.8899544552401</v>
      </c>
      <c r="BZ92" s="100">
        <v>1.9067571437335586</v>
      </c>
      <c r="CA92" s="100">
        <v>1496.4230064020967</v>
      </c>
      <c r="CB92" s="100">
        <v>4.825059799816021</v>
      </c>
      <c r="CC92" s="100">
        <v>3786.7069308956129</v>
      </c>
      <c r="CD92" s="100">
        <v>3.6650447972701454</v>
      </c>
      <c r="CE92" s="100">
        <v>2876.3271568976102</v>
      </c>
      <c r="CF92" s="100">
        <v>2.9090863467333259</v>
      </c>
      <c r="CG92" s="100">
        <v>2283.0509649163141</v>
      </c>
      <c r="CH92" s="100">
        <v>4</v>
      </c>
      <c r="CI92" s="100">
        <v>3139.2</v>
      </c>
      <c r="CJ92" s="100">
        <v>5</v>
      </c>
      <c r="CK92" s="100">
        <v>3924</v>
      </c>
      <c r="CL92" s="100">
        <v>5.3602810944543551</v>
      </c>
      <c r="CM92" s="100">
        <v>4206.7486029277779</v>
      </c>
      <c r="CN92" s="100">
        <v>4.1638993311108354</v>
      </c>
      <c r="CO92" s="100">
        <v>3267.8281950557835</v>
      </c>
      <c r="CP92" s="100">
        <v>3.2406157401861164</v>
      </c>
      <c r="CQ92" s="100">
        <v>2543.2352328980642</v>
      </c>
      <c r="CR92" s="100">
        <v>4</v>
      </c>
      <c r="CS92" s="100">
        <v>3139.2</v>
      </c>
      <c r="CT92" s="100">
        <v>5.1058748943364325</v>
      </c>
      <c r="CU92" s="100">
        <v>4007.0906170752319</v>
      </c>
    </row>
    <row r="93" spans="2:99">
      <c r="C93" s="99" t="s">
        <v>259</v>
      </c>
      <c r="D93" s="100">
        <v>4.8672434811048637</v>
      </c>
      <c r="E93" s="100">
        <v>3375.9200784943337</v>
      </c>
      <c r="F93" s="100">
        <v>2.7308697999307689</v>
      </c>
      <c r="G93" s="100">
        <v>1894.1312932319813</v>
      </c>
      <c r="H93" s="100">
        <v>0.51863961134312753</v>
      </c>
      <c r="I93" s="100">
        <v>359.72843442759324</v>
      </c>
      <c r="J93" s="100">
        <v>3</v>
      </c>
      <c r="K93" s="100">
        <v>2080.8000000000002</v>
      </c>
      <c r="L93" s="100">
        <v>7</v>
      </c>
      <c r="M93" s="100">
        <v>4855.2</v>
      </c>
      <c r="N93" s="100">
        <v>4</v>
      </c>
      <c r="O93" s="100">
        <v>2774.4</v>
      </c>
      <c r="P93" s="100">
        <v>5</v>
      </c>
      <c r="Q93" s="100">
        <v>3468</v>
      </c>
      <c r="R93" s="100">
        <v>3.419217883298312</v>
      </c>
      <c r="S93" s="100">
        <v>2371.5695238557091</v>
      </c>
      <c r="T93" s="100">
        <v>2.5527848402876532</v>
      </c>
      <c r="U93" s="100">
        <v>1770.6115652235162</v>
      </c>
      <c r="V93" s="100">
        <v>5.0611289850833598</v>
      </c>
      <c r="W93" s="100">
        <v>3510.3990640538186</v>
      </c>
      <c r="X93" s="100">
        <v>5.8536585365853684</v>
      </c>
      <c r="Y93" s="100">
        <v>4060.0975609756115</v>
      </c>
      <c r="Z93" s="100">
        <v>4</v>
      </c>
      <c r="AA93" s="100">
        <v>2774.4</v>
      </c>
      <c r="AB93" s="100">
        <v>4</v>
      </c>
      <c r="AC93" s="100">
        <v>2774.4</v>
      </c>
      <c r="AD93" s="100">
        <v>6</v>
      </c>
      <c r="AE93" s="100">
        <v>4161.6000000000004</v>
      </c>
      <c r="AF93" s="100">
        <v>6</v>
      </c>
      <c r="AG93" s="100">
        <v>4161.6000000000004</v>
      </c>
      <c r="AH93" s="100">
        <v>7</v>
      </c>
      <c r="AI93" s="100">
        <v>4855.2</v>
      </c>
      <c r="AJ93" s="100">
        <v>5</v>
      </c>
      <c r="AK93" s="100">
        <v>3468</v>
      </c>
      <c r="AL93" s="100">
        <v>5.3988330305880954</v>
      </c>
      <c r="AM93" s="100">
        <v>3744.6305900159032</v>
      </c>
      <c r="AN93" s="100">
        <v>6</v>
      </c>
      <c r="AO93" s="100">
        <v>4161.6000000000004</v>
      </c>
      <c r="AP93" s="100">
        <v>6</v>
      </c>
      <c r="AQ93" s="100">
        <v>4161.6000000000004</v>
      </c>
      <c r="AR93" s="100">
        <v>4</v>
      </c>
      <c r="AS93" s="100">
        <v>2774.4</v>
      </c>
      <c r="AT93" s="100">
        <v>7.319878070487718</v>
      </c>
      <c r="AU93" s="100">
        <v>5077.0674296902816</v>
      </c>
      <c r="AV93" s="100">
        <v>2.6678670532899047</v>
      </c>
      <c r="AW93" s="100">
        <v>1850.4325881618779</v>
      </c>
      <c r="AX93" s="100">
        <v>6</v>
      </c>
      <c r="AY93" s="100">
        <v>4161.6000000000004</v>
      </c>
      <c r="AZ93" s="100">
        <v>4.6961394150972717</v>
      </c>
      <c r="BA93" s="100">
        <v>3257.2422983114679</v>
      </c>
      <c r="BB93" s="100">
        <v>4.4949480767649002</v>
      </c>
      <c r="BC93" s="100">
        <v>3117.6959860441348</v>
      </c>
      <c r="BD93" s="100">
        <v>1.6678146606685391</v>
      </c>
      <c r="BE93" s="100">
        <v>1156.7962486396987</v>
      </c>
      <c r="BF93" s="100">
        <v>4.2509014405769099</v>
      </c>
      <c r="BG93" s="100">
        <v>2948.4252391841446</v>
      </c>
      <c r="BH93" s="100">
        <v>2.3903124490798024</v>
      </c>
      <c r="BI93" s="100">
        <v>1657.920714681751</v>
      </c>
      <c r="BJ93" s="100">
        <v>4.6839385762336683</v>
      </c>
      <c r="BK93" s="100">
        <v>3248.7797964756724</v>
      </c>
      <c r="BL93" s="100">
        <v>3.3242001428402892</v>
      </c>
      <c r="BM93" s="100">
        <v>2305.6652190740247</v>
      </c>
      <c r="BN93" s="100">
        <v>5.0878514284129768</v>
      </c>
      <c r="BO93" s="100">
        <v>3528.933750747241</v>
      </c>
      <c r="BP93" s="100">
        <v>4.7025979799704745</v>
      </c>
      <c r="BQ93" s="100">
        <v>3261.7219589075212</v>
      </c>
      <c r="BR93" s="100">
        <v>4</v>
      </c>
      <c r="BS93" s="100">
        <v>2774.4</v>
      </c>
      <c r="BT93" s="100">
        <v>5</v>
      </c>
      <c r="BU93" s="100">
        <v>3468</v>
      </c>
      <c r="BV93" s="100">
        <v>5.4618429529925585</v>
      </c>
      <c r="BW93" s="100">
        <v>3788.3342721956387</v>
      </c>
      <c r="BX93" s="100">
        <v>1.9959403440247858</v>
      </c>
      <c r="BY93" s="100">
        <v>1384.3842226155914</v>
      </c>
      <c r="BZ93" s="100">
        <v>1.9067571437335586</v>
      </c>
      <c r="CA93" s="100">
        <v>1322.5267548935963</v>
      </c>
      <c r="CB93" s="100">
        <v>4.8967244380547221</v>
      </c>
      <c r="CC93" s="100">
        <v>3396.3680702347556</v>
      </c>
      <c r="CD93" s="100">
        <v>3.6650447972701454</v>
      </c>
      <c r="CE93" s="100">
        <v>2542.0750713865727</v>
      </c>
      <c r="CF93" s="100">
        <v>3.8787817956444348</v>
      </c>
      <c r="CG93" s="100">
        <v>2690.3230534589802</v>
      </c>
      <c r="CH93" s="100">
        <v>4</v>
      </c>
      <c r="CI93" s="100">
        <v>2774.4</v>
      </c>
      <c r="CJ93" s="100">
        <v>6</v>
      </c>
      <c r="CK93" s="100">
        <v>4161.6000000000004</v>
      </c>
      <c r="CL93" s="100">
        <v>5.4026833109688237</v>
      </c>
      <c r="CM93" s="100">
        <v>3747.3011444879762</v>
      </c>
      <c r="CN93" s="100">
        <v>4.8202751290956716</v>
      </c>
      <c r="CO93" s="100">
        <v>3343.342829540758</v>
      </c>
      <c r="CP93" s="100">
        <v>3.2406157401861164</v>
      </c>
      <c r="CQ93" s="100">
        <v>2247.6910773930904</v>
      </c>
      <c r="CR93" s="100">
        <v>4</v>
      </c>
      <c r="CS93" s="100">
        <v>2774.4</v>
      </c>
      <c r="CT93" s="100">
        <v>6</v>
      </c>
      <c r="CU93" s="100">
        <v>4161.6000000000004</v>
      </c>
    </row>
    <row r="94" spans="2:99">
      <c r="C94" s="99" t="s">
        <v>260</v>
      </c>
      <c r="D94" s="100">
        <v>3.9140130229239118</v>
      </c>
      <c r="E94" s="100">
        <v>4668.6347337436418</v>
      </c>
      <c r="F94" s="100">
        <v>2.7308697999307689</v>
      </c>
      <c r="G94" s="100">
        <v>3257.3814973574213</v>
      </c>
      <c r="H94" s="100">
        <v>0.51863961134312753</v>
      </c>
      <c r="I94" s="100">
        <v>618.63332841008253</v>
      </c>
      <c r="J94" s="100">
        <v>3</v>
      </c>
      <c r="K94" s="100">
        <v>3578.3999999999996</v>
      </c>
      <c r="L94" s="100">
        <v>6</v>
      </c>
      <c r="M94" s="100">
        <v>7156.7999999999993</v>
      </c>
      <c r="N94" s="100">
        <v>5</v>
      </c>
      <c r="O94" s="100">
        <v>5964</v>
      </c>
      <c r="P94" s="100">
        <v>6</v>
      </c>
      <c r="Q94" s="100">
        <v>7156.7999999999993</v>
      </c>
      <c r="R94" s="100">
        <v>4.1483869471098611</v>
      </c>
      <c r="S94" s="100">
        <v>4948.1959505126424</v>
      </c>
      <c r="T94" s="100">
        <v>2.4060510208556858</v>
      </c>
      <c r="U94" s="100">
        <v>2869.9376576766617</v>
      </c>
      <c r="V94" s="100">
        <v>4.3381105586428799</v>
      </c>
      <c r="W94" s="100">
        <v>5174.4982743492274</v>
      </c>
      <c r="X94" s="100">
        <v>5.8536585365853684</v>
      </c>
      <c r="Y94" s="100">
        <v>6982.2439024390269</v>
      </c>
      <c r="Z94" s="100">
        <v>4</v>
      </c>
      <c r="AA94" s="100">
        <v>4771.2</v>
      </c>
      <c r="AB94" s="100">
        <v>4</v>
      </c>
      <c r="AC94" s="100">
        <v>4771.2</v>
      </c>
      <c r="AD94" s="100">
        <v>5</v>
      </c>
      <c r="AE94" s="100">
        <v>5964</v>
      </c>
      <c r="AF94" s="100">
        <v>6</v>
      </c>
      <c r="AG94" s="100">
        <v>7156.7999999999993</v>
      </c>
      <c r="AH94" s="100">
        <v>6</v>
      </c>
      <c r="AI94" s="100">
        <v>7156.7999999999993</v>
      </c>
      <c r="AJ94" s="100">
        <v>5.0404478733988185</v>
      </c>
      <c r="AK94" s="100">
        <v>6012.2462233901106</v>
      </c>
      <c r="AL94" s="100">
        <v>5.3988330305880954</v>
      </c>
      <c r="AM94" s="100">
        <v>6439.7280388854797</v>
      </c>
      <c r="AN94" s="100">
        <v>6</v>
      </c>
      <c r="AO94" s="100">
        <v>7156.7999999999993</v>
      </c>
      <c r="AP94" s="100">
        <v>6</v>
      </c>
      <c r="AQ94" s="100">
        <v>7156.7999999999993</v>
      </c>
      <c r="AR94" s="100">
        <v>4</v>
      </c>
      <c r="AS94" s="100">
        <v>4771.2</v>
      </c>
      <c r="AT94" s="100">
        <v>6.319878070487718</v>
      </c>
      <c r="AU94" s="100">
        <v>7538.3505624777499</v>
      </c>
      <c r="AV94" s="100">
        <v>2.0009002899674284</v>
      </c>
      <c r="AW94" s="100">
        <v>2386.6738658731483</v>
      </c>
      <c r="AX94" s="100">
        <v>6</v>
      </c>
      <c r="AY94" s="100">
        <v>7156.7999999999993</v>
      </c>
      <c r="AZ94" s="100">
        <v>4.6961394150972717</v>
      </c>
      <c r="BA94" s="100">
        <v>5601.5550943280259</v>
      </c>
      <c r="BB94" s="100">
        <v>5.1989204868919359</v>
      </c>
      <c r="BC94" s="100">
        <v>6201.2723567647008</v>
      </c>
      <c r="BD94" s="100">
        <v>1.6678146606685391</v>
      </c>
      <c r="BE94" s="100">
        <v>1989.3693272454334</v>
      </c>
      <c r="BF94" s="100">
        <v>4.9323004092910372</v>
      </c>
      <c r="BG94" s="100">
        <v>5883.2479282023487</v>
      </c>
      <c r="BH94" s="100">
        <v>2.3903124490798024</v>
      </c>
      <c r="BI94" s="100">
        <v>2851.164689262388</v>
      </c>
      <c r="BJ94" s="100">
        <v>3.7493975810037465</v>
      </c>
      <c r="BK94" s="100">
        <v>4472.281434621269</v>
      </c>
      <c r="BL94" s="100">
        <v>4.0494366472546011</v>
      </c>
      <c r="BM94" s="100">
        <v>4830.1680328452876</v>
      </c>
      <c r="BN94" s="100">
        <v>6.0504182564370428</v>
      </c>
      <c r="BO94" s="100">
        <v>7216.938896278104</v>
      </c>
      <c r="BP94" s="100">
        <v>4.0307982685461212</v>
      </c>
      <c r="BQ94" s="100">
        <v>4807.9361747218136</v>
      </c>
      <c r="BR94" s="100">
        <v>5</v>
      </c>
      <c r="BS94" s="100">
        <v>5964</v>
      </c>
      <c r="BT94" s="100">
        <v>6</v>
      </c>
      <c r="BU94" s="100">
        <v>7156.7999999999993</v>
      </c>
      <c r="BV94" s="100">
        <v>5.4618429529925585</v>
      </c>
      <c r="BW94" s="100">
        <v>6514.886274329524</v>
      </c>
      <c r="BX94" s="100">
        <v>1.9959403440247858</v>
      </c>
      <c r="BY94" s="100">
        <v>2380.7576423527644</v>
      </c>
      <c r="BZ94" s="100">
        <v>1.9067571437335586</v>
      </c>
      <c r="CA94" s="100">
        <v>2274.3799210453885</v>
      </c>
      <c r="CB94" s="100">
        <v>4.1104639643117276</v>
      </c>
      <c r="CC94" s="100">
        <v>4902.9614166310284</v>
      </c>
      <c r="CD94" s="100">
        <v>3.6650447972701454</v>
      </c>
      <c r="CE94" s="100">
        <v>4371.6654341838293</v>
      </c>
      <c r="CF94" s="100">
        <v>3.8787817956444348</v>
      </c>
      <c r="CG94" s="100">
        <v>4626.6109258446813</v>
      </c>
      <c r="CH94" s="100">
        <v>4</v>
      </c>
      <c r="CI94" s="100">
        <v>4771.2</v>
      </c>
      <c r="CJ94" s="100">
        <v>5</v>
      </c>
      <c r="CK94" s="100">
        <v>5964</v>
      </c>
      <c r="CL94" s="100">
        <v>5.3602810944543551</v>
      </c>
      <c r="CM94" s="100">
        <v>6393.7432894651547</v>
      </c>
      <c r="CN94" s="100">
        <v>4.8202751290956716</v>
      </c>
      <c r="CO94" s="100">
        <v>5749.6241739853167</v>
      </c>
      <c r="CP94" s="100">
        <v>3.2406157401861164</v>
      </c>
      <c r="CQ94" s="100">
        <v>3865.4064548939996</v>
      </c>
      <c r="CR94" s="100">
        <v>4</v>
      </c>
      <c r="CS94" s="100">
        <v>4771.2</v>
      </c>
      <c r="CT94" s="100">
        <v>5.0907499094312278</v>
      </c>
      <c r="CU94" s="100">
        <v>6072.2464919695685</v>
      </c>
    </row>
    <row r="95" spans="2:99">
      <c r="B95" s="99" t="s">
        <v>132</v>
      </c>
      <c r="C95" s="99" t="s">
        <v>261</v>
      </c>
      <c r="D95" s="100">
        <v>6.7433770404067381</v>
      </c>
      <c r="E95" s="100">
        <v>2217.2223708857355</v>
      </c>
      <c r="F95" s="100">
        <v>7.4255620975471954</v>
      </c>
      <c r="G95" s="100">
        <v>2441.5248176735181</v>
      </c>
      <c r="H95" s="100">
        <v>0.60507954656698204</v>
      </c>
      <c r="I95" s="100">
        <v>198.95015491122371</v>
      </c>
      <c r="J95" s="100">
        <v>6</v>
      </c>
      <c r="K95" s="100">
        <v>1972.8000000000002</v>
      </c>
      <c r="L95" s="100">
        <v>11</v>
      </c>
      <c r="M95" s="100">
        <v>3616.8</v>
      </c>
      <c r="N95" s="100">
        <v>5</v>
      </c>
      <c r="O95" s="100">
        <v>1644</v>
      </c>
      <c r="P95" s="100">
        <v>9</v>
      </c>
      <c r="Q95" s="100">
        <v>2959.2000000000003</v>
      </c>
      <c r="R95" s="100">
        <v>8.0096072496185133</v>
      </c>
      <c r="S95" s="100">
        <v>2633.5588636745674</v>
      </c>
      <c r="T95" s="100">
        <v>2.5674582222308504</v>
      </c>
      <c r="U95" s="100">
        <v>844.18026346950364</v>
      </c>
      <c r="V95" s="100">
        <v>7.4178732781117533</v>
      </c>
      <c r="W95" s="100">
        <v>2438.9967338431447</v>
      </c>
      <c r="X95" s="100">
        <v>5.8536585365853684</v>
      </c>
      <c r="Y95" s="100">
        <v>1924.6829268292693</v>
      </c>
      <c r="Z95" s="100">
        <v>8</v>
      </c>
      <c r="AA95" s="100">
        <v>2630.4</v>
      </c>
      <c r="AB95" s="100">
        <v>6</v>
      </c>
      <c r="AC95" s="100">
        <v>1972.8000000000002</v>
      </c>
      <c r="AD95" s="100">
        <v>8.2690193879186022</v>
      </c>
      <c r="AE95" s="100">
        <v>2718.8535747476367</v>
      </c>
      <c r="AF95" s="100">
        <v>6</v>
      </c>
      <c r="AG95" s="100">
        <v>1972.8000000000002</v>
      </c>
      <c r="AH95" s="100">
        <v>9</v>
      </c>
      <c r="AI95" s="100">
        <v>2959.2000000000003</v>
      </c>
      <c r="AJ95" s="100">
        <v>8.0404478733988185</v>
      </c>
      <c r="AK95" s="100">
        <v>2643.6992607735315</v>
      </c>
      <c r="AL95" s="100">
        <v>5.4387163336469042</v>
      </c>
      <c r="AM95" s="100">
        <v>1788.2499305031022</v>
      </c>
      <c r="AN95" s="100">
        <v>9</v>
      </c>
      <c r="AO95" s="100">
        <v>2959.2000000000003</v>
      </c>
      <c r="AP95" s="100">
        <v>9</v>
      </c>
      <c r="AQ95" s="100">
        <v>2959.2000000000003</v>
      </c>
      <c r="AR95" s="100">
        <v>9</v>
      </c>
      <c r="AS95" s="100">
        <v>2959.2000000000003</v>
      </c>
      <c r="AT95" s="100">
        <v>12</v>
      </c>
      <c r="AU95" s="100">
        <v>3945.6000000000004</v>
      </c>
      <c r="AV95" s="100">
        <v>6.6696676332247611</v>
      </c>
      <c r="AW95" s="100">
        <v>2192.9867178043014</v>
      </c>
      <c r="AX95" s="100">
        <v>10</v>
      </c>
      <c r="AY95" s="100">
        <v>3288</v>
      </c>
      <c r="AZ95" s="100">
        <v>6.174151644976372</v>
      </c>
      <c r="BA95" s="100">
        <v>2030.0610608682312</v>
      </c>
      <c r="BB95" s="100">
        <v>4.5250718118763098</v>
      </c>
      <c r="BC95" s="100">
        <v>1487.8436117449307</v>
      </c>
      <c r="BD95" s="100">
        <v>2.9186756561699432</v>
      </c>
      <c r="BE95" s="100">
        <v>959.66055574867733</v>
      </c>
      <c r="BF95" s="100">
        <v>5.8412100576141688</v>
      </c>
      <c r="BG95" s="100">
        <v>1920.5898669435387</v>
      </c>
      <c r="BH95" s="100">
        <v>3.0732588631026032</v>
      </c>
      <c r="BI95" s="100">
        <v>1010.4875141881359</v>
      </c>
      <c r="BJ95" s="100">
        <v>8.4221025571533534</v>
      </c>
      <c r="BK95" s="100">
        <v>2769.1873207920225</v>
      </c>
      <c r="BL95" s="100">
        <v>7.5546894192738661</v>
      </c>
      <c r="BM95" s="100">
        <v>2483.9818810572474</v>
      </c>
      <c r="BN95" s="100">
        <v>6.4171142931603615</v>
      </c>
      <c r="BO95" s="100">
        <v>2109.9471795911268</v>
      </c>
      <c r="BP95" s="100">
        <v>4.7025979799704745</v>
      </c>
      <c r="BQ95" s="100">
        <v>1546.2142158142919</v>
      </c>
      <c r="BR95" s="100">
        <v>6</v>
      </c>
      <c r="BS95" s="100">
        <v>1972.8000000000002</v>
      </c>
      <c r="BT95" s="100">
        <v>7</v>
      </c>
      <c r="BU95" s="100">
        <v>2301.6</v>
      </c>
      <c r="BV95" s="100">
        <v>5.5458143989912063</v>
      </c>
      <c r="BW95" s="100">
        <v>1823.4637743883086</v>
      </c>
      <c r="BX95" s="100">
        <v>3.9918806880495716</v>
      </c>
      <c r="BY95" s="100">
        <v>1312.5303702306992</v>
      </c>
      <c r="BZ95" s="100">
        <v>2.9020581550139886</v>
      </c>
      <c r="CA95" s="100">
        <v>954.19672136859947</v>
      </c>
      <c r="CB95" s="100">
        <v>4.7892274806966695</v>
      </c>
      <c r="CC95" s="100">
        <v>1574.6979956530649</v>
      </c>
      <c r="CD95" s="100">
        <v>4.2758855968151694</v>
      </c>
      <c r="CE95" s="100">
        <v>1405.9111842328277</v>
      </c>
      <c r="CF95" s="100">
        <v>7.7575635912888696</v>
      </c>
      <c r="CG95" s="100">
        <v>2550.6869088157805</v>
      </c>
      <c r="CH95" s="100">
        <v>9</v>
      </c>
      <c r="CI95" s="100">
        <v>2959.2000000000003</v>
      </c>
      <c r="CJ95" s="100">
        <v>5.2445960459909582</v>
      </c>
      <c r="CK95" s="100">
        <v>1724.4231799218271</v>
      </c>
      <c r="CL95" s="100">
        <v>8.3389973386459424</v>
      </c>
      <c r="CM95" s="100">
        <v>2741.862324946786</v>
      </c>
      <c r="CN95" s="100">
        <v>7.6069529947506007</v>
      </c>
      <c r="CO95" s="100">
        <v>2501.1661446739977</v>
      </c>
      <c r="CP95" s="100">
        <v>5.0570600457229355</v>
      </c>
      <c r="CQ95" s="100">
        <v>1662.7613430337012</v>
      </c>
      <c r="CR95" s="100">
        <v>7</v>
      </c>
      <c r="CS95" s="100">
        <v>2301.6</v>
      </c>
      <c r="CT95" s="100">
        <v>5.1361248641468418</v>
      </c>
      <c r="CU95" s="100">
        <v>1688.7578553314816</v>
      </c>
    </row>
    <row r="96" spans="2:99">
      <c r="C96" s="99" t="s">
        <v>262</v>
      </c>
      <c r="D96" s="100">
        <v>6.7433770404067381</v>
      </c>
      <c r="E96" s="100">
        <v>4685.2983676746016</v>
      </c>
      <c r="F96" s="100">
        <v>7.4255620975471954</v>
      </c>
      <c r="G96" s="100">
        <v>5159.280545375791</v>
      </c>
      <c r="H96" s="100">
        <v>0.51863961134312753</v>
      </c>
      <c r="I96" s="100">
        <v>360.35080196120498</v>
      </c>
      <c r="J96" s="100">
        <v>7</v>
      </c>
      <c r="K96" s="100">
        <v>4863.5999999999995</v>
      </c>
      <c r="L96" s="100">
        <v>11</v>
      </c>
      <c r="M96" s="100">
        <v>7642.7999999999993</v>
      </c>
      <c r="N96" s="100">
        <v>6</v>
      </c>
      <c r="O96" s="100">
        <v>4168.7999999999993</v>
      </c>
      <c r="P96" s="100">
        <v>10</v>
      </c>
      <c r="Q96" s="100">
        <v>6948</v>
      </c>
      <c r="R96" s="100">
        <v>7.6506489438670009</v>
      </c>
      <c r="S96" s="100">
        <v>5315.6708861987918</v>
      </c>
      <c r="T96" s="100">
        <v>2.5527848402876532</v>
      </c>
      <c r="U96" s="100">
        <v>1773.6749070318613</v>
      </c>
      <c r="V96" s="100">
        <v>6.6948548516712734</v>
      </c>
      <c r="W96" s="100">
        <v>4651.5851509412005</v>
      </c>
      <c r="X96" s="100">
        <v>5.8536585365853684</v>
      </c>
      <c r="Y96" s="100">
        <v>4067.1219512195139</v>
      </c>
      <c r="Z96" s="100">
        <v>9</v>
      </c>
      <c r="AA96" s="100">
        <v>6253.2</v>
      </c>
      <c r="AB96" s="100">
        <v>5</v>
      </c>
      <c r="AC96" s="100">
        <v>3474</v>
      </c>
      <c r="AD96" s="100">
        <v>8.2305880467873731</v>
      </c>
      <c r="AE96" s="100">
        <v>5718.6125749078665</v>
      </c>
      <c r="AF96" s="100">
        <v>6</v>
      </c>
      <c r="AG96" s="100">
        <v>4168.7999999999993</v>
      </c>
      <c r="AH96" s="100">
        <v>9</v>
      </c>
      <c r="AI96" s="100">
        <v>6253.2</v>
      </c>
      <c r="AJ96" s="100">
        <v>8</v>
      </c>
      <c r="AK96" s="100">
        <v>5558.4</v>
      </c>
      <c r="AL96" s="100">
        <v>6.3988330305880954</v>
      </c>
      <c r="AM96" s="100">
        <v>4445.9091896526088</v>
      </c>
      <c r="AN96" s="100">
        <v>9</v>
      </c>
      <c r="AO96" s="100">
        <v>6253.2</v>
      </c>
      <c r="AP96" s="100">
        <v>8</v>
      </c>
      <c r="AQ96" s="100">
        <v>5558.4</v>
      </c>
      <c r="AR96" s="100">
        <v>9</v>
      </c>
      <c r="AS96" s="100">
        <v>6253.2</v>
      </c>
      <c r="AT96" s="100">
        <v>10</v>
      </c>
      <c r="AU96" s="100">
        <v>6948</v>
      </c>
      <c r="AV96" s="100">
        <v>7.3366343965472378</v>
      </c>
      <c r="AW96" s="100">
        <v>5097.4935787210206</v>
      </c>
      <c r="AX96" s="100">
        <v>9</v>
      </c>
      <c r="AY96" s="100">
        <v>6253.2</v>
      </c>
      <c r="AZ96" s="100">
        <v>6.6644906688455263</v>
      </c>
      <c r="BA96" s="100">
        <v>4630.488116713871</v>
      </c>
      <c r="BB96" s="100">
        <v>4.5250718118763098</v>
      </c>
      <c r="BC96" s="100">
        <v>3144.01989489166</v>
      </c>
      <c r="BD96" s="100">
        <v>2.5017219910028086</v>
      </c>
      <c r="BE96" s="100">
        <v>1738.1964393487513</v>
      </c>
      <c r="BF96" s="100">
        <v>5.8412100576141688</v>
      </c>
      <c r="BG96" s="100">
        <v>4058.4727480303241</v>
      </c>
      <c r="BH96" s="100">
        <v>3.0732588631026032</v>
      </c>
      <c r="BI96" s="100">
        <v>2135.3002580836887</v>
      </c>
      <c r="BJ96" s="100">
        <v>7.488965761933942</v>
      </c>
      <c r="BK96" s="100">
        <v>5203.3334113917026</v>
      </c>
      <c r="BL96" s="100">
        <v>8.3101583612012533</v>
      </c>
      <c r="BM96" s="100">
        <v>5773.89802936263</v>
      </c>
      <c r="BN96" s="100">
        <v>6.4171142931603615</v>
      </c>
      <c r="BO96" s="100">
        <v>4458.6110108878192</v>
      </c>
      <c r="BP96" s="100">
        <v>4.0307982685461212</v>
      </c>
      <c r="BQ96" s="100">
        <v>2800.5986369858447</v>
      </c>
      <c r="BR96" s="100">
        <v>6</v>
      </c>
      <c r="BS96" s="100">
        <v>4168.7999999999993</v>
      </c>
      <c r="BT96" s="100">
        <v>7</v>
      </c>
      <c r="BU96" s="100">
        <v>4863.5999999999995</v>
      </c>
      <c r="BV96" s="100">
        <v>6.4618429529925585</v>
      </c>
      <c r="BW96" s="100">
        <v>4489.688483739229</v>
      </c>
      <c r="BX96" s="100">
        <v>3.6444520163723348</v>
      </c>
      <c r="BY96" s="100">
        <v>2532.1652609754979</v>
      </c>
      <c r="BZ96" s="100">
        <v>2.7343683973593866</v>
      </c>
      <c r="CA96" s="100">
        <v>1899.8391624853018</v>
      </c>
      <c r="CB96" s="100">
        <v>4.0029670069536749</v>
      </c>
      <c r="CC96" s="100">
        <v>2781.261476431413</v>
      </c>
      <c r="CD96" s="100">
        <v>4.2758855968151694</v>
      </c>
      <c r="CE96" s="100">
        <v>2970.8853126671797</v>
      </c>
      <c r="CF96" s="100">
        <v>7.7575635912888696</v>
      </c>
      <c r="CG96" s="100">
        <v>5389.9551832275065</v>
      </c>
      <c r="CH96" s="100">
        <v>8</v>
      </c>
      <c r="CI96" s="100">
        <v>5558.4</v>
      </c>
      <c r="CJ96" s="100">
        <v>6.2201364413918618</v>
      </c>
      <c r="CK96" s="100">
        <v>4321.7507994790649</v>
      </c>
      <c r="CL96" s="100">
        <v>7.8301707404723171</v>
      </c>
      <c r="CM96" s="100">
        <v>5440.4026304801655</v>
      </c>
      <c r="CN96" s="100">
        <v>6.9505771967657655</v>
      </c>
      <c r="CO96" s="100">
        <v>4829.2610363128533</v>
      </c>
      <c r="CP96" s="100">
        <v>4.4249275400075687</v>
      </c>
      <c r="CQ96" s="100">
        <v>3074.4396547972588</v>
      </c>
      <c r="CR96" s="100">
        <v>7</v>
      </c>
      <c r="CS96" s="100">
        <v>4863.5999999999995</v>
      </c>
      <c r="CT96" s="100">
        <v>6</v>
      </c>
      <c r="CU96" s="100">
        <v>4168.7999999999993</v>
      </c>
    </row>
    <row r="97" spans="2:99">
      <c r="C97" s="99" t="s">
        <v>263</v>
      </c>
      <c r="D97" s="100">
        <v>6.7433770404067381</v>
      </c>
      <c r="E97" s="100">
        <v>2646.1011506556038</v>
      </c>
      <c r="F97" s="100">
        <v>6.749015124559314</v>
      </c>
      <c r="G97" s="100">
        <v>2648.3135348770747</v>
      </c>
      <c r="H97" s="100">
        <v>0.51863961134312753</v>
      </c>
      <c r="I97" s="100">
        <v>203.51418349104324</v>
      </c>
      <c r="J97" s="100">
        <v>7</v>
      </c>
      <c r="K97" s="100">
        <v>2746.7999999999997</v>
      </c>
      <c r="L97" s="100">
        <v>11</v>
      </c>
      <c r="M97" s="100">
        <v>4316.3999999999996</v>
      </c>
      <c r="N97" s="100">
        <v>6</v>
      </c>
      <c r="O97" s="100">
        <v>2354.3999999999996</v>
      </c>
      <c r="P97" s="100">
        <v>9</v>
      </c>
      <c r="Q97" s="100">
        <v>3531.6</v>
      </c>
      <c r="R97" s="100">
        <v>7.6506489438670009</v>
      </c>
      <c r="S97" s="100">
        <v>3002.1146455734111</v>
      </c>
      <c r="T97" s="100">
        <v>2.5674582222308504</v>
      </c>
      <c r="U97" s="100">
        <v>1007.4706064033857</v>
      </c>
      <c r="V97" s="100">
        <v>7.4387276129680826</v>
      </c>
      <c r="W97" s="100">
        <v>2918.9567153286753</v>
      </c>
      <c r="X97" s="100">
        <v>5.8536585365853684</v>
      </c>
      <c r="Y97" s="100">
        <v>2296.9756097560985</v>
      </c>
      <c r="Z97" s="100">
        <v>9</v>
      </c>
      <c r="AA97" s="100">
        <v>3531.6</v>
      </c>
      <c r="AB97" s="100">
        <v>6</v>
      </c>
      <c r="AC97" s="100">
        <v>2354.3999999999996</v>
      </c>
      <c r="AD97" s="100">
        <v>7.2305880467873731</v>
      </c>
      <c r="AE97" s="100">
        <v>2837.2827495593651</v>
      </c>
      <c r="AF97" s="100">
        <v>6</v>
      </c>
      <c r="AG97" s="100">
        <v>2354.3999999999996</v>
      </c>
      <c r="AH97" s="100">
        <v>8</v>
      </c>
      <c r="AI97" s="100">
        <v>3139.2</v>
      </c>
      <c r="AJ97" s="100">
        <v>8</v>
      </c>
      <c r="AK97" s="100">
        <v>3139.2</v>
      </c>
      <c r="AL97" s="100">
        <v>6.3988330305880954</v>
      </c>
      <c r="AM97" s="100">
        <v>2510.9020812027684</v>
      </c>
      <c r="AN97" s="100">
        <v>9</v>
      </c>
      <c r="AO97" s="100">
        <v>3531.6</v>
      </c>
      <c r="AP97" s="100">
        <v>8</v>
      </c>
      <c r="AQ97" s="100">
        <v>3139.2</v>
      </c>
      <c r="AR97" s="100">
        <v>8</v>
      </c>
      <c r="AS97" s="100">
        <v>3139.2</v>
      </c>
      <c r="AT97" s="100">
        <v>11</v>
      </c>
      <c r="AU97" s="100">
        <v>4316.3999999999996</v>
      </c>
      <c r="AV97" s="100">
        <v>6.6696676332247611</v>
      </c>
      <c r="AW97" s="100">
        <v>2617.177579277396</v>
      </c>
      <c r="AX97" s="100">
        <v>10</v>
      </c>
      <c r="AY97" s="100">
        <v>3924</v>
      </c>
      <c r="AZ97" s="100">
        <v>7.0561733085444249</v>
      </c>
      <c r="BA97" s="100">
        <v>2768.8424062728322</v>
      </c>
      <c r="BB97" s="100">
        <v>4.58531928209913</v>
      </c>
      <c r="BC97" s="100">
        <v>1799.2792862956985</v>
      </c>
      <c r="BD97" s="100">
        <v>2.5017219910028086</v>
      </c>
      <c r="BE97" s="100">
        <v>981.67570926950202</v>
      </c>
      <c r="BF97" s="100">
        <v>5.1598110889000406</v>
      </c>
      <c r="BG97" s="100">
        <v>2024.7098712843758</v>
      </c>
      <c r="BH97" s="100">
        <v>3.0732588631026032</v>
      </c>
      <c r="BI97" s="100">
        <v>1205.9467778814615</v>
      </c>
      <c r="BJ97" s="100">
        <v>7.488965761933942</v>
      </c>
      <c r="BK97" s="100">
        <v>2938.6701649828788</v>
      </c>
      <c r="BL97" s="100">
        <v>8.3101583612012533</v>
      </c>
      <c r="BM97" s="100">
        <v>3260.9061409353717</v>
      </c>
      <c r="BN97" s="100">
        <v>5.5003836798517387</v>
      </c>
      <c r="BO97" s="100">
        <v>2158.3505559738223</v>
      </c>
      <c r="BP97" s="100">
        <v>4.7025979799704745</v>
      </c>
      <c r="BQ97" s="100">
        <v>1845.299447340414</v>
      </c>
      <c r="BR97" s="100">
        <v>6</v>
      </c>
      <c r="BS97" s="100">
        <v>2354.3999999999996</v>
      </c>
      <c r="BT97" s="100">
        <v>7</v>
      </c>
      <c r="BU97" s="100">
        <v>2746.7999999999997</v>
      </c>
      <c r="BV97" s="100">
        <v>5.5458143989912063</v>
      </c>
      <c r="BW97" s="100">
        <v>2176.1775701641491</v>
      </c>
      <c r="BX97" s="100">
        <v>3.9771087403764653</v>
      </c>
      <c r="BY97" s="100">
        <v>1560.617469723725</v>
      </c>
      <c r="BZ97" s="100">
        <v>3.0381871081770964</v>
      </c>
      <c r="CA97" s="100">
        <v>1192.1846212486926</v>
      </c>
      <c r="CB97" s="100">
        <v>4.7892274806966695</v>
      </c>
      <c r="CC97" s="100">
        <v>1879.2928634253731</v>
      </c>
      <c r="CD97" s="100">
        <v>3.6650447972701454</v>
      </c>
      <c r="CE97" s="100">
        <v>1438.1635784488051</v>
      </c>
      <c r="CF97" s="100">
        <v>7.7575635912888696</v>
      </c>
      <c r="CG97" s="100">
        <v>3044.0679532217523</v>
      </c>
      <c r="CH97" s="100">
        <v>9</v>
      </c>
      <c r="CI97" s="100">
        <v>3531.6</v>
      </c>
      <c r="CJ97" s="100">
        <v>6.2201364413918618</v>
      </c>
      <c r="CK97" s="100">
        <v>2440.7815396021665</v>
      </c>
      <c r="CL97" s="100">
        <v>6.8513993979132772</v>
      </c>
      <c r="CM97" s="100">
        <v>2688.4891237411698</v>
      </c>
      <c r="CN97" s="100">
        <v>7.5424831252643649</v>
      </c>
      <c r="CO97" s="100">
        <v>2959.6703783537369</v>
      </c>
      <c r="CP97" s="100">
        <v>4.4249275400075687</v>
      </c>
      <c r="CQ97" s="100">
        <v>1736.3415666989699</v>
      </c>
      <c r="CR97" s="100">
        <v>6</v>
      </c>
      <c r="CS97" s="100">
        <v>2354.3999999999996</v>
      </c>
      <c r="CT97" s="100">
        <v>6</v>
      </c>
      <c r="CU97" s="100">
        <v>2354.3999999999996</v>
      </c>
    </row>
    <row r="98" spans="2:99">
      <c r="C98" s="99" t="s">
        <v>264</v>
      </c>
      <c r="D98" s="100">
        <v>6.7433770404067381</v>
      </c>
      <c r="E98" s="100">
        <v>3544.3189724377817</v>
      </c>
      <c r="F98" s="100">
        <v>6.7572424272190617</v>
      </c>
      <c r="G98" s="100">
        <v>3551.6066197463388</v>
      </c>
      <c r="H98" s="100">
        <v>0.51863961134312753</v>
      </c>
      <c r="I98" s="100">
        <v>272.59697972194783</v>
      </c>
      <c r="J98" s="100">
        <v>7</v>
      </c>
      <c r="K98" s="100">
        <v>3679.2000000000003</v>
      </c>
      <c r="L98" s="100">
        <v>10</v>
      </c>
      <c r="M98" s="100">
        <v>5256</v>
      </c>
      <c r="N98" s="100">
        <v>6</v>
      </c>
      <c r="O98" s="100">
        <v>3153.6000000000004</v>
      </c>
      <c r="P98" s="100">
        <v>10</v>
      </c>
      <c r="Q98" s="100">
        <v>5256</v>
      </c>
      <c r="R98" s="100">
        <v>8.4157138382537013</v>
      </c>
      <c r="S98" s="100">
        <v>4423.2991933861458</v>
      </c>
      <c r="T98" s="100">
        <v>2.5674582222308504</v>
      </c>
      <c r="U98" s="100">
        <v>1349.4560416045351</v>
      </c>
      <c r="V98" s="100">
        <v>7.4387276129680826</v>
      </c>
      <c r="W98" s="100">
        <v>3909.7952333760245</v>
      </c>
      <c r="X98" s="100">
        <v>5.8536585365853684</v>
      </c>
      <c r="Y98" s="100">
        <v>3076.6829268292699</v>
      </c>
      <c r="Z98" s="100">
        <v>8</v>
      </c>
      <c r="AA98" s="100">
        <v>4204.8</v>
      </c>
      <c r="AB98" s="100">
        <v>6</v>
      </c>
      <c r="AC98" s="100">
        <v>3153.6000000000004</v>
      </c>
      <c r="AD98" s="100">
        <v>7.2305880467873731</v>
      </c>
      <c r="AE98" s="100">
        <v>3800.3970773914434</v>
      </c>
      <c r="AF98" s="100">
        <v>6</v>
      </c>
      <c r="AG98" s="100">
        <v>3153.6000000000004</v>
      </c>
      <c r="AH98" s="100">
        <v>9</v>
      </c>
      <c r="AI98" s="100">
        <v>4730.4000000000005</v>
      </c>
      <c r="AJ98" s="100">
        <v>9</v>
      </c>
      <c r="AK98" s="100">
        <v>4730.4000000000005</v>
      </c>
      <c r="AL98" s="100">
        <v>6.4387163336469042</v>
      </c>
      <c r="AM98" s="100">
        <v>3384.1893049648129</v>
      </c>
      <c r="AN98" s="100">
        <v>10</v>
      </c>
      <c r="AO98" s="100">
        <v>5256</v>
      </c>
      <c r="AP98" s="100">
        <v>9</v>
      </c>
      <c r="AQ98" s="100">
        <v>4730.4000000000005</v>
      </c>
      <c r="AR98" s="100">
        <v>8</v>
      </c>
      <c r="AS98" s="100">
        <v>4204.8</v>
      </c>
      <c r="AT98" s="100">
        <v>10</v>
      </c>
      <c r="AU98" s="100">
        <v>5256</v>
      </c>
      <c r="AV98" s="100">
        <v>6.6696676332247611</v>
      </c>
      <c r="AW98" s="100">
        <v>3505.5773080229346</v>
      </c>
      <c r="AX98" s="100">
        <v>9</v>
      </c>
      <c r="AY98" s="100">
        <v>4730.4000000000005</v>
      </c>
      <c r="AZ98" s="100">
        <v>6.174151644976372</v>
      </c>
      <c r="BA98" s="100">
        <v>3245.1341045995814</v>
      </c>
      <c r="BB98" s="100">
        <v>4.5551955469877194</v>
      </c>
      <c r="BC98" s="100">
        <v>2394.2107794967455</v>
      </c>
      <c r="BD98" s="100">
        <v>2.9186756561699432</v>
      </c>
      <c r="BE98" s="100">
        <v>1534.0559248829222</v>
      </c>
      <c r="BF98" s="100">
        <v>5.1598110889000406</v>
      </c>
      <c r="BG98" s="100">
        <v>2711.9967083258616</v>
      </c>
      <c r="BH98" s="100">
        <v>3.4147320701140034</v>
      </c>
      <c r="BI98" s="100">
        <v>1794.7831760519202</v>
      </c>
      <c r="BJ98" s="100">
        <v>7.488965761933942</v>
      </c>
      <c r="BK98" s="100">
        <v>3936.2004044724799</v>
      </c>
      <c r="BL98" s="100">
        <v>7.5546894192738661</v>
      </c>
      <c r="BM98" s="100">
        <v>3970.7447587703441</v>
      </c>
      <c r="BN98" s="100">
        <v>5.5003836798517387</v>
      </c>
      <c r="BO98" s="100">
        <v>2891.0016621300738</v>
      </c>
      <c r="BP98" s="100">
        <v>4.7025979799704745</v>
      </c>
      <c r="BQ98" s="100">
        <v>2471.6854982724817</v>
      </c>
      <c r="BR98" s="100">
        <v>6</v>
      </c>
      <c r="BS98" s="100">
        <v>3153.6000000000004</v>
      </c>
      <c r="BT98" s="100">
        <v>7</v>
      </c>
      <c r="BU98" s="100">
        <v>3679.2000000000003</v>
      </c>
      <c r="BV98" s="100">
        <v>6.5458143989912063</v>
      </c>
      <c r="BW98" s="100">
        <v>3440.4800481097782</v>
      </c>
      <c r="BX98" s="100">
        <v>3.9918806880495716</v>
      </c>
      <c r="BY98" s="100">
        <v>2098.1324896388551</v>
      </c>
      <c r="BZ98" s="100">
        <v>3.0381871081770964</v>
      </c>
      <c r="CA98" s="100">
        <v>1596.871144057882</v>
      </c>
      <c r="CB98" s="100">
        <v>4.7892274806966695</v>
      </c>
      <c r="CC98" s="100">
        <v>2517.2179638541697</v>
      </c>
      <c r="CD98" s="100">
        <v>3.6650447972701454</v>
      </c>
      <c r="CE98" s="100">
        <v>1926.3475454451884</v>
      </c>
      <c r="CF98" s="100">
        <v>7.7575635912888696</v>
      </c>
      <c r="CG98" s="100">
        <v>4077.3754235814299</v>
      </c>
      <c r="CH98" s="100">
        <v>9</v>
      </c>
      <c r="CI98" s="100">
        <v>4730.4000000000005</v>
      </c>
      <c r="CJ98" s="100">
        <v>6.2445960459909582</v>
      </c>
      <c r="CK98" s="100">
        <v>3282.1596817728478</v>
      </c>
      <c r="CL98" s="100">
        <v>8.3389973386459424</v>
      </c>
      <c r="CM98" s="100">
        <v>4382.9770011923074</v>
      </c>
      <c r="CN98" s="100">
        <v>7.5747180600074833</v>
      </c>
      <c r="CO98" s="100">
        <v>3981.2718123399336</v>
      </c>
      <c r="CP98" s="100">
        <v>5.0570600457229355</v>
      </c>
      <c r="CQ98" s="100">
        <v>2657.9907600319752</v>
      </c>
      <c r="CR98" s="100">
        <v>7</v>
      </c>
      <c r="CS98" s="100">
        <v>3679.2000000000003</v>
      </c>
      <c r="CT98" s="100">
        <v>5</v>
      </c>
      <c r="CU98" s="100">
        <v>2628</v>
      </c>
    </row>
    <row r="99" spans="2:99">
      <c r="C99" s="99" t="s">
        <v>265</v>
      </c>
      <c r="D99" s="100">
        <v>5.7800374632057752</v>
      </c>
      <c r="E99" s="100">
        <v>24324.709660155182</v>
      </c>
      <c r="F99" s="100">
        <v>5.4123757839030473</v>
      </c>
      <c r="G99" s="100">
        <v>22777.442248977582</v>
      </c>
      <c r="H99" s="100">
        <v>0.4321996761192729</v>
      </c>
      <c r="I99" s="100">
        <v>1818.8691169803478</v>
      </c>
      <c r="J99" s="100">
        <v>5</v>
      </c>
      <c r="K99" s="100">
        <v>21042</v>
      </c>
      <c r="L99" s="100">
        <v>8</v>
      </c>
      <c r="M99" s="100">
        <v>33667.199999999997</v>
      </c>
      <c r="N99" s="100">
        <v>5</v>
      </c>
      <c r="O99" s="100">
        <v>21042</v>
      </c>
      <c r="P99" s="100">
        <v>7</v>
      </c>
      <c r="Q99" s="100">
        <v>29458.799999999996</v>
      </c>
      <c r="R99" s="100">
        <v>6.8855840494803005</v>
      </c>
      <c r="S99" s="100">
        <v>28977.291913832894</v>
      </c>
      <c r="T99" s="100">
        <v>2.1371029548685092</v>
      </c>
      <c r="U99" s="100">
        <v>8993.7840752686334</v>
      </c>
      <c r="V99" s="100">
        <v>5.950982090374465</v>
      </c>
      <c r="W99" s="100">
        <v>25044.113029131895</v>
      </c>
      <c r="X99" s="100">
        <v>4.8780487804878065</v>
      </c>
      <c r="Y99" s="100">
        <v>20528.780487804885</v>
      </c>
      <c r="Z99" s="100">
        <v>7</v>
      </c>
      <c r="AA99" s="100">
        <v>29458.799999999996</v>
      </c>
      <c r="AB99" s="100">
        <v>5</v>
      </c>
      <c r="AC99" s="100">
        <v>21042</v>
      </c>
      <c r="AD99" s="100">
        <v>6</v>
      </c>
      <c r="AE99" s="100">
        <v>25250.399999999998</v>
      </c>
      <c r="AF99" s="100">
        <v>5</v>
      </c>
      <c r="AG99" s="100">
        <v>21042</v>
      </c>
      <c r="AH99" s="100">
        <v>7</v>
      </c>
      <c r="AI99" s="100">
        <v>29458.799999999996</v>
      </c>
      <c r="AJ99" s="100">
        <v>6</v>
      </c>
      <c r="AK99" s="100">
        <v>25250.399999999998</v>
      </c>
      <c r="AL99" s="100">
        <v>5.3589497275292857</v>
      </c>
      <c r="AM99" s="100">
        <v>22552.604033334243</v>
      </c>
      <c r="AN99" s="100">
        <v>7</v>
      </c>
      <c r="AO99" s="100">
        <v>29458.799999999996</v>
      </c>
      <c r="AP99" s="100">
        <v>7</v>
      </c>
      <c r="AQ99" s="100">
        <v>29458.799999999996</v>
      </c>
      <c r="AR99" s="100">
        <v>6</v>
      </c>
      <c r="AS99" s="100">
        <v>25250.399999999998</v>
      </c>
      <c r="AT99" s="100">
        <v>8</v>
      </c>
      <c r="AU99" s="100">
        <v>33667.199999999997</v>
      </c>
      <c r="AV99" s="100">
        <v>6.0027008699022852</v>
      </c>
      <c r="AW99" s="100">
        <v>25261.766340896775</v>
      </c>
      <c r="AX99" s="100">
        <v>8</v>
      </c>
      <c r="AY99" s="100">
        <v>33667.199999999997</v>
      </c>
      <c r="AZ99" s="100">
        <v>5.2921299814083191</v>
      </c>
      <c r="BA99" s="100">
        <v>22271.39981375877</v>
      </c>
      <c r="BB99" s="100">
        <v>3.821099401749275</v>
      </c>
      <c r="BC99" s="100">
        <v>16080.714722321647</v>
      </c>
      <c r="BD99" s="100">
        <v>2.0847683258356735</v>
      </c>
      <c r="BE99" s="100">
        <v>8773.5390224468483</v>
      </c>
      <c r="BF99" s="100">
        <v>4.413409068869055</v>
      </c>
      <c r="BG99" s="100">
        <v>18573.39072542853</v>
      </c>
      <c r="BH99" s="100">
        <v>2.7317856560912031</v>
      </c>
      <c r="BI99" s="100">
        <v>11496.446755094217</v>
      </c>
      <c r="BJ99" s="100">
        <v>6.5417869666094512</v>
      </c>
      <c r="BK99" s="100">
        <v>27530.456270279214</v>
      </c>
      <c r="BL99" s="100">
        <v>6.0437515354190925</v>
      </c>
      <c r="BM99" s="100">
        <v>25434.523961657706</v>
      </c>
      <c r="BN99" s="100">
        <v>4.583653066543115</v>
      </c>
      <c r="BO99" s="100">
        <v>19289.845565240044</v>
      </c>
      <c r="BP99" s="100">
        <v>3.3589985571217675</v>
      </c>
      <c r="BQ99" s="100">
        <v>14136.009527791246</v>
      </c>
      <c r="BR99" s="100">
        <v>5</v>
      </c>
      <c r="BS99" s="100">
        <v>21042</v>
      </c>
      <c r="BT99" s="100">
        <v>6</v>
      </c>
      <c r="BU99" s="100">
        <v>25250.399999999998</v>
      </c>
      <c r="BV99" s="100">
        <v>5.4198572299932355</v>
      </c>
      <c r="BW99" s="100">
        <v>22808.927166703532</v>
      </c>
      <c r="BX99" s="100">
        <v>3.3265672400413102</v>
      </c>
      <c r="BY99" s="100">
        <v>13999.525572989849</v>
      </c>
      <c r="BZ99" s="100">
        <v>2.1267309757239676</v>
      </c>
      <c r="CA99" s="100">
        <v>8950.1346382367446</v>
      </c>
      <c r="CB99" s="100">
        <v>3.9671346878343239</v>
      </c>
      <c r="CC99" s="100">
        <v>16695.289620281968</v>
      </c>
      <c r="CD99" s="100">
        <v>3.6650447972701454</v>
      </c>
      <c r="CE99" s="100">
        <v>15423.974524831679</v>
      </c>
      <c r="CF99" s="100">
        <v>6.7878681423777607</v>
      </c>
      <c r="CG99" s="100">
        <v>28566.064290382565</v>
      </c>
      <c r="CH99" s="100">
        <v>7</v>
      </c>
      <c r="CI99" s="100">
        <v>29458.799999999996</v>
      </c>
      <c r="CJ99" s="100">
        <v>5.1956768367927664</v>
      </c>
      <c r="CK99" s="100">
        <v>21865.486399958678</v>
      </c>
      <c r="CL99" s="100">
        <v>6.8513993979132772</v>
      </c>
      <c r="CM99" s="100">
        <v>28833.429226178232</v>
      </c>
      <c r="CN99" s="100">
        <v>5.5411207965667417</v>
      </c>
      <c r="CO99" s="100">
        <v>23319.252760271473</v>
      </c>
      <c r="CP99" s="100">
        <v>4.4249275400075687</v>
      </c>
      <c r="CQ99" s="100">
        <v>18621.86505936785</v>
      </c>
      <c r="CR99" s="100">
        <v>6</v>
      </c>
      <c r="CS99" s="100">
        <v>25250.399999999998</v>
      </c>
      <c r="CT99" s="100">
        <v>5.1209998792416371</v>
      </c>
      <c r="CU99" s="100">
        <v>21551.215891800504</v>
      </c>
    </row>
    <row r="100" spans="2:99">
      <c r="C100" s="99" t="s">
        <v>266</v>
      </c>
      <c r="D100" s="100">
        <v>6.7433770404067381</v>
      </c>
      <c r="E100" s="100">
        <v>2184.8541610917832</v>
      </c>
      <c r="F100" s="100">
        <v>7.4255620975471954</v>
      </c>
      <c r="G100" s="100">
        <v>2405.8821196052913</v>
      </c>
      <c r="H100" s="100">
        <v>0.51863961134312753</v>
      </c>
      <c r="I100" s="100">
        <v>168.03923407517331</v>
      </c>
      <c r="J100" s="100">
        <v>7</v>
      </c>
      <c r="K100" s="100">
        <v>2268</v>
      </c>
      <c r="L100" s="100">
        <v>11</v>
      </c>
      <c r="M100" s="100">
        <v>3564</v>
      </c>
      <c r="N100" s="100">
        <v>6</v>
      </c>
      <c r="O100" s="100">
        <v>1944</v>
      </c>
      <c r="P100" s="100">
        <v>9</v>
      </c>
      <c r="Q100" s="100">
        <v>2916</v>
      </c>
      <c r="R100" s="100">
        <v>7.9737114190433624</v>
      </c>
      <c r="S100" s="100">
        <v>2583.4824997700493</v>
      </c>
      <c r="T100" s="100">
        <v>2.9537933437636013</v>
      </c>
      <c r="U100" s="100">
        <v>957.02904337940686</v>
      </c>
      <c r="V100" s="100">
        <v>6.7157091865276026</v>
      </c>
      <c r="W100" s="100">
        <v>2175.8897764349431</v>
      </c>
      <c r="X100" s="100">
        <v>5.8536585365853684</v>
      </c>
      <c r="Y100" s="100">
        <v>1896.5853658536594</v>
      </c>
      <c r="Z100" s="100">
        <v>9</v>
      </c>
      <c r="AA100" s="100">
        <v>2916</v>
      </c>
      <c r="AB100" s="100">
        <v>6</v>
      </c>
      <c r="AC100" s="100">
        <v>1944</v>
      </c>
      <c r="AD100" s="100">
        <v>8.2690193879186022</v>
      </c>
      <c r="AE100" s="100">
        <v>2679.162281685627</v>
      </c>
      <c r="AF100" s="100">
        <v>6</v>
      </c>
      <c r="AG100" s="100">
        <v>1944</v>
      </c>
      <c r="AH100" s="100">
        <v>9</v>
      </c>
      <c r="AI100" s="100">
        <v>2916</v>
      </c>
      <c r="AJ100" s="100">
        <v>9</v>
      </c>
      <c r="AK100" s="100">
        <v>2916</v>
      </c>
      <c r="AL100" s="100">
        <v>6.3988330305880954</v>
      </c>
      <c r="AM100" s="100">
        <v>2073.2219019105428</v>
      </c>
      <c r="AN100" s="100">
        <v>9</v>
      </c>
      <c r="AO100" s="100">
        <v>2916</v>
      </c>
      <c r="AP100" s="100">
        <v>8</v>
      </c>
      <c r="AQ100" s="100">
        <v>2592</v>
      </c>
      <c r="AR100" s="100">
        <v>8</v>
      </c>
      <c r="AS100" s="100">
        <v>2592</v>
      </c>
      <c r="AT100" s="100">
        <v>11</v>
      </c>
      <c r="AU100" s="100">
        <v>3564</v>
      </c>
      <c r="AV100" s="100">
        <v>6.6696676332247611</v>
      </c>
      <c r="AW100" s="100">
        <v>2160.9723131648225</v>
      </c>
      <c r="AX100" s="100">
        <v>10</v>
      </c>
      <c r="AY100" s="100">
        <v>3240</v>
      </c>
      <c r="AZ100" s="100">
        <v>6.174151644976372</v>
      </c>
      <c r="BA100" s="100">
        <v>2000.4251329723445</v>
      </c>
      <c r="BB100" s="100">
        <v>4.58531928209913</v>
      </c>
      <c r="BC100" s="100">
        <v>1485.643447400118</v>
      </c>
      <c r="BD100" s="100">
        <v>2.5017219910028086</v>
      </c>
      <c r="BE100" s="100">
        <v>810.55792508490993</v>
      </c>
      <c r="BF100" s="100">
        <v>5.9062131089310261</v>
      </c>
      <c r="BG100" s="100">
        <v>1913.6130472936525</v>
      </c>
      <c r="BH100" s="100">
        <v>3.4147320701140034</v>
      </c>
      <c r="BI100" s="100">
        <v>1106.3731907169372</v>
      </c>
      <c r="BJ100" s="100">
        <v>8.4108689570692938</v>
      </c>
      <c r="BK100" s="100">
        <v>2725.1215420904514</v>
      </c>
      <c r="BL100" s="100">
        <v>6.7992204773464797</v>
      </c>
      <c r="BM100" s="100">
        <v>2202.9474346602592</v>
      </c>
      <c r="BN100" s="100">
        <v>5.5003836798517387</v>
      </c>
      <c r="BO100" s="100">
        <v>1782.1243122719634</v>
      </c>
      <c r="BP100" s="100">
        <v>4.0307982685461212</v>
      </c>
      <c r="BQ100" s="100">
        <v>1305.9786390089432</v>
      </c>
      <c r="BR100" s="100">
        <v>6</v>
      </c>
      <c r="BS100" s="100">
        <v>1944</v>
      </c>
      <c r="BT100" s="100">
        <v>7</v>
      </c>
      <c r="BU100" s="100">
        <v>2268</v>
      </c>
      <c r="BV100" s="100">
        <v>6.5458143989912063</v>
      </c>
      <c r="BW100" s="100">
        <v>2120.8438652731506</v>
      </c>
      <c r="BX100" s="100">
        <v>3.9918806880495716</v>
      </c>
      <c r="BY100" s="100">
        <v>1293.3693429280613</v>
      </c>
      <c r="BZ100" s="100">
        <v>3.0381871081770964</v>
      </c>
      <c r="CA100" s="100">
        <v>984.37262304937917</v>
      </c>
      <c r="CB100" s="100">
        <v>4.825059799816021</v>
      </c>
      <c r="CC100" s="100">
        <v>1563.3193751403908</v>
      </c>
      <c r="CD100" s="100">
        <v>4.8867263963601939</v>
      </c>
      <c r="CE100" s="100">
        <v>1583.2993524207029</v>
      </c>
      <c r="CF100" s="100">
        <v>8.7272590401999768</v>
      </c>
      <c r="CG100" s="100">
        <v>2827.6319290247925</v>
      </c>
      <c r="CH100" s="100">
        <v>9</v>
      </c>
      <c r="CI100" s="100">
        <v>2916</v>
      </c>
      <c r="CJ100" s="100">
        <v>7.2201364413918618</v>
      </c>
      <c r="CK100" s="100">
        <v>2339.3242070109632</v>
      </c>
      <c r="CL100" s="100">
        <v>8.3813995551604119</v>
      </c>
      <c r="CM100" s="100">
        <v>2715.5734558719732</v>
      </c>
      <c r="CN100" s="100">
        <v>6.8861073272795297</v>
      </c>
      <c r="CO100" s="100">
        <v>2231.0987740385676</v>
      </c>
      <c r="CP100" s="100">
        <v>5.0570600457229355</v>
      </c>
      <c r="CQ100" s="100">
        <v>1638.4874548142311</v>
      </c>
      <c r="CR100" s="100">
        <v>7</v>
      </c>
      <c r="CS100" s="100">
        <v>2268</v>
      </c>
      <c r="CT100" s="100">
        <v>6.1512498490520464</v>
      </c>
      <c r="CU100" s="100">
        <v>1993.0049510928629</v>
      </c>
    </row>
    <row r="101" spans="2:99">
      <c r="C101" s="99" t="s">
        <v>267</v>
      </c>
      <c r="D101" s="100">
        <v>7.7067166176077011</v>
      </c>
      <c r="E101" s="100">
        <v>5576.5801445009329</v>
      </c>
      <c r="F101" s="100">
        <v>6.749015124559314</v>
      </c>
      <c r="G101" s="100">
        <v>4883.5873441311196</v>
      </c>
      <c r="H101" s="100">
        <v>0.51863961134312753</v>
      </c>
      <c r="I101" s="100">
        <v>375.28762276788711</v>
      </c>
      <c r="J101" s="100">
        <v>6</v>
      </c>
      <c r="K101" s="100">
        <v>4341.6000000000004</v>
      </c>
      <c r="L101" s="100">
        <v>11</v>
      </c>
      <c r="M101" s="100">
        <v>7959.6</v>
      </c>
      <c r="N101" s="100">
        <v>5</v>
      </c>
      <c r="O101" s="100">
        <v>3618</v>
      </c>
      <c r="P101" s="100">
        <v>9</v>
      </c>
      <c r="Q101" s="100">
        <v>6512.4000000000005</v>
      </c>
      <c r="R101" s="100">
        <v>7.6506489438670009</v>
      </c>
      <c r="S101" s="100">
        <v>5536.0095757821618</v>
      </c>
      <c r="T101" s="100">
        <v>2.1811231006980991</v>
      </c>
      <c r="U101" s="100">
        <v>1578.2606756651446</v>
      </c>
      <c r="V101" s="100">
        <v>7.4178732781117533</v>
      </c>
      <c r="W101" s="100">
        <v>5367.5731040416649</v>
      </c>
      <c r="X101" s="100">
        <v>5.8536585365853684</v>
      </c>
      <c r="Y101" s="100">
        <v>4235.7073170731728</v>
      </c>
      <c r="Z101" s="100">
        <v>9</v>
      </c>
      <c r="AA101" s="100">
        <v>6512.4000000000005</v>
      </c>
      <c r="AB101" s="100">
        <v>6</v>
      </c>
      <c r="AC101" s="100">
        <v>4341.6000000000004</v>
      </c>
      <c r="AD101" s="100">
        <v>7.2690193879186022</v>
      </c>
      <c r="AE101" s="100">
        <v>5259.8624290979005</v>
      </c>
      <c r="AF101" s="100">
        <v>6</v>
      </c>
      <c r="AG101" s="100">
        <v>4341.6000000000004</v>
      </c>
      <c r="AH101" s="100">
        <v>9</v>
      </c>
      <c r="AI101" s="100">
        <v>6512.4000000000005</v>
      </c>
      <c r="AJ101" s="100">
        <v>8</v>
      </c>
      <c r="AK101" s="100">
        <v>5788.8</v>
      </c>
      <c r="AL101" s="100">
        <v>6.3988330305880954</v>
      </c>
      <c r="AM101" s="100">
        <v>4630.1955809335459</v>
      </c>
      <c r="AN101" s="100">
        <v>9</v>
      </c>
      <c r="AO101" s="100">
        <v>6512.4000000000005</v>
      </c>
      <c r="AP101" s="100">
        <v>8</v>
      </c>
      <c r="AQ101" s="100">
        <v>5788.8</v>
      </c>
      <c r="AR101" s="100">
        <v>7</v>
      </c>
      <c r="AS101" s="100">
        <v>5065.2</v>
      </c>
      <c r="AT101" s="100">
        <v>12</v>
      </c>
      <c r="AU101" s="100">
        <v>8683.2000000000007</v>
      </c>
      <c r="AV101" s="100">
        <v>7.3366343965472378</v>
      </c>
      <c r="AW101" s="100">
        <v>5308.7886493415817</v>
      </c>
      <c r="AX101" s="100">
        <v>10</v>
      </c>
      <c r="AY101" s="100">
        <v>7236</v>
      </c>
      <c r="AZ101" s="100">
        <v>6.6644906688455263</v>
      </c>
      <c r="BA101" s="100">
        <v>4822.4254479766232</v>
      </c>
      <c r="BB101" s="100">
        <v>4.5551955469877194</v>
      </c>
      <c r="BC101" s="100">
        <v>3296.1394978003141</v>
      </c>
      <c r="BD101" s="100">
        <v>2.9186756561699432</v>
      </c>
      <c r="BE101" s="100">
        <v>2111.9537048045709</v>
      </c>
      <c r="BF101" s="100">
        <v>5.1923126145584702</v>
      </c>
      <c r="BG101" s="100">
        <v>3757.1574078945091</v>
      </c>
      <c r="BH101" s="100">
        <v>3.0732588631026032</v>
      </c>
      <c r="BI101" s="100">
        <v>2223.8101133410437</v>
      </c>
      <c r="BJ101" s="100">
        <v>7.4903699619444488</v>
      </c>
      <c r="BK101" s="100">
        <v>5420.0317044630037</v>
      </c>
      <c r="BL101" s="100">
        <v>6.7992204773464797</v>
      </c>
      <c r="BM101" s="100">
        <v>4919.9159374079127</v>
      </c>
      <c r="BN101" s="100">
        <v>5.5003836798517387</v>
      </c>
      <c r="BO101" s="100">
        <v>3980.0776307407182</v>
      </c>
      <c r="BP101" s="100">
        <v>4.0307982685461212</v>
      </c>
      <c r="BQ101" s="100">
        <v>2916.6856271199736</v>
      </c>
      <c r="BR101" s="100">
        <v>6</v>
      </c>
      <c r="BS101" s="100">
        <v>4341.6000000000004</v>
      </c>
      <c r="BT101" s="100">
        <v>7</v>
      </c>
      <c r="BU101" s="100">
        <v>5065.2</v>
      </c>
      <c r="BV101" s="100">
        <v>6.5038286759918824</v>
      </c>
      <c r="BW101" s="100">
        <v>4706.170429947726</v>
      </c>
      <c r="BX101" s="100">
        <v>3.3561111353875228</v>
      </c>
      <c r="BY101" s="100">
        <v>2428.4820175664117</v>
      </c>
      <c r="BZ101" s="100">
        <v>2.7343683973593866</v>
      </c>
      <c r="CA101" s="100">
        <v>1978.5889723292523</v>
      </c>
      <c r="CB101" s="100">
        <v>4.0387993260730264</v>
      </c>
      <c r="CC101" s="100">
        <v>2922.4751923464419</v>
      </c>
      <c r="CD101" s="100">
        <v>3.6650447972701454</v>
      </c>
      <c r="CE101" s="100">
        <v>2652.0264153046774</v>
      </c>
      <c r="CF101" s="100">
        <v>7.7575635912888696</v>
      </c>
      <c r="CG101" s="100">
        <v>5613.3730146566259</v>
      </c>
      <c r="CH101" s="100">
        <v>8</v>
      </c>
      <c r="CI101" s="100">
        <v>5788.8</v>
      </c>
      <c r="CJ101" s="100">
        <v>6.1956768367927664</v>
      </c>
      <c r="CK101" s="100">
        <v>4483.1917591032461</v>
      </c>
      <c r="CL101" s="100">
        <v>7.8301707404723171</v>
      </c>
      <c r="CM101" s="100">
        <v>5665.9115478057693</v>
      </c>
      <c r="CN101" s="100">
        <v>6.2942013987809302</v>
      </c>
      <c r="CO101" s="100">
        <v>4554.4841321578815</v>
      </c>
      <c r="CP101" s="100">
        <v>5.0570600457229355</v>
      </c>
      <c r="CQ101" s="100">
        <v>3659.2886490851165</v>
      </c>
      <c r="CR101" s="100">
        <v>6</v>
      </c>
      <c r="CS101" s="100">
        <v>4341.6000000000004</v>
      </c>
      <c r="CT101" s="100">
        <v>6.1512498490520464</v>
      </c>
      <c r="CU101" s="100">
        <v>4451.044390774061</v>
      </c>
    </row>
    <row r="102" spans="2:99">
      <c r="C102" s="99" t="s">
        <v>268</v>
      </c>
      <c r="D102" s="100">
        <v>6.7433770404067381</v>
      </c>
      <c r="E102" s="100">
        <v>3584.7792346802221</v>
      </c>
      <c r="F102" s="100">
        <v>7.417334794887446</v>
      </c>
      <c r="G102" s="100">
        <v>3943.0551769621666</v>
      </c>
      <c r="H102" s="100">
        <v>0.51863961134312753</v>
      </c>
      <c r="I102" s="100">
        <v>275.70881739000663</v>
      </c>
      <c r="J102" s="100">
        <v>6</v>
      </c>
      <c r="K102" s="100">
        <v>3189.6000000000004</v>
      </c>
      <c r="L102" s="100">
        <v>11</v>
      </c>
      <c r="M102" s="100">
        <v>5847.6</v>
      </c>
      <c r="N102" s="100">
        <v>6</v>
      </c>
      <c r="O102" s="100">
        <v>3189.6000000000004</v>
      </c>
      <c r="P102" s="100">
        <v>10</v>
      </c>
      <c r="Q102" s="100">
        <v>5316</v>
      </c>
      <c r="R102" s="100">
        <v>7.9737114190433624</v>
      </c>
      <c r="S102" s="100">
        <v>4238.8249903634514</v>
      </c>
      <c r="T102" s="100">
        <v>2.1811231006980991</v>
      </c>
      <c r="U102" s="100">
        <v>1159.4850403311095</v>
      </c>
      <c r="V102" s="100">
        <v>7.4387276129680826</v>
      </c>
      <c r="W102" s="100">
        <v>3954.4275990538331</v>
      </c>
      <c r="X102" s="100">
        <v>5.8536585365853684</v>
      </c>
      <c r="Y102" s="100">
        <v>3111.804878048782</v>
      </c>
      <c r="Z102" s="100">
        <v>8</v>
      </c>
      <c r="AA102" s="100">
        <v>4252.8</v>
      </c>
      <c r="AB102" s="100">
        <v>6</v>
      </c>
      <c r="AC102" s="100">
        <v>3189.6000000000004</v>
      </c>
      <c r="AD102" s="100">
        <v>8.2690193879186022</v>
      </c>
      <c r="AE102" s="100">
        <v>4395.8107066175289</v>
      </c>
      <c r="AF102" s="100">
        <v>6</v>
      </c>
      <c r="AG102" s="100">
        <v>3189.6000000000004</v>
      </c>
      <c r="AH102" s="100">
        <v>9</v>
      </c>
      <c r="AI102" s="100">
        <v>4784.4000000000005</v>
      </c>
      <c r="AJ102" s="100">
        <v>8</v>
      </c>
      <c r="AK102" s="100">
        <v>4252.8</v>
      </c>
      <c r="AL102" s="100">
        <v>6.3589497275292857</v>
      </c>
      <c r="AM102" s="100">
        <v>3380.4176751545683</v>
      </c>
      <c r="AN102" s="100">
        <v>10</v>
      </c>
      <c r="AO102" s="100">
        <v>5316</v>
      </c>
      <c r="AP102" s="100">
        <v>9</v>
      </c>
      <c r="AQ102" s="100">
        <v>4784.4000000000005</v>
      </c>
      <c r="AR102" s="100">
        <v>9</v>
      </c>
      <c r="AS102" s="100">
        <v>4784.4000000000005</v>
      </c>
      <c r="AT102" s="100">
        <v>10</v>
      </c>
      <c r="AU102" s="100">
        <v>5316</v>
      </c>
      <c r="AV102" s="100">
        <v>6.0027008699022852</v>
      </c>
      <c r="AW102" s="100">
        <v>3191.0357824400548</v>
      </c>
      <c r="AX102" s="100">
        <v>9</v>
      </c>
      <c r="AY102" s="100">
        <v>4784.4000000000005</v>
      </c>
      <c r="AZ102" s="100">
        <v>6.7462138394903857</v>
      </c>
      <c r="BA102" s="100">
        <v>3586.2872770730892</v>
      </c>
      <c r="BB102" s="100">
        <v>4.58531928209913</v>
      </c>
      <c r="BC102" s="100">
        <v>2437.5557303638975</v>
      </c>
      <c r="BD102" s="100">
        <v>2.5017219910028086</v>
      </c>
      <c r="BE102" s="100">
        <v>1329.9154104170932</v>
      </c>
      <c r="BF102" s="100">
        <v>5.1923126145584702</v>
      </c>
      <c r="BG102" s="100">
        <v>2760.2333858992829</v>
      </c>
      <c r="BH102" s="100">
        <v>3.0732588631026032</v>
      </c>
      <c r="BI102" s="100">
        <v>1633.7444116253439</v>
      </c>
      <c r="BJ102" s="100">
        <v>8.4235067571638638</v>
      </c>
      <c r="BK102" s="100">
        <v>4477.93619210831</v>
      </c>
      <c r="BL102" s="100">
        <v>8.3101583612012533</v>
      </c>
      <c r="BM102" s="100">
        <v>4417.680184814586</v>
      </c>
      <c r="BN102" s="100">
        <v>6.4171142931603615</v>
      </c>
      <c r="BO102" s="100">
        <v>3411.3379582440484</v>
      </c>
      <c r="BP102" s="100">
        <v>4.7025979799704745</v>
      </c>
      <c r="BQ102" s="100">
        <v>2499.9010861523043</v>
      </c>
      <c r="BR102" s="100">
        <v>6</v>
      </c>
      <c r="BS102" s="100">
        <v>3189.6000000000004</v>
      </c>
      <c r="BT102" s="100">
        <v>8</v>
      </c>
      <c r="BU102" s="100">
        <v>4252.8</v>
      </c>
      <c r="BV102" s="100">
        <v>6.4618429529925585</v>
      </c>
      <c r="BW102" s="100">
        <v>3435.1157138108442</v>
      </c>
      <c r="BX102" s="100">
        <v>3.6592239640454407</v>
      </c>
      <c r="BY102" s="100">
        <v>1945.2434592865563</v>
      </c>
      <c r="BZ102" s="100">
        <v>2.9020581550139886</v>
      </c>
      <c r="CA102" s="100">
        <v>1542.7341152054364</v>
      </c>
      <c r="CB102" s="100">
        <v>4.7892274806966695</v>
      </c>
      <c r="CC102" s="100">
        <v>2545.9533287383497</v>
      </c>
      <c r="CD102" s="100">
        <v>4.2758855968151694</v>
      </c>
      <c r="CE102" s="100">
        <v>2273.0607832669443</v>
      </c>
      <c r="CF102" s="100">
        <v>8.7272590401999768</v>
      </c>
      <c r="CG102" s="100">
        <v>4639.4109057703081</v>
      </c>
      <c r="CH102" s="100">
        <v>8</v>
      </c>
      <c r="CI102" s="100">
        <v>4252.8</v>
      </c>
      <c r="CJ102" s="100">
        <v>6.2201364413918618</v>
      </c>
      <c r="CK102" s="100">
        <v>3306.624532243914</v>
      </c>
      <c r="CL102" s="100">
        <v>7.8301707404723171</v>
      </c>
      <c r="CM102" s="100">
        <v>4162.5187656350836</v>
      </c>
      <c r="CN102" s="100">
        <v>6.9183422620226471</v>
      </c>
      <c r="CO102" s="100">
        <v>3677.7907464912396</v>
      </c>
      <c r="CP102" s="100">
        <v>5.0570600457229355</v>
      </c>
      <c r="CQ102" s="100">
        <v>2688.3331203063126</v>
      </c>
      <c r="CR102" s="100">
        <v>7</v>
      </c>
      <c r="CS102" s="100">
        <v>3721.2000000000003</v>
      </c>
      <c r="CT102" s="100">
        <v>6</v>
      </c>
      <c r="CU102" s="100">
        <v>3189.6000000000004</v>
      </c>
    </row>
    <row r="103" spans="2:99">
      <c r="C103" s="99" t="s">
        <v>269</v>
      </c>
      <c r="D103" s="100">
        <v>6.7433770404067381</v>
      </c>
      <c r="E103" s="100">
        <v>3973.1977522076495</v>
      </c>
      <c r="F103" s="100">
        <v>6.749015124559314</v>
      </c>
      <c r="G103" s="100">
        <v>3976.5197113903473</v>
      </c>
      <c r="H103" s="100">
        <v>0.51863961134312753</v>
      </c>
      <c r="I103" s="100">
        <v>305.58245900337073</v>
      </c>
      <c r="J103" s="100">
        <v>6</v>
      </c>
      <c r="K103" s="100">
        <v>3535.2</v>
      </c>
      <c r="L103" s="100">
        <v>11</v>
      </c>
      <c r="M103" s="100">
        <v>6481.1999999999989</v>
      </c>
      <c r="N103" s="100">
        <v>5</v>
      </c>
      <c r="O103" s="100">
        <v>2945.9999999999995</v>
      </c>
      <c r="P103" s="100">
        <v>9</v>
      </c>
      <c r="Q103" s="100">
        <v>5302.7999999999993</v>
      </c>
      <c r="R103" s="100">
        <v>8.4157138382537013</v>
      </c>
      <c r="S103" s="100">
        <v>4958.53859349908</v>
      </c>
      <c r="T103" s="100">
        <v>2.5674582222308504</v>
      </c>
      <c r="U103" s="100">
        <v>1512.7463845384168</v>
      </c>
      <c r="V103" s="100">
        <v>6.736563521383931</v>
      </c>
      <c r="W103" s="100">
        <v>3969.1832267994118</v>
      </c>
      <c r="X103" s="100">
        <v>5.8536585365853684</v>
      </c>
      <c r="Y103" s="100">
        <v>3448.9756097560985</v>
      </c>
      <c r="Z103" s="100">
        <v>8</v>
      </c>
      <c r="AA103" s="100">
        <v>4713.5999999999995</v>
      </c>
      <c r="AB103" s="100">
        <v>6</v>
      </c>
      <c r="AC103" s="100">
        <v>3535.2</v>
      </c>
      <c r="AD103" s="100">
        <v>7.2690193879186022</v>
      </c>
      <c r="AE103" s="100">
        <v>4282.9062233616396</v>
      </c>
      <c r="AF103" s="100">
        <v>6</v>
      </c>
      <c r="AG103" s="100">
        <v>3535.2</v>
      </c>
      <c r="AH103" s="100">
        <v>9</v>
      </c>
      <c r="AI103" s="100">
        <v>5302.7999999999993</v>
      </c>
      <c r="AJ103" s="100">
        <v>9</v>
      </c>
      <c r="AK103" s="100">
        <v>5302.7999999999993</v>
      </c>
      <c r="AL103" s="100">
        <v>5.4387163336469042</v>
      </c>
      <c r="AM103" s="100">
        <v>3204.4916637847555</v>
      </c>
      <c r="AN103" s="100">
        <v>10</v>
      </c>
      <c r="AO103" s="100">
        <v>5891.9999999999991</v>
      </c>
      <c r="AP103" s="100">
        <v>8</v>
      </c>
      <c r="AQ103" s="100">
        <v>4713.5999999999995</v>
      </c>
      <c r="AR103" s="100">
        <v>8</v>
      </c>
      <c r="AS103" s="100">
        <v>4713.5999999999995</v>
      </c>
      <c r="AT103" s="100">
        <v>11</v>
      </c>
      <c r="AU103" s="100">
        <v>6481.1999999999989</v>
      </c>
      <c r="AV103" s="100">
        <v>7.3366343965472378</v>
      </c>
      <c r="AW103" s="100">
        <v>4322.7449864456321</v>
      </c>
      <c r="AX103" s="100">
        <v>11</v>
      </c>
      <c r="AY103" s="100">
        <v>6481.1999999999989</v>
      </c>
      <c r="AZ103" s="100">
        <v>6.6644906688455263</v>
      </c>
      <c r="BA103" s="100">
        <v>3926.7179020837834</v>
      </c>
      <c r="BB103" s="100">
        <v>4.58531928209913</v>
      </c>
      <c r="BC103" s="100">
        <v>2701.6701210128072</v>
      </c>
      <c r="BD103" s="100">
        <v>2.9186756561699432</v>
      </c>
      <c r="BE103" s="100">
        <v>1719.6836966153303</v>
      </c>
      <c r="BF103" s="100">
        <v>5.1923126145584702</v>
      </c>
      <c r="BG103" s="100">
        <v>3059.3105924978504</v>
      </c>
      <c r="BH103" s="100">
        <v>3.0732588631026032</v>
      </c>
      <c r="BI103" s="100">
        <v>1810.7641221400536</v>
      </c>
      <c r="BJ103" s="100">
        <v>6.5544247667040194</v>
      </c>
      <c r="BK103" s="100">
        <v>3861.8670725420079</v>
      </c>
      <c r="BL103" s="100">
        <v>7.5546894192738661</v>
      </c>
      <c r="BM103" s="100">
        <v>4451.2230058361611</v>
      </c>
      <c r="BN103" s="100">
        <v>6.0504182564370428</v>
      </c>
      <c r="BO103" s="100">
        <v>3564.906436692705</v>
      </c>
      <c r="BP103" s="100">
        <v>4.0307982685461212</v>
      </c>
      <c r="BQ103" s="100">
        <v>2374.9463398273742</v>
      </c>
      <c r="BR103" s="100">
        <v>6</v>
      </c>
      <c r="BS103" s="100">
        <v>3535.2</v>
      </c>
      <c r="BT103" s="100">
        <v>7</v>
      </c>
      <c r="BU103" s="100">
        <v>4124.3999999999996</v>
      </c>
      <c r="BV103" s="100">
        <v>6.5038286759918824</v>
      </c>
      <c r="BW103" s="100">
        <v>3832.0558558944167</v>
      </c>
      <c r="BX103" s="100">
        <v>3.9771087403764653</v>
      </c>
      <c r="BY103" s="100">
        <v>2343.3124698298129</v>
      </c>
      <c r="BZ103" s="100">
        <v>2.7343683973593866</v>
      </c>
      <c r="CA103" s="100">
        <v>1611.0898597241505</v>
      </c>
      <c r="CB103" s="100">
        <v>4.0387993260730264</v>
      </c>
      <c r="CC103" s="100">
        <v>2379.6605629222267</v>
      </c>
      <c r="CD103" s="100">
        <v>4.2758855968151694</v>
      </c>
      <c r="CE103" s="100">
        <v>2519.3517936434973</v>
      </c>
      <c r="CF103" s="100">
        <v>8.7272590401999768</v>
      </c>
      <c r="CG103" s="100">
        <v>5142.101026485826</v>
      </c>
      <c r="CH103" s="100">
        <v>9</v>
      </c>
      <c r="CI103" s="100">
        <v>5302.7999999999993</v>
      </c>
      <c r="CJ103" s="100">
        <v>6.2201364413918618</v>
      </c>
      <c r="CK103" s="100">
        <v>3664.9043912680845</v>
      </c>
      <c r="CL103" s="100">
        <v>8.3813995551604119</v>
      </c>
      <c r="CM103" s="100">
        <v>4938.3206179005138</v>
      </c>
      <c r="CN103" s="100">
        <v>6.9183422620226471</v>
      </c>
      <c r="CO103" s="100">
        <v>4076.287260783743</v>
      </c>
      <c r="CP103" s="100">
        <v>5.0570600457229355</v>
      </c>
      <c r="CQ103" s="100">
        <v>2979.6197789399534</v>
      </c>
      <c r="CR103" s="100">
        <v>7</v>
      </c>
      <c r="CS103" s="100">
        <v>4124.3999999999996</v>
      </c>
      <c r="CT103" s="100">
        <v>6</v>
      </c>
      <c r="CU103" s="100">
        <v>3535.2</v>
      </c>
    </row>
    <row r="104" spans="2:99">
      <c r="C104" s="99" t="s">
        <v>270</v>
      </c>
      <c r="D104" s="100">
        <v>6.7433770404067381</v>
      </c>
      <c r="E104" s="100">
        <v>4264.5116403532211</v>
      </c>
      <c r="F104" s="100">
        <v>7.4255620975471954</v>
      </c>
      <c r="G104" s="100">
        <v>4695.9254704888463</v>
      </c>
      <c r="H104" s="100">
        <v>0.51863961134312753</v>
      </c>
      <c r="I104" s="100">
        <v>327.98769021339382</v>
      </c>
      <c r="J104" s="100">
        <v>6</v>
      </c>
      <c r="K104" s="100">
        <v>3794.3999999999996</v>
      </c>
      <c r="L104" s="100">
        <v>9</v>
      </c>
      <c r="M104" s="100">
        <v>5691.5999999999995</v>
      </c>
      <c r="N104" s="100">
        <v>5</v>
      </c>
      <c r="O104" s="100">
        <v>3162</v>
      </c>
      <c r="P104" s="100">
        <v>10</v>
      </c>
      <c r="Q104" s="100">
        <v>6324</v>
      </c>
      <c r="R104" s="100">
        <v>7.6506489438670009</v>
      </c>
      <c r="S104" s="100">
        <v>4838.2703921014909</v>
      </c>
      <c r="T104" s="100">
        <v>2.5527848402876532</v>
      </c>
      <c r="U104" s="100">
        <v>1614.3811329979119</v>
      </c>
      <c r="V104" s="100">
        <v>6.5071658379643198</v>
      </c>
      <c r="W104" s="100">
        <v>4115.1316759286356</v>
      </c>
      <c r="X104" s="100">
        <v>5.8536585365853684</v>
      </c>
      <c r="Y104" s="100">
        <v>3701.8536585365869</v>
      </c>
      <c r="Z104" s="100">
        <v>8</v>
      </c>
      <c r="AA104" s="100">
        <v>5059.2</v>
      </c>
      <c r="AB104" s="100">
        <v>5</v>
      </c>
      <c r="AC104" s="100">
        <v>3162</v>
      </c>
      <c r="AD104" s="100">
        <v>7.2690193879186022</v>
      </c>
      <c r="AE104" s="100">
        <v>4596.9278609197236</v>
      </c>
      <c r="AF104" s="100">
        <v>7</v>
      </c>
      <c r="AG104" s="100">
        <v>4426.8</v>
      </c>
      <c r="AH104" s="100">
        <v>9</v>
      </c>
      <c r="AI104" s="100">
        <v>5691.5999999999995</v>
      </c>
      <c r="AJ104" s="100">
        <v>7</v>
      </c>
      <c r="AK104" s="100">
        <v>4426.8</v>
      </c>
      <c r="AL104" s="100">
        <v>5.3988330305880954</v>
      </c>
      <c r="AM104" s="100">
        <v>3414.2220085439112</v>
      </c>
      <c r="AN104" s="100">
        <v>9</v>
      </c>
      <c r="AO104" s="100">
        <v>5691.5999999999995</v>
      </c>
      <c r="AP104" s="100">
        <v>9</v>
      </c>
      <c r="AQ104" s="100">
        <v>5691.5999999999995</v>
      </c>
      <c r="AR104" s="100">
        <v>8</v>
      </c>
      <c r="AS104" s="100">
        <v>5059.2</v>
      </c>
      <c r="AT104" s="100">
        <v>11</v>
      </c>
      <c r="AU104" s="100">
        <v>6956.4</v>
      </c>
      <c r="AV104" s="100">
        <v>6.6696676332247611</v>
      </c>
      <c r="AW104" s="100">
        <v>4217.8978112513387</v>
      </c>
      <c r="AX104" s="100">
        <v>9</v>
      </c>
      <c r="AY104" s="100">
        <v>5691.5999999999995</v>
      </c>
      <c r="AZ104" s="100">
        <v>6.6644906688455263</v>
      </c>
      <c r="BA104" s="100">
        <v>4214.6238989779104</v>
      </c>
      <c r="BB104" s="100">
        <v>4.5250718118763098</v>
      </c>
      <c r="BC104" s="100">
        <v>2861.6554138305783</v>
      </c>
      <c r="BD104" s="100">
        <v>2.9186756561699432</v>
      </c>
      <c r="BE104" s="100">
        <v>1845.7704849618719</v>
      </c>
      <c r="BF104" s="100">
        <v>5.8412100576141688</v>
      </c>
      <c r="BG104" s="100">
        <v>3693.9812404352001</v>
      </c>
      <c r="BH104" s="100">
        <v>3.4147320701140034</v>
      </c>
      <c r="BI104" s="100">
        <v>2159.4765611400958</v>
      </c>
      <c r="BJ104" s="100">
        <v>7.476327961839373</v>
      </c>
      <c r="BK104" s="100">
        <v>4728.0298030672193</v>
      </c>
      <c r="BL104" s="100">
        <v>8.3101583612012533</v>
      </c>
      <c r="BM104" s="100">
        <v>5255.3441476236721</v>
      </c>
      <c r="BN104" s="100">
        <v>6.4171142931603615</v>
      </c>
      <c r="BO104" s="100">
        <v>4058.1830789946125</v>
      </c>
      <c r="BP104" s="100">
        <v>4.7025979799704745</v>
      </c>
      <c r="BQ104" s="100">
        <v>2973.9229625333278</v>
      </c>
      <c r="BR104" s="100">
        <v>6</v>
      </c>
      <c r="BS104" s="100">
        <v>3794.3999999999996</v>
      </c>
      <c r="BT104" s="100">
        <v>8</v>
      </c>
      <c r="BU104" s="100">
        <v>5059.2</v>
      </c>
      <c r="BV104" s="100">
        <v>5.4618429529925585</v>
      </c>
      <c r="BW104" s="100">
        <v>3454.0694834724941</v>
      </c>
      <c r="BX104" s="100">
        <v>3.9918806880495716</v>
      </c>
      <c r="BY104" s="100">
        <v>2524.4653471225488</v>
      </c>
      <c r="BZ104" s="100">
        <v>2.7343683973593866</v>
      </c>
      <c r="CA104" s="100">
        <v>1729.2145744900761</v>
      </c>
      <c r="CB104" s="100">
        <v>4.7892274806966695</v>
      </c>
      <c r="CC104" s="100">
        <v>3028.7074587925736</v>
      </c>
      <c r="CD104" s="100">
        <v>4.2758855968151694</v>
      </c>
      <c r="CE104" s="100">
        <v>2704.0700514259129</v>
      </c>
      <c r="CF104" s="100">
        <v>7.7575635912888696</v>
      </c>
      <c r="CG104" s="100">
        <v>4905.8832151310808</v>
      </c>
      <c r="CH104" s="100">
        <v>8</v>
      </c>
      <c r="CI104" s="100">
        <v>5059.2</v>
      </c>
      <c r="CJ104" s="100">
        <v>6.2201364413918618</v>
      </c>
      <c r="CK104" s="100">
        <v>3933.6142855362132</v>
      </c>
      <c r="CL104" s="100">
        <v>6.8513993979132772</v>
      </c>
      <c r="CM104" s="100">
        <v>4332.8249792403567</v>
      </c>
      <c r="CN104" s="100">
        <v>6.9505771967657655</v>
      </c>
      <c r="CO104" s="100">
        <v>4395.5450192346698</v>
      </c>
      <c r="CP104" s="100">
        <v>5.0570600457229355</v>
      </c>
      <c r="CQ104" s="100">
        <v>3198.0847729151842</v>
      </c>
      <c r="CR104" s="100">
        <v>6</v>
      </c>
      <c r="CS104" s="100">
        <v>3794.3999999999996</v>
      </c>
      <c r="CT104" s="100">
        <v>6.1361248641468418</v>
      </c>
      <c r="CU104" s="100">
        <v>3880.4853640864626</v>
      </c>
    </row>
    <row r="105" spans="2:99">
      <c r="C105" s="99" t="s">
        <v>271</v>
      </c>
      <c r="D105" s="100">
        <v>6.7433770404067381</v>
      </c>
      <c r="E105" s="100">
        <v>3754.7123360984715</v>
      </c>
      <c r="F105" s="100">
        <v>7.4255620975471954</v>
      </c>
      <c r="G105" s="100">
        <v>4134.5529759142782</v>
      </c>
      <c r="H105" s="100">
        <v>0.51863961134312753</v>
      </c>
      <c r="I105" s="100">
        <v>288.77853559585338</v>
      </c>
      <c r="J105" s="100">
        <v>6</v>
      </c>
      <c r="K105" s="100">
        <v>3340.7999999999997</v>
      </c>
      <c r="L105" s="100">
        <v>11</v>
      </c>
      <c r="M105" s="100">
        <v>6124.7999999999993</v>
      </c>
      <c r="N105" s="100">
        <v>5</v>
      </c>
      <c r="O105" s="100">
        <v>2784</v>
      </c>
      <c r="P105" s="100">
        <v>10</v>
      </c>
      <c r="Q105" s="100">
        <v>5568</v>
      </c>
      <c r="R105" s="100">
        <v>7.9737114190433624</v>
      </c>
      <c r="S105" s="100">
        <v>4439.7625181233434</v>
      </c>
      <c r="T105" s="100">
        <v>2.4060510208556858</v>
      </c>
      <c r="U105" s="100">
        <v>1339.6892084124456</v>
      </c>
      <c r="V105" s="100">
        <v>6.5071658379643198</v>
      </c>
      <c r="W105" s="100">
        <v>3623.1899385785327</v>
      </c>
      <c r="X105" s="100">
        <v>4.8780487804878065</v>
      </c>
      <c r="Y105" s="100">
        <v>2716.0975609756106</v>
      </c>
      <c r="Z105" s="100">
        <v>8</v>
      </c>
      <c r="AA105" s="100">
        <v>4454.3999999999996</v>
      </c>
      <c r="AB105" s="100">
        <v>6</v>
      </c>
      <c r="AC105" s="100">
        <v>3340.7999999999997</v>
      </c>
      <c r="AD105" s="100">
        <v>7.2690193879186022</v>
      </c>
      <c r="AE105" s="100">
        <v>4047.3899951930775</v>
      </c>
      <c r="AF105" s="100">
        <v>6</v>
      </c>
      <c r="AG105" s="100">
        <v>3340.7999999999997</v>
      </c>
      <c r="AH105" s="100">
        <v>9</v>
      </c>
      <c r="AI105" s="100">
        <v>5011.2</v>
      </c>
      <c r="AJ105" s="100">
        <v>9</v>
      </c>
      <c r="AK105" s="100">
        <v>5011.2</v>
      </c>
      <c r="AL105" s="100">
        <v>6.3988330305880954</v>
      </c>
      <c r="AM105" s="100">
        <v>3562.8702314314514</v>
      </c>
      <c r="AN105" s="100">
        <v>10</v>
      </c>
      <c r="AO105" s="100">
        <v>5568</v>
      </c>
      <c r="AP105" s="100">
        <v>8</v>
      </c>
      <c r="AQ105" s="100">
        <v>4454.3999999999996</v>
      </c>
      <c r="AR105" s="100">
        <v>9</v>
      </c>
      <c r="AS105" s="100">
        <v>5011.2</v>
      </c>
      <c r="AT105" s="100">
        <v>11</v>
      </c>
      <c r="AU105" s="100">
        <v>6124.7999999999993</v>
      </c>
      <c r="AV105" s="100">
        <v>7.3366343965472378</v>
      </c>
      <c r="AW105" s="100">
        <v>4085.0380319975015</v>
      </c>
      <c r="AX105" s="100">
        <v>10</v>
      </c>
      <c r="AY105" s="100">
        <v>5568</v>
      </c>
      <c r="AZ105" s="100">
        <v>5.2921299814083191</v>
      </c>
      <c r="BA105" s="100">
        <v>2946.6579736481517</v>
      </c>
      <c r="BB105" s="100">
        <v>5.2591679571147552</v>
      </c>
      <c r="BC105" s="100">
        <v>2928.3047185214955</v>
      </c>
      <c r="BD105" s="100">
        <v>2.9186756561699432</v>
      </c>
      <c r="BE105" s="100">
        <v>1625.1186053554243</v>
      </c>
      <c r="BF105" s="100">
        <v>5.1923126145584702</v>
      </c>
      <c r="BG105" s="100">
        <v>2891.0796637861558</v>
      </c>
      <c r="BH105" s="100">
        <v>3.0732588631026032</v>
      </c>
      <c r="BI105" s="100">
        <v>1711.1905349755293</v>
      </c>
      <c r="BJ105" s="100">
        <v>8.4108689570692938</v>
      </c>
      <c r="BK105" s="100">
        <v>4683.1718352961825</v>
      </c>
      <c r="BL105" s="100">
        <v>7.5546894192738661</v>
      </c>
      <c r="BM105" s="100">
        <v>4206.4510686516887</v>
      </c>
      <c r="BN105" s="100">
        <v>5.5003836798517387</v>
      </c>
      <c r="BO105" s="100">
        <v>3062.613632941448</v>
      </c>
      <c r="BP105" s="100">
        <v>4.7025979799704745</v>
      </c>
      <c r="BQ105" s="100">
        <v>2618.4065552475599</v>
      </c>
      <c r="BR105" s="100">
        <v>6</v>
      </c>
      <c r="BS105" s="100">
        <v>3340.7999999999997</v>
      </c>
      <c r="BT105" s="100">
        <v>7</v>
      </c>
      <c r="BU105" s="100">
        <v>3897.5999999999995</v>
      </c>
      <c r="BV105" s="100">
        <v>6.4618429529925585</v>
      </c>
      <c r="BW105" s="100">
        <v>3597.9541562262561</v>
      </c>
      <c r="BX105" s="100">
        <v>3.9771087403764653</v>
      </c>
      <c r="BY105" s="100">
        <v>2214.4541466416158</v>
      </c>
      <c r="BZ105" s="100">
        <v>3.0381871081770964</v>
      </c>
      <c r="CA105" s="100">
        <v>1691.6625818330072</v>
      </c>
      <c r="CB105" s="100">
        <v>4.7892274806966695</v>
      </c>
      <c r="CC105" s="100">
        <v>2666.6418612519055</v>
      </c>
      <c r="CD105" s="100">
        <v>4.2758855968151694</v>
      </c>
      <c r="CE105" s="100">
        <v>2380.813100306686</v>
      </c>
      <c r="CF105" s="100">
        <v>7.7575635912888696</v>
      </c>
      <c r="CG105" s="100">
        <v>4319.4114076296419</v>
      </c>
      <c r="CH105" s="100">
        <v>10</v>
      </c>
      <c r="CI105" s="100">
        <v>5568</v>
      </c>
      <c r="CJ105" s="100">
        <v>6</v>
      </c>
      <c r="CK105" s="100">
        <v>3340.7999999999997</v>
      </c>
      <c r="CL105" s="100">
        <v>7.8301707404723171</v>
      </c>
      <c r="CM105" s="100">
        <v>4359.8390682949857</v>
      </c>
      <c r="CN105" s="100">
        <v>7.5747180600074833</v>
      </c>
      <c r="CO105" s="100">
        <v>4217.6030158121666</v>
      </c>
      <c r="CP105" s="100">
        <v>5.0570600457229355</v>
      </c>
      <c r="CQ105" s="100">
        <v>2815.7710334585304</v>
      </c>
      <c r="CR105" s="100">
        <v>7</v>
      </c>
      <c r="CS105" s="100">
        <v>3897.5999999999995</v>
      </c>
      <c r="CT105" s="100">
        <v>5.1512498490520464</v>
      </c>
      <c r="CU105" s="100">
        <v>2868.2159159521793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355.57000604051427</v>
      </c>
      <c r="E109" s="100">
        <f>SUM(L$6:L$19)+SUM(N$6:N$19)+SUM(P$6:P$19)+SUM(R$6:R$19)</f>
        <v>321.55495730818024</v>
      </c>
      <c r="F109" s="100">
        <f>SUM(T$6:T$19)+SUM(V$6:V$19)+SUM(X$6:X$19)+SUM(Z$6:Z$19)</f>
        <v>324.19119325945888</v>
      </c>
      <c r="G109" s="100">
        <f>SUM(AB$6:AB$19)+SUM(AD$6:AD$19)+SUM(AF$6:AF$19)+SUM(AH$6:AH$19)</f>
        <v>360.60468200738944</v>
      </c>
      <c r="H109" s="100">
        <f>SUM(AJ$6:AJ$19)+SUM(AL$6:AL$19)+SUM(AN$6:AN$19)+SUM(AP$6:AP$19)</f>
        <v>119.03400157969908</v>
      </c>
      <c r="I109" s="100">
        <f>SUM(AR$6:AR$19)+SUM(AT$6:AT$19)+SUM(AV$6:AV$19)+SUM(AX$6:AX$19)</f>
        <v>332.20754132434547</v>
      </c>
      <c r="J109" s="100">
        <f>SUM(AZ$6:AZ$19)+SUM(BB$6:BB$19)+SUM(BD$6:BD$19)+SUM(BF$6:BF$19)</f>
        <v>314.31339805156313</v>
      </c>
      <c r="K109" s="100">
        <f>SUM(BH$6:BH$19)+SUM(BJ$6:BJ$19)+SUM(BL$6:BL$19)+SUM(BN$6:BN$19)</f>
        <v>386.35493157569363</v>
      </c>
      <c r="L109" s="100">
        <f>SUM(BP$6:BP$19)+SUM(BR$6:BR$19)+SUM(BT$6:BT$19)+SUM(BV$6:BV$19)</f>
        <v>284.29532210641946</v>
      </c>
      <c r="M109" s="100">
        <f>SUM(BX$6:BX$19)+SUM(BZ$6:BZ$19)+SUM(CB$6:CB$19)+SUM(CD$6:CD$19)</f>
        <v>287.81868132543963</v>
      </c>
      <c r="N109" s="100">
        <f>SUM(CF$6:CF$19)+SUM(CH$6:CH$19)+SUM(CJ$6:CJ$19)+SUM(CL$6:CL$19)</f>
        <v>521.62618134733953</v>
      </c>
      <c r="O109" s="100">
        <f>SUM(CN$6:CN$19)+SUM(CP$6:CP$19)+SUM(CR$6:CR$19)+SUM(CT$6:CT$19)</f>
        <v>188.55817381234442</v>
      </c>
    </row>
    <row r="110" spans="2:99">
      <c r="C110" s="99" t="s">
        <v>127</v>
      </c>
      <c r="D110" s="100">
        <f>SUM(D$20:D$36)+SUM(F$20:F$36)+SUM(H$20:H$36)+SUM(J$20:J$36)</f>
        <v>780.75983359311351</v>
      </c>
      <c r="E110" s="100">
        <f>SUM(L$20:L$36)+SUM(N$20:N$36)+SUM(P$20:P$36)+SUM(R$20:R$36)</f>
        <v>668.82049501887627</v>
      </c>
      <c r="F110" s="100">
        <f>SUM(T$20:T$36)+SUM(V$20:V$36)+SUM(X$20:X$36)+SUM(Z$20:Z$36)</f>
        <v>746.4882404523014</v>
      </c>
      <c r="G110" s="100">
        <f>SUM(AB$20:AB$36)+SUM(AD$20:AD$36)+SUM(AF$20:AF$36)+SUM(AH$20:AH$36)</f>
        <v>649.12010848715022</v>
      </c>
      <c r="H110" s="100">
        <f>SUM(AJ$20:AJ$36)+SUM(AL$20:AL$36)+SUM(AN$20:AN$36)+SUM(AP$20:AP$36)</f>
        <v>229.49414688084411</v>
      </c>
      <c r="I110" s="100">
        <f>SUM(AR$20:AR$36)+SUM(AT$20:AT$36)+SUM(AV$20:AV$36)+SUM(AX$20:AX$36)</f>
        <v>601.07944564902039</v>
      </c>
      <c r="J110" s="100">
        <f>SUM(AZ$20:AZ$36)+SUM(BB$20:BB$36)+SUM(BD$20:BD$36)+SUM(BF$20:BF$36)</f>
        <v>652.68858110621682</v>
      </c>
      <c r="K110" s="100">
        <f>SUM(BH$20:BH$36)+SUM(BJ$20:BJ$36)+SUM(BL$20:BL$36)+SUM(BN$20:BN$36)</f>
        <v>724.4481299689204</v>
      </c>
      <c r="L110" s="100">
        <f>SUM(BP$20:BP$36)+SUM(BR$20:BR$36)+SUM(BT$20:BT$36)+SUM(BV$20:BV$36)</f>
        <v>624.01343014180497</v>
      </c>
      <c r="M110" s="100">
        <f>SUM(BX$20:BX$36)+SUM(BZ$20:BZ$36)+SUM(CB$20:CB$36)+SUM(CD$20:CD$36)</f>
        <v>659.7313103643487</v>
      </c>
      <c r="N110" s="100">
        <f>SUM(CF$20:CF$36)+SUM(CH$20:CH$36)+SUM(CJ$20:CJ$36)+SUM(CL$20:CL$36)</f>
        <v>818.08772965063099</v>
      </c>
      <c r="O110" s="100">
        <f>SUM(CN$20:CN$36)+SUM(CP$20:CP$36)+SUM(CR$20:CR$36)+SUM(CT$20:CT$36)</f>
        <v>439.82947431750716</v>
      </c>
    </row>
    <row r="111" spans="2:99">
      <c r="C111" s="99" t="s">
        <v>128</v>
      </c>
      <c r="D111" s="100">
        <f>SUM(D$37:D$48)+SUM(F$37:F$48)+SUM(H$37:H$48)+SUM(J$37:J$48)</f>
        <v>290.73885795009505</v>
      </c>
      <c r="E111" s="100">
        <f>SUM(L$37:L$48)+SUM(N$37:N$48)+SUM(P$37:P$48)+SUM(R$37:R$48)</f>
        <v>323.95018093082263</v>
      </c>
      <c r="F111" s="100">
        <f>SUM(T$37:T$48)+SUM(V$37:V$48)+SUM(X$37:X$48)+SUM(Z$37:Z$48)</f>
        <v>310.97620449584997</v>
      </c>
      <c r="G111" s="100">
        <f>SUM(AB$37:AB$48)+SUM(AD$37:AD$48)+SUM(AF$37:AF$48)+SUM(AH$37:AH$48)</f>
        <v>249.33992311732294</v>
      </c>
      <c r="H111" s="100">
        <f>SUM(AJ$37:AJ$48)+SUM(AL$37:AL$48)+SUM(AN$37:AN$48)+SUM(AP$37:AP$48)</f>
        <v>98.782880001323548</v>
      </c>
      <c r="I111" s="100">
        <f>SUM(AR$37:AR$48)+SUM(AT$37:AT$48)+SUM(AV$37:AV$48)+SUM(AX$37:AX$48)</f>
        <v>316.23606392745569</v>
      </c>
      <c r="J111" s="100">
        <f>SUM(AZ$37:AZ$48)+SUM(BB$37:BB$48)+SUM(BD$37:BD$48)+SUM(BF$37:BF$48)</f>
        <v>292.33018019363442</v>
      </c>
      <c r="K111" s="100">
        <f>SUM(BH$37:BH$48)+SUM(BJ$37:BJ$48)+SUM(BL$37:BL$48)+SUM(BN$37:BN$48)</f>
        <v>301.31350074391446</v>
      </c>
      <c r="L111" s="100">
        <f>SUM(BP$37:BP$48)+SUM(BR$37:BR$48)+SUM(BT$37:BT$48)+SUM(BV$37:BV$48)</f>
        <v>230.74883924802577</v>
      </c>
      <c r="M111" s="100">
        <f>SUM(BX$37:BX$48)+SUM(BZ$37:BZ$48)+SUM(CB$37:CB$48)+SUM(CD$37:CD$48)</f>
        <v>238.33633033960709</v>
      </c>
      <c r="N111" s="100">
        <f>SUM(CF$37:CF$48)+SUM(CH$37:CH$48)+SUM(CJ$37:CJ$48)+SUM(CL$37:CL$48)</f>
        <v>364.97303840346467</v>
      </c>
      <c r="O111" s="100">
        <f>SUM(CN$37:CN$48)+SUM(CP$37:CP$48)+SUM(CR$37:CR$48)+SUM(CT$37:CT$48)</f>
        <v>189.43920435659223</v>
      </c>
    </row>
    <row r="112" spans="2:99">
      <c r="C112" s="99" t="s">
        <v>129</v>
      </c>
      <c r="D112" s="100">
        <f>SUM(D$49:D$70)+SUM(F$49:F$70)+SUM(H$49:H$70)+SUM(J$49:J$70)</f>
        <v>450.60932827549902</v>
      </c>
      <c r="E112" s="100">
        <f>SUM(L$49:L$70)+SUM(N$49:N$70)+SUM(P$49:P$70)+SUM(R$49:R$70)</f>
        <v>441.93889942320271</v>
      </c>
      <c r="F112" s="100">
        <f>SUM(T$49:T$70)+SUM(V$49:V$70)+SUM(X$49:X$70)+SUM(Z$49:Z$70)</f>
        <v>372.23945498986029</v>
      </c>
      <c r="G112" s="100">
        <f>SUM(AB$49:AB$70)+SUM(AD$49:AD$70)+SUM(AF$49:AF$70)+SUM(AH$49:AH$70)</f>
        <v>425.32360810698066</v>
      </c>
      <c r="H112" s="100">
        <f>SUM(AJ$49:AJ$70)+SUM(AL$49:AL$70)+SUM(AN$49:AN$70)+SUM(AP$49:AP$70)</f>
        <v>213.31013888418721</v>
      </c>
      <c r="I112" s="100">
        <f>SUM(AR$49:AR$70)+SUM(AT$49:AT$70)+SUM(AV$49:AV$70)+SUM(AX$49:AX$70)</f>
        <v>405.81578759895251</v>
      </c>
      <c r="J112" s="100">
        <f>SUM(AZ$49:AZ$70)+SUM(BB$49:BB$70)+SUM(BD$49:BD$70)+SUM(BF$49:BF$70)</f>
        <v>360.0791201087485</v>
      </c>
      <c r="K112" s="100">
        <f>SUM(BH$49:BH$70)+SUM(BJ$49:BJ$70)+SUM(BL$49:BL$70)+SUM(BN$49:BN$70)</f>
        <v>428.27069648147597</v>
      </c>
      <c r="L112" s="100">
        <f>SUM(BP$49:BP$70)+SUM(BR$49:BR$70)+SUM(BT$49:BT$70)+SUM(BV$49:BV$70)</f>
        <v>309.23103214656612</v>
      </c>
      <c r="M112" s="100">
        <f>SUM(BX$49:BX$70)+SUM(BZ$49:BZ$70)+SUM(CB$49:CB$70)+SUM(CD$49:CD$70)</f>
        <v>347.37558550750703</v>
      </c>
      <c r="N112" s="100">
        <f>SUM(CF$49:CF$70)+SUM(CH$49:CH$70)+SUM(CJ$49:CJ$70)+SUM(CL$49:CL$70)</f>
        <v>515.64070847528433</v>
      </c>
      <c r="O112" s="100">
        <f>SUM(CN$49:CN$70)+SUM(CP$49:CP$70)+SUM(CR$49:CR$70)+SUM(CT$49:CT$70)</f>
        <v>221.68877270121831</v>
      </c>
    </row>
    <row r="113" spans="2:15">
      <c r="C113" s="99" t="s">
        <v>130</v>
      </c>
      <c r="D113" s="100">
        <f>SUM(D$71:D$86)+SUM(F$71:F$86)+SUM(H$71:H$86)+SUM(J$71:J$86)</f>
        <v>278.55353689703895</v>
      </c>
      <c r="E113" s="100">
        <f>SUM(L$71:L$86)+SUM(N$71:N$86)+SUM(P$71:P$86)+SUM(R$71:R$86)</f>
        <v>271</v>
      </c>
      <c r="F113" s="100">
        <f>SUM(T$71:T$86)+SUM(V$71:V$86)+SUM(X$71:X$86)+SUM(Z$71:Z$86)</f>
        <v>323</v>
      </c>
      <c r="G113" s="100">
        <f>SUM(AB$71:AB$86)+SUM(AD$71:AD$86)+SUM(AF$71:AF$86)+SUM(AH$71:AH$86)</f>
        <v>262.93427445322754</v>
      </c>
      <c r="H113" s="100">
        <f>SUM(AJ$71:AJ$86)+SUM(AL$71:AL$86)+SUM(AN$71:AN$86)+SUM(AP$71:AP$86)</f>
        <v>200.80976418765755</v>
      </c>
      <c r="I113" s="100">
        <f>SUM(AR$71:AR$86)+SUM(AT$71:AT$86)+SUM(AV$71:AV$86)+SUM(AX$71:AX$86)</f>
        <v>264.46463272094036</v>
      </c>
      <c r="J113" s="100">
        <f>SUM(AZ$71:AZ$86)+SUM(BB$71:BB$86)+SUM(BD$71:BD$86)+SUM(BF$71:BF$86)</f>
        <v>243.95168248028867</v>
      </c>
      <c r="K113" s="100">
        <f>SUM(BH$71:BH$86)+SUM(BJ$71:BJ$86)+SUM(BL$71:BL$86)+SUM(BN$71:BN$86)</f>
        <v>222.36712670527385</v>
      </c>
      <c r="L113" s="100">
        <f>SUM(BP$71:BP$86)+SUM(BR$71:BR$86)+SUM(BT$71:BT$86)+SUM(BV$71:BV$86)</f>
        <v>295</v>
      </c>
      <c r="M113" s="100">
        <f>SUM(BX$71:BX$86)+SUM(BZ$71:BZ$86)+SUM(CB$71:CB$86)+SUM(CD$71:CD$86)</f>
        <v>306.62368389500614</v>
      </c>
      <c r="N113" s="100">
        <f>SUM(CF$71:CF$86)+SUM(CH$71:CH$86)+SUM(CJ$71:CJ$86)+SUM(CL$71:CL$86)</f>
        <v>319</v>
      </c>
      <c r="O113" s="100">
        <f>SUM(CN$71:CN$86)+SUM(CP$71:CP$86)+SUM(CR$71:CR$86)+SUM(CT$71:CT$86)</f>
        <v>272.99545322135197</v>
      </c>
    </row>
    <row r="114" spans="2:15">
      <c r="C114" s="99" t="s">
        <v>131</v>
      </c>
      <c r="D114" s="100">
        <f>SUM(D$87:D$94)+SUM(F$87:F$94)+SUM(H$87:H$94)+SUM(J$87:J$94)</f>
        <v>85.244201664329168</v>
      </c>
      <c r="E114" s="100">
        <f>SUM(L$87:L$94)+SUM(N$87:N$94)+SUM(P$87:P$94)+SUM(R$87:R$94)</f>
        <v>158.96369255486908</v>
      </c>
      <c r="F114" s="100">
        <f>SUM(T$87:T$94)+SUM(V$87:V$94)+SUM(X$87:X$94)+SUM(Z$87:Z$94)</f>
        <v>136.99926172054495</v>
      </c>
      <c r="G114" s="100">
        <f>SUM(AB$87:AB$94)+SUM(AD$87:AD$94)+SUM(AF$87:AF$94)+SUM(AH$87:AH$94)</f>
        <v>172</v>
      </c>
      <c r="H114" s="100">
        <f>SUM(AJ$87:AJ$94)+SUM(AL$87:AL$94)+SUM(AN$87:AN$94)+SUM(AP$87:AP$94)</f>
        <v>177.19741673422021</v>
      </c>
      <c r="I114" s="100">
        <f>SUM(AR$87:AR$94)+SUM(AT$87:AT$94)+SUM(AV$87:AV$94)+SUM(AX$87:AX$94)</f>
        <v>153.1283682034026</v>
      </c>
      <c r="J114" s="100">
        <f>SUM(AZ$87:AZ$94)+SUM(BB$87:BB$94)+SUM(BD$87:BD$94)+SUM(BF$87:BF$94)</f>
        <v>127.79311148108388</v>
      </c>
      <c r="K114" s="100">
        <f>SUM(BH$87:BH$94)+SUM(BJ$87:BJ$94)+SUM(BL$87:BL$94)+SUM(BN$87:BN$94)</f>
        <v>125.87371057238298</v>
      </c>
      <c r="L114" s="100">
        <f>SUM(BP$87:BP$94)+SUM(BR$87:BR$94)+SUM(BT$87:BT$94)+SUM(BV$87:BV$94)</f>
        <v>159.20075774915949</v>
      </c>
      <c r="M114" s="100">
        <f>SUM(BX$87:BX$94)+SUM(BZ$87:BZ$94)+SUM(CB$87:CB$94)+SUM(CD$87:CD$94)</f>
        <v>98.148505834572063</v>
      </c>
      <c r="N114" s="100">
        <f>SUM(CF$87:CF$94)+SUM(CH$87:CH$94)+SUM(CJ$87:CJ$94)+SUM(CL$87:CL$94)</f>
        <v>141.60067836472072</v>
      </c>
      <c r="O114" s="100">
        <f>SUM(CN$87:CN$94)+SUM(CP$87:CP$94)+SUM(CR$87:CR$94)+SUM(CT$87:CT$94)</f>
        <v>138.82885500585826</v>
      </c>
    </row>
    <row r="115" spans="2:15">
      <c r="C115" s="99" t="s">
        <v>132</v>
      </c>
      <c r="D115" s="100">
        <f>SUM(D$95:D$105)+SUM(F$95:F$105)+SUM(H$95:H$105)+SUM(J$95:J$105)</f>
        <v>225.84399203667201</v>
      </c>
      <c r="E115" s="100">
        <f>SUM(L$95:L$105)+SUM(N$95:N$105)+SUM(P$95:P$105)+SUM(R$95:R$105)</f>
        <v>363.2503490082043</v>
      </c>
      <c r="F115" s="100">
        <f>SUM(T$95:T$105)+SUM(V$95:V$105)+SUM(X$95:X$105)+SUM(Z$95:Z$105)</f>
        <v>256.93799120164033</v>
      </c>
      <c r="G115" s="100">
        <f>SUM(AB$95:AB$105)+SUM(AD$95:AD$105)+SUM(AF$95:AF$105)+SUM(AH$95:AH$105)</f>
        <v>307.57489985579235</v>
      </c>
      <c r="H115" s="100">
        <f>SUM(AJ$95:AJ$105)+SUM(AL$95:AL$105)+SUM(AN$95:AN$105)+SUM(AP$95:AP$105)</f>
        <v>347.46749451292669</v>
      </c>
      <c r="I115" s="100">
        <f>SUM(AR$95:AR$105)+SUM(AT$95:AT$105)+SUM(AV$95:AV$105)+SUM(AX$95:AX$105)</f>
        <v>385.70027749211732</v>
      </c>
      <c r="J115" s="100">
        <f>SUM(AZ$95:AZ$105)+SUM(BB$95:BB$105)+SUM(BD$95:BD$105)+SUM(BF$95:BF$105)</f>
        <v>208.21005095157068</v>
      </c>
      <c r="K115" s="100">
        <f>SUM(BH$95:BH$105)+SUM(BJ$95:BJ$105)+SUM(BL$95:BL$105)+SUM(BN$95:BN$105)</f>
        <v>265.59197858639919</v>
      </c>
      <c r="L115" s="100">
        <f>SUM(BP$95:BP$105)+SUM(BR$95:BR$105)+SUM(BT$95:BT$105)+SUM(BV$95:BV$105)</f>
        <v>258.15592350104117</v>
      </c>
      <c r="M115" s="100">
        <f>SUM(BX$95:BX$105)+SUM(BZ$95:BZ$105)+SUM(CB$95:CB$105)+SUM(CD$95:CD$105)</f>
        <v>167.71661683433405</v>
      </c>
      <c r="N115" s="100">
        <f>SUM(CF$95:CF$105)+SUM(CH$95:CH$105)+SUM(CJ$95:CJ$105)+SUM(CL$95:CL$105)</f>
        <v>333.78962975916022</v>
      </c>
      <c r="O115" s="100">
        <f>SUM(CN$95:CN$105)+SUM(CP$95:CP$105)+SUM(CR$95:CR$105)+SUM(CT$95:CT$105)</f>
        <v>266.33640282073162</v>
      </c>
    </row>
    <row r="116" spans="2:15">
      <c r="C116" s="99" t="s">
        <v>278</v>
      </c>
      <c r="D116" s="100">
        <f t="shared" ref="D116:O116" si="0">SUM(D$109:D$115)</f>
        <v>2467.3197564572615</v>
      </c>
      <c r="E116" s="100">
        <f t="shared" si="0"/>
        <v>2549.4785742441554</v>
      </c>
      <c r="F116" s="100">
        <f t="shared" si="0"/>
        <v>2470.8323461196555</v>
      </c>
      <c r="G116" s="100">
        <f t="shared" si="0"/>
        <v>2426.8974960278633</v>
      </c>
      <c r="H116" s="100">
        <f t="shared" si="0"/>
        <v>1386.0958427808582</v>
      </c>
      <c r="I116" s="100">
        <f t="shared" si="0"/>
        <v>2458.6321169162347</v>
      </c>
      <c r="J116" s="100">
        <f t="shared" si="0"/>
        <v>2199.3661243731062</v>
      </c>
      <c r="K116" s="100">
        <f t="shared" si="0"/>
        <v>2454.2200746340609</v>
      </c>
      <c r="L116" s="100">
        <f t="shared" si="0"/>
        <v>2160.6453048930171</v>
      </c>
      <c r="M116" s="100">
        <f t="shared" si="0"/>
        <v>2105.750714100815</v>
      </c>
      <c r="N116" s="100">
        <f t="shared" si="0"/>
        <v>3014.7179660006004</v>
      </c>
      <c r="O116" s="100">
        <f t="shared" si="0"/>
        <v>1717.6763362356039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2702332.0459079081</v>
      </c>
      <c r="E120" s="100">
        <f>E109*pricing!E24*2000</f>
        <v>2443817.6755421697</v>
      </c>
      <c r="F120" s="100">
        <f>F109*pricing!F24*2000</f>
        <v>2463853.0687718876</v>
      </c>
      <c r="G120" s="100">
        <f>G109*pricing!G24*2000</f>
        <v>2740595.5832561594</v>
      </c>
      <c r="H120" s="100">
        <f>H109*pricing!H24*2000</f>
        <v>904658.41200571298</v>
      </c>
      <c r="I120" s="100">
        <f>I109*pricing!I24*2000</f>
        <v>2524777.3140650257</v>
      </c>
      <c r="J120" s="100">
        <f>J109*pricing!J24*2000</f>
        <v>2388781.8251918796</v>
      </c>
      <c r="K120" s="100">
        <f>K109*pricing!K24*2000</f>
        <v>2936297.4799752715</v>
      </c>
      <c r="L120" s="100">
        <f>L109*pricing!L24*2000</f>
        <v>2160644.4480087878</v>
      </c>
      <c r="M120" s="100">
        <f>M109*pricing!M24*2000</f>
        <v>2187421.9780733408</v>
      </c>
      <c r="N120" s="100">
        <f>N109*pricing!N24*2000</f>
        <v>3964358.9782397803</v>
      </c>
      <c r="O120" s="100">
        <f>O109*pricing!O24*2000</f>
        <v>1433042.1209738175</v>
      </c>
    </row>
    <row r="121" spans="2:15">
      <c r="C121" s="99" t="s">
        <v>127</v>
      </c>
      <c r="D121" s="100">
        <f>D110*pricing!D25*2000</f>
        <v>5933774.7353076618</v>
      </c>
      <c r="E121" s="100">
        <f>E110*pricing!E25*2000</f>
        <v>5083035.7621434592</v>
      </c>
      <c r="F121" s="100">
        <f>F110*pricing!F25*2000</f>
        <v>5673310.62743749</v>
      </c>
      <c r="G121" s="100">
        <f>G110*pricing!G25*2000</f>
        <v>4933312.8245023414</v>
      </c>
      <c r="H121" s="100">
        <f>H110*pricing!H25*2000</f>
        <v>1744155.5162944151</v>
      </c>
      <c r="I121" s="100">
        <f>I110*pricing!I25*2000</f>
        <v>4568203.786932555</v>
      </c>
      <c r="J121" s="100">
        <f>J110*pricing!J25*2000</f>
        <v>4960433.2164072478</v>
      </c>
      <c r="K121" s="100">
        <f>K110*pricing!K25*2000</f>
        <v>5505805.7877637949</v>
      </c>
      <c r="L121" s="100">
        <f>L110*pricing!L25*2000</f>
        <v>4742502.0690777171</v>
      </c>
      <c r="M121" s="100">
        <f>M110*pricing!M25*2000</f>
        <v>5013957.9587690495</v>
      </c>
      <c r="N121" s="100">
        <f>N110*pricing!N25*2000</f>
        <v>6217466.7453447953</v>
      </c>
      <c r="O121" s="100">
        <f>O110*pricing!O25*2000</f>
        <v>3342704.0048130541</v>
      </c>
    </row>
    <row r="122" spans="2:15">
      <c r="C122" s="99" t="s">
        <v>128</v>
      </c>
      <c r="D122" s="100">
        <f>D111*pricing!D26*2000</f>
        <v>2209615.320420722</v>
      </c>
      <c r="E122" s="100">
        <f>E111*pricing!E26*2000</f>
        <v>2462021.375074252</v>
      </c>
      <c r="F122" s="100">
        <f>F111*pricing!F26*2000</f>
        <v>2363419.1541684596</v>
      </c>
      <c r="G122" s="100">
        <f>G111*pricing!G26*2000</f>
        <v>1894983.4156916542</v>
      </c>
      <c r="H122" s="100">
        <f>H111*pricing!H26*2000</f>
        <v>750749.8880100589</v>
      </c>
      <c r="I122" s="100">
        <f>I111*pricing!I26*2000</f>
        <v>2403394.085848663</v>
      </c>
      <c r="J122" s="100">
        <f>J111*pricing!J26*2000</f>
        <v>2221709.3694716212</v>
      </c>
      <c r="K122" s="100">
        <f>K111*pricing!K26*2000</f>
        <v>2289982.6056537498</v>
      </c>
      <c r="L122" s="100">
        <f>L111*pricing!L26*2000</f>
        <v>1753691.178284996</v>
      </c>
      <c r="M122" s="100">
        <f>M111*pricing!M26*2000</f>
        <v>1811356.1105810138</v>
      </c>
      <c r="N122" s="100">
        <f>N111*pricing!N26*2000</f>
        <v>2773795.0918663312</v>
      </c>
      <c r="O122" s="100">
        <f>O111*pricing!O26*2000</f>
        <v>1439737.9531101007</v>
      </c>
    </row>
    <row r="123" spans="2:15">
      <c r="C123" s="99" t="s">
        <v>129</v>
      </c>
      <c r="D123" s="100">
        <f>D112*pricing!D27*2000</f>
        <v>3424630.8948937925</v>
      </c>
      <c r="E123" s="100">
        <f>E112*pricing!E27*2000</f>
        <v>3358735.6356163407</v>
      </c>
      <c r="F123" s="100">
        <f>F112*pricing!F27*2000</f>
        <v>2829019.8579229382</v>
      </c>
      <c r="G123" s="100">
        <f>G112*pricing!G27*2000</f>
        <v>3232459.4216130525</v>
      </c>
      <c r="H123" s="100">
        <f>H112*pricing!H27*2000</f>
        <v>1621157.0555198228</v>
      </c>
      <c r="I123" s="100">
        <f>I112*pricing!I27*2000</f>
        <v>3084199.9857520391</v>
      </c>
      <c r="J123" s="100">
        <f>J112*pricing!J27*2000</f>
        <v>2736601.3128264886</v>
      </c>
      <c r="K123" s="100">
        <f>K112*pricing!K27*2000</f>
        <v>3254857.2932592174</v>
      </c>
      <c r="L123" s="100">
        <f>L112*pricing!L27*2000</f>
        <v>2350155.8443139023</v>
      </c>
      <c r="M123" s="100">
        <f>M112*pricing!M27*2000</f>
        <v>2640054.4498570533</v>
      </c>
      <c r="N123" s="100">
        <f>N112*pricing!N27*2000</f>
        <v>3918869.3844121606</v>
      </c>
      <c r="O123" s="100">
        <f>O112*pricing!O27*2000</f>
        <v>1684834.672529259</v>
      </c>
    </row>
    <row r="124" spans="2:15">
      <c r="C124" s="99" t="s">
        <v>130</v>
      </c>
      <c r="D124" s="100">
        <f>D113*pricing!D28*2000</f>
        <v>2117006.8804174955</v>
      </c>
      <c r="E124" s="100">
        <f>E113*pricing!E28*2000</f>
        <v>2059600</v>
      </c>
      <c r="F124" s="100">
        <f>F113*pricing!F28*2000</f>
        <v>2454799.9999999995</v>
      </c>
      <c r="G124" s="100">
        <f>G113*pricing!G28*2000</f>
        <v>1998300.4858445292</v>
      </c>
      <c r="H124" s="100">
        <f>H113*pricing!H28*2000</f>
        <v>1526154.2078261974</v>
      </c>
      <c r="I124" s="100">
        <f>I113*pricing!I28*2000</f>
        <v>2009931.2086791468</v>
      </c>
      <c r="J124" s="100">
        <f>J113*pricing!J28*2000</f>
        <v>1854032.7868501937</v>
      </c>
      <c r="K124" s="100">
        <f>K113*pricing!K28*2000</f>
        <v>1689990.1629600811</v>
      </c>
      <c r="L124" s="100">
        <f>L113*pricing!L28*2000</f>
        <v>2242000</v>
      </c>
      <c r="M124" s="100">
        <f>M113*pricing!M28*2000</f>
        <v>2330339.9976020465</v>
      </c>
      <c r="N124" s="100">
        <f>N113*pricing!N28*2000</f>
        <v>2424400</v>
      </c>
      <c r="O124" s="100">
        <f>O113*pricing!O28*2000</f>
        <v>2074765.4444822746</v>
      </c>
    </row>
    <row r="125" spans="2:15">
      <c r="C125" s="99" t="s">
        <v>131</v>
      </c>
      <c r="D125" s="100">
        <f>D114*pricing!D29*2000</f>
        <v>647855.93264890171</v>
      </c>
      <c r="E125" s="100">
        <f>E114*pricing!E29*2000</f>
        <v>1208124.0634170049</v>
      </c>
      <c r="F125" s="100">
        <f>F114*pricing!F29*2000</f>
        <v>1041194.3890761415</v>
      </c>
      <c r="G125" s="100">
        <f>G114*pricing!G29*2000</f>
        <v>1307200</v>
      </c>
      <c r="H125" s="100">
        <f>H114*pricing!H29*2000</f>
        <v>1346700.3671800734</v>
      </c>
      <c r="I125" s="100">
        <f>I114*pricing!I29*2000</f>
        <v>1163775.5983458597</v>
      </c>
      <c r="J125" s="100">
        <f>J114*pricing!J29*2000</f>
        <v>971227.64725623745</v>
      </c>
      <c r="K125" s="100">
        <f>K114*pricing!K29*2000</f>
        <v>956640.20035011065</v>
      </c>
      <c r="L125" s="100">
        <f>L114*pricing!L29*2000</f>
        <v>1209925.7588936121</v>
      </c>
      <c r="M125" s="100">
        <f>M114*pricing!M29*2000</f>
        <v>745928.64434274763</v>
      </c>
      <c r="N125" s="100">
        <f>N114*pricing!N29*2000</f>
        <v>1076165.1555718775</v>
      </c>
      <c r="O125" s="100">
        <f>O114*pricing!O29*2000</f>
        <v>1055099.2980445228</v>
      </c>
    </row>
    <row r="126" spans="2:15">
      <c r="C126" s="99" t="s">
        <v>132</v>
      </c>
      <c r="D126" s="100">
        <f>D115*pricing!D30*2000</f>
        <v>1716414.3394787072</v>
      </c>
      <c r="E126" s="100">
        <f>E115*pricing!E30*2000</f>
        <v>2760702.6524623525</v>
      </c>
      <c r="F126" s="100">
        <f>F115*pricing!F30*2000</f>
        <v>1952728.7331324664</v>
      </c>
      <c r="G126" s="100">
        <f>G115*pricing!G30*2000</f>
        <v>2337569.2389040217</v>
      </c>
      <c r="H126" s="100">
        <f>H115*pricing!H30*2000</f>
        <v>2640752.9582982431</v>
      </c>
      <c r="I126" s="100">
        <f>I115*pricing!I30*2000</f>
        <v>2931322.1089400914</v>
      </c>
      <c r="J126" s="100">
        <f>J115*pricing!J30*2000</f>
        <v>1582396.3872319371</v>
      </c>
      <c r="K126" s="100">
        <f>K115*pricing!K30*2000</f>
        <v>2018499.0372566339</v>
      </c>
      <c r="L126" s="100">
        <f>L115*pricing!L30*2000</f>
        <v>1961985.0186079128</v>
      </c>
      <c r="M126" s="100">
        <f>M115*pricing!M30*2000</f>
        <v>1274646.2879409387</v>
      </c>
      <c r="N126" s="100">
        <f>N115*pricing!N30*2000</f>
        <v>2536801.1861696178</v>
      </c>
      <c r="O126" s="100">
        <f>O115*pricing!O30*2000</f>
        <v>2024156.6614375601</v>
      </c>
    </row>
    <row r="127" spans="2:15">
      <c r="C127" s="99" t="s">
        <v>278</v>
      </c>
      <c r="D127" s="100">
        <f t="shared" ref="D127:O127" si="1">SUM(D$120:D$126)</f>
        <v>18751630.149075191</v>
      </c>
      <c r="E127" s="100">
        <f t="shared" si="1"/>
        <v>19376037.164255582</v>
      </c>
      <c r="F127" s="100">
        <f t="shared" si="1"/>
        <v>18778325.830509383</v>
      </c>
      <c r="G127" s="100">
        <f t="shared" si="1"/>
        <v>18444420.96981176</v>
      </c>
      <c r="H127" s="100">
        <f t="shared" si="1"/>
        <v>10534328.405134523</v>
      </c>
      <c r="I127" s="100">
        <f t="shared" si="1"/>
        <v>18685604.088563379</v>
      </c>
      <c r="J127" s="100">
        <f t="shared" si="1"/>
        <v>16715182.545235606</v>
      </c>
      <c r="K127" s="100">
        <f t="shared" si="1"/>
        <v>18652072.567218862</v>
      </c>
      <c r="L127" s="100">
        <f t="shared" si="1"/>
        <v>16420904.317186929</v>
      </c>
      <c r="M127" s="100">
        <f t="shared" si="1"/>
        <v>16003705.427166188</v>
      </c>
      <c r="N127" s="100">
        <f t="shared" si="1"/>
        <v>22911856.541604564</v>
      </c>
      <c r="O127" s="100">
        <f t="shared" si="1"/>
        <v>13054340.155390589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179561.49321955556</v>
      </c>
      <c r="E131" s="106">
        <f>SUM(M$6:M$19)+SUM(O$6:O$19)+SUM(Q$6:Q$19)+SUM(S$6:S$19)</f>
        <v>163381.01836175303</v>
      </c>
      <c r="F131" s="106">
        <f>SUM(U$6:U$19)+SUM(W$6:W$19)+SUM(Y$6:Y$19)+SUM(AA$6:AA$19)</f>
        <v>164298.59510344535</v>
      </c>
      <c r="G131" s="106">
        <f>SUM(AC$6:AC$19)+SUM(AE$6:AE$19)+SUM(AG$6:AG$19)+SUM(AI$6:AI$19)</f>
        <v>181278.48481224175</v>
      </c>
      <c r="H131" s="106">
        <f>SUM(AK$6:AK$19)+SUM(AM$6:AM$19)+SUM(AO$6:AO$19)+SUM(AQ$6:AQ$19)</f>
        <v>60021.315145547262</v>
      </c>
      <c r="I131" s="106">
        <f>SUM(AS$6:AS$19)+SUM(AU$6:AU$19)+SUM(AW$6:AW$19)+SUM(AY$6:AY$19)</f>
        <v>166964.47072502389</v>
      </c>
      <c r="J131" s="106">
        <f>SUM(BA$6:BA$19)+SUM(BC$6:BC$19)+SUM(BE$6:BE$19)+SUM(BG$6:BG$19)</f>
        <v>158846.09486870255</v>
      </c>
      <c r="K131" s="106">
        <f>SUM(BI$6:BI$19)+SUM(BK$6:BK$19)+SUM(BM$6:BM$19)+SUM(BO$6:BO$19)</f>
        <v>194542.49079921292</v>
      </c>
      <c r="L131" s="106">
        <f>SUM(BQ$6:BQ$19)+SUM(BS$6:BS$19)+SUM(BU$6:BU$19)+SUM(BW$6:BW$19)</f>
        <v>144154.84420518629</v>
      </c>
      <c r="M131" s="106">
        <f>SUM(BY$6:BY$19)+SUM(CA$6:CA$19)+SUM(CC$6:CC$19)+SUM(CE$6:CE$19)</f>
        <v>145431.18346996623</v>
      </c>
      <c r="N131" s="106">
        <f>SUM(CG$6:CG$19)+SUM(CI$6:CI$19)+SUM(CK$6:CK$19)+SUM(CM$6:CM$19)</f>
        <v>265445.51717759244</v>
      </c>
      <c r="O131" s="106">
        <f>SUM(CO$6:CO$19)+SUM(CQ$6:CQ$19)+SUM(CS$6:CS$19)+SUM(CU$6:CU$19)</f>
        <v>95441.942001853167</v>
      </c>
    </row>
    <row r="132" spans="2:15">
      <c r="C132" s="105" t="s">
        <v>127</v>
      </c>
      <c r="D132" s="106">
        <f>SUM(E$20:E$36)+SUM(G$20:G$36)+SUM(I$20:I$36)+SUM(K$20:K$36)</f>
        <v>334550.45974745508</v>
      </c>
      <c r="E132" s="106">
        <f>SUM(M$20:M$36)+SUM(O$20:O$36)+SUM(Q$20:Q$36)+SUM(S$20:S$36)</f>
        <v>287577.81718297722</v>
      </c>
      <c r="F132" s="106">
        <f>SUM(U$20:U$36)+SUM(W$20:W$36)+SUM(Y$20:Y$36)+SUM(AA$20:AA$36)</f>
        <v>319348.66231672862</v>
      </c>
      <c r="G132" s="106">
        <f>SUM(AC$20:AC$36)+SUM(AE$20:AE$36)+SUM(AG$20:AG$36)+SUM(AI$20:AI$36)</f>
        <v>277958.66242411133</v>
      </c>
      <c r="H132" s="106">
        <f>SUM(AK$20:AK$36)+SUM(AM$20:AM$36)+SUM(AO$20:AO$36)+SUM(AQ$20:AQ$36)</f>
        <v>98475.992661627213</v>
      </c>
      <c r="I132" s="106">
        <f>SUM(AS$20:AS$36)+SUM(AU$20:AU$36)+SUM(AW$20:AW$36)+SUM(AY$20:AY$36)</f>
        <v>258430.20836309396</v>
      </c>
      <c r="J132" s="106">
        <f>SUM(BA$20:BA$36)+SUM(BC$20:BC$36)+SUM(BE$20:BE$36)+SUM(BG$20:BG$36)</f>
        <v>280345.6973995525</v>
      </c>
      <c r="K132" s="106">
        <f>SUM(BI$20:BI$36)+SUM(BK$20:BK$36)+SUM(BM$20:BM$36)+SUM(BO$20:BO$36)</f>
        <v>310171.71595862153</v>
      </c>
      <c r="L132" s="106">
        <f>SUM(BQ$20:BQ$36)+SUM(BS$20:BS$36)+SUM(BU$20:BU$36)+SUM(BW$20:BW$36)</f>
        <v>267790.38499611564</v>
      </c>
      <c r="M132" s="106">
        <f>SUM(BY$20:BY$36)+SUM(CA$20:CA$36)+SUM(CC$20:CC$36)+SUM(CE$20:CE$36)</f>
        <v>283439.78671672987</v>
      </c>
      <c r="N132" s="106">
        <f>SUM(CG$20:CG$36)+SUM(CI$20:CI$36)+SUM(CK$20:CK$36)+SUM(CM$20:CM$36)</f>
        <v>350464.27676851879</v>
      </c>
      <c r="O132" s="106">
        <f>SUM(CO$20:CO$36)+SUM(CQ$20:CQ$36)+SUM(CS$20:CS$36)+SUM(CU$20:CU$36)</f>
        <v>187790.36260751789</v>
      </c>
    </row>
    <row r="133" spans="2:15">
      <c r="C133" s="105" t="s">
        <v>128</v>
      </c>
      <c r="D133" s="106">
        <f>SUM(E$37:E$48)+SUM(G$37:G$48)+SUM(I$37:I$48)+SUM(K$37:K$48)</f>
        <v>305044.87855812209</v>
      </c>
      <c r="E133" s="106">
        <f>SUM(M$37:M$48)+SUM(O$37:O$48)+SUM(Q$37:Q$48)+SUM(S$37:S$48)</f>
        <v>339731.93173158262</v>
      </c>
      <c r="F133" s="106">
        <f>SUM(U$37:U$48)+SUM(W$37:W$48)+SUM(Y$37:Y$48)+SUM(AA$37:AA$48)</f>
        <v>326845.94349997526</v>
      </c>
      <c r="G133" s="106">
        <f>SUM(AC$37:AC$48)+SUM(AE$37:AE$48)+SUM(AG$37:AG$48)+SUM(AI$37:AI$48)</f>
        <v>262365.70085647155</v>
      </c>
      <c r="H133" s="106">
        <f>SUM(AK$37:AK$48)+SUM(AM$37:AM$48)+SUM(AO$37:AO$48)+SUM(AQ$37:AQ$48)</f>
        <v>103795.69935187662</v>
      </c>
      <c r="I133" s="106">
        <f>SUM(AS$37:AS$48)+SUM(AU$37:AU$48)+SUM(AW$37:AW$48)+SUM(AY$37:AY$48)</f>
        <v>331513.73508050031</v>
      </c>
      <c r="J133" s="106">
        <f>SUM(BA$37:BA$48)+SUM(BC$37:BC$48)+SUM(BE$37:BE$48)+SUM(BG$37:BG$48)</f>
        <v>306621.31138519663</v>
      </c>
      <c r="K133" s="106">
        <f>SUM(BI$37:BI$48)+SUM(BK$37:BK$48)+SUM(BM$37:BM$48)+SUM(BO$37:BO$48)</f>
        <v>316356.36582100193</v>
      </c>
      <c r="L133" s="106">
        <f>SUM(BQ$37:BQ$48)+SUM(BS$37:BS$48)+SUM(BU$37:BU$48)+SUM(BW$37:BW$48)</f>
        <v>242794.34866131321</v>
      </c>
      <c r="M133" s="106">
        <f>SUM(BY$37:BY$48)+SUM(CA$37:CA$48)+SUM(CC$37:CC$48)+SUM(CE$37:CE$48)</f>
        <v>250642.08986364797</v>
      </c>
      <c r="N133" s="106">
        <f>SUM(CG$37:CG$48)+SUM(CI$37:CI$48)+SUM(CK$37:CK$48)+SUM(CM$37:CM$48)</f>
        <v>384420.43017737637</v>
      </c>
      <c r="O133" s="106">
        <f>SUM(CO$37:CO$48)+SUM(CQ$37:CQ$48)+SUM(CS$37:CS$48)+SUM(CU$37:CU$48)</f>
        <v>198591.5186038661</v>
      </c>
    </row>
    <row r="134" spans="2:15">
      <c r="C134" s="105" t="s">
        <v>129</v>
      </c>
      <c r="D134" s="106">
        <f>SUM(E$49:E$70)+SUM(G$49:G$70)+SUM(I$49:I$70)+SUM(K$49:K$70)</f>
        <v>374076.61605330778</v>
      </c>
      <c r="E134" s="106">
        <f>SUM(M$49:M$70)+SUM(O$49:O$70)+SUM(Q$49:Q$70)+SUM(S$49:S$70)</f>
        <v>375667.04795344366</v>
      </c>
      <c r="F134" s="106">
        <f>SUM(U$49:U$70)+SUM(W$49:W$70)+SUM(Y$49:Y$70)+SUM(AA$49:AA$70)</f>
        <v>313157.15739260119</v>
      </c>
      <c r="G134" s="106">
        <f>SUM(AC$49:AC$70)+SUM(AE$49:AE$70)+SUM(AG$49:AG$70)+SUM(AI$49:AI$70)</f>
        <v>365807.29410922434</v>
      </c>
      <c r="H134" s="106">
        <f>SUM(AK$49:AK$70)+SUM(AM$49:AM$70)+SUM(AO$49:AO$70)+SUM(AQ$49:AQ$70)</f>
        <v>196623.34485245319</v>
      </c>
      <c r="I134" s="106">
        <f>SUM(AS$49:AS$70)+SUM(AU$49:AU$70)+SUM(AW$49:AW$70)+SUM(AY$49:AY$70)</f>
        <v>345936.92365955812</v>
      </c>
      <c r="J134" s="106">
        <f>SUM(BA$49:BA$70)+SUM(BC$49:BC$70)+SUM(BE$49:BE$70)+SUM(BG$49:BG$70)</f>
        <v>301946.02483550954</v>
      </c>
      <c r="K134" s="106">
        <f>SUM(BI$49:BI$70)+SUM(BK$49:BK$70)+SUM(BM$49:BM$70)+SUM(BO$49:BO$70)</f>
        <v>357519.82319713838</v>
      </c>
      <c r="L134" s="106">
        <f>SUM(BQ$49:BQ$70)+SUM(BS$49:BS$70)+SUM(BU$49:BU$70)+SUM(BW$49:BW$70)</f>
        <v>270127.12588854734</v>
      </c>
      <c r="M134" s="106">
        <f>SUM(BY$49:BY$70)+SUM(CA$49:CA$70)+SUM(CC$49:CC$70)+SUM(CE$49:CE$70)</f>
        <v>289906.87509653613</v>
      </c>
      <c r="N134" s="106">
        <f>SUM(CG$49:CG$70)+SUM(CI$49:CI$70)+SUM(CK$49:CK$70)+SUM(CM$49:CM$70)</f>
        <v>432439.02425009257</v>
      </c>
      <c r="O134" s="106">
        <f>SUM(CO$49:CO$70)+SUM(CQ$49:CQ$70)+SUM(CS$49:CS$70)+SUM(CU$49:CU$70)</f>
        <v>197081.90107884296</v>
      </c>
    </row>
    <row r="135" spans="2:15">
      <c r="C135" s="105" t="s">
        <v>130</v>
      </c>
      <c r="D135" s="106">
        <f>SUM(E$71:E$86)+SUM(G$71:G$86)+SUM(I$71:I$86)+SUM(K$71:K$86)</f>
        <v>156324.67333616756</v>
      </c>
      <c r="E135" s="106">
        <f>SUM(M$71:M$86)+SUM(O$71:O$86)+SUM(Q$71:Q$86)+SUM(S$71:S$86)</f>
        <v>152012.4</v>
      </c>
      <c r="F135" s="106">
        <f>SUM(U$71:U$86)+SUM(W$71:W$86)+SUM(Y$71:Y$86)+SUM(AA$71:AA$86)</f>
        <v>181365.6</v>
      </c>
      <c r="G135" s="106">
        <f>SUM(AC$71:AC$86)+SUM(AE$71:AE$86)+SUM(AG$71:AG$86)+SUM(AI$71:AI$86)</f>
        <v>147286.99415308557</v>
      </c>
      <c r="H135" s="106">
        <f>SUM(AK$71:AK$86)+SUM(AM$71:AM$86)+SUM(AO$71:AO$86)+SUM(AQ$71:AQ$86)</f>
        <v>111940.83563038298</v>
      </c>
      <c r="I135" s="106">
        <f>SUM(AS$71:AS$86)+SUM(AU$71:AU$86)+SUM(AW$71:AW$86)+SUM(AY$71:AY$86)</f>
        <v>148310.84922940625</v>
      </c>
      <c r="J135" s="106">
        <f>SUM(BA$71:BA$86)+SUM(BC$71:BC$86)+SUM(BE$71:BE$86)+SUM(BG$71:BG$86)</f>
        <v>137234.13518424434</v>
      </c>
      <c r="K135" s="106">
        <f>SUM(BI$71:BI$86)+SUM(BK$71:BK$86)+SUM(BM$71:BM$86)+SUM(BO$71:BO$86)</f>
        <v>124588.50222441557</v>
      </c>
      <c r="L135" s="106">
        <f>SUM(BQ$71:BQ$86)+SUM(BS$71:BS$86)+SUM(BU$71:BU$86)+SUM(BW$71:BW$86)</f>
        <v>163678.79999999999</v>
      </c>
      <c r="M135" s="106">
        <f>SUM(BY$71:BY$86)+SUM(CA$71:CA$86)+SUM(CC$71:CC$86)+SUM(CE$71:CE$86)</f>
        <v>171372.65823612781</v>
      </c>
      <c r="N135" s="106">
        <f>SUM(CG$71:CG$86)+SUM(CI$71:CI$86)+SUM(CK$71:CK$86)+SUM(CM$71:CM$86)</f>
        <v>176899.20000000001</v>
      </c>
      <c r="O135" s="106">
        <f>SUM(CO$71:CO$86)+SUM(CQ$71:CQ$86)+SUM(CS$71:CS$86)+SUM(CU$71:CU$86)</f>
        <v>152474.22524010422</v>
      </c>
    </row>
    <row r="136" spans="2:15">
      <c r="C136" s="105" t="s">
        <v>131</v>
      </c>
      <c r="D136" s="106">
        <f>SUM(E$87:E$94)+SUM(G$87:G$94)+SUM(I$87:I$94)+SUM(K$87:K$94)</f>
        <v>85615.843027604831</v>
      </c>
      <c r="E136" s="106">
        <f>SUM(M$87:M$94)+SUM(O$87:O$94)+SUM(Q$87:Q$94)+SUM(S$87:S$94)</f>
        <v>160072.39972437834</v>
      </c>
      <c r="F136" s="106">
        <f>SUM(U$87:U$94)+SUM(W$87:W$94)+SUM(Y$87:Y$94)+SUM(AA$87:AA$94)</f>
        <v>137495.76311756833</v>
      </c>
      <c r="G136" s="106">
        <f>SUM(AC$87:AC$94)+SUM(AE$87:AE$94)+SUM(AG$87:AG$94)+SUM(AI$87:AI$94)</f>
        <v>172237.2</v>
      </c>
      <c r="H136" s="106">
        <f>SUM(AK$87:AK$94)+SUM(AM$87:AM$94)+SUM(AO$87:AO$94)+SUM(AQ$87:AQ$94)</f>
        <v>177978.47129229634</v>
      </c>
      <c r="I136" s="106">
        <f>SUM(AS$87:AS$94)+SUM(AU$87:AU$94)+SUM(AW$87:AW$94)+SUM(AY$87:AY$94)</f>
        <v>153960.92730946199</v>
      </c>
      <c r="J136" s="106">
        <f>SUM(BA$87:BA$94)+SUM(BC$87:BC$94)+SUM(BE$87:BE$94)+SUM(BG$87:BG$94)</f>
        <v>128516.97237123035</v>
      </c>
      <c r="K136" s="106">
        <f>SUM(BI$87:BI$94)+SUM(BK$87:BK$94)+SUM(BM$87:BM$94)+SUM(BO$87:BO$94)</f>
        <v>126505.71292071711</v>
      </c>
      <c r="L136" s="106">
        <f>SUM(BQ$87:BQ$94)+SUM(BS$87:BS$94)+SUM(BU$87:BU$94)+SUM(BW$87:BW$94)</f>
        <v>160302.29215749924</v>
      </c>
      <c r="M136" s="106">
        <f>SUM(BY$87:BY$94)+SUM(CA$87:CA$94)+SUM(CC$87:CC$94)+SUM(CE$87:CE$94)</f>
        <v>98404.939013794137</v>
      </c>
      <c r="N136" s="106">
        <f>SUM(CG$87:CG$94)+SUM(CI$87:CI$94)+SUM(CK$87:CK$94)+SUM(CM$87:CM$94)</f>
        <v>141944.86390917061</v>
      </c>
      <c r="O136" s="106">
        <f>SUM(CO$87:CO$94)+SUM(CQ$87:CQ$94)+SUM(CS$87:CS$94)+SUM(CU$87:CU$94)</f>
        <v>139469.47752004044</v>
      </c>
    </row>
    <row r="137" spans="2:15">
      <c r="C137" s="105" t="s">
        <v>132</v>
      </c>
      <c r="D137" s="106">
        <f>SUM(E$95:E$105)+SUM(G$95:G$105)+SUM(I$95:I$105)+SUM(K$95:K$105)</f>
        <v>180743.64195199497</v>
      </c>
      <c r="E137" s="106">
        <f>SUM(M$95:M$105)+SUM(O$95:O$105)+SUM(Q$95:Q$105)+SUM(S$95:S$105)</f>
        <v>291214.02407230542</v>
      </c>
      <c r="F137" s="106">
        <f>SUM(U$95:U$105)+SUM(W$95:W$105)+SUM(Y$95:Y$105)+SUM(AA$95:AA$105)</f>
        <v>209291.46785524325</v>
      </c>
      <c r="G137" s="106">
        <f>SUM(AC$95:AC$105)+SUM(AE$95:AE$105)+SUM(AG$95:AG$105)+SUM(AI$95:AI$105)</f>
        <v>247326.40547348181</v>
      </c>
      <c r="H137" s="106">
        <f>SUM(AK$95:AK$105)+SUM(AM$95:AM$105)+SUM(AO$95:AO$105)+SUM(AQ$95:AQ$105)</f>
        <v>277193.37286218983</v>
      </c>
      <c r="I137" s="106">
        <f>SUM(AS$95:AS$105)+SUM(AU$95:AU$105)+SUM(AW$95:AW$105)+SUM(AY$95:AY$105)</f>
        <v>307116.67909936333</v>
      </c>
      <c r="J137" s="106">
        <f>SUM(BA$95:BA$105)+SUM(BC$95:BC$105)+SUM(BE$95:BE$105)+SUM(BG$95:BG$105)</f>
        <v>167854.76309538027</v>
      </c>
      <c r="K137" s="106">
        <f>SUM(BI$95:BI$105)+SUM(BK$95:BK$105)+SUM(BM$95:BM$105)+SUM(BO$95:BO$105)</f>
        <v>213706.94471120986</v>
      </c>
      <c r="L137" s="106">
        <f>SUM(BQ$95:BQ$105)+SUM(BS$95:BS$105)+SUM(BU$95:BU$105)+SUM(BW$95:BW$105)</f>
        <v>209720.5950838236</v>
      </c>
      <c r="M137" s="106">
        <f>SUM(BY$95:BY$105)+SUM(CA$95:CA$105)+SUM(CC$95:CC$105)+SUM(CE$95:CE$105)</f>
        <v>136215.60830179416</v>
      </c>
      <c r="N137" s="106">
        <f>SUM(CG$95:CG$105)+SUM(CI$95:CI$105)+SUM(CK$95:CK$105)+SUM(CM$95:CM$105)</f>
        <v>271167.17077511165</v>
      </c>
      <c r="O137" s="106">
        <f>SUM(CO$95:CO$105)+SUM(CQ$95:CQ$105)+SUM(CS$95:CS$105)+SUM(CU$95:CU$105)</f>
        <v>218381.53864295688</v>
      </c>
    </row>
    <row r="138" spans="2:15">
      <c r="C138" s="105" t="s">
        <v>278</v>
      </c>
      <c r="D138" s="100">
        <f t="shared" ref="D138:O138" si="2">SUM(D$131:D$137)</f>
        <v>1615917.6058942077</v>
      </c>
      <c r="E138" s="100">
        <f t="shared" si="2"/>
        <v>1769656.6390264402</v>
      </c>
      <c r="F138" s="100">
        <f t="shared" si="2"/>
        <v>1651803.1892855621</v>
      </c>
      <c r="G138" s="100">
        <f t="shared" si="2"/>
        <v>1654260.7418286165</v>
      </c>
      <c r="H138" s="100">
        <f t="shared" si="2"/>
        <v>1026029.0317963734</v>
      </c>
      <c r="I138" s="100">
        <f t="shared" si="2"/>
        <v>1712233.7934664078</v>
      </c>
      <c r="J138" s="100">
        <f t="shared" si="2"/>
        <v>1481364.999139816</v>
      </c>
      <c r="K138" s="100">
        <f t="shared" si="2"/>
        <v>1643391.5556323174</v>
      </c>
      <c r="L138" s="100">
        <f t="shared" si="2"/>
        <v>1458568.3909924852</v>
      </c>
      <c r="M138" s="100">
        <f t="shared" si="2"/>
        <v>1375413.1406985964</v>
      </c>
      <c r="N138" s="100">
        <f t="shared" si="2"/>
        <v>2022780.4830578626</v>
      </c>
      <c r="O138" s="100">
        <f t="shared" si="2"/>
        <v>1189230.9656951819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8</v>
      </c>
      <c r="E6" s="100">
        <v>4627.2</v>
      </c>
      <c r="F6" s="100">
        <v>6.6129002353795556</v>
      </c>
      <c r="G6" s="100">
        <v>3824.901496143535</v>
      </c>
      <c r="H6" s="100">
        <v>5.3035935277529989</v>
      </c>
      <c r="I6" s="100">
        <v>3067.5984964523345</v>
      </c>
      <c r="J6" s="100">
        <v>6.4680692815299726E-4</v>
      </c>
      <c r="K6" s="100">
        <v>0.37411312724369361</v>
      </c>
      <c r="L6" s="100">
        <v>10.9620481114217</v>
      </c>
      <c r="M6" s="100">
        <v>6340.4486276463113</v>
      </c>
      <c r="N6" s="100">
        <v>6</v>
      </c>
      <c r="O6" s="100">
        <v>3470.3999999999996</v>
      </c>
      <c r="P6" s="100">
        <v>5</v>
      </c>
      <c r="Q6" s="100">
        <v>2892</v>
      </c>
      <c r="R6" s="100">
        <v>9</v>
      </c>
      <c r="S6" s="100">
        <v>5205.5999999999995</v>
      </c>
      <c r="T6" s="100">
        <v>1.8709596917190399</v>
      </c>
      <c r="U6" s="100">
        <v>1082.1630856902925</v>
      </c>
      <c r="V6" s="100">
        <v>5.7448530638687796</v>
      </c>
      <c r="W6" s="100">
        <v>3322.8230121417018</v>
      </c>
      <c r="X6" s="100">
        <v>7</v>
      </c>
      <c r="Y6" s="100">
        <v>4048.7999999999997</v>
      </c>
      <c r="Z6" s="100">
        <v>1.3267139923738571</v>
      </c>
      <c r="AA6" s="100">
        <v>767.37137318903888</v>
      </c>
      <c r="AB6" s="100">
        <v>1.7461501978683132</v>
      </c>
      <c r="AC6" s="100">
        <v>1009.9732744470323</v>
      </c>
      <c r="AD6" s="100">
        <v>7.706282062285652</v>
      </c>
      <c r="AE6" s="100">
        <v>4457.3135448260209</v>
      </c>
      <c r="AF6" s="100">
        <v>9</v>
      </c>
      <c r="AG6" s="100">
        <v>5205.5999999999995</v>
      </c>
      <c r="AH6" s="100">
        <v>0.80364978542307375</v>
      </c>
      <c r="AI6" s="100">
        <v>464.83103588870586</v>
      </c>
      <c r="AJ6" s="100">
        <v>6.7769502904659659E-4</v>
      </c>
      <c r="AK6" s="100">
        <v>0.39197880480055147</v>
      </c>
      <c r="AL6" s="100">
        <v>4.5031465720095571E-4</v>
      </c>
      <c r="AM6" s="100">
        <v>0.26046199772503276</v>
      </c>
      <c r="AN6" s="100">
        <v>2.0977661683216922</v>
      </c>
      <c r="AO6" s="100">
        <v>1213.3479517572666</v>
      </c>
      <c r="AP6" s="100">
        <v>6.0373201082692463</v>
      </c>
      <c r="AQ6" s="100">
        <v>3491.9859506229318</v>
      </c>
      <c r="AR6" s="100">
        <v>5</v>
      </c>
      <c r="AS6" s="100">
        <v>2892</v>
      </c>
      <c r="AT6" s="100">
        <v>5.553798759645753</v>
      </c>
      <c r="AU6" s="100">
        <v>3212.3172025791032</v>
      </c>
      <c r="AV6" s="100">
        <v>1.9661021438211137</v>
      </c>
      <c r="AW6" s="100">
        <v>1137.1934799861322</v>
      </c>
      <c r="AX6" s="100">
        <v>6.0459715340310982</v>
      </c>
      <c r="AY6" s="100">
        <v>3496.9899352835869</v>
      </c>
      <c r="AZ6" s="100">
        <v>9.7484409132747114</v>
      </c>
      <c r="BA6" s="100">
        <v>5638.4982242380929</v>
      </c>
      <c r="BB6" s="100">
        <v>0.18711560843109171</v>
      </c>
      <c r="BC6" s="100">
        <v>108.22766791654344</v>
      </c>
      <c r="BD6" s="100">
        <v>7.6555634829708836</v>
      </c>
      <c r="BE6" s="100">
        <v>4427.9779185503585</v>
      </c>
      <c r="BF6" s="100">
        <v>9.5378156706300903</v>
      </c>
      <c r="BG6" s="100">
        <v>5516.672583892444</v>
      </c>
      <c r="BH6" s="100">
        <v>5.4787522872960333</v>
      </c>
      <c r="BI6" s="100">
        <v>3168.9103229720254</v>
      </c>
      <c r="BJ6" s="100">
        <v>6.6166191098666056</v>
      </c>
      <c r="BK6" s="100">
        <v>3827.0524931468444</v>
      </c>
      <c r="BL6" s="100">
        <v>6.5576572451082571</v>
      </c>
      <c r="BM6" s="100">
        <v>3792.9489505706156</v>
      </c>
      <c r="BN6" s="100">
        <v>0.26919022535383458</v>
      </c>
      <c r="BO6" s="100">
        <v>155.6996263446579</v>
      </c>
      <c r="BP6" s="100">
        <v>6.1583923763327411</v>
      </c>
      <c r="BQ6" s="100">
        <v>3562.0141504708572</v>
      </c>
      <c r="BR6" s="100">
        <v>9.7003073082720093</v>
      </c>
      <c r="BS6" s="100">
        <v>5610.6577471045302</v>
      </c>
      <c r="BT6" s="100">
        <v>1.9749638423776112</v>
      </c>
      <c r="BU6" s="100">
        <v>1142.3190864312103</v>
      </c>
      <c r="BV6" s="100">
        <v>0.24055122919314739</v>
      </c>
      <c r="BW6" s="100">
        <v>139.13483096531644</v>
      </c>
      <c r="BX6" s="100">
        <v>7.2215869688374594</v>
      </c>
      <c r="BY6" s="100">
        <v>4176.9659027755861</v>
      </c>
      <c r="BZ6" s="100">
        <v>6</v>
      </c>
      <c r="CA6" s="100">
        <v>3470.3999999999996</v>
      </c>
      <c r="CB6" s="100">
        <v>7</v>
      </c>
      <c r="CC6" s="100">
        <v>4048.7999999999997</v>
      </c>
      <c r="CD6" s="100">
        <v>5.5956961689185807</v>
      </c>
      <c r="CE6" s="100">
        <v>3236.5506641025067</v>
      </c>
      <c r="CF6" s="100">
        <v>1.6375958134463073</v>
      </c>
      <c r="CG6" s="100">
        <v>947.18541849734413</v>
      </c>
      <c r="CH6" s="100">
        <v>8</v>
      </c>
      <c r="CI6" s="100">
        <v>4627.2</v>
      </c>
      <c r="CJ6" s="100">
        <v>5.2990994269445757</v>
      </c>
      <c r="CK6" s="100">
        <v>3064.9991085447423</v>
      </c>
      <c r="CL6" s="100">
        <v>8.3854915564640535</v>
      </c>
      <c r="CM6" s="100">
        <v>4850.1683162588088</v>
      </c>
      <c r="CN6" s="100">
        <v>4.8595554320293765E-4</v>
      </c>
      <c r="CO6" s="100">
        <v>0.28107668618857912</v>
      </c>
      <c r="CP6" s="100">
        <v>2.0221927048504384</v>
      </c>
      <c r="CQ6" s="100">
        <v>1169.6362604854935</v>
      </c>
      <c r="CR6" s="100">
        <v>9.0647275600087163</v>
      </c>
      <c r="CS6" s="100">
        <v>5243.038420709041</v>
      </c>
      <c r="CT6" s="100">
        <v>8</v>
      </c>
      <c r="CU6" s="100">
        <v>4627.2</v>
      </c>
    </row>
    <row r="7" spans="1:99">
      <c r="C7" s="99" t="s">
        <v>173</v>
      </c>
      <c r="D7" s="100">
        <v>8</v>
      </c>
      <c r="E7" s="100">
        <v>6307.2</v>
      </c>
      <c r="F7" s="100">
        <v>7.4395127648020001</v>
      </c>
      <c r="G7" s="100">
        <v>5865.3118637698963</v>
      </c>
      <c r="H7" s="100">
        <v>5.3035935277529989</v>
      </c>
      <c r="I7" s="100">
        <v>4181.3531372804646</v>
      </c>
      <c r="J7" s="100">
        <v>6.4680692815299726E-4</v>
      </c>
      <c r="K7" s="100">
        <v>0.509942582155823</v>
      </c>
      <c r="L7" s="100">
        <v>9.9620481114216997</v>
      </c>
      <c r="M7" s="100">
        <v>7854.0787310448677</v>
      </c>
      <c r="N7" s="100">
        <v>6</v>
      </c>
      <c r="O7" s="100">
        <v>4730.3999999999996</v>
      </c>
      <c r="P7" s="100">
        <v>6</v>
      </c>
      <c r="Q7" s="100">
        <v>4730.3999999999996</v>
      </c>
      <c r="R7" s="100">
        <v>9</v>
      </c>
      <c r="S7" s="100">
        <v>7095.5999999999995</v>
      </c>
      <c r="T7" s="100">
        <v>1.6036797357591768</v>
      </c>
      <c r="U7" s="100">
        <v>1264.3411036725349</v>
      </c>
      <c r="V7" s="100">
        <v>5.7448530638687796</v>
      </c>
      <c r="W7" s="100">
        <v>4529.2421555541459</v>
      </c>
      <c r="X7" s="100">
        <v>7</v>
      </c>
      <c r="Y7" s="100">
        <v>5518.8</v>
      </c>
      <c r="Z7" s="100">
        <v>1.4741266581931745</v>
      </c>
      <c r="AA7" s="100">
        <v>1162.2014573194988</v>
      </c>
      <c r="AB7" s="100">
        <v>1.9735506037469892</v>
      </c>
      <c r="AC7" s="100">
        <v>1555.9472959941263</v>
      </c>
      <c r="AD7" s="100">
        <v>7.565025649828522</v>
      </c>
      <c r="AE7" s="100">
        <v>5964.2662223248062</v>
      </c>
      <c r="AF7" s="100">
        <v>10</v>
      </c>
      <c r="AG7" s="100">
        <v>7884</v>
      </c>
      <c r="AH7" s="100">
        <v>0.80364978542307375</v>
      </c>
      <c r="AI7" s="100">
        <v>633.59749082755127</v>
      </c>
      <c r="AJ7" s="100">
        <v>4.840691263330856E-4</v>
      </c>
      <c r="AK7" s="100">
        <v>0.38164009920100467</v>
      </c>
      <c r="AL7" s="100">
        <v>4.5031465720095571E-4</v>
      </c>
      <c r="AM7" s="100">
        <v>0.35502807573723349</v>
      </c>
      <c r="AN7" s="100">
        <v>2.3308387236730401</v>
      </c>
      <c r="AO7" s="100">
        <v>1837.6332497438248</v>
      </c>
      <c r="AP7" s="100">
        <v>7.1669851218029024</v>
      </c>
      <c r="AQ7" s="100">
        <v>5650.4510700294077</v>
      </c>
      <c r="AR7" s="100">
        <v>6</v>
      </c>
      <c r="AS7" s="100">
        <v>4730.3999999999996</v>
      </c>
      <c r="AT7" s="100">
        <v>5.553798759645753</v>
      </c>
      <c r="AU7" s="100">
        <v>4378.6149421047112</v>
      </c>
      <c r="AV7" s="100">
        <v>1.9240872196827528</v>
      </c>
      <c r="AW7" s="100">
        <v>1516.9503639978823</v>
      </c>
      <c r="AX7" s="100">
        <v>6.1621905933678871</v>
      </c>
      <c r="AY7" s="100">
        <v>4858.2710638112421</v>
      </c>
      <c r="AZ7" s="100">
        <v>7.9759971108611269</v>
      </c>
      <c r="BA7" s="100">
        <v>6288.2761222029121</v>
      </c>
      <c r="BB7" s="100">
        <v>0.15873964780562863</v>
      </c>
      <c r="BC7" s="100">
        <v>125.15033832995761</v>
      </c>
      <c r="BD7" s="100">
        <v>6.9560635522312255</v>
      </c>
      <c r="BE7" s="100">
        <v>5484.1605045790984</v>
      </c>
      <c r="BF7" s="100">
        <v>10.53781567063009</v>
      </c>
      <c r="BG7" s="100">
        <v>8308.0138747247638</v>
      </c>
      <c r="BH7" s="100">
        <v>5.4787522872960333</v>
      </c>
      <c r="BI7" s="100">
        <v>4319.4483033041925</v>
      </c>
      <c r="BJ7" s="100">
        <v>5.881439208770316</v>
      </c>
      <c r="BK7" s="100">
        <v>4636.9266721945169</v>
      </c>
      <c r="BL7" s="100">
        <v>7.237812362542007</v>
      </c>
      <c r="BM7" s="100">
        <v>5706.2912666281181</v>
      </c>
      <c r="BN7" s="100">
        <v>0.29858421049977962</v>
      </c>
      <c r="BO7" s="100">
        <v>235.40379155802626</v>
      </c>
      <c r="BP7" s="100">
        <v>5.1583923763327411</v>
      </c>
      <c r="BQ7" s="100">
        <v>4066.8765495007328</v>
      </c>
      <c r="BR7" s="100">
        <v>8.7302765774448083</v>
      </c>
      <c r="BS7" s="100">
        <v>6882.9500536574869</v>
      </c>
      <c r="BT7" s="100">
        <v>1.6053699619737443</v>
      </c>
      <c r="BU7" s="100">
        <v>1265.6736780200999</v>
      </c>
      <c r="BV7" s="100">
        <v>0.24055122919314739</v>
      </c>
      <c r="BW7" s="100">
        <v>189.65058909587739</v>
      </c>
      <c r="BX7" s="100">
        <v>8.2462077431527323</v>
      </c>
      <c r="BY7" s="100">
        <v>6501.3101847016142</v>
      </c>
      <c r="BZ7" s="100">
        <v>6</v>
      </c>
      <c r="CA7" s="100">
        <v>4730.3999999999996</v>
      </c>
      <c r="CB7" s="100">
        <v>7</v>
      </c>
      <c r="CC7" s="100">
        <v>5518.8</v>
      </c>
      <c r="CD7" s="100">
        <v>5.5956961689185807</v>
      </c>
      <c r="CE7" s="100">
        <v>4411.6468595754086</v>
      </c>
      <c r="CF7" s="100">
        <v>1.8203438348518957</v>
      </c>
      <c r="CG7" s="100">
        <v>1435.1590793972346</v>
      </c>
      <c r="CH7" s="100">
        <v>10</v>
      </c>
      <c r="CI7" s="100">
        <v>7884</v>
      </c>
      <c r="CJ7" s="100">
        <v>6.0561136307938011</v>
      </c>
      <c r="CK7" s="100">
        <v>4774.6399865178328</v>
      </c>
      <c r="CL7" s="100">
        <v>8.3854915564640535</v>
      </c>
      <c r="CM7" s="100">
        <v>6611.12154311626</v>
      </c>
      <c r="CN7" s="100">
        <v>4.8492131515535377E-4</v>
      </c>
      <c r="CO7" s="100">
        <v>0.3823119648684809</v>
      </c>
      <c r="CP7" s="100">
        <v>1.8199821406110821</v>
      </c>
      <c r="CQ7" s="100">
        <v>1434.8739196577772</v>
      </c>
      <c r="CR7" s="100">
        <v>10.197818505009806</v>
      </c>
      <c r="CS7" s="100">
        <v>8039.9601093497313</v>
      </c>
      <c r="CT7" s="100">
        <v>7</v>
      </c>
      <c r="CU7" s="100">
        <v>5518.8</v>
      </c>
    </row>
    <row r="8" spans="1:99">
      <c r="C8" s="99" t="s">
        <v>174</v>
      </c>
      <c r="D8" s="100">
        <v>7</v>
      </c>
      <c r="E8" s="100">
        <v>2167.1999999999998</v>
      </c>
      <c r="F8" s="100">
        <v>7.4395127648020001</v>
      </c>
      <c r="G8" s="100">
        <v>2303.2731519826989</v>
      </c>
      <c r="H8" s="100">
        <v>4.4196612731274989</v>
      </c>
      <c r="I8" s="100">
        <v>1368.3271301602736</v>
      </c>
      <c r="J8" s="100">
        <v>5.7795619945736232E-4</v>
      </c>
      <c r="K8" s="100">
        <v>0.17893523935199934</v>
      </c>
      <c r="L8" s="100">
        <v>9.9620481114216997</v>
      </c>
      <c r="M8" s="100">
        <v>3084.2500952961577</v>
      </c>
      <c r="N8" s="100">
        <v>6</v>
      </c>
      <c r="O8" s="100">
        <v>1857.6</v>
      </c>
      <c r="P8" s="100">
        <v>5</v>
      </c>
      <c r="Q8" s="100">
        <v>1547.9999999999998</v>
      </c>
      <c r="R8" s="100">
        <v>9</v>
      </c>
      <c r="S8" s="100">
        <v>2786.3999999999996</v>
      </c>
      <c r="T8" s="100">
        <v>1.8709596917190399</v>
      </c>
      <c r="U8" s="100">
        <v>579.24912055621473</v>
      </c>
      <c r="V8" s="100">
        <v>6.7448530638687796</v>
      </c>
      <c r="W8" s="100">
        <v>2088.206508573774</v>
      </c>
      <c r="X8" s="100">
        <v>6</v>
      </c>
      <c r="Y8" s="100">
        <v>1857.6</v>
      </c>
      <c r="Z8" s="100">
        <v>1.4741266581931745</v>
      </c>
      <c r="AA8" s="100">
        <v>456.38961337660675</v>
      </c>
      <c r="AB8" s="100">
        <v>1.7461501978683132</v>
      </c>
      <c r="AC8" s="100">
        <v>540.60810126002968</v>
      </c>
      <c r="AD8" s="100">
        <v>7.706282062285652</v>
      </c>
      <c r="AE8" s="100">
        <v>2385.8649264836376</v>
      </c>
      <c r="AF8" s="100">
        <v>9</v>
      </c>
      <c r="AG8" s="100">
        <v>2786.3999999999996</v>
      </c>
      <c r="AH8" s="100">
        <v>0.70319356224518947</v>
      </c>
      <c r="AI8" s="100">
        <v>217.70872687111063</v>
      </c>
      <c r="AJ8" s="100">
        <v>5.8088256319531982E-4</v>
      </c>
      <c r="AK8" s="100">
        <v>0.17984124156527101</v>
      </c>
      <c r="AL8" s="100">
        <v>5.403770863838265E-4</v>
      </c>
      <c r="AM8" s="100">
        <v>0.16730074594443267</v>
      </c>
      <c r="AN8" s="100">
        <v>2.3308400485402712</v>
      </c>
      <c r="AO8" s="100">
        <v>721.62807902806787</v>
      </c>
      <c r="AP8" s="100">
        <v>7.1669851218029024</v>
      </c>
      <c r="AQ8" s="100">
        <v>2218.8985937101784</v>
      </c>
      <c r="AR8" s="100">
        <v>6</v>
      </c>
      <c r="AS8" s="100">
        <v>1857.6</v>
      </c>
      <c r="AT8" s="100">
        <v>6.3471985824522896</v>
      </c>
      <c r="AU8" s="100">
        <v>1965.0926811272286</v>
      </c>
      <c r="AV8" s="100">
        <v>1.7345603615980134</v>
      </c>
      <c r="AW8" s="100">
        <v>537.01988795074487</v>
      </c>
      <c r="AX8" s="100">
        <v>6.278409652704676</v>
      </c>
      <c r="AY8" s="100">
        <v>1943.7956284773675</v>
      </c>
      <c r="AZ8" s="100">
        <v>8.8622190120679178</v>
      </c>
      <c r="BA8" s="100">
        <v>2743.743006136227</v>
      </c>
      <c r="BB8" s="100">
        <v>0.21830154316960698</v>
      </c>
      <c r="BC8" s="100">
        <v>67.586157765310318</v>
      </c>
      <c r="BD8" s="100">
        <v>7.7493937038615961</v>
      </c>
      <c r="BE8" s="100">
        <v>2399.2122907155499</v>
      </c>
      <c r="BF8" s="100">
        <v>9.5378156706300903</v>
      </c>
      <c r="BG8" s="100">
        <v>2952.9077316270755</v>
      </c>
      <c r="BH8" s="100">
        <v>5.4787522872960333</v>
      </c>
      <c r="BI8" s="100">
        <v>1696.2217081468516</v>
      </c>
      <c r="BJ8" s="100">
        <v>6.6166191098666056</v>
      </c>
      <c r="BK8" s="100">
        <v>2048.5052764147008</v>
      </c>
      <c r="BL8" s="100">
        <v>6.5798294204927341</v>
      </c>
      <c r="BM8" s="100">
        <v>2037.1151885845502</v>
      </c>
      <c r="BN8" s="100">
        <v>0.26919022535383458</v>
      </c>
      <c r="BO8" s="100">
        <v>83.341293769547178</v>
      </c>
      <c r="BP8" s="100">
        <v>5.1583923763327411</v>
      </c>
      <c r="BQ8" s="100">
        <v>1597.0382797126165</v>
      </c>
      <c r="BR8" s="100">
        <v>10.670338039099212</v>
      </c>
      <c r="BS8" s="100">
        <v>3303.5366569051157</v>
      </c>
      <c r="BT8" s="100">
        <v>1.7944000501876203</v>
      </c>
      <c r="BU8" s="100">
        <v>555.54625553808717</v>
      </c>
      <c r="BV8" s="100">
        <v>0.27040798966370699</v>
      </c>
      <c r="BW8" s="100">
        <v>83.718313599883672</v>
      </c>
      <c r="BX8" s="100">
        <v>8.2215869688374603</v>
      </c>
      <c r="BY8" s="100">
        <v>2545.4033255520776</v>
      </c>
      <c r="BZ8" s="100">
        <v>5</v>
      </c>
      <c r="CA8" s="100">
        <v>1547.9999999999998</v>
      </c>
      <c r="CB8" s="100">
        <v>7</v>
      </c>
      <c r="CC8" s="100">
        <v>2167.1999999999998</v>
      </c>
      <c r="CD8" s="100">
        <v>6.5283121970716769</v>
      </c>
      <c r="CE8" s="100">
        <v>2021.1654562133908</v>
      </c>
      <c r="CF8" s="100">
        <v>1.8132074556479074</v>
      </c>
      <c r="CG8" s="100">
        <v>561.36902826859205</v>
      </c>
      <c r="CH8" s="100">
        <v>9.6002891062344524</v>
      </c>
      <c r="CI8" s="100">
        <v>2972.2495072901861</v>
      </c>
      <c r="CJ8" s="100">
        <v>6.0561136307938011</v>
      </c>
      <c r="CK8" s="100">
        <v>1874.9727800937605</v>
      </c>
      <c r="CL8" s="100">
        <v>7.6231741422400487</v>
      </c>
      <c r="CM8" s="100">
        <v>2360.1347144375191</v>
      </c>
      <c r="CN8" s="100">
        <v>5.4476080851408525E-4</v>
      </c>
      <c r="CO8" s="100">
        <v>0.16865794631596079</v>
      </c>
      <c r="CP8" s="100">
        <v>2.2244026620758763</v>
      </c>
      <c r="CQ8" s="100">
        <v>688.67506417869129</v>
      </c>
      <c r="CR8" s="100">
        <v>10.064727560008716</v>
      </c>
      <c r="CS8" s="100">
        <v>3116.0396525786982</v>
      </c>
      <c r="CT8" s="100">
        <v>8</v>
      </c>
      <c r="CU8" s="100">
        <v>2476.7999999999997</v>
      </c>
    </row>
    <row r="9" spans="1:99">
      <c r="C9" s="99" t="s">
        <v>175</v>
      </c>
      <c r="D9" s="100">
        <v>8</v>
      </c>
      <c r="E9" s="100">
        <v>5616</v>
      </c>
      <c r="F9" s="100">
        <v>7.4395127648020001</v>
      </c>
      <c r="G9" s="100">
        <v>5222.5379608910043</v>
      </c>
      <c r="H9" s="100">
        <v>5.3035935277529989</v>
      </c>
      <c r="I9" s="100">
        <v>3723.1226564826052</v>
      </c>
      <c r="J9" s="100">
        <v>6.5020072438953271E-4</v>
      </c>
      <c r="K9" s="100">
        <v>0.45644090852145197</v>
      </c>
      <c r="L9" s="100">
        <v>9.9620481114216997</v>
      </c>
      <c r="M9" s="100">
        <v>6993.3577742180332</v>
      </c>
      <c r="N9" s="100">
        <v>6</v>
      </c>
      <c r="O9" s="100">
        <v>4212</v>
      </c>
      <c r="P9" s="100">
        <v>5</v>
      </c>
      <c r="Q9" s="100">
        <v>3510</v>
      </c>
      <c r="R9" s="100">
        <v>8</v>
      </c>
      <c r="S9" s="100">
        <v>5616</v>
      </c>
      <c r="T9" s="100">
        <v>1.6036797357591768</v>
      </c>
      <c r="U9" s="100">
        <v>1125.7831745029421</v>
      </c>
      <c r="V9" s="100">
        <v>5.7448530638687796</v>
      </c>
      <c r="W9" s="100">
        <v>4032.8868508358833</v>
      </c>
      <c r="X9" s="100">
        <v>6</v>
      </c>
      <c r="Y9" s="100">
        <v>4212</v>
      </c>
      <c r="Z9" s="100">
        <v>1.3267139923738571</v>
      </c>
      <c r="AA9" s="100">
        <v>931.35322264644765</v>
      </c>
      <c r="AB9" s="100">
        <v>1.7461501978683132</v>
      </c>
      <c r="AC9" s="100">
        <v>1225.7974389035558</v>
      </c>
      <c r="AD9" s="100">
        <v>7.706282062285652</v>
      </c>
      <c r="AE9" s="100">
        <v>5409.8100077245281</v>
      </c>
      <c r="AF9" s="100">
        <v>9</v>
      </c>
      <c r="AG9" s="100">
        <v>6318</v>
      </c>
      <c r="AH9" s="100">
        <v>0.70319356224518947</v>
      </c>
      <c r="AI9" s="100">
        <v>493.641880696123</v>
      </c>
      <c r="AJ9" s="100">
        <v>5.8088207768984112E-4</v>
      </c>
      <c r="AK9" s="100">
        <v>0.40777921853826848</v>
      </c>
      <c r="AL9" s="100">
        <v>4.5031465720095571E-4</v>
      </c>
      <c r="AM9" s="100">
        <v>0.31612088935507093</v>
      </c>
      <c r="AN9" s="100">
        <v>2.0977668307553072</v>
      </c>
      <c r="AO9" s="100">
        <v>1472.6323151902257</v>
      </c>
      <c r="AP9" s="100">
        <v>6.1669851218029024</v>
      </c>
      <c r="AQ9" s="100">
        <v>4329.2235555056377</v>
      </c>
      <c r="AR9" s="100">
        <v>5</v>
      </c>
      <c r="AS9" s="100">
        <v>3510</v>
      </c>
      <c r="AT9" s="100">
        <v>5.553798759645753</v>
      </c>
      <c r="AU9" s="100">
        <v>3898.7667292713186</v>
      </c>
      <c r="AV9" s="100">
        <v>1.7300681641991034</v>
      </c>
      <c r="AW9" s="100">
        <v>1214.5078512677705</v>
      </c>
      <c r="AX9" s="100">
        <v>6.1621905933678871</v>
      </c>
      <c r="AY9" s="100">
        <v>4325.8577965442564</v>
      </c>
      <c r="AZ9" s="100">
        <v>8.8622190120679178</v>
      </c>
      <c r="BA9" s="100">
        <v>6221.2777464716783</v>
      </c>
      <c r="BB9" s="100">
        <v>0.18852059548761779</v>
      </c>
      <c r="BC9" s="100">
        <v>132.34145803230768</v>
      </c>
      <c r="BD9" s="100">
        <v>7.6560995728765002</v>
      </c>
      <c r="BE9" s="100">
        <v>5374.5819001593036</v>
      </c>
      <c r="BF9" s="100">
        <v>9.4481797255250761</v>
      </c>
      <c r="BG9" s="100">
        <v>6632.6221673186037</v>
      </c>
      <c r="BH9" s="100">
        <v>6.3918776685120386</v>
      </c>
      <c r="BI9" s="100">
        <v>4487.0981232954509</v>
      </c>
      <c r="BJ9" s="100">
        <v>6.6166191098666056</v>
      </c>
      <c r="BK9" s="100">
        <v>4644.8666151263569</v>
      </c>
      <c r="BL9" s="100">
        <v>6.5576572451082571</v>
      </c>
      <c r="BM9" s="100">
        <v>4603.4753860659966</v>
      </c>
      <c r="BN9" s="100">
        <v>0.26895800740181813</v>
      </c>
      <c r="BO9" s="100">
        <v>188.80852119607633</v>
      </c>
      <c r="BP9" s="100">
        <v>6.1357648939994922</v>
      </c>
      <c r="BQ9" s="100">
        <v>4307.3069555876436</v>
      </c>
      <c r="BR9" s="100">
        <v>8.7302765774448083</v>
      </c>
      <c r="BS9" s="100">
        <v>6128.6541573662553</v>
      </c>
      <c r="BT9" s="100">
        <v>1.9834301384014965</v>
      </c>
      <c r="BU9" s="100">
        <v>1392.3679571578505</v>
      </c>
      <c r="BV9" s="100">
        <v>0.24055122919314739</v>
      </c>
      <c r="BW9" s="100">
        <v>168.86696289358946</v>
      </c>
      <c r="BX9" s="100">
        <v>7.2215869688374594</v>
      </c>
      <c r="BY9" s="100">
        <v>5069.5540521238963</v>
      </c>
      <c r="BZ9" s="100">
        <v>5</v>
      </c>
      <c r="CA9" s="100">
        <v>3510</v>
      </c>
      <c r="CB9" s="100">
        <v>7</v>
      </c>
      <c r="CC9" s="100">
        <v>4914</v>
      </c>
      <c r="CD9" s="100">
        <v>5.5956961689185807</v>
      </c>
      <c r="CE9" s="100">
        <v>3928.1787105808435</v>
      </c>
      <c r="CF9" s="100">
        <v>1.6375958134463073</v>
      </c>
      <c r="CG9" s="100">
        <v>1149.5922610393077</v>
      </c>
      <c r="CH9" s="100">
        <v>9.6002891062344524</v>
      </c>
      <c r="CI9" s="100">
        <v>6739.4029525765854</v>
      </c>
      <c r="CJ9" s="100">
        <v>6.0561136307938011</v>
      </c>
      <c r="CK9" s="100">
        <v>4251.3917688172487</v>
      </c>
      <c r="CL9" s="100">
        <v>8.3854915564640535</v>
      </c>
      <c r="CM9" s="100">
        <v>5886.6150726377655</v>
      </c>
      <c r="CN9" s="100">
        <v>5.4579503656166902E-4</v>
      </c>
      <c r="CO9" s="100">
        <v>0.38314811566629164</v>
      </c>
      <c r="CP9" s="100">
        <v>2.2243950232224869</v>
      </c>
      <c r="CQ9" s="100">
        <v>1561.5253063021858</v>
      </c>
      <c r="CR9" s="100">
        <v>10.197818505009806</v>
      </c>
      <c r="CS9" s="100">
        <v>7158.8685905168841</v>
      </c>
      <c r="CT9" s="100">
        <v>8</v>
      </c>
      <c r="CU9" s="100">
        <v>5616</v>
      </c>
    </row>
    <row r="10" spans="1:99">
      <c r="C10" s="99" t="s">
        <v>176</v>
      </c>
      <c r="D10" s="100">
        <v>8</v>
      </c>
      <c r="E10" s="100">
        <v>4358.3999999999996</v>
      </c>
      <c r="F10" s="100">
        <v>6.6129002353795556</v>
      </c>
      <c r="G10" s="100">
        <v>3602.7080482347815</v>
      </c>
      <c r="H10" s="100">
        <v>4.4196612731274989</v>
      </c>
      <c r="I10" s="100">
        <v>2407.8314615998611</v>
      </c>
      <c r="J10" s="100">
        <v>5.7795619945736232E-4</v>
      </c>
      <c r="K10" s="100">
        <v>0.31487053746437099</v>
      </c>
      <c r="L10" s="100">
        <v>9.122389463325316</v>
      </c>
      <c r="M10" s="100">
        <v>4969.8777796196318</v>
      </c>
      <c r="N10" s="100">
        <v>6</v>
      </c>
      <c r="O10" s="100">
        <v>3268.7999999999997</v>
      </c>
      <c r="P10" s="100">
        <v>6</v>
      </c>
      <c r="Q10" s="100">
        <v>3268.7999999999997</v>
      </c>
      <c r="R10" s="100">
        <v>10</v>
      </c>
      <c r="S10" s="100">
        <v>5448</v>
      </c>
      <c r="T10" s="100">
        <v>1.8709596917190399</v>
      </c>
      <c r="U10" s="100">
        <v>1019.2988400485328</v>
      </c>
      <c r="V10" s="100">
        <v>5.8938236766425351</v>
      </c>
      <c r="W10" s="100">
        <v>3210.9551390348529</v>
      </c>
      <c r="X10" s="100">
        <v>6</v>
      </c>
      <c r="Y10" s="100">
        <v>3268.7999999999997</v>
      </c>
      <c r="Z10" s="100">
        <v>1.3267139923738571</v>
      </c>
      <c r="AA10" s="100">
        <v>722.79378304527734</v>
      </c>
      <c r="AB10" s="100">
        <v>1.7351253866742002</v>
      </c>
      <c r="AC10" s="100">
        <v>945.29631066010427</v>
      </c>
      <c r="AD10" s="100">
        <v>7.706282062285652</v>
      </c>
      <c r="AE10" s="100">
        <v>4198.3824675332226</v>
      </c>
      <c r="AF10" s="100">
        <v>10</v>
      </c>
      <c r="AG10" s="100">
        <v>5448</v>
      </c>
      <c r="AH10" s="100">
        <v>0.80364978542307375</v>
      </c>
      <c r="AI10" s="100">
        <v>437.82840309849053</v>
      </c>
      <c r="AJ10" s="100">
        <v>5.8088207768984112E-4</v>
      </c>
      <c r="AK10" s="100">
        <v>0.31646455592542544</v>
      </c>
      <c r="AL10" s="100">
        <v>4.5031465720095571E-4</v>
      </c>
      <c r="AM10" s="100">
        <v>0.24533142524308066</v>
      </c>
      <c r="AN10" s="100">
        <v>1.86467585533311</v>
      </c>
      <c r="AO10" s="100">
        <v>1015.8754059854782</v>
      </c>
      <c r="AP10" s="100">
        <v>6.0373201082692463</v>
      </c>
      <c r="AQ10" s="100">
        <v>3289.1319949850849</v>
      </c>
      <c r="AR10" s="100">
        <v>5</v>
      </c>
      <c r="AS10" s="100">
        <v>2724</v>
      </c>
      <c r="AT10" s="100">
        <v>5.553798759645753</v>
      </c>
      <c r="AU10" s="100">
        <v>3025.7095642550062</v>
      </c>
      <c r="AV10" s="100">
        <v>1.7345603615980134</v>
      </c>
      <c r="AW10" s="100">
        <v>944.98848499859764</v>
      </c>
      <c r="AX10" s="100">
        <v>6.1621905933678871</v>
      </c>
      <c r="AY10" s="100">
        <v>3357.1614352668248</v>
      </c>
      <c r="AZ10" s="100">
        <v>8.8622190120679178</v>
      </c>
      <c r="BA10" s="100">
        <v>4828.136917774601</v>
      </c>
      <c r="BB10" s="100">
        <v>0.18852059548761779</v>
      </c>
      <c r="BC10" s="100">
        <v>102.70602042165416</v>
      </c>
      <c r="BD10" s="100">
        <v>6.8622333313405122</v>
      </c>
      <c r="BE10" s="100">
        <v>3738.5447189143106</v>
      </c>
      <c r="BF10" s="100">
        <v>11.448179725525076</v>
      </c>
      <c r="BG10" s="100">
        <v>6236.9683144660612</v>
      </c>
      <c r="BH10" s="100">
        <v>5.4787522872960333</v>
      </c>
      <c r="BI10" s="100">
        <v>2984.8242461188788</v>
      </c>
      <c r="BJ10" s="100">
        <v>7.3517990109628935</v>
      </c>
      <c r="BK10" s="100">
        <v>4005.2601011725842</v>
      </c>
      <c r="BL10" s="100">
        <v>6.602001595877212</v>
      </c>
      <c r="BM10" s="100">
        <v>3596.770469433905</v>
      </c>
      <c r="BN10" s="100">
        <v>0.26919022535383458</v>
      </c>
      <c r="BO10" s="100">
        <v>146.65483477276908</v>
      </c>
      <c r="BP10" s="100">
        <v>5.1357648939994922</v>
      </c>
      <c r="BQ10" s="100">
        <v>2797.964714250923</v>
      </c>
      <c r="BR10" s="100">
        <v>9.7003073082720093</v>
      </c>
      <c r="BS10" s="100">
        <v>5284.7274215465904</v>
      </c>
      <c r="BT10" s="100">
        <v>1.7859337541637352</v>
      </c>
      <c r="BU10" s="100">
        <v>972.97670926840283</v>
      </c>
      <c r="BV10" s="100">
        <v>0.24055122919314739</v>
      </c>
      <c r="BW10" s="100">
        <v>131.0523096644267</v>
      </c>
      <c r="BX10" s="100">
        <v>8.2215869688374603</v>
      </c>
      <c r="BY10" s="100">
        <v>4479.120580622648</v>
      </c>
      <c r="BZ10" s="100">
        <v>5</v>
      </c>
      <c r="CA10" s="100">
        <v>2724</v>
      </c>
      <c r="CB10" s="100">
        <v>6</v>
      </c>
      <c r="CC10" s="100">
        <v>3268.7999999999997</v>
      </c>
      <c r="CD10" s="100">
        <v>5.5956961689185807</v>
      </c>
      <c r="CE10" s="100">
        <v>3048.5352728268426</v>
      </c>
      <c r="CF10" s="100">
        <v>1.6375958134463073</v>
      </c>
      <c r="CG10" s="100">
        <v>892.16219916554815</v>
      </c>
      <c r="CH10" s="100">
        <v>10.600289106234452</v>
      </c>
      <c r="CI10" s="100">
        <v>5775.0375050765288</v>
      </c>
      <c r="CJ10" s="100">
        <v>6.0561136307938011</v>
      </c>
      <c r="CK10" s="100">
        <v>3299.3707060564625</v>
      </c>
      <c r="CL10" s="100">
        <v>8.3854915564640535</v>
      </c>
      <c r="CM10" s="100">
        <v>4568.4157999616164</v>
      </c>
      <c r="CN10" s="100">
        <v>6.0460030187281673E-4</v>
      </c>
      <c r="CO10" s="100">
        <v>0.32938624446031051</v>
      </c>
      <c r="CP10" s="100">
        <v>2.2243947197155278</v>
      </c>
      <c r="CQ10" s="100">
        <v>1211.8502433010194</v>
      </c>
      <c r="CR10" s="100">
        <v>10.064727560008716</v>
      </c>
      <c r="CS10" s="100">
        <v>5483.2635746927481</v>
      </c>
      <c r="CT10" s="100">
        <v>7</v>
      </c>
      <c r="CU10" s="100">
        <v>3813.5999999999995</v>
      </c>
    </row>
    <row r="11" spans="1:99">
      <c r="C11" s="99" t="s">
        <v>177</v>
      </c>
      <c r="D11" s="100">
        <v>7</v>
      </c>
      <c r="E11" s="100">
        <v>3729.5999999999995</v>
      </c>
      <c r="F11" s="100">
        <v>7.4395127648020001</v>
      </c>
      <c r="G11" s="100">
        <v>3963.7724010865054</v>
      </c>
      <c r="H11" s="100">
        <v>4.4196612731274989</v>
      </c>
      <c r="I11" s="100">
        <v>2354.7955263223312</v>
      </c>
      <c r="J11" s="100">
        <v>6.4680692815299726E-4</v>
      </c>
      <c r="K11" s="100">
        <v>0.34461873131991694</v>
      </c>
      <c r="L11" s="100">
        <v>8.9620481114216997</v>
      </c>
      <c r="M11" s="100">
        <v>4774.9792337654808</v>
      </c>
      <c r="N11" s="100">
        <v>6</v>
      </c>
      <c r="O11" s="100">
        <v>3196.7999999999997</v>
      </c>
      <c r="P11" s="100">
        <v>5</v>
      </c>
      <c r="Q11" s="100">
        <v>2664</v>
      </c>
      <c r="R11" s="100">
        <v>10</v>
      </c>
      <c r="S11" s="100">
        <v>5328</v>
      </c>
      <c r="T11" s="100">
        <v>1.8709596917190399</v>
      </c>
      <c r="U11" s="100">
        <v>996.8473237479044</v>
      </c>
      <c r="V11" s="100">
        <v>5.7448530638687796</v>
      </c>
      <c r="W11" s="100">
        <v>3060.8577124292856</v>
      </c>
      <c r="X11" s="100">
        <v>7</v>
      </c>
      <c r="Y11" s="100">
        <v>3729.5999999999995</v>
      </c>
      <c r="Z11" s="100">
        <v>1.3267139923738571</v>
      </c>
      <c r="AA11" s="100">
        <v>706.87321513679103</v>
      </c>
      <c r="AB11" s="100">
        <v>1.7461501978683132</v>
      </c>
      <c r="AC11" s="100">
        <v>930.34882542423713</v>
      </c>
      <c r="AD11" s="100">
        <v>7.706282062285652</v>
      </c>
      <c r="AE11" s="100">
        <v>4105.907082785795</v>
      </c>
      <c r="AF11" s="100">
        <v>9</v>
      </c>
      <c r="AG11" s="100">
        <v>4795.2</v>
      </c>
      <c r="AH11" s="100">
        <v>0.70319356224518947</v>
      </c>
      <c r="AI11" s="100">
        <v>374.66152996423693</v>
      </c>
      <c r="AJ11" s="100">
        <v>5.8088207768984112E-4</v>
      </c>
      <c r="AK11" s="100">
        <v>0.30949397099314729</v>
      </c>
      <c r="AL11" s="100">
        <v>4.5031465720095571E-4</v>
      </c>
      <c r="AM11" s="100">
        <v>0.23992764935666919</v>
      </c>
      <c r="AN11" s="100">
        <v>2.0977661683216922</v>
      </c>
      <c r="AO11" s="100">
        <v>1117.6898144817974</v>
      </c>
      <c r="AP11" s="100">
        <v>6.1669851218029024</v>
      </c>
      <c r="AQ11" s="100">
        <v>3285.7696728965861</v>
      </c>
      <c r="AR11" s="100">
        <v>5</v>
      </c>
      <c r="AS11" s="100">
        <v>2664</v>
      </c>
      <c r="AT11" s="100">
        <v>5.553798759645753</v>
      </c>
      <c r="AU11" s="100">
        <v>2959.0639791392568</v>
      </c>
      <c r="AV11" s="100">
        <v>1.9661021438211137</v>
      </c>
      <c r="AW11" s="100">
        <v>1047.5392222278892</v>
      </c>
      <c r="AX11" s="100">
        <v>6.278409652704676</v>
      </c>
      <c r="AY11" s="100">
        <v>3345.1366629610511</v>
      </c>
      <c r="AZ11" s="100">
        <v>9.7484409132747114</v>
      </c>
      <c r="BA11" s="100">
        <v>5193.9693185927654</v>
      </c>
      <c r="BB11" s="100">
        <v>0.18852059548761779</v>
      </c>
      <c r="BC11" s="100">
        <v>100.44377327580276</v>
      </c>
      <c r="BD11" s="100">
        <v>6.9565996421368421</v>
      </c>
      <c r="BE11" s="100">
        <v>3706.4762893305092</v>
      </c>
      <c r="BF11" s="100">
        <v>10.448179725525076</v>
      </c>
      <c r="BG11" s="100">
        <v>5566.7901577597604</v>
      </c>
      <c r="BH11" s="100">
        <v>5.4787522872960333</v>
      </c>
      <c r="BI11" s="100">
        <v>2919.0792186713261</v>
      </c>
      <c r="BJ11" s="100">
        <v>6.6166191098666056</v>
      </c>
      <c r="BK11" s="100">
        <v>3525.334661736927</v>
      </c>
      <c r="BL11" s="100">
        <v>7.2156401871575291</v>
      </c>
      <c r="BM11" s="100">
        <v>3844.4930917175311</v>
      </c>
      <c r="BN11" s="100">
        <v>0.29881642845179612</v>
      </c>
      <c r="BO11" s="100">
        <v>159.20939307911695</v>
      </c>
      <c r="BP11" s="100">
        <v>5.1357648939994922</v>
      </c>
      <c r="BQ11" s="100">
        <v>2736.3355355229291</v>
      </c>
      <c r="BR11" s="100">
        <v>10.670338039099212</v>
      </c>
      <c r="BS11" s="100">
        <v>5685.1561072320601</v>
      </c>
      <c r="BT11" s="100">
        <v>1.7944000501876203</v>
      </c>
      <c r="BU11" s="100">
        <v>956.05634673996406</v>
      </c>
      <c r="BV11" s="100">
        <v>0.21069446872258779</v>
      </c>
      <c r="BW11" s="100">
        <v>112.25801293539476</v>
      </c>
      <c r="BX11" s="100">
        <v>8.2215869688374603</v>
      </c>
      <c r="BY11" s="100">
        <v>4380.4615369965986</v>
      </c>
      <c r="BZ11" s="100">
        <v>5</v>
      </c>
      <c r="CA11" s="100">
        <v>2664</v>
      </c>
      <c r="CB11" s="100">
        <v>7</v>
      </c>
      <c r="CC11" s="100">
        <v>3729.5999999999995</v>
      </c>
      <c r="CD11" s="100">
        <v>6.5283121970716769</v>
      </c>
      <c r="CE11" s="100">
        <v>3478.2847385997893</v>
      </c>
      <c r="CF11" s="100">
        <v>1.8060710764439187</v>
      </c>
      <c r="CG11" s="100">
        <v>962.27466952931979</v>
      </c>
      <c r="CH11" s="100">
        <v>8</v>
      </c>
      <c r="CI11" s="100">
        <v>4262.3999999999996</v>
      </c>
      <c r="CJ11" s="100">
        <v>6.0561136307938011</v>
      </c>
      <c r="CK11" s="100">
        <v>3226.697342486937</v>
      </c>
      <c r="CL11" s="100">
        <v>7.6231741422400487</v>
      </c>
      <c r="CM11" s="100">
        <v>4061.6271829854977</v>
      </c>
      <c r="CN11" s="100">
        <v>6.056345299204005E-4</v>
      </c>
      <c r="CO11" s="100">
        <v>0.32268207754158934</v>
      </c>
      <c r="CP11" s="100">
        <v>2.2243947197155278</v>
      </c>
      <c r="CQ11" s="100">
        <v>1185.1575066644332</v>
      </c>
      <c r="CR11" s="100">
        <v>10.064727560008716</v>
      </c>
      <c r="CS11" s="100">
        <v>5362.4868439726433</v>
      </c>
      <c r="CT11" s="100">
        <v>7</v>
      </c>
      <c r="CU11" s="100">
        <v>3729.5999999999995</v>
      </c>
    </row>
    <row r="12" spans="1:99">
      <c r="C12" s="99" t="s">
        <v>178</v>
      </c>
      <c r="D12" s="100">
        <v>8</v>
      </c>
      <c r="E12" s="100">
        <v>4502.3999999999996</v>
      </c>
      <c r="F12" s="100">
        <v>6.6129002353795556</v>
      </c>
      <c r="G12" s="100">
        <v>3721.7402524716135</v>
      </c>
      <c r="H12" s="100">
        <v>5.3035935277529989</v>
      </c>
      <c r="I12" s="100">
        <v>2984.8624374193873</v>
      </c>
      <c r="J12" s="100">
        <v>6.5020072438953271E-4</v>
      </c>
      <c r="K12" s="100">
        <v>0.36593296768642897</v>
      </c>
      <c r="L12" s="100">
        <v>10.9620481114217</v>
      </c>
      <c r="M12" s="100">
        <v>6169.4406771081321</v>
      </c>
      <c r="N12" s="100">
        <v>7</v>
      </c>
      <c r="O12" s="100">
        <v>3939.5999999999995</v>
      </c>
      <c r="P12" s="100">
        <v>6</v>
      </c>
      <c r="Q12" s="100">
        <v>3376.7999999999997</v>
      </c>
      <c r="R12" s="100">
        <v>10</v>
      </c>
      <c r="S12" s="100">
        <v>5628</v>
      </c>
      <c r="T12" s="100">
        <v>1.6036797357591768</v>
      </c>
      <c r="U12" s="100">
        <v>902.55095528526465</v>
      </c>
      <c r="V12" s="100">
        <v>5.7448530638687796</v>
      </c>
      <c r="W12" s="100">
        <v>3233.2033043453489</v>
      </c>
      <c r="X12" s="100">
        <v>7</v>
      </c>
      <c r="Y12" s="100">
        <v>3939.5999999999995</v>
      </c>
      <c r="Z12" s="100">
        <v>1.1793013265545396</v>
      </c>
      <c r="AA12" s="100">
        <v>663.71078658489478</v>
      </c>
      <c r="AB12" s="100">
        <v>1.7351253866742002</v>
      </c>
      <c r="AC12" s="100">
        <v>976.52856762023987</v>
      </c>
      <c r="AD12" s="100">
        <v>7.706282062285652</v>
      </c>
      <c r="AE12" s="100">
        <v>4337.0955446543649</v>
      </c>
      <c r="AF12" s="100">
        <v>9</v>
      </c>
      <c r="AG12" s="100">
        <v>5065.2</v>
      </c>
      <c r="AH12" s="100">
        <v>0.70319356224518947</v>
      </c>
      <c r="AI12" s="100">
        <v>395.75733683159262</v>
      </c>
      <c r="AJ12" s="100">
        <v>5.8088207768984112E-4</v>
      </c>
      <c r="AK12" s="100">
        <v>0.32692043332384257</v>
      </c>
      <c r="AL12" s="100">
        <v>4.5031465720095571E-4</v>
      </c>
      <c r="AM12" s="100">
        <v>0.25343708907269785</v>
      </c>
      <c r="AN12" s="100">
        <v>2.0977674931889232</v>
      </c>
      <c r="AO12" s="100">
        <v>1180.623545166726</v>
      </c>
      <c r="AP12" s="100">
        <v>7.2966501353365576</v>
      </c>
      <c r="AQ12" s="100">
        <v>4106.5546961674145</v>
      </c>
      <c r="AR12" s="100">
        <v>5</v>
      </c>
      <c r="AS12" s="100">
        <v>2814</v>
      </c>
      <c r="AT12" s="100">
        <v>5.553798759645753</v>
      </c>
      <c r="AU12" s="100">
        <v>3125.6779419286295</v>
      </c>
      <c r="AV12" s="100">
        <v>1.7345603615980134</v>
      </c>
      <c r="AW12" s="100">
        <v>976.21057150736192</v>
      </c>
      <c r="AX12" s="100">
        <v>6.278409652704676</v>
      </c>
      <c r="AY12" s="100">
        <v>3533.4889525421913</v>
      </c>
      <c r="AZ12" s="100">
        <v>7.9759971108611269</v>
      </c>
      <c r="BA12" s="100">
        <v>4488.8911739926416</v>
      </c>
      <c r="BB12" s="100">
        <v>0.18852059548761779</v>
      </c>
      <c r="BC12" s="100">
        <v>106.09939114043128</v>
      </c>
      <c r="BD12" s="100">
        <v>7.6555634829708836</v>
      </c>
      <c r="BE12" s="100">
        <v>4308.5511282160132</v>
      </c>
      <c r="BF12" s="100">
        <v>10.53781567063009</v>
      </c>
      <c r="BG12" s="100">
        <v>5930.682659430614</v>
      </c>
      <c r="BH12" s="100">
        <v>6.3918776685120386</v>
      </c>
      <c r="BI12" s="100">
        <v>3597.348751838575</v>
      </c>
      <c r="BJ12" s="100">
        <v>7.3517990109628935</v>
      </c>
      <c r="BK12" s="100">
        <v>4137.5924833699164</v>
      </c>
      <c r="BL12" s="100">
        <v>6.602001595877212</v>
      </c>
      <c r="BM12" s="100">
        <v>3715.6064981596946</v>
      </c>
      <c r="BN12" s="100">
        <v>0.26919022535383458</v>
      </c>
      <c r="BO12" s="100">
        <v>151.50025882913809</v>
      </c>
      <c r="BP12" s="100">
        <v>5.1583923763327411</v>
      </c>
      <c r="BQ12" s="100">
        <v>2903.1432294000665</v>
      </c>
      <c r="BR12" s="100">
        <v>10.670338039099212</v>
      </c>
      <c r="BS12" s="100">
        <v>6005.2662484050361</v>
      </c>
      <c r="BT12" s="100">
        <v>1.9749638423776112</v>
      </c>
      <c r="BU12" s="100">
        <v>1111.5096504901196</v>
      </c>
      <c r="BV12" s="100">
        <v>0.24055122919314739</v>
      </c>
      <c r="BW12" s="100">
        <v>135.38223178990333</v>
      </c>
      <c r="BX12" s="100">
        <v>8.2215869688374603</v>
      </c>
      <c r="BY12" s="100">
        <v>4627.1091460617226</v>
      </c>
      <c r="BZ12" s="100">
        <v>6</v>
      </c>
      <c r="CA12" s="100">
        <v>3376.7999999999997</v>
      </c>
      <c r="CB12" s="100">
        <v>7</v>
      </c>
      <c r="CC12" s="100">
        <v>3939.5999999999995</v>
      </c>
      <c r="CD12" s="100">
        <v>5.5956961689185807</v>
      </c>
      <c r="CE12" s="100">
        <v>3149.2578038673769</v>
      </c>
      <c r="CF12" s="100">
        <v>1.6375958134463073</v>
      </c>
      <c r="CG12" s="100">
        <v>921.6389238075817</v>
      </c>
      <c r="CH12" s="100">
        <v>8</v>
      </c>
      <c r="CI12" s="100">
        <v>4502.3999999999996</v>
      </c>
      <c r="CJ12" s="100">
        <v>6.0561136307938011</v>
      </c>
      <c r="CK12" s="100">
        <v>3408.3807514107511</v>
      </c>
      <c r="CL12" s="100">
        <v>7.6231741422400487</v>
      </c>
      <c r="CM12" s="100">
        <v>4290.3224072526991</v>
      </c>
      <c r="CN12" s="100">
        <v>5.4476080851408525E-4</v>
      </c>
      <c r="CO12" s="100">
        <v>0.30659138303172717</v>
      </c>
      <c r="CP12" s="100">
        <v>2.2243944162085687</v>
      </c>
      <c r="CQ12" s="100">
        <v>1251.8891774421825</v>
      </c>
      <c r="CR12" s="100">
        <v>9.0647275600087163</v>
      </c>
      <c r="CS12" s="100">
        <v>5101.628670772905</v>
      </c>
      <c r="CT12" s="100">
        <v>8</v>
      </c>
      <c r="CU12" s="100">
        <v>4502.3999999999996</v>
      </c>
    </row>
    <row r="13" spans="1:99">
      <c r="C13" s="99" t="s">
        <v>179</v>
      </c>
      <c r="D13" s="100">
        <v>9</v>
      </c>
      <c r="E13" s="100">
        <v>766.80000000000007</v>
      </c>
      <c r="F13" s="100">
        <v>6.6129002353795556</v>
      </c>
      <c r="G13" s="100">
        <v>563.41910005433817</v>
      </c>
      <c r="H13" s="100">
        <v>4.4196612731274989</v>
      </c>
      <c r="I13" s="100">
        <v>376.5551404704629</v>
      </c>
      <c r="J13" s="100">
        <v>6.4680692815299726E-4</v>
      </c>
      <c r="K13" s="100">
        <v>5.5107950278635368E-2</v>
      </c>
      <c r="L13" s="100">
        <v>9.9620481114216997</v>
      </c>
      <c r="M13" s="100">
        <v>848.7664990931288</v>
      </c>
      <c r="N13" s="100">
        <v>6</v>
      </c>
      <c r="O13" s="100">
        <v>511.20000000000005</v>
      </c>
      <c r="P13" s="100">
        <v>5</v>
      </c>
      <c r="Q13" s="100">
        <v>426</v>
      </c>
      <c r="R13" s="100">
        <v>10</v>
      </c>
      <c r="S13" s="100">
        <v>852</v>
      </c>
      <c r="T13" s="100">
        <v>1.6036797357591768</v>
      </c>
      <c r="U13" s="100">
        <v>136.63351348668186</v>
      </c>
      <c r="V13" s="100">
        <v>5.7448530638687796</v>
      </c>
      <c r="W13" s="100">
        <v>489.46148104162006</v>
      </c>
      <c r="X13" s="100">
        <v>7</v>
      </c>
      <c r="Y13" s="100">
        <v>596.4</v>
      </c>
      <c r="Z13" s="100">
        <v>1.3267139923738571</v>
      </c>
      <c r="AA13" s="100">
        <v>113.03603215025264</v>
      </c>
      <c r="AB13" s="100">
        <v>1.9845754149411021</v>
      </c>
      <c r="AC13" s="100">
        <v>169.08582535298191</v>
      </c>
      <c r="AD13" s="100">
        <v>7.706282062285652</v>
      </c>
      <c r="AE13" s="100">
        <v>656.57523170673755</v>
      </c>
      <c r="AF13" s="100">
        <v>10</v>
      </c>
      <c r="AG13" s="100">
        <v>852</v>
      </c>
      <c r="AH13" s="100">
        <v>0.80364978542307375</v>
      </c>
      <c r="AI13" s="100">
        <v>68.470961718045885</v>
      </c>
      <c r="AJ13" s="100">
        <v>5.8088207768984112E-4</v>
      </c>
      <c r="AK13" s="100">
        <v>4.9491153019174464E-2</v>
      </c>
      <c r="AL13" s="100">
        <v>4.5031465720095571E-4</v>
      </c>
      <c r="AM13" s="100">
        <v>3.8366808793521424E-2</v>
      </c>
      <c r="AN13" s="100">
        <v>2.0977668307553072</v>
      </c>
      <c r="AO13" s="100">
        <v>178.72973398035219</v>
      </c>
      <c r="AP13" s="100">
        <v>7.2966501353365576</v>
      </c>
      <c r="AQ13" s="100">
        <v>621.67459153067477</v>
      </c>
      <c r="AR13" s="100">
        <v>6</v>
      </c>
      <c r="AS13" s="100">
        <v>511.20000000000005</v>
      </c>
      <c r="AT13" s="100">
        <v>6.3471985824522896</v>
      </c>
      <c r="AU13" s="100">
        <v>540.78131922493515</v>
      </c>
      <c r="AV13" s="100">
        <v>1.9661021438211137</v>
      </c>
      <c r="AW13" s="100">
        <v>167.51190265355891</v>
      </c>
      <c r="AX13" s="100">
        <v>7.278409652704676</v>
      </c>
      <c r="AY13" s="100">
        <v>620.12050241043846</v>
      </c>
      <c r="AZ13" s="100">
        <v>8.8622190120679178</v>
      </c>
      <c r="BA13" s="100">
        <v>755.06105982818667</v>
      </c>
      <c r="BB13" s="100">
        <v>0.21830154316960698</v>
      </c>
      <c r="BC13" s="100">
        <v>18.599291478050514</v>
      </c>
      <c r="BD13" s="100">
        <v>8.3550634137105426</v>
      </c>
      <c r="BE13" s="100">
        <v>711.85140284813826</v>
      </c>
      <c r="BF13" s="100">
        <v>10.53781567063009</v>
      </c>
      <c r="BG13" s="100">
        <v>897.82189513768367</v>
      </c>
      <c r="BH13" s="100">
        <v>5.4787522872960333</v>
      </c>
      <c r="BI13" s="100">
        <v>466.78969487762203</v>
      </c>
      <c r="BJ13" s="100">
        <v>7.3517990109628935</v>
      </c>
      <c r="BK13" s="100">
        <v>626.37327573403854</v>
      </c>
      <c r="BL13" s="100">
        <v>6.602001595877212</v>
      </c>
      <c r="BM13" s="100">
        <v>562.49053596873853</v>
      </c>
      <c r="BN13" s="100">
        <v>0.29881642845179612</v>
      </c>
      <c r="BO13" s="100">
        <v>25.459159704093029</v>
      </c>
      <c r="BP13" s="100">
        <v>6.1583923763327411</v>
      </c>
      <c r="BQ13" s="100">
        <v>524.69503046354953</v>
      </c>
      <c r="BR13" s="100">
        <v>9.7003073082720093</v>
      </c>
      <c r="BS13" s="100">
        <v>826.46618266477526</v>
      </c>
      <c r="BT13" s="100">
        <v>1.7944000501876203</v>
      </c>
      <c r="BU13" s="100">
        <v>152.88288427598525</v>
      </c>
      <c r="BV13" s="100">
        <v>0.2407633723717312</v>
      </c>
      <c r="BW13" s="100">
        <v>20.5130393260715</v>
      </c>
      <c r="BX13" s="100">
        <v>8.2215869688374603</v>
      </c>
      <c r="BY13" s="100">
        <v>700.47920974495162</v>
      </c>
      <c r="BZ13" s="100">
        <v>5</v>
      </c>
      <c r="CA13" s="100">
        <v>426</v>
      </c>
      <c r="CB13" s="100">
        <v>6</v>
      </c>
      <c r="CC13" s="100">
        <v>511.20000000000005</v>
      </c>
      <c r="CD13" s="100">
        <v>6.5283121970716769</v>
      </c>
      <c r="CE13" s="100">
        <v>556.21219919050691</v>
      </c>
      <c r="CF13" s="100">
        <v>1.8203438348518957</v>
      </c>
      <c r="CG13" s="100">
        <v>155.09329472938151</v>
      </c>
      <c r="CH13" s="100">
        <v>10</v>
      </c>
      <c r="CI13" s="100">
        <v>852</v>
      </c>
      <c r="CJ13" s="100">
        <v>6.0561136307938011</v>
      </c>
      <c r="CK13" s="100">
        <v>515.98088134363184</v>
      </c>
      <c r="CL13" s="100">
        <v>8.3854915564640535</v>
      </c>
      <c r="CM13" s="100">
        <v>714.44388061073744</v>
      </c>
      <c r="CN13" s="100">
        <v>6.056345299204005E-4</v>
      </c>
      <c r="CO13" s="100">
        <v>5.1600061949218123E-2</v>
      </c>
      <c r="CP13" s="100">
        <v>2.2244026620758763</v>
      </c>
      <c r="CQ13" s="100">
        <v>189.51910680886468</v>
      </c>
      <c r="CR13" s="100">
        <v>10.197818505009806</v>
      </c>
      <c r="CS13" s="100">
        <v>868.8541366268355</v>
      </c>
      <c r="CT13" s="100">
        <v>9</v>
      </c>
      <c r="CU13" s="100">
        <v>766.80000000000007</v>
      </c>
    </row>
    <row r="14" spans="1:99">
      <c r="C14" s="99" t="s">
        <v>180</v>
      </c>
      <c r="D14" s="100">
        <v>7</v>
      </c>
      <c r="E14" s="100">
        <v>3418.7999999999997</v>
      </c>
      <c r="F14" s="100">
        <v>7.4395127648020001</v>
      </c>
      <c r="G14" s="100">
        <v>3633.4580343292969</v>
      </c>
      <c r="H14" s="100">
        <v>4.4196612731274989</v>
      </c>
      <c r="I14" s="100">
        <v>2158.5625657954702</v>
      </c>
      <c r="J14" s="100">
        <v>5.7456240322082688E-4</v>
      </c>
      <c r="K14" s="100">
        <v>0.28061627773305181</v>
      </c>
      <c r="L14" s="100">
        <v>9.9620481114216997</v>
      </c>
      <c r="M14" s="100">
        <v>4865.4642976183577</v>
      </c>
      <c r="N14" s="100">
        <v>6</v>
      </c>
      <c r="O14" s="100">
        <v>2930.3999999999996</v>
      </c>
      <c r="P14" s="100">
        <v>6</v>
      </c>
      <c r="Q14" s="100">
        <v>2930.3999999999996</v>
      </c>
      <c r="R14" s="100">
        <v>10</v>
      </c>
      <c r="S14" s="100">
        <v>4884</v>
      </c>
      <c r="T14" s="100">
        <v>1.6036797357591768</v>
      </c>
      <c r="U14" s="100">
        <v>783.23718294478192</v>
      </c>
      <c r="V14" s="100">
        <v>5.7448530638687796</v>
      </c>
      <c r="W14" s="100">
        <v>2805.7862363935119</v>
      </c>
      <c r="X14" s="100">
        <v>7</v>
      </c>
      <c r="Y14" s="100">
        <v>3418.7999999999997</v>
      </c>
      <c r="Z14" s="100">
        <v>1.4741266581931745</v>
      </c>
      <c r="AA14" s="100">
        <v>719.96345986154643</v>
      </c>
      <c r="AB14" s="100">
        <v>1.9845754149411021</v>
      </c>
      <c r="AC14" s="100">
        <v>969.26663265723425</v>
      </c>
      <c r="AD14" s="100">
        <v>8.706282062285652</v>
      </c>
      <c r="AE14" s="100">
        <v>4252.1481592203127</v>
      </c>
      <c r="AF14" s="100">
        <v>9</v>
      </c>
      <c r="AG14" s="100">
        <v>4395.5999999999995</v>
      </c>
      <c r="AH14" s="100">
        <v>0.70319356224518947</v>
      </c>
      <c r="AI14" s="100">
        <v>343.43973580055052</v>
      </c>
      <c r="AJ14" s="100">
        <v>5.8088207768984112E-4</v>
      </c>
      <c r="AK14" s="100">
        <v>0.28370280674371839</v>
      </c>
      <c r="AL14" s="100">
        <v>4.5031507574872274E-4</v>
      </c>
      <c r="AM14" s="100">
        <v>0.21993388299567618</v>
      </c>
      <c r="AN14" s="100">
        <v>2.0977668307553072</v>
      </c>
      <c r="AO14" s="100">
        <v>1024.549320140892</v>
      </c>
      <c r="AP14" s="100">
        <v>6.1669851218029024</v>
      </c>
      <c r="AQ14" s="100">
        <v>3011.9555334885372</v>
      </c>
      <c r="AR14" s="100">
        <v>5</v>
      </c>
      <c r="AS14" s="100">
        <v>2442</v>
      </c>
      <c r="AT14" s="100">
        <v>6.3471985824522896</v>
      </c>
      <c r="AU14" s="100">
        <v>3099.9717876696982</v>
      </c>
      <c r="AV14" s="100">
        <v>1.7765752857363746</v>
      </c>
      <c r="AW14" s="100">
        <v>867.6793695536453</v>
      </c>
      <c r="AX14" s="100">
        <v>6.1621905933678871</v>
      </c>
      <c r="AY14" s="100">
        <v>3009.6138858008758</v>
      </c>
      <c r="AZ14" s="100">
        <v>8.8622190120679178</v>
      </c>
      <c r="BA14" s="100">
        <v>4328.3077654939707</v>
      </c>
      <c r="BB14" s="100">
        <v>0.18852059548761779</v>
      </c>
      <c r="BC14" s="100">
        <v>92.073458836152525</v>
      </c>
      <c r="BD14" s="100">
        <v>8.3550634137105426</v>
      </c>
      <c r="BE14" s="100">
        <v>4080.6129712562288</v>
      </c>
      <c r="BF14" s="100">
        <v>10.448179725525076</v>
      </c>
      <c r="BG14" s="100">
        <v>5102.8909779464466</v>
      </c>
      <c r="BH14" s="100">
        <v>6.3918776685120386</v>
      </c>
      <c r="BI14" s="100">
        <v>3121.7930533012795</v>
      </c>
      <c r="BJ14" s="100">
        <v>7.3517990109628935</v>
      </c>
      <c r="BK14" s="100">
        <v>3590.618636954277</v>
      </c>
      <c r="BL14" s="100">
        <v>6.602001595877212</v>
      </c>
      <c r="BM14" s="100">
        <v>3224.4175794264302</v>
      </c>
      <c r="BN14" s="100">
        <v>0.26919022535383458</v>
      </c>
      <c r="BO14" s="100">
        <v>131.47250606281281</v>
      </c>
      <c r="BP14" s="100">
        <v>6.1357648939994922</v>
      </c>
      <c r="BQ14" s="100">
        <v>2996.7075742293518</v>
      </c>
      <c r="BR14" s="100">
        <v>9.7003073082720093</v>
      </c>
      <c r="BS14" s="100">
        <v>4737.6300893600492</v>
      </c>
      <c r="BT14" s="100">
        <v>1.9749638423776112</v>
      </c>
      <c r="BU14" s="100">
        <v>964.57234061722534</v>
      </c>
      <c r="BV14" s="100">
        <v>0.24055122919314739</v>
      </c>
      <c r="BW14" s="100">
        <v>117.48522033793319</v>
      </c>
      <c r="BX14" s="100">
        <v>7.2462077431527323</v>
      </c>
      <c r="BY14" s="100">
        <v>3539.0478617557942</v>
      </c>
      <c r="BZ14" s="100">
        <v>6</v>
      </c>
      <c r="CA14" s="100">
        <v>2930.3999999999996</v>
      </c>
      <c r="CB14" s="100">
        <v>7</v>
      </c>
      <c r="CC14" s="100">
        <v>3418.7999999999997</v>
      </c>
      <c r="CD14" s="100">
        <v>6.5283121970716769</v>
      </c>
      <c r="CE14" s="100">
        <v>3188.4276770498068</v>
      </c>
      <c r="CF14" s="100">
        <v>1.8132074556479074</v>
      </c>
      <c r="CG14" s="100">
        <v>885.57052133843797</v>
      </c>
      <c r="CH14" s="100">
        <v>9</v>
      </c>
      <c r="CI14" s="100">
        <v>4395.5999999999995</v>
      </c>
      <c r="CJ14" s="100">
        <v>5.2990994269445757</v>
      </c>
      <c r="CK14" s="100">
        <v>2588.0801601197309</v>
      </c>
      <c r="CL14" s="100">
        <v>8.3854915564640535</v>
      </c>
      <c r="CM14" s="100">
        <v>4095.4740761770436</v>
      </c>
      <c r="CN14" s="100">
        <v>5.4476080851408525E-4</v>
      </c>
      <c r="CO14" s="100">
        <v>0.26606117887827924</v>
      </c>
      <c r="CP14" s="100">
        <v>2.2243947197155278</v>
      </c>
      <c r="CQ14" s="100">
        <v>1086.3943811090637</v>
      </c>
      <c r="CR14" s="100">
        <v>9.1978185050098062</v>
      </c>
      <c r="CS14" s="100">
        <v>4492.2145578467889</v>
      </c>
      <c r="CT14" s="100">
        <v>7</v>
      </c>
      <c r="CU14" s="100">
        <v>3418.7999999999997</v>
      </c>
    </row>
    <row r="15" spans="1:99">
      <c r="C15" s="99" t="s">
        <v>181</v>
      </c>
      <c r="D15" s="100">
        <v>8</v>
      </c>
      <c r="E15" s="100">
        <v>6105.5999999999995</v>
      </c>
      <c r="F15" s="100">
        <v>6.6129002353795556</v>
      </c>
      <c r="G15" s="100">
        <v>5046.9654596416767</v>
      </c>
      <c r="H15" s="100">
        <v>4.4196612731274989</v>
      </c>
      <c r="I15" s="100">
        <v>3373.085483650907</v>
      </c>
      <c r="J15" s="100">
        <v>5.7456240322082688E-4</v>
      </c>
      <c r="K15" s="100">
        <v>0.43850602613813505</v>
      </c>
      <c r="L15" s="100">
        <v>8.9620481114216997</v>
      </c>
      <c r="M15" s="100">
        <v>6839.835118637041</v>
      </c>
      <c r="N15" s="100">
        <v>5</v>
      </c>
      <c r="O15" s="100">
        <v>3815.9999999999995</v>
      </c>
      <c r="P15" s="100">
        <v>5</v>
      </c>
      <c r="Q15" s="100">
        <v>3815.9999999999995</v>
      </c>
      <c r="R15" s="100">
        <v>9</v>
      </c>
      <c r="S15" s="100">
        <v>6868.7999999999993</v>
      </c>
      <c r="T15" s="100">
        <v>1.8709596917190399</v>
      </c>
      <c r="U15" s="100">
        <v>1427.916436719971</v>
      </c>
      <c r="V15" s="100">
        <v>5.7448530638687796</v>
      </c>
      <c r="W15" s="100">
        <v>4384.471858344652</v>
      </c>
      <c r="X15" s="100">
        <v>7</v>
      </c>
      <c r="Y15" s="100">
        <v>5342.4</v>
      </c>
      <c r="Z15" s="100">
        <v>1.1793013265545396</v>
      </c>
      <c r="AA15" s="100">
        <v>900.04277242642456</v>
      </c>
      <c r="AB15" s="100">
        <v>1.9845754149411021</v>
      </c>
      <c r="AC15" s="100">
        <v>1514.627956683049</v>
      </c>
      <c r="AD15" s="100">
        <v>7.706282062285652</v>
      </c>
      <c r="AE15" s="100">
        <v>5881.4344699364092</v>
      </c>
      <c r="AF15" s="100">
        <v>9</v>
      </c>
      <c r="AG15" s="100">
        <v>6868.7999999999993</v>
      </c>
      <c r="AH15" s="100">
        <v>0.70319356224518947</v>
      </c>
      <c r="AI15" s="100">
        <v>536.67732670552857</v>
      </c>
      <c r="AJ15" s="100">
        <v>5.8088207768984112E-4</v>
      </c>
      <c r="AK15" s="100">
        <v>0.4433292016928867</v>
      </c>
      <c r="AL15" s="100">
        <v>4.5031507574872274E-4</v>
      </c>
      <c r="AM15" s="100">
        <v>0.34368046581142514</v>
      </c>
      <c r="AN15" s="100">
        <v>2.0977490731180737</v>
      </c>
      <c r="AO15" s="100">
        <v>1601.0020926037137</v>
      </c>
      <c r="AP15" s="100">
        <v>6.1669851218029024</v>
      </c>
      <c r="AQ15" s="100">
        <v>4706.6430449599748</v>
      </c>
      <c r="AR15" s="100">
        <v>5</v>
      </c>
      <c r="AS15" s="100">
        <v>3815.9999999999995</v>
      </c>
      <c r="AT15" s="100">
        <v>5.553798759645753</v>
      </c>
      <c r="AU15" s="100">
        <v>4238.6592133616386</v>
      </c>
      <c r="AV15" s="100">
        <v>1.7298816187549133</v>
      </c>
      <c r="AW15" s="100">
        <v>1320.2456514337498</v>
      </c>
      <c r="AX15" s="100">
        <v>6.0459715340310982</v>
      </c>
      <c r="AY15" s="100">
        <v>4614.2854747725341</v>
      </c>
      <c r="AZ15" s="100">
        <v>8.8622190120679178</v>
      </c>
      <c r="BA15" s="100">
        <v>6763.6455500102347</v>
      </c>
      <c r="BB15" s="100">
        <v>0.18992558254414391</v>
      </c>
      <c r="BC15" s="100">
        <v>144.95120459769061</v>
      </c>
      <c r="BD15" s="100">
        <v>6.8622333313405122</v>
      </c>
      <c r="BE15" s="100">
        <v>5237.2564784790784</v>
      </c>
      <c r="BF15" s="100">
        <v>9.5378156706300903</v>
      </c>
      <c r="BG15" s="100">
        <v>7279.2609198248847</v>
      </c>
      <c r="BH15" s="100">
        <v>5.4787522872960333</v>
      </c>
      <c r="BI15" s="100">
        <v>4181.3837456643323</v>
      </c>
      <c r="BJ15" s="100">
        <v>6.6166191098666056</v>
      </c>
      <c r="BK15" s="100">
        <v>5049.8037046501931</v>
      </c>
      <c r="BL15" s="100">
        <v>6.602001595877212</v>
      </c>
      <c r="BM15" s="100">
        <v>5038.6476179734882</v>
      </c>
      <c r="BN15" s="100">
        <v>0.26895800740181813</v>
      </c>
      <c r="BO15" s="100">
        <v>205.26875124906758</v>
      </c>
      <c r="BP15" s="100">
        <v>5.1357648939994922</v>
      </c>
      <c r="BQ15" s="100">
        <v>3919.6157671004121</v>
      </c>
      <c r="BR15" s="100">
        <v>9.7003073082720093</v>
      </c>
      <c r="BS15" s="100">
        <v>7403.2745376731964</v>
      </c>
      <c r="BT15" s="100">
        <v>1.9749638423776112</v>
      </c>
      <c r="BU15" s="100">
        <v>1507.2924045025927</v>
      </c>
      <c r="BV15" s="100">
        <v>0.21090661190117155</v>
      </c>
      <c r="BW15" s="100">
        <v>160.96392620297411</v>
      </c>
      <c r="BX15" s="100">
        <v>8.2462077431527323</v>
      </c>
      <c r="BY15" s="100">
        <v>6293.5057495741648</v>
      </c>
      <c r="BZ15" s="100">
        <v>5</v>
      </c>
      <c r="CA15" s="100">
        <v>3815.9999999999995</v>
      </c>
      <c r="CB15" s="100">
        <v>7</v>
      </c>
      <c r="CC15" s="100">
        <v>5342.4</v>
      </c>
      <c r="CD15" s="100">
        <v>5.5956961689185807</v>
      </c>
      <c r="CE15" s="100">
        <v>4270.6353161186607</v>
      </c>
      <c r="CF15" s="100">
        <v>1.8132074556479074</v>
      </c>
      <c r="CG15" s="100">
        <v>1383.8399301504828</v>
      </c>
      <c r="CH15" s="100">
        <v>8</v>
      </c>
      <c r="CI15" s="100">
        <v>6105.5999999999995</v>
      </c>
      <c r="CJ15" s="100">
        <v>5.2990994269445757</v>
      </c>
      <c r="CK15" s="100">
        <v>4044.2726826440999</v>
      </c>
      <c r="CL15" s="100">
        <v>8.3854915564640535</v>
      </c>
      <c r="CM15" s="100">
        <v>6399.8071558933652</v>
      </c>
      <c r="CN15" s="100">
        <v>5.4579503656166902E-4</v>
      </c>
      <c r="CO15" s="100">
        <v>0.41655077190386575</v>
      </c>
      <c r="CP15" s="100">
        <v>2.0221841554761713</v>
      </c>
      <c r="CQ15" s="100">
        <v>1543.3309474594137</v>
      </c>
      <c r="CR15" s="100">
        <v>10.064727560008716</v>
      </c>
      <c r="CS15" s="100">
        <v>7681.4000737986516</v>
      </c>
      <c r="CT15" s="100">
        <v>8</v>
      </c>
      <c r="CU15" s="100">
        <v>6105.5999999999995</v>
      </c>
    </row>
    <row r="16" spans="1:99">
      <c r="C16" s="99" t="s">
        <v>182</v>
      </c>
      <c r="D16" s="100">
        <v>7</v>
      </c>
      <c r="E16" s="100">
        <v>2385.6</v>
      </c>
      <c r="F16" s="100">
        <v>6.6129002353795556</v>
      </c>
      <c r="G16" s="100">
        <v>2253.6764002173527</v>
      </c>
      <c r="H16" s="100">
        <v>4.4196612731274989</v>
      </c>
      <c r="I16" s="100">
        <v>1506.2205618818516</v>
      </c>
      <c r="J16" s="100">
        <v>6.4680692815299726E-4</v>
      </c>
      <c r="K16" s="100">
        <v>0.22043180111454147</v>
      </c>
      <c r="L16" s="100">
        <v>10.122389463325316</v>
      </c>
      <c r="M16" s="100">
        <v>3449.7103291012677</v>
      </c>
      <c r="N16" s="100">
        <v>6</v>
      </c>
      <c r="O16" s="100">
        <v>2044.8000000000002</v>
      </c>
      <c r="P16" s="100">
        <v>6</v>
      </c>
      <c r="Q16" s="100">
        <v>2044.8000000000002</v>
      </c>
      <c r="R16" s="100">
        <v>9</v>
      </c>
      <c r="S16" s="100">
        <v>3067.2000000000003</v>
      </c>
      <c r="T16" s="100">
        <v>1.6036797357591768</v>
      </c>
      <c r="U16" s="100">
        <v>546.53405394672745</v>
      </c>
      <c r="V16" s="100">
        <v>6.7448530638687796</v>
      </c>
      <c r="W16" s="100">
        <v>2298.6459241664802</v>
      </c>
      <c r="X16" s="100">
        <v>6</v>
      </c>
      <c r="Y16" s="100">
        <v>2044.8000000000002</v>
      </c>
      <c r="Z16" s="100">
        <v>1.3267139923738571</v>
      </c>
      <c r="AA16" s="100">
        <v>452.14412860101055</v>
      </c>
      <c r="AB16" s="100">
        <v>1.7461501978683132</v>
      </c>
      <c r="AC16" s="100">
        <v>595.08798743352111</v>
      </c>
      <c r="AD16" s="100">
        <v>7.706282062285652</v>
      </c>
      <c r="AE16" s="100">
        <v>2626.3009268269502</v>
      </c>
      <c r="AF16" s="100">
        <v>10</v>
      </c>
      <c r="AG16" s="100">
        <v>3408</v>
      </c>
      <c r="AH16" s="100">
        <v>0.70319356224518947</v>
      </c>
      <c r="AI16" s="100">
        <v>239.64836601316057</v>
      </c>
      <c r="AJ16" s="100">
        <v>6.776955145520754E-4</v>
      </c>
      <c r="AK16" s="100">
        <v>0.2309586313593473</v>
      </c>
      <c r="AL16" s="100">
        <v>4.5031465720095571E-4</v>
      </c>
      <c r="AM16" s="100">
        <v>0.1534672351740857</v>
      </c>
      <c r="AN16" s="100">
        <v>2.3308393861066552</v>
      </c>
      <c r="AO16" s="100">
        <v>794.35006278514811</v>
      </c>
      <c r="AP16" s="100">
        <v>6.1669851218029024</v>
      </c>
      <c r="AQ16" s="100">
        <v>2101.7085295104293</v>
      </c>
      <c r="AR16" s="100">
        <v>6</v>
      </c>
      <c r="AS16" s="100">
        <v>2044.8000000000002</v>
      </c>
      <c r="AT16" s="100">
        <v>5.553798759645753</v>
      </c>
      <c r="AU16" s="100">
        <v>1892.7346172872726</v>
      </c>
      <c r="AV16" s="100">
        <v>1.9661021438211137</v>
      </c>
      <c r="AW16" s="100">
        <v>670.04761061423562</v>
      </c>
      <c r="AX16" s="100">
        <v>7.1621905933678871</v>
      </c>
      <c r="AY16" s="100">
        <v>2440.8745542197762</v>
      </c>
      <c r="AZ16" s="100">
        <v>7.9759971108611269</v>
      </c>
      <c r="BA16" s="100">
        <v>2718.219815381472</v>
      </c>
      <c r="BB16" s="100">
        <v>0.18992558254414391</v>
      </c>
      <c r="BC16" s="100">
        <v>64.726638531044244</v>
      </c>
      <c r="BD16" s="100">
        <v>7.0504298630275546</v>
      </c>
      <c r="BE16" s="100">
        <v>2402.7864973197907</v>
      </c>
      <c r="BF16" s="100">
        <v>10.53781567063009</v>
      </c>
      <c r="BG16" s="100">
        <v>3591.2875805507347</v>
      </c>
      <c r="BH16" s="100">
        <v>6.3918776685120386</v>
      </c>
      <c r="BI16" s="100">
        <v>2178.3519094289027</v>
      </c>
      <c r="BJ16" s="100">
        <v>7.3517990109628935</v>
      </c>
      <c r="BK16" s="100">
        <v>2505.4931029361542</v>
      </c>
      <c r="BL16" s="100">
        <v>6.602001595877212</v>
      </c>
      <c r="BM16" s="100">
        <v>2249.9621438749541</v>
      </c>
      <c r="BN16" s="100">
        <v>0.29881642845179612</v>
      </c>
      <c r="BO16" s="100">
        <v>101.83663881637212</v>
      </c>
      <c r="BP16" s="100">
        <v>5.1357648939994922</v>
      </c>
      <c r="BQ16" s="100">
        <v>1750.2686758750269</v>
      </c>
      <c r="BR16" s="100">
        <v>10.670338039099212</v>
      </c>
      <c r="BS16" s="100">
        <v>3636.4512037250115</v>
      </c>
      <c r="BT16" s="100">
        <v>1.7859337541637352</v>
      </c>
      <c r="BU16" s="100">
        <v>608.64622341900099</v>
      </c>
      <c r="BV16" s="100">
        <v>0.24055122919314739</v>
      </c>
      <c r="BW16" s="100">
        <v>81.979858909024628</v>
      </c>
      <c r="BX16" s="100">
        <v>7.2462077431527323</v>
      </c>
      <c r="BY16" s="100">
        <v>2469.5075988664512</v>
      </c>
      <c r="BZ16" s="100">
        <v>6</v>
      </c>
      <c r="CA16" s="100">
        <v>2044.8000000000002</v>
      </c>
      <c r="CB16" s="100">
        <v>7</v>
      </c>
      <c r="CC16" s="100">
        <v>2385.6</v>
      </c>
      <c r="CD16" s="100">
        <v>5.5956961689185807</v>
      </c>
      <c r="CE16" s="100">
        <v>1907.0132543674524</v>
      </c>
      <c r="CF16" s="100">
        <v>1.8132074556479074</v>
      </c>
      <c r="CG16" s="100">
        <v>617.94110088480681</v>
      </c>
      <c r="CH16" s="100">
        <v>10.600289106234452</v>
      </c>
      <c r="CI16" s="100">
        <v>3612.5785274047016</v>
      </c>
      <c r="CJ16" s="100">
        <v>6.0561136307938011</v>
      </c>
      <c r="CK16" s="100">
        <v>2063.9235253745273</v>
      </c>
      <c r="CL16" s="100">
        <v>7.6231741422400487</v>
      </c>
      <c r="CM16" s="100">
        <v>2597.9777476754089</v>
      </c>
      <c r="CN16" s="100">
        <v>5.4476080851408525E-4</v>
      </c>
      <c r="CO16" s="100">
        <v>0.18565448354160027</v>
      </c>
      <c r="CP16" s="100">
        <v>2.2244023585689168</v>
      </c>
      <c r="CQ16" s="100">
        <v>758.0763238002869</v>
      </c>
      <c r="CR16" s="100">
        <v>10.197818505009806</v>
      </c>
      <c r="CS16" s="100">
        <v>3475.416546507342</v>
      </c>
      <c r="CT16" s="100">
        <v>8</v>
      </c>
      <c r="CU16" s="100">
        <v>2726.4</v>
      </c>
    </row>
    <row r="17" spans="2:99">
      <c r="C17" s="99" t="s">
        <v>183</v>
      </c>
      <c r="D17" s="100">
        <v>8</v>
      </c>
      <c r="E17" s="100">
        <v>3379.2</v>
      </c>
      <c r="F17" s="100">
        <v>7.4395127648020001</v>
      </c>
      <c r="G17" s="100">
        <v>3142.4501918523647</v>
      </c>
      <c r="H17" s="100">
        <v>5.3035935277529989</v>
      </c>
      <c r="I17" s="100">
        <v>2240.2379061228667</v>
      </c>
      <c r="J17" s="100">
        <v>6.5020072438953271E-4</v>
      </c>
      <c r="K17" s="100">
        <v>0.2746447859821386</v>
      </c>
      <c r="L17" s="100">
        <v>9.9620481114216997</v>
      </c>
      <c r="M17" s="100">
        <v>4207.969122264526</v>
      </c>
      <c r="N17" s="100">
        <v>7</v>
      </c>
      <c r="O17" s="100">
        <v>2956.7999999999997</v>
      </c>
      <c r="P17" s="100">
        <v>5</v>
      </c>
      <c r="Q17" s="100">
        <v>2112</v>
      </c>
      <c r="R17" s="100">
        <v>9</v>
      </c>
      <c r="S17" s="100">
        <v>3801.6</v>
      </c>
      <c r="T17" s="100">
        <v>1.6036797357591768</v>
      </c>
      <c r="U17" s="100">
        <v>677.39432038467623</v>
      </c>
      <c r="V17" s="100">
        <v>6.7448530638687796</v>
      </c>
      <c r="W17" s="100">
        <v>2849.0259341781725</v>
      </c>
      <c r="X17" s="100">
        <v>7</v>
      </c>
      <c r="Y17" s="100">
        <v>2956.7999999999997</v>
      </c>
      <c r="Z17" s="100">
        <v>1.4741266581931745</v>
      </c>
      <c r="AA17" s="100">
        <v>622.67110042079685</v>
      </c>
      <c r="AB17" s="100">
        <v>1.7351253866742002</v>
      </c>
      <c r="AC17" s="100">
        <v>732.91696333118216</v>
      </c>
      <c r="AD17" s="100">
        <v>7.706282062285652</v>
      </c>
      <c r="AE17" s="100">
        <v>3255.1335431094594</v>
      </c>
      <c r="AF17" s="100">
        <v>9</v>
      </c>
      <c r="AG17" s="100">
        <v>3801.6</v>
      </c>
      <c r="AH17" s="100">
        <v>0.70319356224518947</v>
      </c>
      <c r="AI17" s="100">
        <v>297.028960692368</v>
      </c>
      <c r="AJ17" s="100">
        <v>5.8088207768984112E-4</v>
      </c>
      <c r="AK17" s="100">
        <v>0.24536458961618887</v>
      </c>
      <c r="AL17" s="100">
        <v>4.5031465720095571E-4</v>
      </c>
      <c r="AM17" s="100">
        <v>0.19021291120168368</v>
      </c>
      <c r="AN17" s="100">
        <v>2.0977668307553072</v>
      </c>
      <c r="AO17" s="100">
        <v>886.09670931104176</v>
      </c>
      <c r="AP17" s="100">
        <v>7.1669851218029024</v>
      </c>
      <c r="AQ17" s="100">
        <v>3027.334515449546</v>
      </c>
      <c r="AR17" s="100">
        <v>6</v>
      </c>
      <c r="AS17" s="100">
        <v>2534.3999999999996</v>
      </c>
      <c r="AT17" s="100">
        <v>5.553798759645753</v>
      </c>
      <c r="AU17" s="100">
        <v>2345.924596074366</v>
      </c>
      <c r="AV17" s="100">
        <v>1.7345603615980134</v>
      </c>
      <c r="AW17" s="100">
        <v>732.67829673900087</v>
      </c>
      <c r="AX17" s="100">
        <v>7.1621905933678871</v>
      </c>
      <c r="AY17" s="100">
        <v>3025.3093066385954</v>
      </c>
      <c r="AZ17" s="100">
        <v>8.8622190120679178</v>
      </c>
      <c r="BA17" s="100">
        <v>3743.4013106974885</v>
      </c>
      <c r="BB17" s="100">
        <v>0.18711560843109171</v>
      </c>
      <c r="BC17" s="100">
        <v>79.037633001293131</v>
      </c>
      <c r="BD17" s="100">
        <v>7.7493937038615961</v>
      </c>
      <c r="BE17" s="100">
        <v>3273.3439005111381</v>
      </c>
      <c r="BF17" s="100">
        <v>10.448179725525076</v>
      </c>
      <c r="BG17" s="100">
        <v>4413.3111160617918</v>
      </c>
      <c r="BH17" s="100">
        <v>6.3918776685120386</v>
      </c>
      <c r="BI17" s="100">
        <v>2699.929127179485</v>
      </c>
      <c r="BJ17" s="100">
        <v>7.3517990109628935</v>
      </c>
      <c r="BK17" s="100">
        <v>3105.3999022307262</v>
      </c>
      <c r="BL17" s="100">
        <v>7.2156401871575291</v>
      </c>
      <c r="BM17" s="100">
        <v>3047.88641505534</v>
      </c>
      <c r="BN17" s="100">
        <v>0.26919022535383458</v>
      </c>
      <c r="BO17" s="100">
        <v>113.70595118945973</v>
      </c>
      <c r="BP17" s="100">
        <v>5.1583923763327411</v>
      </c>
      <c r="BQ17" s="100">
        <v>2178.9049397629497</v>
      </c>
      <c r="BR17" s="100">
        <v>9.7003073082720093</v>
      </c>
      <c r="BS17" s="100">
        <v>4097.4098070140963</v>
      </c>
      <c r="BT17" s="100">
        <v>1.7859337541637352</v>
      </c>
      <c r="BU17" s="100">
        <v>754.37841775876177</v>
      </c>
      <c r="BV17" s="100">
        <v>0.21069446872258779</v>
      </c>
      <c r="BW17" s="100">
        <v>88.997343588421074</v>
      </c>
      <c r="BX17" s="100">
        <v>8.2462077431527323</v>
      </c>
      <c r="BY17" s="100">
        <v>3483.1981507077139</v>
      </c>
      <c r="BZ17" s="100">
        <v>6</v>
      </c>
      <c r="CA17" s="100">
        <v>2534.3999999999996</v>
      </c>
      <c r="CB17" s="100">
        <v>6</v>
      </c>
      <c r="CC17" s="100">
        <v>2534.3999999999996</v>
      </c>
      <c r="CD17" s="100">
        <v>5.5956961689185807</v>
      </c>
      <c r="CE17" s="100">
        <v>2363.6220617512085</v>
      </c>
      <c r="CF17" s="100">
        <v>1.8132074556479074</v>
      </c>
      <c r="CG17" s="100">
        <v>765.898829265676</v>
      </c>
      <c r="CH17" s="100">
        <v>9</v>
      </c>
      <c r="CI17" s="100">
        <v>3801.6</v>
      </c>
      <c r="CJ17" s="100">
        <v>6.0561136307938011</v>
      </c>
      <c r="CK17" s="100">
        <v>2558.1023976473016</v>
      </c>
      <c r="CL17" s="100">
        <v>8.3854915564640535</v>
      </c>
      <c r="CM17" s="100">
        <v>3542.0316334504159</v>
      </c>
      <c r="CN17" s="100">
        <v>5.4476080851408525E-4</v>
      </c>
      <c r="CO17" s="100">
        <v>0.2301069655163496</v>
      </c>
      <c r="CP17" s="100">
        <v>2.0221841554761713</v>
      </c>
      <c r="CQ17" s="100">
        <v>854.17058727313474</v>
      </c>
      <c r="CR17" s="100">
        <v>10.197818505009806</v>
      </c>
      <c r="CS17" s="100">
        <v>4307.5585365161423</v>
      </c>
      <c r="CT17" s="100">
        <v>8</v>
      </c>
      <c r="CU17" s="100">
        <v>3379.2</v>
      </c>
    </row>
    <row r="18" spans="2:99">
      <c r="C18" s="99" t="s">
        <v>184</v>
      </c>
      <c r="D18" s="100">
        <v>8</v>
      </c>
      <c r="E18" s="100">
        <v>5222.3999999999996</v>
      </c>
      <c r="F18" s="100">
        <v>6.6129002353795556</v>
      </c>
      <c r="G18" s="100">
        <v>4316.9012736557734</v>
      </c>
      <c r="H18" s="100">
        <v>4.4196612731274989</v>
      </c>
      <c r="I18" s="100">
        <v>2885.1548790976312</v>
      </c>
      <c r="J18" s="100">
        <v>5.7795619945736232E-4</v>
      </c>
      <c r="K18" s="100">
        <v>0.37728980700576609</v>
      </c>
      <c r="L18" s="100">
        <v>9.9620481114216997</v>
      </c>
      <c r="M18" s="100">
        <v>6503.225007136085</v>
      </c>
      <c r="N18" s="100">
        <v>6</v>
      </c>
      <c r="O18" s="100">
        <v>3916.7999999999997</v>
      </c>
      <c r="P18" s="100">
        <v>5</v>
      </c>
      <c r="Q18" s="100">
        <v>3264</v>
      </c>
      <c r="R18" s="100">
        <v>9</v>
      </c>
      <c r="S18" s="100">
        <v>5875.2</v>
      </c>
      <c r="T18" s="100">
        <v>1.6036797357591768</v>
      </c>
      <c r="U18" s="100">
        <v>1046.8821315035905</v>
      </c>
      <c r="V18" s="100">
        <v>5.7448530638687796</v>
      </c>
      <c r="W18" s="100">
        <v>3750.2400800935388</v>
      </c>
      <c r="X18" s="100">
        <v>7</v>
      </c>
      <c r="Y18" s="100">
        <v>4569.5999999999995</v>
      </c>
      <c r="Z18" s="100">
        <v>1.1793013265545396</v>
      </c>
      <c r="AA18" s="100">
        <v>769.84790597480333</v>
      </c>
      <c r="AB18" s="100">
        <v>1.4967001696014113</v>
      </c>
      <c r="AC18" s="100">
        <v>977.04587071580124</v>
      </c>
      <c r="AD18" s="100">
        <v>7.706282062285652</v>
      </c>
      <c r="AE18" s="100">
        <v>5030.6609302600737</v>
      </c>
      <c r="AF18" s="100">
        <v>9</v>
      </c>
      <c r="AG18" s="100">
        <v>5875.2</v>
      </c>
      <c r="AH18" s="100">
        <v>0.80364978542307375</v>
      </c>
      <c r="AI18" s="100">
        <v>524.62257992418256</v>
      </c>
      <c r="AJ18" s="100">
        <v>5.8088256319531982E-4</v>
      </c>
      <c r="AK18" s="100">
        <v>0.37920013725390478</v>
      </c>
      <c r="AL18" s="100">
        <v>4.5031465720095571E-4</v>
      </c>
      <c r="AM18" s="100">
        <v>0.29396540822078387</v>
      </c>
      <c r="AN18" s="100">
        <v>2.0977490731180737</v>
      </c>
      <c r="AO18" s="100">
        <v>1369.4105949314785</v>
      </c>
      <c r="AP18" s="100">
        <v>7.1669851218029024</v>
      </c>
      <c r="AQ18" s="100">
        <v>4678.6078875129342</v>
      </c>
      <c r="AR18" s="100">
        <v>6</v>
      </c>
      <c r="AS18" s="100">
        <v>3916.7999999999997</v>
      </c>
      <c r="AT18" s="100">
        <v>5.553798759645753</v>
      </c>
      <c r="AU18" s="100">
        <v>3625.5198302967474</v>
      </c>
      <c r="AV18" s="100">
        <v>1.9240872196827528</v>
      </c>
      <c r="AW18" s="100">
        <v>1256.0441370089009</v>
      </c>
      <c r="AX18" s="100">
        <v>7.0459715340310982</v>
      </c>
      <c r="AY18" s="100">
        <v>4599.6102174155003</v>
      </c>
      <c r="AZ18" s="100">
        <v>8.8622190120679178</v>
      </c>
      <c r="BA18" s="100">
        <v>5785.2565710779363</v>
      </c>
      <c r="BB18" s="100">
        <v>0.18852059548761779</v>
      </c>
      <c r="BC18" s="100">
        <v>123.06624473431688</v>
      </c>
      <c r="BD18" s="100">
        <v>7.6555634829708836</v>
      </c>
      <c r="BE18" s="100">
        <v>4997.5518416833929</v>
      </c>
      <c r="BF18" s="100">
        <v>9.5378156706300903</v>
      </c>
      <c r="BG18" s="100">
        <v>6226.286069787322</v>
      </c>
      <c r="BH18" s="100">
        <v>5.4787522872960333</v>
      </c>
      <c r="BI18" s="100">
        <v>3576.5294931468502</v>
      </c>
      <c r="BJ18" s="100">
        <v>7.3517990109628935</v>
      </c>
      <c r="BK18" s="100">
        <v>4799.2543943565761</v>
      </c>
      <c r="BL18" s="100">
        <v>6.602001595877212</v>
      </c>
      <c r="BM18" s="100">
        <v>4309.7866417886435</v>
      </c>
      <c r="BN18" s="100">
        <v>0.29881642845179612</v>
      </c>
      <c r="BO18" s="100">
        <v>195.06736449333249</v>
      </c>
      <c r="BP18" s="100">
        <v>5.1357648939994922</v>
      </c>
      <c r="BQ18" s="100">
        <v>3352.6273228028681</v>
      </c>
      <c r="BR18" s="100">
        <v>8.7302765774448083</v>
      </c>
      <c r="BS18" s="100">
        <v>5699.1245497559703</v>
      </c>
      <c r="BT18" s="100">
        <v>1.9749638423776112</v>
      </c>
      <c r="BU18" s="100">
        <v>1289.2563963041046</v>
      </c>
      <c r="BV18" s="100">
        <v>0.21069446872258779</v>
      </c>
      <c r="BW18" s="100">
        <v>137.54134918210531</v>
      </c>
      <c r="BX18" s="100">
        <v>8.2215869688374603</v>
      </c>
      <c r="BY18" s="100">
        <v>5367.0519732570938</v>
      </c>
      <c r="BZ18" s="100">
        <v>6</v>
      </c>
      <c r="CA18" s="100">
        <v>3916.7999999999997</v>
      </c>
      <c r="CB18" s="100">
        <v>7</v>
      </c>
      <c r="CC18" s="100">
        <v>4569.5999999999995</v>
      </c>
      <c r="CD18" s="100">
        <v>5.5956961689185807</v>
      </c>
      <c r="CE18" s="100">
        <v>3652.870459070049</v>
      </c>
      <c r="CF18" s="100">
        <v>1.4548477920407188</v>
      </c>
      <c r="CG18" s="100">
        <v>949.72463864418114</v>
      </c>
      <c r="CH18" s="100">
        <v>9</v>
      </c>
      <c r="CI18" s="100">
        <v>5875.2</v>
      </c>
      <c r="CJ18" s="100">
        <v>5.2990994269445757</v>
      </c>
      <c r="CK18" s="100">
        <v>3459.2521059094188</v>
      </c>
      <c r="CL18" s="100">
        <v>8.3854915564640535</v>
      </c>
      <c r="CM18" s="100">
        <v>5474.0488880597341</v>
      </c>
      <c r="CN18" s="100">
        <v>5.4476080851408525E-4</v>
      </c>
      <c r="CO18" s="100">
        <v>0.35561985579799482</v>
      </c>
      <c r="CP18" s="100">
        <v>2.0221924013434789</v>
      </c>
      <c r="CQ18" s="100">
        <v>1320.0871995970228</v>
      </c>
      <c r="CR18" s="100">
        <v>10.064727560008716</v>
      </c>
      <c r="CS18" s="100">
        <v>6570.2541511736899</v>
      </c>
      <c r="CT18" s="100">
        <v>8</v>
      </c>
      <c r="CU18" s="100">
        <v>5222.3999999999996</v>
      </c>
    </row>
    <row r="19" spans="2:99">
      <c r="C19" s="99" t="s">
        <v>185</v>
      </c>
      <c r="D19" s="100">
        <v>8</v>
      </c>
      <c r="E19" s="100">
        <v>2640</v>
      </c>
      <c r="F19" s="100">
        <v>6.6129002353795556</v>
      </c>
      <c r="G19" s="100">
        <v>2182.2570776752532</v>
      </c>
      <c r="H19" s="100">
        <v>5.3035935277529989</v>
      </c>
      <c r="I19" s="100">
        <v>1750.1858641584897</v>
      </c>
      <c r="J19" s="100">
        <v>7.156576568486322E-4</v>
      </c>
      <c r="K19" s="100">
        <v>0.23616702676004864</v>
      </c>
      <c r="L19" s="100">
        <v>8.9620481114216997</v>
      </c>
      <c r="M19" s="100">
        <v>2957.475876769161</v>
      </c>
      <c r="N19" s="100">
        <v>6</v>
      </c>
      <c r="O19" s="100">
        <v>1980</v>
      </c>
      <c r="P19" s="100">
        <v>6</v>
      </c>
      <c r="Q19" s="100">
        <v>1980</v>
      </c>
      <c r="R19" s="100">
        <v>10</v>
      </c>
      <c r="S19" s="100">
        <v>3300</v>
      </c>
      <c r="T19" s="100">
        <v>1.8709596917190399</v>
      </c>
      <c r="U19" s="100">
        <v>617.41669826728321</v>
      </c>
      <c r="V19" s="100">
        <v>5.7448530638687796</v>
      </c>
      <c r="W19" s="100">
        <v>1895.8015110766974</v>
      </c>
      <c r="X19" s="100">
        <v>7</v>
      </c>
      <c r="Y19" s="100">
        <v>2310</v>
      </c>
      <c r="Z19" s="100">
        <v>1.3267139923738571</v>
      </c>
      <c r="AA19" s="100">
        <v>437.81561748337288</v>
      </c>
      <c r="AB19" s="100">
        <v>1.9735506037469892</v>
      </c>
      <c r="AC19" s="100">
        <v>651.27169923650649</v>
      </c>
      <c r="AD19" s="100">
        <v>7.706282062285652</v>
      </c>
      <c r="AE19" s="100">
        <v>2543.0730805542653</v>
      </c>
      <c r="AF19" s="100">
        <v>9</v>
      </c>
      <c r="AG19" s="100">
        <v>2970</v>
      </c>
      <c r="AH19" s="100">
        <v>0.80364978542307375</v>
      </c>
      <c r="AI19" s="100">
        <v>265.20442918961436</v>
      </c>
      <c r="AJ19" s="100">
        <v>5.8088207768984112E-4</v>
      </c>
      <c r="AK19" s="100">
        <v>0.19169108563764756</v>
      </c>
      <c r="AL19" s="100">
        <v>4.5031507574872274E-4</v>
      </c>
      <c r="AM19" s="100">
        <v>0.1486039749970785</v>
      </c>
      <c r="AN19" s="100">
        <v>2.3308400485402712</v>
      </c>
      <c r="AO19" s="100">
        <v>769.17721601828953</v>
      </c>
      <c r="AP19" s="100">
        <v>6.1669851218029024</v>
      </c>
      <c r="AQ19" s="100">
        <v>2035.1050901949577</v>
      </c>
      <c r="AR19" s="100">
        <v>6</v>
      </c>
      <c r="AS19" s="100">
        <v>1980</v>
      </c>
      <c r="AT19" s="100">
        <v>6.3471985824522896</v>
      </c>
      <c r="AU19" s="100">
        <v>2094.5755322092555</v>
      </c>
      <c r="AV19" s="100">
        <v>1.9661021438211137</v>
      </c>
      <c r="AW19" s="100">
        <v>648.81370746096752</v>
      </c>
      <c r="AX19" s="100">
        <v>6.1621905933678871</v>
      </c>
      <c r="AY19" s="100">
        <v>2033.5228958114028</v>
      </c>
      <c r="AZ19" s="100">
        <v>8.8622190120679178</v>
      </c>
      <c r="BA19" s="100">
        <v>2924.5322739824128</v>
      </c>
      <c r="BB19" s="100">
        <v>0.18852059548761779</v>
      </c>
      <c r="BC19" s="100">
        <v>62.211796510913871</v>
      </c>
      <c r="BD19" s="100">
        <v>6.9560635522312255</v>
      </c>
      <c r="BE19" s="100">
        <v>2295.5009722363043</v>
      </c>
      <c r="BF19" s="100">
        <v>9.5378156706300903</v>
      </c>
      <c r="BG19" s="100">
        <v>3147.4791713079298</v>
      </c>
      <c r="BH19" s="100">
        <v>6.3918776685120386</v>
      </c>
      <c r="BI19" s="100">
        <v>2109.3196306089726</v>
      </c>
      <c r="BJ19" s="100">
        <v>6.6166191098666056</v>
      </c>
      <c r="BK19" s="100">
        <v>2183.4843062559798</v>
      </c>
      <c r="BL19" s="100">
        <v>6.5798294204927341</v>
      </c>
      <c r="BM19" s="100">
        <v>2171.3437087626021</v>
      </c>
      <c r="BN19" s="100">
        <v>0.26919022535383458</v>
      </c>
      <c r="BO19" s="100">
        <v>88.832774366765406</v>
      </c>
      <c r="BP19" s="100">
        <v>5.1583923763327411</v>
      </c>
      <c r="BQ19" s="100">
        <v>1702.2694841898046</v>
      </c>
      <c r="BR19" s="100">
        <v>9.7003073082720093</v>
      </c>
      <c r="BS19" s="100">
        <v>3201.1014117297632</v>
      </c>
      <c r="BT19" s="100">
        <v>1.7944000501876203</v>
      </c>
      <c r="BU19" s="100">
        <v>592.15201656191471</v>
      </c>
      <c r="BV19" s="100">
        <v>0.2407633723717312</v>
      </c>
      <c r="BW19" s="100">
        <v>79.451912882671294</v>
      </c>
      <c r="BX19" s="100">
        <v>8.2462077431527323</v>
      </c>
      <c r="BY19" s="100">
        <v>2721.2485552404019</v>
      </c>
      <c r="BZ19" s="100">
        <v>5</v>
      </c>
      <c r="CA19" s="100">
        <v>1650</v>
      </c>
      <c r="CB19" s="100">
        <v>6</v>
      </c>
      <c r="CC19" s="100">
        <v>1980</v>
      </c>
      <c r="CD19" s="100">
        <v>5.5956961689185807</v>
      </c>
      <c r="CE19" s="100">
        <v>1846.5797357431316</v>
      </c>
      <c r="CF19" s="100">
        <v>1.6375958134463073</v>
      </c>
      <c r="CG19" s="100">
        <v>540.4066184372814</v>
      </c>
      <c r="CH19" s="100">
        <v>10</v>
      </c>
      <c r="CI19" s="100">
        <v>3300</v>
      </c>
      <c r="CJ19" s="100">
        <v>5.2990994269445757</v>
      </c>
      <c r="CK19" s="100">
        <v>1748.70281089171</v>
      </c>
      <c r="CL19" s="100">
        <v>8.3854915564640535</v>
      </c>
      <c r="CM19" s="100">
        <v>2767.2122136331377</v>
      </c>
      <c r="CN19" s="100">
        <v>6.056345299204005E-4</v>
      </c>
      <c r="CO19" s="100">
        <v>0.19985939487373217</v>
      </c>
      <c r="CP19" s="100">
        <v>2.0221841554761713</v>
      </c>
      <c r="CQ19" s="100">
        <v>667.32077130713651</v>
      </c>
      <c r="CR19" s="100">
        <v>11.197818505009806</v>
      </c>
      <c r="CS19" s="100">
        <v>3695.2801066532361</v>
      </c>
      <c r="CT19" s="100">
        <v>9</v>
      </c>
      <c r="CU19" s="100">
        <v>2970</v>
      </c>
    </row>
    <row r="20" spans="2:99">
      <c r="B20" s="99" t="s">
        <v>127</v>
      </c>
      <c r="C20" s="99" t="s">
        <v>186</v>
      </c>
      <c r="D20" s="100">
        <v>8</v>
      </c>
      <c r="E20" s="100">
        <v>2294.4</v>
      </c>
      <c r="F20" s="100">
        <v>6.6129002353795556</v>
      </c>
      <c r="G20" s="100">
        <v>1896.5797875068565</v>
      </c>
      <c r="H20" s="100">
        <v>7.0714580370039979</v>
      </c>
      <c r="I20" s="100">
        <v>2028.0941650127468</v>
      </c>
      <c r="J20" s="100">
        <v>4.5043613077569861E-4</v>
      </c>
      <c r="K20" s="100">
        <v>0.12918508230647036</v>
      </c>
      <c r="L20" s="100">
        <v>7.4430721671325495</v>
      </c>
      <c r="M20" s="100">
        <v>2134.6730975336154</v>
      </c>
      <c r="N20" s="100">
        <v>9</v>
      </c>
      <c r="O20" s="100">
        <v>2581.2000000000003</v>
      </c>
      <c r="P20" s="100">
        <v>9</v>
      </c>
      <c r="Q20" s="100">
        <v>2581.2000000000003</v>
      </c>
      <c r="R20" s="100">
        <v>7</v>
      </c>
      <c r="S20" s="100">
        <v>2007.6000000000001</v>
      </c>
      <c r="T20" s="100">
        <v>1.8709596917190399</v>
      </c>
      <c r="U20" s="100">
        <v>536.59123958502062</v>
      </c>
      <c r="V20" s="100">
        <v>8.7876473532850703</v>
      </c>
      <c r="W20" s="100">
        <v>2520.2972609221583</v>
      </c>
      <c r="X20" s="100">
        <v>8</v>
      </c>
      <c r="Y20" s="100">
        <v>2294.4</v>
      </c>
      <c r="Z20" s="100">
        <v>1.1793013265545396</v>
      </c>
      <c r="AA20" s="100">
        <v>338.22362045584197</v>
      </c>
      <c r="AB20" s="100">
        <v>2.5606491498336967</v>
      </c>
      <c r="AC20" s="100">
        <v>734.39417617230424</v>
      </c>
      <c r="AD20" s="100">
        <v>9.5538205370284359</v>
      </c>
      <c r="AE20" s="100">
        <v>2740.0357300197556</v>
      </c>
      <c r="AF20" s="100">
        <v>7</v>
      </c>
      <c r="AG20" s="100">
        <v>2007.6000000000001</v>
      </c>
      <c r="AH20" s="100">
        <v>0.70319356224518947</v>
      </c>
      <c r="AI20" s="100">
        <v>201.67591365192035</v>
      </c>
      <c r="AJ20" s="100">
        <v>5.8088741825010673E-4</v>
      </c>
      <c r="AK20" s="100">
        <v>0.16659851155413061</v>
      </c>
      <c r="AL20" s="100">
        <v>9.9069467341915103E-4</v>
      </c>
      <c r="AM20" s="100">
        <v>0.28413123233661253</v>
      </c>
      <c r="AN20" s="100">
        <v>1.3985873297101934</v>
      </c>
      <c r="AO20" s="100">
        <v>401.11484616088347</v>
      </c>
      <c r="AP20" s="100">
        <v>11.90765509473559</v>
      </c>
      <c r="AQ20" s="100">
        <v>3415.1154811701672</v>
      </c>
      <c r="AR20" s="100">
        <v>10</v>
      </c>
      <c r="AS20" s="100">
        <v>2868</v>
      </c>
      <c r="AT20" s="100">
        <v>7.1405984052588245</v>
      </c>
      <c r="AU20" s="100">
        <v>2047.923622628231</v>
      </c>
      <c r="AV20" s="100">
        <v>2.1949809813356982</v>
      </c>
      <c r="AW20" s="100">
        <v>629.52054544707823</v>
      </c>
      <c r="AX20" s="100">
        <v>8.0459715340310982</v>
      </c>
      <c r="AY20" s="100">
        <v>2307.5846359601192</v>
      </c>
      <c r="AZ20" s="100">
        <v>9.7484409132747114</v>
      </c>
      <c r="BA20" s="100">
        <v>2795.8528539271874</v>
      </c>
      <c r="BB20" s="100">
        <v>0.23375640079139415</v>
      </c>
      <c r="BC20" s="100">
        <v>67.041335746971839</v>
      </c>
      <c r="BD20" s="100">
        <v>8.2147921789758449</v>
      </c>
      <c r="BE20" s="100">
        <v>2356.0023969302724</v>
      </c>
      <c r="BF20" s="100">
        <v>10.434175121680243</v>
      </c>
      <c r="BG20" s="100">
        <v>2992.5214248978937</v>
      </c>
      <c r="BH20" s="100">
        <v>8.2181284309440485</v>
      </c>
      <c r="BI20" s="100">
        <v>2356.959233994753</v>
      </c>
      <c r="BJ20" s="100">
        <v>8.086978912059184</v>
      </c>
      <c r="BK20" s="100">
        <v>2319.3455519785739</v>
      </c>
      <c r="BL20" s="100">
        <v>5.4855852902389604</v>
      </c>
      <c r="BM20" s="100">
        <v>1573.2658612405339</v>
      </c>
      <c r="BN20" s="100">
        <v>0.3289070674537905</v>
      </c>
      <c r="BO20" s="100">
        <v>94.330546945747116</v>
      </c>
      <c r="BP20" s="100">
        <v>8.2715297879989844</v>
      </c>
      <c r="BQ20" s="100">
        <v>2372.2747431981088</v>
      </c>
      <c r="BR20" s="100">
        <v>9.7003073082720093</v>
      </c>
      <c r="BS20" s="100">
        <v>2782.0481360124122</v>
      </c>
      <c r="BT20" s="100">
        <v>1.6646340341409394</v>
      </c>
      <c r="BU20" s="100">
        <v>477.41704099162143</v>
      </c>
      <c r="BV20" s="100">
        <v>0.27295370780671258</v>
      </c>
      <c r="BW20" s="100">
        <v>78.283123398965174</v>
      </c>
      <c r="BX20" s="100">
        <v>10.22158696883746</v>
      </c>
      <c r="BY20" s="100">
        <v>2931.5511426625835</v>
      </c>
      <c r="BZ20" s="100">
        <v>7</v>
      </c>
      <c r="CA20" s="100">
        <v>2007.6000000000001</v>
      </c>
      <c r="CB20" s="100">
        <v>6</v>
      </c>
      <c r="CC20" s="100">
        <v>1720.8000000000002</v>
      </c>
      <c r="CD20" s="100">
        <v>6.5283121970716769</v>
      </c>
      <c r="CE20" s="100">
        <v>1872.3199381201571</v>
      </c>
      <c r="CF20" s="100">
        <v>1.7561164220160008</v>
      </c>
      <c r="CG20" s="100">
        <v>503.65418983418908</v>
      </c>
      <c r="CH20" s="100">
        <v>11</v>
      </c>
      <c r="CI20" s="100">
        <v>3154.8</v>
      </c>
      <c r="CJ20" s="100">
        <v>9.0841704461907025</v>
      </c>
      <c r="CK20" s="100">
        <v>2605.3400839674937</v>
      </c>
      <c r="CL20" s="100">
        <v>7.6231741422400487</v>
      </c>
      <c r="CM20" s="100">
        <v>2186.3263439944462</v>
      </c>
      <c r="CN20" s="100">
        <v>6.1907949453898867E-4</v>
      </c>
      <c r="CO20" s="100">
        <v>0.17755199903378197</v>
      </c>
      <c r="CP20" s="100">
        <v>1.820018766163825</v>
      </c>
      <c r="CQ20" s="100">
        <v>521.981382135785</v>
      </c>
      <c r="CR20" s="100">
        <v>12.464000395011986</v>
      </c>
      <c r="CS20" s="100">
        <v>3574.6753132894378</v>
      </c>
      <c r="CT20" s="100">
        <v>11</v>
      </c>
      <c r="CU20" s="100">
        <v>3154.8</v>
      </c>
    </row>
    <row r="21" spans="2:99">
      <c r="C21" s="99" t="s">
        <v>187</v>
      </c>
      <c r="D21" s="100">
        <v>9</v>
      </c>
      <c r="E21" s="100">
        <v>561.6</v>
      </c>
      <c r="F21" s="100">
        <v>6.6129002353795556</v>
      </c>
      <c r="G21" s="100">
        <v>412.64497468768428</v>
      </c>
      <c r="H21" s="100">
        <v>6.1875257823784988</v>
      </c>
      <c r="I21" s="100">
        <v>386.10160882041833</v>
      </c>
      <c r="J21" s="100">
        <v>4.5382992701223395E-4</v>
      </c>
      <c r="K21" s="100">
        <v>2.8318987445563399E-2</v>
      </c>
      <c r="L21" s="100">
        <v>7.763754870939783</v>
      </c>
      <c r="M21" s="100">
        <v>484.45830394664245</v>
      </c>
      <c r="N21" s="100">
        <v>8</v>
      </c>
      <c r="O21" s="100">
        <v>499.2</v>
      </c>
      <c r="P21" s="100">
        <v>9</v>
      </c>
      <c r="Q21" s="100">
        <v>561.6</v>
      </c>
      <c r="R21" s="100">
        <v>7</v>
      </c>
      <c r="S21" s="100">
        <v>436.8</v>
      </c>
      <c r="T21" s="100">
        <v>2.1382396476789025</v>
      </c>
      <c r="U21" s="100">
        <v>133.42615401516352</v>
      </c>
      <c r="V21" s="100">
        <v>7.7876473532850703</v>
      </c>
      <c r="W21" s="100">
        <v>485.94919484498837</v>
      </c>
      <c r="X21" s="100">
        <v>8</v>
      </c>
      <c r="Y21" s="100">
        <v>499.2</v>
      </c>
      <c r="Z21" s="100">
        <v>1.031888660735222</v>
      </c>
      <c r="AA21" s="100">
        <v>64.389852429877848</v>
      </c>
      <c r="AB21" s="100">
        <v>2.3001743103726819</v>
      </c>
      <c r="AC21" s="100">
        <v>143.53087696725535</v>
      </c>
      <c r="AD21" s="100">
        <v>10.836333361942696</v>
      </c>
      <c r="AE21" s="100">
        <v>676.18720178522426</v>
      </c>
      <c r="AF21" s="100">
        <v>7</v>
      </c>
      <c r="AG21" s="100">
        <v>436.8</v>
      </c>
      <c r="AH21" s="100">
        <v>0.70319356224518947</v>
      </c>
      <c r="AI21" s="100">
        <v>43.879278284099826</v>
      </c>
      <c r="AJ21" s="100">
        <v>5.8088644723914933E-4</v>
      </c>
      <c r="AK21" s="100">
        <v>3.6247314307722919E-2</v>
      </c>
      <c r="AL21" s="100">
        <v>8.1057023360117642E-4</v>
      </c>
      <c r="AM21" s="100">
        <v>5.0579582576713404E-2</v>
      </c>
      <c r="AN21" s="100">
        <v>1.3985866672765779</v>
      </c>
      <c r="AO21" s="100">
        <v>87.271808038058452</v>
      </c>
      <c r="AP21" s="100">
        <v>12.037320108269247</v>
      </c>
      <c r="AQ21" s="100">
        <v>751.12877475600101</v>
      </c>
      <c r="AR21" s="100">
        <v>10</v>
      </c>
      <c r="AS21" s="100">
        <v>624</v>
      </c>
      <c r="AT21" s="100">
        <v>6.3471985824522896</v>
      </c>
      <c r="AU21" s="100">
        <v>396.06519154502286</v>
      </c>
      <c r="AV21" s="100">
        <v>2.1949809813356982</v>
      </c>
      <c r="AW21" s="100">
        <v>136.96681323534756</v>
      </c>
      <c r="AX21" s="100">
        <v>8.9297524746943093</v>
      </c>
      <c r="AY21" s="100">
        <v>557.21655442092492</v>
      </c>
      <c r="AZ21" s="100">
        <v>9.7484409132747114</v>
      </c>
      <c r="BA21" s="100">
        <v>608.30271298834202</v>
      </c>
      <c r="BB21" s="100">
        <v>0.23516138784792026</v>
      </c>
      <c r="BC21" s="100">
        <v>14.674070601710223</v>
      </c>
      <c r="BD21" s="100">
        <v>8.2147921789758449</v>
      </c>
      <c r="BE21" s="100">
        <v>512.60303196809275</v>
      </c>
      <c r="BF21" s="100">
        <v>11.254903231470212</v>
      </c>
      <c r="BG21" s="100">
        <v>702.30596164374128</v>
      </c>
      <c r="BH21" s="100">
        <v>7.305003049728044</v>
      </c>
      <c r="BI21" s="100">
        <v>455.83219030302996</v>
      </c>
      <c r="BJ21" s="100">
        <v>9.5573387142517632</v>
      </c>
      <c r="BK21" s="100">
        <v>596.37793576931006</v>
      </c>
      <c r="BL21" s="100">
        <v>5.4436932602264916</v>
      </c>
      <c r="BM21" s="100">
        <v>339.68645943813306</v>
      </c>
      <c r="BN21" s="100">
        <v>0.35830105259973555</v>
      </c>
      <c r="BO21" s="100">
        <v>22.357985682223497</v>
      </c>
      <c r="BP21" s="100">
        <v>8.2262748233324867</v>
      </c>
      <c r="BQ21" s="100">
        <v>513.31954897594721</v>
      </c>
      <c r="BR21" s="100">
        <v>9.7003073082720093</v>
      </c>
      <c r="BS21" s="100">
        <v>605.29917603617332</v>
      </c>
      <c r="BT21" s="100">
        <v>1.6731003301648244</v>
      </c>
      <c r="BU21" s="100">
        <v>104.40146060228504</v>
      </c>
      <c r="BV21" s="100">
        <v>0.24246051780040159</v>
      </c>
      <c r="BW21" s="100">
        <v>15.12953631074506</v>
      </c>
      <c r="BX21" s="100">
        <v>10.246207743152732</v>
      </c>
      <c r="BY21" s="100">
        <v>639.36336317273049</v>
      </c>
      <c r="BZ21" s="100">
        <v>7</v>
      </c>
      <c r="CA21" s="100">
        <v>436.8</v>
      </c>
      <c r="CB21" s="100">
        <v>7</v>
      </c>
      <c r="CC21" s="100">
        <v>436.8</v>
      </c>
      <c r="CD21" s="100">
        <v>7.4609282252247739</v>
      </c>
      <c r="CE21" s="100">
        <v>465.56192125402589</v>
      </c>
      <c r="CF21" s="100">
        <v>1.9317280642176009</v>
      </c>
      <c r="CG21" s="100">
        <v>120.5398312071783</v>
      </c>
      <c r="CH21" s="100">
        <v>11</v>
      </c>
      <c r="CI21" s="100">
        <v>686.4</v>
      </c>
      <c r="CJ21" s="100">
        <v>9.8411846500399278</v>
      </c>
      <c r="CK21" s="100">
        <v>614.08992216249146</v>
      </c>
      <c r="CL21" s="100">
        <v>6.860856728016044</v>
      </c>
      <c r="CM21" s="100">
        <v>428.11745982820111</v>
      </c>
      <c r="CN21" s="100">
        <v>5.5924000118025719E-4</v>
      </c>
      <c r="CO21" s="100">
        <v>3.4896576073648045E-2</v>
      </c>
      <c r="CP21" s="100">
        <v>2.2244466229750488</v>
      </c>
      <c r="CQ21" s="100">
        <v>138.80546927364304</v>
      </c>
      <c r="CR21" s="100">
        <v>11.597091340013074</v>
      </c>
      <c r="CS21" s="100">
        <v>723.65849961681579</v>
      </c>
      <c r="CT21" s="100">
        <v>10</v>
      </c>
      <c r="CU21" s="100">
        <v>624</v>
      </c>
    </row>
    <row r="22" spans="2:99">
      <c r="C22" s="99" t="s">
        <v>188</v>
      </c>
      <c r="D22" s="100">
        <v>8</v>
      </c>
      <c r="E22" s="100">
        <v>1497.6</v>
      </c>
      <c r="F22" s="100">
        <v>6.6129002353795556</v>
      </c>
      <c r="G22" s="100">
        <v>1237.9349240630527</v>
      </c>
      <c r="H22" s="100">
        <v>7.9553902916294978</v>
      </c>
      <c r="I22" s="100">
        <v>1489.2490625930418</v>
      </c>
      <c r="J22" s="100">
        <v>4.5382992701223395E-4</v>
      </c>
      <c r="K22" s="100">
        <v>8.4956962336690187E-2</v>
      </c>
      <c r="L22" s="100">
        <v>7.6034135190361658</v>
      </c>
      <c r="M22" s="100">
        <v>1423.35901076357</v>
      </c>
      <c r="N22" s="100">
        <v>7</v>
      </c>
      <c r="O22" s="100">
        <v>1310.3999999999999</v>
      </c>
      <c r="P22" s="100">
        <v>10</v>
      </c>
      <c r="Q22" s="100">
        <v>1872</v>
      </c>
      <c r="R22" s="100">
        <v>6</v>
      </c>
      <c r="S22" s="100">
        <v>1123.1999999999998</v>
      </c>
      <c r="T22" s="100">
        <v>1.8709596917190399</v>
      </c>
      <c r="U22" s="100">
        <v>350.24365428980423</v>
      </c>
      <c r="V22" s="100">
        <v>7.7876473532850703</v>
      </c>
      <c r="W22" s="100">
        <v>1457.8475845349651</v>
      </c>
      <c r="X22" s="100">
        <v>7</v>
      </c>
      <c r="Y22" s="100">
        <v>1310.3999999999999</v>
      </c>
      <c r="Z22" s="100">
        <v>1.031888660735222</v>
      </c>
      <c r="AA22" s="100">
        <v>193.16955728963356</v>
      </c>
      <c r="AB22" s="100">
        <v>2.3111991215667946</v>
      </c>
      <c r="AC22" s="100">
        <v>432.65647555730391</v>
      </c>
      <c r="AD22" s="100">
        <v>9.836333361942696</v>
      </c>
      <c r="AE22" s="100">
        <v>1841.3616053556725</v>
      </c>
      <c r="AF22" s="100">
        <v>8</v>
      </c>
      <c r="AG22" s="100">
        <v>1497.6</v>
      </c>
      <c r="AH22" s="100">
        <v>0.70319356224518947</v>
      </c>
      <c r="AI22" s="100">
        <v>131.63783485229945</v>
      </c>
      <c r="AJ22" s="100">
        <v>5.8088596173367063E-4</v>
      </c>
      <c r="AK22" s="100">
        <v>0.10874185203654313</v>
      </c>
      <c r="AL22" s="100">
        <v>9.0063224423628035E-4</v>
      </c>
      <c r="AM22" s="100">
        <v>0.16859835612103166</v>
      </c>
      <c r="AN22" s="100">
        <v>1.1655154367924609</v>
      </c>
      <c r="AO22" s="100">
        <v>218.18448976754868</v>
      </c>
      <c r="AP22" s="100">
        <v>12.037320108269247</v>
      </c>
      <c r="AQ22" s="100">
        <v>2253.3863242680031</v>
      </c>
      <c r="AR22" s="100">
        <v>9</v>
      </c>
      <c r="AS22" s="100">
        <v>1684.8</v>
      </c>
      <c r="AT22" s="100">
        <v>7.1405984052588245</v>
      </c>
      <c r="AU22" s="100">
        <v>1336.720021464452</v>
      </c>
      <c r="AV22" s="100">
        <v>1.9975837273649899</v>
      </c>
      <c r="AW22" s="100">
        <v>373.94767376272608</v>
      </c>
      <c r="AX22" s="100">
        <v>8.9297524746943093</v>
      </c>
      <c r="AY22" s="100">
        <v>1671.6496632627745</v>
      </c>
      <c r="AZ22" s="100">
        <v>8.8622190120679178</v>
      </c>
      <c r="BA22" s="100">
        <v>1659.0073990591141</v>
      </c>
      <c r="BB22" s="100">
        <v>0.26072737436033111</v>
      </c>
      <c r="BC22" s="100">
        <v>48.808164480253978</v>
      </c>
      <c r="BD22" s="100">
        <v>8.2147921789758449</v>
      </c>
      <c r="BE22" s="100">
        <v>1537.8090959042781</v>
      </c>
      <c r="BF22" s="100">
        <v>12.344539176575228</v>
      </c>
      <c r="BG22" s="100">
        <v>2310.8977338548825</v>
      </c>
      <c r="BH22" s="100">
        <v>8.2181284309440485</v>
      </c>
      <c r="BI22" s="100">
        <v>1538.4336422727258</v>
      </c>
      <c r="BJ22" s="100">
        <v>9.5573387142517632</v>
      </c>
      <c r="BK22" s="100">
        <v>1789.1338073079301</v>
      </c>
      <c r="BL22" s="100">
        <v>5.499957667155849</v>
      </c>
      <c r="BM22" s="100">
        <v>1029.5920752915749</v>
      </c>
      <c r="BN22" s="100">
        <v>0.35876548850376844</v>
      </c>
      <c r="BO22" s="100">
        <v>67.16089944790545</v>
      </c>
      <c r="BP22" s="100">
        <v>8.2489023056657356</v>
      </c>
      <c r="BQ22" s="100">
        <v>1544.1945116206257</v>
      </c>
      <c r="BR22" s="100">
        <v>9.7003073082720093</v>
      </c>
      <c r="BS22" s="100">
        <v>1815.89752810852</v>
      </c>
      <c r="BT22" s="100">
        <v>1.6561677381170543</v>
      </c>
      <c r="BU22" s="100">
        <v>310.03460057551257</v>
      </c>
      <c r="BV22" s="100">
        <v>0.27252942144954495</v>
      </c>
      <c r="BW22" s="100">
        <v>51.017507695354809</v>
      </c>
      <c r="BX22" s="100">
        <v>11.22158696883746</v>
      </c>
      <c r="BY22" s="100">
        <v>2100.6810805663727</v>
      </c>
      <c r="BZ22" s="100">
        <v>7</v>
      </c>
      <c r="CA22" s="100">
        <v>1310.3999999999999</v>
      </c>
      <c r="CB22" s="100">
        <v>7</v>
      </c>
      <c r="CC22" s="100">
        <v>1310.3999999999999</v>
      </c>
      <c r="CD22" s="100">
        <v>6.5283121970716769</v>
      </c>
      <c r="CE22" s="100">
        <v>1222.1000432918179</v>
      </c>
      <c r="CF22" s="100">
        <v>1.9317280642176009</v>
      </c>
      <c r="CG22" s="100">
        <v>361.61949362153484</v>
      </c>
      <c r="CH22" s="100">
        <v>12.780375838104788</v>
      </c>
      <c r="CI22" s="100">
        <v>2392.4863568932165</v>
      </c>
      <c r="CJ22" s="100">
        <v>9.8411846500399278</v>
      </c>
      <c r="CK22" s="100">
        <v>1842.2697664874743</v>
      </c>
      <c r="CL22" s="100">
        <v>7.6231741422400487</v>
      </c>
      <c r="CM22" s="100">
        <v>1427.0581994273371</v>
      </c>
      <c r="CN22" s="100">
        <v>5.5820577313267354E-4</v>
      </c>
      <c r="CO22" s="100">
        <v>0.10449612073043647</v>
      </c>
      <c r="CP22" s="100">
        <v>2.0222210845358735</v>
      </c>
      <c r="CQ22" s="100">
        <v>378.5597870251155</v>
      </c>
      <c r="CR22" s="100">
        <v>12.597091340013074</v>
      </c>
      <c r="CS22" s="100">
        <v>2358.1754988504472</v>
      </c>
      <c r="CT22" s="100">
        <v>10</v>
      </c>
      <c r="CU22" s="100">
        <v>1872</v>
      </c>
    </row>
    <row r="23" spans="2:99">
      <c r="C23" s="99" t="s">
        <v>189</v>
      </c>
      <c r="D23" s="100">
        <v>9</v>
      </c>
      <c r="E23" s="100">
        <v>2646</v>
      </c>
      <c r="F23" s="100">
        <v>5.7862877059571112</v>
      </c>
      <c r="G23" s="100">
        <v>1701.1685855513906</v>
      </c>
      <c r="H23" s="100">
        <v>7.9553902916294978</v>
      </c>
      <c r="I23" s="100">
        <v>2338.8847457390725</v>
      </c>
      <c r="J23" s="100">
        <v>4.5382992701223395E-4</v>
      </c>
      <c r="K23" s="100">
        <v>0.13342599854159679</v>
      </c>
      <c r="L23" s="100">
        <v>7.763754870939783</v>
      </c>
      <c r="M23" s="100">
        <v>2282.5439320562964</v>
      </c>
      <c r="N23" s="100">
        <v>7</v>
      </c>
      <c r="O23" s="100">
        <v>2058</v>
      </c>
      <c r="P23" s="100">
        <v>8</v>
      </c>
      <c r="Q23" s="100">
        <v>2352</v>
      </c>
      <c r="R23" s="100">
        <v>7</v>
      </c>
      <c r="S23" s="100">
        <v>2058</v>
      </c>
      <c r="T23" s="100">
        <v>2.1382396476789025</v>
      </c>
      <c r="U23" s="100">
        <v>628.64245641759737</v>
      </c>
      <c r="V23" s="100">
        <v>7.7876473532850703</v>
      </c>
      <c r="W23" s="100">
        <v>2289.5683218658105</v>
      </c>
      <c r="X23" s="100">
        <v>7</v>
      </c>
      <c r="Y23" s="100">
        <v>2058</v>
      </c>
      <c r="Z23" s="100">
        <v>1.031888660735222</v>
      </c>
      <c r="AA23" s="100">
        <v>303.37526625615527</v>
      </c>
      <c r="AB23" s="100">
        <v>2.2891494991785688</v>
      </c>
      <c r="AC23" s="100">
        <v>673.00995275849925</v>
      </c>
      <c r="AD23" s="100">
        <v>9.5538205370284359</v>
      </c>
      <c r="AE23" s="100">
        <v>2808.8232378863599</v>
      </c>
      <c r="AF23" s="100">
        <v>7</v>
      </c>
      <c r="AG23" s="100">
        <v>2058</v>
      </c>
      <c r="AH23" s="100">
        <v>0.60273733906730531</v>
      </c>
      <c r="AI23" s="100">
        <v>177.20477768578777</v>
      </c>
      <c r="AJ23" s="100">
        <v>5.8088693274462803E-4</v>
      </c>
      <c r="AK23" s="100">
        <v>0.17078075822692065</v>
      </c>
      <c r="AL23" s="100">
        <v>9.9069592906245196E-4</v>
      </c>
      <c r="AM23" s="100">
        <v>0.29126460314436087</v>
      </c>
      <c r="AN23" s="100">
        <v>1.3985866672765779</v>
      </c>
      <c r="AO23" s="100">
        <v>411.18448017931388</v>
      </c>
      <c r="AP23" s="100">
        <v>12.90765509473559</v>
      </c>
      <c r="AQ23" s="100">
        <v>3794.8505978522635</v>
      </c>
      <c r="AR23" s="100">
        <v>10</v>
      </c>
      <c r="AS23" s="100">
        <v>2940</v>
      </c>
      <c r="AT23" s="100">
        <v>7.1405984052588245</v>
      </c>
      <c r="AU23" s="100">
        <v>2099.3359311460945</v>
      </c>
      <c r="AV23" s="100">
        <v>1.9897133314790214</v>
      </c>
      <c r="AW23" s="100">
        <v>584.9757194548323</v>
      </c>
      <c r="AX23" s="100">
        <v>10.045971534031098</v>
      </c>
      <c r="AY23" s="100">
        <v>2953.515631005143</v>
      </c>
      <c r="AZ23" s="100">
        <v>8.8622190120679178</v>
      </c>
      <c r="BA23" s="100">
        <v>2605.4923895479678</v>
      </c>
      <c r="BB23" s="100">
        <v>0.23375640079139415</v>
      </c>
      <c r="BC23" s="100">
        <v>68.724381832669877</v>
      </c>
      <c r="BD23" s="100">
        <v>8.8204618888247914</v>
      </c>
      <c r="BE23" s="100">
        <v>2593.2157953144888</v>
      </c>
      <c r="BF23" s="100">
        <v>11.254903231470212</v>
      </c>
      <c r="BG23" s="100">
        <v>3308.9415500522423</v>
      </c>
      <c r="BH23" s="100">
        <v>8.2181284309440485</v>
      </c>
      <c r="BI23" s="100">
        <v>2416.1297586975502</v>
      </c>
      <c r="BJ23" s="100">
        <v>8.086978912059184</v>
      </c>
      <c r="BK23" s="100">
        <v>2377.5718001454002</v>
      </c>
      <c r="BL23" s="100">
        <v>4.8719466989586415</v>
      </c>
      <c r="BM23" s="100">
        <v>1432.3523294938407</v>
      </c>
      <c r="BN23" s="100">
        <v>0.329139285405807</v>
      </c>
      <c r="BO23" s="100">
        <v>96.766949909307257</v>
      </c>
      <c r="BP23" s="100">
        <v>8.2489023056657356</v>
      </c>
      <c r="BQ23" s="100">
        <v>2425.1772778657264</v>
      </c>
      <c r="BR23" s="100">
        <v>9.7003073082720093</v>
      </c>
      <c r="BS23" s="100">
        <v>2851.8903486319709</v>
      </c>
      <c r="BT23" s="100">
        <v>1.6646340341409394</v>
      </c>
      <c r="BU23" s="100">
        <v>489.40240603743615</v>
      </c>
      <c r="BV23" s="100">
        <v>0.24267266097898535</v>
      </c>
      <c r="BW23" s="100">
        <v>71.345762327821689</v>
      </c>
      <c r="BX23" s="100">
        <v>10.22158696883746</v>
      </c>
      <c r="BY23" s="100">
        <v>3005.1465688382132</v>
      </c>
      <c r="BZ23" s="100">
        <v>7</v>
      </c>
      <c r="CA23" s="100">
        <v>2058</v>
      </c>
      <c r="CB23" s="100">
        <v>6</v>
      </c>
      <c r="CC23" s="100">
        <v>1764</v>
      </c>
      <c r="CD23" s="100">
        <v>6.5283121970716769</v>
      </c>
      <c r="CE23" s="100">
        <v>1919.3237859390731</v>
      </c>
      <c r="CF23" s="100">
        <v>1.9317280642176009</v>
      </c>
      <c r="CG23" s="100">
        <v>567.92805087997465</v>
      </c>
      <c r="CH23" s="100">
        <v>10</v>
      </c>
      <c r="CI23" s="100">
        <v>2940</v>
      </c>
      <c r="CJ23" s="100">
        <v>9.8411846500399278</v>
      </c>
      <c r="CK23" s="100">
        <v>2893.308287111739</v>
      </c>
      <c r="CL23" s="100">
        <v>7.6231741422400487</v>
      </c>
      <c r="CM23" s="100">
        <v>2241.2131978185744</v>
      </c>
      <c r="CN23" s="100">
        <v>5.6130845727542472E-4</v>
      </c>
      <c r="CO23" s="100">
        <v>0.16502468643897486</v>
      </c>
      <c r="CP23" s="100">
        <v>1.8200343473775622</v>
      </c>
      <c r="CQ23" s="100">
        <v>535.09009812900331</v>
      </c>
      <c r="CR23" s="100">
        <v>12.597091340013074</v>
      </c>
      <c r="CS23" s="100">
        <v>3703.5448539638437</v>
      </c>
      <c r="CT23" s="100">
        <v>10</v>
      </c>
      <c r="CU23" s="100">
        <v>2940</v>
      </c>
    </row>
    <row r="24" spans="2:99">
      <c r="C24" s="99" t="s">
        <v>190</v>
      </c>
      <c r="D24" s="100">
        <v>9</v>
      </c>
      <c r="E24" s="100">
        <v>3304.7999999999997</v>
      </c>
      <c r="F24" s="100">
        <v>5.7862877059571112</v>
      </c>
      <c r="G24" s="100">
        <v>2124.724845627451</v>
      </c>
      <c r="H24" s="100">
        <v>7.0714580370039979</v>
      </c>
      <c r="I24" s="100">
        <v>2596.6393911878681</v>
      </c>
      <c r="J24" s="100">
        <v>3.8497919831659901E-4</v>
      </c>
      <c r="K24" s="100">
        <v>0.14136436162185514</v>
      </c>
      <c r="L24" s="100">
        <v>8.6034135190361667</v>
      </c>
      <c r="M24" s="100">
        <v>3159.1734441900803</v>
      </c>
      <c r="N24" s="100">
        <v>8</v>
      </c>
      <c r="O24" s="100">
        <v>2937.6</v>
      </c>
      <c r="P24" s="100">
        <v>8</v>
      </c>
      <c r="Q24" s="100">
        <v>2937.6</v>
      </c>
      <c r="R24" s="100">
        <v>7</v>
      </c>
      <c r="S24" s="100">
        <v>2570.4</v>
      </c>
      <c r="T24" s="100">
        <v>2.1382396476789025</v>
      </c>
      <c r="U24" s="100">
        <v>785.16159862769302</v>
      </c>
      <c r="V24" s="100">
        <v>7.6386767405113147</v>
      </c>
      <c r="W24" s="100">
        <v>2804.9220991157545</v>
      </c>
      <c r="X24" s="100">
        <v>7</v>
      </c>
      <c r="Y24" s="100">
        <v>2570.4</v>
      </c>
      <c r="Z24" s="100">
        <v>1.1793013265545396</v>
      </c>
      <c r="AA24" s="100">
        <v>433.03944711082693</v>
      </c>
      <c r="AB24" s="100">
        <v>2.2891494991785688</v>
      </c>
      <c r="AC24" s="100">
        <v>840.57569609837049</v>
      </c>
      <c r="AD24" s="100">
        <v>8.5538205370284359</v>
      </c>
      <c r="AE24" s="100">
        <v>3140.9629011968414</v>
      </c>
      <c r="AF24" s="100">
        <v>7</v>
      </c>
      <c r="AG24" s="100">
        <v>2570.4</v>
      </c>
      <c r="AH24" s="100">
        <v>0.70319356224518947</v>
      </c>
      <c r="AI24" s="100">
        <v>258.21267605643357</v>
      </c>
      <c r="AJ24" s="100">
        <v>6.776998841013835E-4</v>
      </c>
      <c r="AK24" s="100">
        <v>0.248851397442028</v>
      </c>
      <c r="AL24" s="100">
        <v>8.1056981505340945E-4</v>
      </c>
      <c r="AM24" s="100">
        <v>0.29764123608761195</v>
      </c>
      <c r="AN24" s="100">
        <v>1.3985866672765779</v>
      </c>
      <c r="AO24" s="100">
        <v>513.56102422395941</v>
      </c>
      <c r="AP24" s="100">
        <v>12.037320108269247</v>
      </c>
      <c r="AQ24" s="100">
        <v>4420.1039437564677</v>
      </c>
      <c r="AR24" s="100">
        <v>9</v>
      </c>
      <c r="AS24" s="100">
        <v>3304.7999999999997</v>
      </c>
      <c r="AT24" s="100">
        <v>7.1405984052588245</v>
      </c>
      <c r="AU24" s="100">
        <v>2622.0277344110405</v>
      </c>
      <c r="AV24" s="100">
        <v>2.1871105854497292</v>
      </c>
      <c r="AW24" s="100">
        <v>803.1070069771406</v>
      </c>
      <c r="AX24" s="100">
        <v>8.0459715340310982</v>
      </c>
      <c r="AY24" s="100">
        <v>2954.4807472962193</v>
      </c>
      <c r="AZ24" s="100">
        <v>9.7484409132747114</v>
      </c>
      <c r="BA24" s="100">
        <v>3579.6275033544739</v>
      </c>
      <c r="BB24" s="100">
        <v>0.23094642667834192</v>
      </c>
      <c r="BC24" s="100">
        <v>84.803527876287149</v>
      </c>
      <c r="BD24" s="100">
        <v>7.4214620273454752</v>
      </c>
      <c r="BE24" s="100">
        <v>2725.1608564412586</v>
      </c>
      <c r="BF24" s="100">
        <v>10.254903231470212</v>
      </c>
      <c r="BG24" s="100">
        <v>3765.6004665958617</v>
      </c>
      <c r="BH24" s="100">
        <v>8.2181284309440485</v>
      </c>
      <c r="BI24" s="100">
        <v>3017.6967598426545</v>
      </c>
      <c r="BJ24" s="100">
        <v>8.8221588131554718</v>
      </c>
      <c r="BK24" s="100">
        <v>3239.4967161906893</v>
      </c>
      <c r="BL24" s="100">
        <v>4.8719466989586415</v>
      </c>
      <c r="BM24" s="100">
        <v>1788.9788278576132</v>
      </c>
      <c r="BN24" s="100">
        <v>0.35830105259973555</v>
      </c>
      <c r="BO24" s="100">
        <v>131.5681465146229</v>
      </c>
      <c r="BP24" s="100">
        <v>7.2262748233324867</v>
      </c>
      <c r="BQ24" s="100">
        <v>2653.4881151276891</v>
      </c>
      <c r="BR24" s="100">
        <v>9.7003073082720093</v>
      </c>
      <c r="BS24" s="100">
        <v>3561.9528435974817</v>
      </c>
      <c r="BT24" s="100">
        <v>1.4671376499031783</v>
      </c>
      <c r="BU24" s="100">
        <v>538.73294504444709</v>
      </c>
      <c r="BV24" s="100">
        <v>0.24267266097898535</v>
      </c>
      <c r="BW24" s="100">
        <v>89.109401111483422</v>
      </c>
      <c r="BX24" s="100">
        <v>11.22158696883746</v>
      </c>
      <c r="BY24" s="100">
        <v>4120.5667349571149</v>
      </c>
      <c r="BZ24" s="100">
        <v>7</v>
      </c>
      <c r="CA24" s="100">
        <v>2570.4</v>
      </c>
      <c r="CB24" s="100">
        <v>7</v>
      </c>
      <c r="CC24" s="100">
        <v>2570.4</v>
      </c>
      <c r="CD24" s="100">
        <v>6.5283121970716769</v>
      </c>
      <c r="CE24" s="100">
        <v>2397.1962387647195</v>
      </c>
      <c r="CF24" s="100">
        <v>1.9317280642176009</v>
      </c>
      <c r="CG24" s="100">
        <v>709.33054518070298</v>
      </c>
      <c r="CH24" s="100">
        <v>12</v>
      </c>
      <c r="CI24" s="100">
        <v>4406.3999999999996</v>
      </c>
      <c r="CJ24" s="100">
        <v>9.8411846500399278</v>
      </c>
      <c r="CK24" s="100">
        <v>3613.6830034946615</v>
      </c>
      <c r="CL24" s="100">
        <v>6.860856728016044</v>
      </c>
      <c r="CM24" s="100">
        <v>2519.3065905274912</v>
      </c>
      <c r="CN24" s="100">
        <v>6.2011372258657233E-4</v>
      </c>
      <c r="CO24" s="100">
        <v>0.22770575893378936</v>
      </c>
      <c r="CP24" s="100">
        <v>2.2244380736007821</v>
      </c>
      <c r="CQ24" s="100">
        <v>816.81366062620714</v>
      </c>
      <c r="CR24" s="100">
        <v>11.597091340013074</v>
      </c>
      <c r="CS24" s="100">
        <v>4258.4519400528006</v>
      </c>
      <c r="CT24" s="100">
        <v>10</v>
      </c>
      <c r="CU24" s="100">
        <v>3672</v>
      </c>
    </row>
    <row r="25" spans="2:99">
      <c r="C25" s="99" t="s">
        <v>191</v>
      </c>
      <c r="D25" s="100">
        <v>8</v>
      </c>
      <c r="E25" s="100">
        <v>4243.2</v>
      </c>
      <c r="F25" s="100">
        <v>5.7862877059571112</v>
      </c>
      <c r="G25" s="100">
        <v>3069.0469992396515</v>
      </c>
      <c r="H25" s="100">
        <v>6.1875257823784988</v>
      </c>
      <c r="I25" s="100">
        <v>3281.8636749735556</v>
      </c>
      <c r="J25" s="100">
        <v>4.5382992701223395E-4</v>
      </c>
      <c r="K25" s="100">
        <v>0.24071139328728888</v>
      </c>
      <c r="L25" s="100">
        <v>7.763754870939783</v>
      </c>
      <c r="M25" s="100">
        <v>4117.8955835464603</v>
      </c>
      <c r="N25" s="100">
        <v>8</v>
      </c>
      <c r="O25" s="100">
        <v>4243.2</v>
      </c>
      <c r="P25" s="100">
        <v>10</v>
      </c>
      <c r="Q25" s="100">
        <v>5304</v>
      </c>
      <c r="R25" s="100">
        <v>7</v>
      </c>
      <c r="S25" s="100">
        <v>3712.7999999999997</v>
      </c>
      <c r="T25" s="100">
        <v>1.8709596917190399</v>
      </c>
      <c r="U25" s="100">
        <v>992.35702048777875</v>
      </c>
      <c r="V25" s="100">
        <v>8.6386767405113147</v>
      </c>
      <c r="W25" s="100">
        <v>4581.9541431672014</v>
      </c>
      <c r="X25" s="100">
        <v>7</v>
      </c>
      <c r="Y25" s="100">
        <v>3712.7999999999997</v>
      </c>
      <c r="Z25" s="100">
        <v>1.031888660735222</v>
      </c>
      <c r="AA25" s="100">
        <v>547.31374565396175</v>
      </c>
      <c r="AB25" s="100">
        <v>2.5496243386395836</v>
      </c>
      <c r="AC25" s="100">
        <v>1352.3207492144352</v>
      </c>
      <c r="AD25" s="100">
        <v>8.695076949485566</v>
      </c>
      <c r="AE25" s="100">
        <v>4611.8688140071436</v>
      </c>
      <c r="AF25" s="100">
        <v>6</v>
      </c>
      <c r="AG25" s="100">
        <v>3182.3999999999996</v>
      </c>
      <c r="AH25" s="100">
        <v>0.70319356224518947</v>
      </c>
      <c r="AI25" s="100">
        <v>372.97386541484849</v>
      </c>
      <c r="AJ25" s="100">
        <v>5.8088596173367063E-4</v>
      </c>
      <c r="AK25" s="100">
        <v>0.30810191410353888</v>
      </c>
      <c r="AL25" s="100">
        <v>9.0063182568851348E-4</v>
      </c>
      <c r="AM25" s="100">
        <v>0.47769512034518752</v>
      </c>
      <c r="AN25" s="100">
        <v>1.1655147743588454</v>
      </c>
      <c r="AO25" s="100">
        <v>618.18903631993157</v>
      </c>
      <c r="AP25" s="100">
        <v>11.037320108269247</v>
      </c>
      <c r="AQ25" s="100">
        <v>5854.1945854260084</v>
      </c>
      <c r="AR25" s="100">
        <v>10</v>
      </c>
      <c r="AS25" s="100">
        <v>5304</v>
      </c>
      <c r="AT25" s="100">
        <v>6.3471985824522896</v>
      </c>
      <c r="AU25" s="100">
        <v>3366.5541281326941</v>
      </c>
      <c r="AV25" s="100">
        <v>2.202851377221668</v>
      </c>
      <c r="AW25" s="100">
        <v>1168.3923704783726</v>
      </c>
      <c r="AX25" s="100">
        <v>9.0459715340310982</v>
      </c>
      <c r="AY25" s="100">
        <v>4797.9833016500943</v>
      </c>
      <c r="AZ25" s="100">
        <v>9.7484409132747114</v>
      </c>
      <c r="BA25" s="100">
        <v>5170.5730604009068</v>
      </c>
      <c r="BB25" s="100">
        <v>0.23516138784792026</v>
      </c>
      <c r="BC25" s="100">
        <v>124.72960011453691</v>
      </c>
      <c r="BD25" s="100">
        <v>7.6091224691269019</v>
      </c>
      <c r="BE25" s="100">
        <v>4035.8785576249088</v>
      </c>
      <c r="BF25" s="100">
        <v>10.344539176575228</v>
      </c>
      <c r="BG25" s="100">
        <v>5486.7435792555007</v>
      </c>
      <c r="BH25" s="100">
        <v>6.3918776685120386</v>
      </c>
      <c r="BI25" s="100">
        <v>3390.2519153787853</v>
      </c>
      <c r="BJ25" s="100">
        <v>8.8221588131554718</v>
      </c>
      <c r="BK25" s="100">
        <v>4679.2730344976617</v>
      </c>
      <c r="BL25" s="100">
        <v>5.4855852902389604</v>
      </c>
      <c r="BM25" s="100">
        <v>2909.5544379427442</v>
      </c>
      <c r="BN25" s="100">
        <v>0.35830105259973555</v>
      </c>
      <c r="BO25" s="100">
        <v>190.04287829889972</v>
      </c>
      <c r="BP25" s="100">
        <v>8.2715297879989844</v>
      </c>
      <c r="BQ25" s="100">
        <v>4387.2193995546613</v>
      </c>
      <c r="BR25" s="100">
        <v>8.7302765774448083</v>
      </c>
      <c r="BS25" s="100">
        <v>4630.5386966767264</v>
      </c>
      <c r="BT25" s="100">
        <v>1.6561677381170543</v>
      </c>
      <c r="BU25" s="100">
        <v>878.43136829728553</v>
      </c>
      <c r="BV25" s="100">
        <v>0.27295370780671258</v>
      </c>
      <c r="BW25" s="100">
        <v>144.77464662068036</v>
      </c>
      <c r="BX25" s="100">
        <v>11.246207743152732</v>
      </c>
      <c r="BY25" s="100">
        <v>5964.9885869682093</v>
      </c>
      <c r="BZ25" s="100">
        <v>7</v>
      </c>
      <c r="CA25" s="100">
        <v>3712.7999999999997</v>
      </c>
      <c r="CB25" s="100">
        <v>7</v>
      </c>
      <c r="CC25" s="100">
        <v>3712.7999999999997</v>
      </c>
      <c r="CD25" s="100">
        <v>7.4609282252247739</v>
      </c>
      <c r="CE25" s="100">
        <v>3957.2763306592201</v>
      </c>
      <c r="CF25" s="100">
        <v>1.9317280642176009</v>
      </c>
      <c r="CG25" s="100">
        <v>1024.5885652610154</v>
      </c>
      <c r="CH25" s="100">
        <v>10.720346927481344</v>
      </c>
      <c r="CI25" s="100">
        <v>5686.0720103361045</v>
      </c>
      <c r="CJ25" s="100">
        <v>9.0841704461907025</v>
      </c>
      <c r="CK25" s="100">
        <v>4818.2440046595484</v>
      </c>
      <c r="CL25" s="100">
        <v>6.0985393137920383</v>
      </c>
      <c r="CM25" s="100">
        <v>3234.6652520352968</v>
      </c>
      <c r="CN25" s="100">
        <v>6.1804526649140491E-4</v>
      </c>
      <c r="CO25" s="100">
        <v>0.32781120934704117</v>
      </c>
      <c r="CP25" s="100">
        <v>2.2244472299889675</v>
      </c>
      <c r="CQ25" s="100">
        <v>1179.8468107861484</v>
      </c>
      <c r="CR25" s="100">
        <v>11.464000395011986</v>
      </c>
      <c r="CS25" s="100">
        <v>6080.5058095143568</v>
      </c>
      <c r="CT25" s="100">
        <v>10</v>
      </c>
      <c r="CU25" s="100">
        <v>5304</v>
      </c>
    </row>
    <row r="26" spans="2:99">
      <c r="C26" s="99" t="s">
        <v>192</v>
      </c>
      <c r="D26" s="100">
        <v>9</v>
      </c>
      <c r="E26" s="100">
        <v>4374</v>
      </c>
      <c r="F26" s="100">
        <v>5.7862877059571112</v>
      </c>
      <c r="G26" s="100">
        <v>2812.1358250951562</v>
      </c>
      <c r="H26" s="100">
        <v>7.0714580370039979</v>
      </c>
      <c r="I26" s="100">
        <v>3436.728605983943</v>
      </c>
      <c r="J26" s="100">
        <v>4.5382992701223395E-4</v>
      </c>
      <c r="K26" s="100">
        <v>0.22056134452794571</v>
      </c>
      <c r="L26" s="100">
        <v>7.763754870939783</v>
      </c>
      <c r="M26" s="100">
        <v>3773.1848672767346</v>
      </c>
      <c r="N26" s="100">
        <v>7</v>
      </c>
      <c r="O26" s="100">
        <v>3402</v>
      </c>
      <c r="P26" s="100">
        <v>9</v>
      </c>
      <c r="Q26" s="100">
        <v>4374</v>
      </c>
      <c r="R26" s="100">
        <v>7</v>
      </c>
      <c r="S26" s="100">
        <v>3402</v>
      </c>
      <c r="T26" s="100">
        <v>1.8709596917190399</v>
      </c>
      <c r="U26" s="100">
        <v>909.2864101754534</v>
      </c>
      <c r="V26" s="100">
        <v>8.7876473532850703</v>
      </c>
      <c r="W26" s="100">
        <v>4270.7966136965442</v>
      </c>
      <c r="X26" s="100">
        <v>7</v>
      </c>
      <c r="Y26" s="100">
        <v>3402</v>
      </c>
      <c r="Z26" s="100">
        <v>0.88447599491590467</v>
      </c>
      <c r="AA26" s="100">
        <v>429.85533352912967</v>
      </c>
      <c r="AB26" s="100">
        <v>2.5275747162513578</v>
      </c>
      <c r="AC26" s="100">
        <v>1228.4013120981599</v>
      </c>
      <c r="AD26" s="100">
        <v>8.836333361942696</v>
      </c>
      <c r="AE26" s="100">
        <v>4294.45801390415</v>
      </c>
      <c r="AF26" s="100">
        <v>7</v>
      </c>
      <c r="AG26" s="100">
        <v>3402</v>
      </c>
      <c r="AH26" s="100">
        <v>0.70319356224518947</v>
      </c>
      <c r="AI26" s="100">
        <v>341.75207125116208</v>
      </c>
      <c r="AJ26" s="100">
        <v>5.8088596173367063E-4</v>
      </c>
      <c r="AK26" s="100">
        <v>0.28231057740256393</v>
      </c>
      <c r="AL26" s="100">
        <v>9.0063308133181419E-4</v>
      </c>
      <c r="AM26" s="100">
        <v>0.4377076775272617</v>
      </c>
      <c r="AN26" s="100">
        <v>1.1655141119252297</v>
      </c>
      <c r="AO26" s="100">
        <v>566.43985839566164</v>
      </c>
      <c r="AP26" s="100">
        <v>11.90765509473559</v>
      </c>
      <c r="AQ26" s="100">
        <v>5787.1203760414965</v>
      </c>
      <c r="AR26" s="100">
        <v>10</v>
      </c>
      <c r="AS26" s="100">
        <v>4860</v>
      </c>
      <c r="AT26" s="100">
        <v>7.1405984052588245</v>
      </c>
      <c r="AU26" s="100">
        <v>3470.3308249557886</v>
      </c>
      <c r="AV26" s="100">
        <v>2.1871105854497292</v>
      </c>
      <c r="AW26" s="100">
        <v>1062.9357445285684</v>
      </c>
      <c r="AX26" s="100">
        <v>9.0459715340310982</v>
      </c>
      <c r="AY26" s="100">
        <v>4396.3421655391139</v>
      </c>
      <c r="AZ26" s="100">
        <v>9.7484409132747114</v>
      </c>
      <c r="BA26" s="100">
        <v>4737.7422838515095</v>
      </c>
      <c r="BB26" s="100">
        <v>0.26353734847338328</v>
      </c>
      <c r="BC26" s="100">
        <v>128.07915135806428</v>
      </c>
      <c r="BD26" s="100">
        <v>7.4214620273454752</v>
      </c>
      <c r="BE26" s="100">
        <v>3606.8305452899008</v>
      </c>
      <c r="BF26" s="100">
        <v>10.434175121680243</v>
      </c>
      <c r="BG26" s="100">
        <v>5071.0091091365975</v>
      </c>
      <c r="BH26" s="100">
        <v>7.305003049728044</v>
      </c>
      <c r="BI26" s="100">
        <v>3550.2314821678292</v>
      </c>
      <c r="BJ26" s="100">
        <v>8.086978912059184</v>
      </c>
      <c r="BK26" s="100">
        <v>3930.2717512607633</v>
      </c>
      <c r="BL26" s="100">
        <v>4.8369957312929737</v>
      </c>
      <c r="BM26" s="100">
        <v>2350.7799254083852</v>
      </c>
      <c r="BN26" s="100">
        <v>0.329139285405807</v>
      </c>
      <c r="BO26" s="100">
        <v>159.9616927072222</v>
      </c>
      <c r="BP26" s="100">
        <v>8.2489023056657356</v>
      </c>
      <c r="BQ26" s="100">
        <v>4008.9665205535475</v>
      </c>
      <c r="BR26" s="100">
        <v>9.7003073082720093</v>
      </c>
      <c r="BS26" s="100">
        <v>4714.3493518201967</v>
      </c>
      <c r="BT26" s="100">
        <v>1.4756039459270633</v>
      </c>
      <c r="BU26" s="100">
        <v>717.14351772055284</v>
      </c>
      <c r="BV26" s="100">
        <v>0.24267266097898535</v>
      </c>
      <c r="BW26" s="100">
        <v>117.93891323578688</v>
      </c>
      <c r="BX26" s="100">
        <v>11.22158696883746</v>
      </c>
      <c r="BY26" s="100">
        <v>5453.6912668550058</v>
      </c>
      <c r="BZ26" s="100">
        <v>7</v>
      </c>
      <c r="CA26" s="100">
        <v>3402</v>
      </c>
      <c r="CB26" s="100">
        <v>7</v>
      </c>
      <c r="CC26" s="100">
        <v>3402</v>
      </c>
      <c r="CD26" s="100">
        <v>6.5283121970716769</v>
      </c>
      <c r="CE26" s="100">
        <v>3172.759727776835</v>
      </c>
      <c r="CF26" s="100">
        <v>2.107339706419201</v>
      </c>
      <c r="CG26" s="100">
        <v>1024.1670973197317</v>
      </c>
      <c r="CH26" s="100">
        <v>11</v>
      </c>
      <c r="CI26" s="100">
        <v>5346</v>
      </c>
      <c r="CJ26" s="100">
        <v>9.0841704461907025</v>
      </c>
      <c r="CK26" s="100">
        <v>4414.9068368486815</v>
      </c>
      <c r="CL26" s="100">
        <v>6.860856728016044</v>
      </c>
      <c r="CM26" s="100">
        <v>3334.3763698157973</v>
      </c>
      <c r="CN26" s="100">
        <v>4.9836627977394195E-4</v>
      </c>
      <c r="CO26" s="100">
        <v>0.24220601197013578</v>
      </c>
      <c r="CP26" s="100">
        <v>1.8200264050172139</v>
      </c>
      <c r="CQ26" s="100">
        <v>884.53283283836595</v>
      </c>
      <c r="CR26" s="100">
        <v>12.464000395011986</v>
      </c>
      <c r="CS26" s="100">
        <v>6057.5041919758251</v>
      </c>
      <c r="CT26" s="100">
        <v>10</v>
      </c>
      <c r="CU26" s="100">
        <v>4860</v>
      </c>
    </row>
    <row r="27" spans="2:99">
      <c r="C27" s="99" t="s">
        <v>193</v>
      </c>
      <c r="D27" s="100">
        <v>7</v>
      </c>
      <c r="E27" s="100">
        <v>2990.4</v>
      </c>
      <c r="F27" s="100">
        <v>5.7862877059571112</v>
      </c>
      <c r="G27" s="100">
        <v>2471.9021079848776</v>
      </c>
      <c r="H27" s="100">
        <v>7.0714580370039979</v>
      </c>
      <c r="I27" s="100">
        <v>3020.9268734081079</v>
      </c>
      <c r="J27" s="100">
        <v>4.5382992701223395E-4</v>
      </c>
      <c r="K27" s="100">
        <v>0.19387614481962634</v>
      </c>
      <c r="L27" s="100">
        <v>7.6034135190361658</v>
      </c>
      <c r="M27" s="100">
        <v>3248.17825533225</v>
      </c>
      <c r="N27" s="100">
        <v>9</v>
      </c>
      <c r="O27" s="100">
        <v>3844.7999999999997</v>
      </c>
      <c r="P27" s="100">
        <v>8</v>
      </c>
      <c r="Q27" s="100">
        <v>3417.6</v>
      </c>
      <c r="R27" s="100">
        <v>7</v>
      </c>
      <c r="S27" s="100">
        <v>2990.4</v>
      </c>
      <c r="T27" s="100">
        <v>2.1382396476789025</v>
      </c>
      <c r="U27" s="100">
        <v>913.45597748842715</v>
      </c>
      <c r="V27" s="100">
        <v>7.7876473532850703</v>
      </c>
      <c r="W27" s="100">
        <v>3326.882949323382</v>
      </c>
      <c r="X27" s="100">
        <v>7</v>
      </c>
      <c r="Y27" s="100">
        <v>2990.4</v>
      </c>
      <c r="Z27" s="100">
        <v>0.88447599491590467</v>
      </c>
      <c r="AA27" s="100">
        <v>377.84814502807444</v>
      </c>
      <c r="AB27" s="100">
        <v>2.0837987156881184</v>
      </c>
      <c r="AC27" s="100">
        <v>890.19881134196419</v>
      </c>
      <c r="AD27" s="100">
        <v>9.695076949485566</v>
      </c>
      <c r="AE27" s="100">
        <v>4141.7368728202337</v>
      </c>
      <c r="AF27" s="100">
        <v>8</v>
      </c>
      <c r="AG27" s="100">
        <v>3417.6</v>
      </c>
      <c r="AH27" s="100">
        <v>0.70319356224518947</v>
      </c>
      <c r="AI27" s="100">
        <v>300.40428979114495</v>
      </c>
      <c r="AJ27" s="100">
        <v>5.8088693274462803E-4</v>
      </c>
      <c r="AK27" s="100">
        <v>0.2481548976685051</v>
      </c>
      <c r="AL27" s="100">
        <v>9.0063308133181419E-4</v>
      </c>
      <c r="AM27" s="100">
        <v>0.38475045234495103</v>
      </c>
      <c r="AN27" s="100">
        <v>1.3985702345065751</v>
      </c>
      <c r="AO27" s="100">
        <v>597.46920418120885</v>
      </c>
      <c r="AP27" s="100">
        <v>10.90765509473559</v>
      </c>
      <c r="AQ27" s="100">
        <v>4659.7502564710439</v>
      </c>
      <c r="AR27" s="100">
        <v>9</v>
      </c>
      <c r="AS27" s="100">
        <v>3844.7999999999997</v>
      </c>
      <c r="AT27" s="100">
        <v>7.1405984052588245</v>
      </c>
      <c r="AU27" s="100">
        <v>3050.4636387265696</v>
      </c>
      <c r="AV27" s="100">
        <v>2.202851377221668</v>
      </c>
      <c r="AW27" s="100">
        <v>941.05810834909653</v>
      </c>
      <c r="AX27" s="100">
        <v>8.9297524746943093</v>
      </c>
      <c r="AY27" s="100">
        <v>3814.7902571894087</v>
      </c>
      <c r="AZ27" s="100">
        <v>8.8622190120679178</v>
      </c>
      <c r="BA27" s="100">
        <v>3785.9399619554142</v>
      </c>
      <c r="BB27" s="100">
        <v>0.26494233552990942</v>
      </c>
      <c r="BC27" s="100">
        <v>113.1833657383773</v>
      </c>
      <c r="BD27" s="100">
        <v>8.3086223998665591</v>
      </c>
      <c r="BE27" s="100">
        <v>3549.4434892229938</v>
      </c>
      <c r="BF27" s="100">
        <v>11.434175121680243</v>
      </c>
      <c r="BG27" s="100">
        <v>4884.6796119817991</v>
      </c>
      <c r="BH27" s="100">
        <v>8.2181284309440485</v>
      </c>
      <c r="BI27" s="100">
        <v>3510.7844656992975</v>
      </c>
      <c r="BJ27" s="100">
        <v>8.086978912059184</v>
      </c>
      <c r="BK27" s="100">
        <v>3454.7573912316834</v>
      </c>
      <c r="BL27" s="100">
        <v>5.4855852902389604</v>
      </c>
      <c r="BM27" s="100">
        <v>2343.4420359900837</v>
      </c>
      <c r="BN27" s="100">
        <v>0.35853327055175199</v>
      </c>
      <c r="BO27" s="100">
        <v>153.16541317970845</v>
      </c>
      <c r="BP27" s="100">
        <v>8.2262748233324867</v>
      </c>
      <c r="BQ27" s="100">
        <v>3514.2646045276383</v>
      </c>
      <c r="BR27" s="100">
        <v>9.7003073082720093</v>
      </c>
      <c r="BS27" s="100">
        <v>4143.9712820938021</v>
      </c>
      <c r="BT27" s="100">
        <v>1.4586713538792933</v>
      </c>
      <c r="BU27" s="100">
        <v>623.14440237723409</v>
      </c>
      <c r="BV27" s="100">
        <v>0.24267266097898535</v>
      </c>
      <c r="BW27" s="100">
        <v>103.66976077022254</v>
      </c>
      <c r="BX27" s="100">
        <v>11.246207743152732</v>
      </c>
      <c r="BY27" s="100">
        <v>4804.3799478748469</v>
      </c>
      <c r="BZ27" s="100">
        <v>7</v>
      </c>
      <c r="CA27" s="100">
        <v>2990.4</v>
      </c>
      <c r="CB27" s="100">
        <v>6</v>
      </c>
      <c r="CC27" s="100">
        <v>2563.1999999999998</v>
      </c>
      <c r="CD27" s="100">
        <v>5.5956961689185807</v>
      </c>
      <c r="CE27" s="100">
        <v>2390.4814033620178</v>
      </c>
      <c r="CF27" s="100">
        <v>1.9317280642176009</v>
      </c>
      <c r="CG27" s="100">
        <v>825.23422903375911</v>
      </c>
      <c r="CH27" s="100">
        <v>10.780375838104788</v>
      </c>
      <c r="CI27" s="100">
        <v>4605.3765580383651</v>
      </c>
      <c r="CJ27" s="100">
        <v>9.0841704461907025</v>
      </c>
      <c r="CK27" s="100">
        <v>3880.757614612668</v>
      </c>
      <c r="CL27" s="100">
        <v>7.6231741422400487</v>
      </c>
      <c r="CM27" s="100">
        <v>3256.6199935649488</v>
      </c>
      <c r="CN27" s="100">
        <v>5.6027422922784096E-4</v>
      </c>
      <c r="CO27" s="100">
        <v>0.23934915072613366</v>
      </c>
      <c r="CP27" s="100">
        <v>2.0222284198823033</v>
      </c>
      <c r="CQ27" s="100">
        <v>863.89598097371993</v>
      </c>
      <c r="CR27" s="100">
        <v>12.597091340013074</v>
      </c>
      <c r="CS27" s="100">
        <v>5381.4774204535852</v>
      </c>
      <c r="CT27" s="100">
        <v>10</v>
      </c>
      <c r="CU27" s="100">
        <v>4272</v>
      </c>
    </row>
    <row r="28" spans="2:99">
      <c r="C28" s="99" t="s">
        <v>194</v>
      </c>
      <c r="D28" s="100">
        <v>8</v>
      </c>
      <c r="E28" s="100">
        <v>5904</v>
      </c>
      <c r="F28" s="100">
        <v>5.7862877059571112</v>
      </c>
      <c r="G28" s="100">
        <v>4270.2803269963479</v>
      </c>
      <c r="H28" s="100">
        <v>7.0714580370039979</v>
      </c>
      <c r="I28" s="100">
        <v>5218.7360313089503</v>
      </c>
      <c r="J28" s="100">
        <v>3.8497919831659901E-4</v>
      </c>
      <c r="K28" s="100">
        <v>0.28411464835765005</v>
      </c>
      <c r="L28" s="100">
        <v>8.763754870939783</v>
      </c>
      <c r="M28" s="100">
        <v>6467.6510947535598</v>
      </c>
      <c r="N28" s="100">
        <v>7</v>
      </c>
      <c r="O28" s="100">
        <v>5166</v>
      </c>
      <c r="P28" s="100">
        <v>10</v>
      </c>
      <c r="Q28" s="100">
        <v>7380</v>
      </c>
      <c r="R28" s="100">
        <v>7</v>
      </c>
      <c r="S28" s="100">
        <v>5166</v>
      </c>
      <c r="T28" s="100">
        <v>1.8709596917190399</v>
      </c>
      <c r="U28" s="100">
        <v>1380.7682524886513</v>
      </c>
      <c r="V28" s="100">
        <v>7.4897061277375592</v>
      </c>
      <c r="W28" s="100">
        <v>5527.4031222703188</v>
      </c>
      <c r="X28" s="100">
        <v>7</v>
      </c>
      <c r="Y28" s="100">
        <v>5166</v>
      </c>
      <c r="Z28" s="100">
        <v>1.031888660735222</v>
      </c>
      <c r="AA28" s="100">
        <v>761.53383162259388</v>
      </c>
      <c r="AB28" s="100">
        <v>2.2891494991785688</v>
      </c>
      <c r="AC28" s="100">
        <v>1689.3923303937838</v>
      </c>
      <c r="AD28" s="100">
        <v>8.695076949485566</v>
      </c>
      <c r="AE28" s="100">
        <v>6416.9667887203477</v>
      </c>
      <c r="AF28" s="100">
        <v>6</v>
      </c>
      <c r="AG28" s="100">
        <v>4428</v>
      </c>
      <c r="AH28" s="100">
        <v>0.70319356224518947</v>
      </c>
      <c r="AI28" s="100">
        <v>518.95684893694988</v>
      </c>
      <c r="AJ28" s="100">
        <v>5.8088547622819192E-4</v>
      </c>
      <c r="AK28" s="100">
        <v>0.42869348145640562</v>
      </c>
      <c r="AL28" s="100">
        <v>9.0063266278404711E-4</v>
      </c>
      <c r="AM28" s="100">
        <v>0.66466690513462678</v>
      </c>
      <c r="AN28" s="100">
        <v>1.1654963542879959</v>
      </c>
      <c r="AO28" s="100">
        <v>860.136309464541</v>
      </c>
      <c r="AP28" s="100">
        <v>12.037320108269247</v>
      </c>
      <c r="AQ28" s="100">
        <v>8883.5422399027048</v>
      </c>
      <c r="AR28" s="100">
        <v>10</v>
      </c>
      <c r="AS28" s="100">
        <v>7380</v>
      </c>
      <c r="AT28" s="100">
        <v>6.3471985824522896</v>
      </c>
      <c r="AU28" s="100">
        <v>4684.2325538497898</v>
      </c>
      <c r="AV28" s="100">
        <v>2.0054541232509595</v>
      </c>
      <c r="AW28" s="100">
        <v>1480.0251429592081</v>
      </c>
      <c r="AX28" s="100">
        <v>8.9297524746943093</v>
      </c>
      <c r="AY28" s="100">
        <v>6590.1573263243999</v>
      </c>
      <c r="AZ28" s="100">
        <v>9.7484409132747114</v>
      </c>
      <c r="BA28" s="100">
        <v>7194.3493939967366</v>
      </c>
      <c r="BB28" s="100">
        <v>0.23235141373486803</v>
      </c>
      <c r="BC28" s="100">
        <v>171.4753433363326</v>
      </c>
      <c r="BD28" s="100">
        <v>6.721962096605818</v>
      </c>
      <c r="BE28" s="100">
        <v>4960.8080272950938</v>
      </c>
      <c r="BF28" s="100">
        <v>11.434175121680243</v>
      </c>
      <c r="BG28" s="100">
        <v>8438.4212398000182</v>
      </c>
      <c r="BH28" s="100">
        <v>6.3918776685120386</v>
      </c>
      <c r="BI28" s="100">
        <v>4717.2057193618848</v>
      </c>
      <c r="BJ28" s="100">
        <v>7.3517990109628935</v>
      </c>
      <c r="BK28" s="100">
        <v>5425.6276700906155</v>
      </c>
      <c r="BL28" s="100">
        <v>5.4708444294245719</v>
      </c>
      <c r="BM28" s="100">
        <v>4037.4831889153343</v>
      </c>
      <c r="BN28" s="100">
        <v>0.329139285405807</v>
      </c>
      <c r="BO28" s="100">
        <v>242.90479262948557</v>
      </c>
      <c r="BP28" s="100">
        <v>7.2489023056657356</v>
      </c>
      <c r="BQ28" s="100">
        <v>5349.6899015813133</v>
      </c>
      <c r="BR28" s="100">
        <v>9.7003073082720093</v>
      </c>
      <c r="BS28" s="100">
        <v>7158.8267935047425</v>
      </c>
      <c r="BT28" s="100">
        <v>1.4671376499031783</v>
      </c>
      <c r="BU28" s="100">
        <v>1082.7475856285455</v>
      </c>
      <c r="BV28" s="100">
        <v>0.24288480415756916</v>
      </c>
      <c r="BW28" s="100">
        <v>179.24898546828604</v>
      </c>
      <c r="BX28" s="100">
        <v>11.246207743152732</v>
      </c>
      <c r="BY28" s="100">
        <v>8299.7013144467164</v>
      </c>
      <c r="BZ28" s="100">
        <v>7</v>
      </c>
      <c r="CA28" s="100">
        <v>5166</v>
      </c>
      <c r="CB28" s="100">
        <v>6</v>
      </c>
      <c r="CC28" s="100">
        <v>4428</v>
      </c>
      <c r="CD28" s="100">
        <v>6.5283121970716769</v>
      </c>
      <c r="CE28" s="100">
        <v>4817.8944014388971</v>
      </c>
      <c r="CF28" s="100">
        <v>1.9317280642176009</v>
      </c>
      <c r="CG28" s="100">
        <v>1425.6153113925895</v>
      </c>
      <c r="CH28" s="100">
        <v>10</v>
      </c>
      <c r="CI28" s="100">
        <v>7380</v>
      </c>
      <c r="CJ28" s="100">
        <v>9.0841704461907025</v>
      </c>
      <c r="CK28" s="100">
        <v>6704.1177892887381</v>
      </c>
      <c r="CL28" s="100">
        <v>7.6231741422400487</v>
      </c>
      <c r="CM28" s="100">
        <v>5625.9025169731558</v>
      </c>
      <c r="CN28" s="100">
        <v>5.5820577313267354E-4</v>
      </c>
      <c r="CO28" s="100">
        <v>0.41195586057191308</v>
      </c>
      <c r="CP28" s="100">
        <v>2.0222198705080361</v>
      </c>
      <c r="CQ28" s="100">
        <v>1492.3982644349305</v>
      </c>
      <c r="CR28" s="100">
        <v>10.330909450010896</v>
      </c>
      <c r="CS28" s="100">
        <v>7624.2111741080416</v>
      </c>
      <c r="CT28" s="100">
        <v>10</v>
      </c>
      <c r="CU28" s="100">
        <v>7380</v>
      </c>
    </row>
    <row r="29" spans="2:99">
      <c r="C29" s="99" t="s">
        <v>195</v>
      </c>
      <c r="D29" s="100">
        <v>9</v>
      </c>
      <c r="E29" s="100">
        <v>3045.6</v>
      </c>
      <c r="F29" s="100">
        <v>5.7862877059571112</v>
      </c>
      <c r="G29" s="100">
        <v>1958.0797596958862</v>
      </c>
      <c r="H29" s="100">
        <v>7.9553902916294978</v>
      </c>
      <c r="I29" s="100">
        <v>2692.1040746874219</v>
      </c>
      <c r="J29" s="100">
        <v>4.5382992701223395E-4</v>
      </c>
      <c r="K29" s="100">
        <v>0.15357604730093996</v>
      </c>
      <c r="L29" s="100">
        <v>7.763754870939783</v>
      </c>
      <c r="M29" s="100">
        <v>2627.2546483260226</v>
      </c>
      <c r="N29" s="100">
        <v>7</v>
      </c>
      <c r="O29" s="100">
        <v>2368.7999999999997</v>
      </c>
      <c r="P29" s="100">
        <v>10</v>
      </c>
      <c r="Q29" s="100">
        <v>3384</v>
      </c>
      <c r="R29" s="100">
        <v>6</v>
      </c>
      <c r="S29" s="100">
        <v>2030.3999999999999</v>
      </c>
      <c r="T29" s="100">
        <v>1.8709596917190399</v>
      </c>
      <c r="U29" s="100">
        <v>633.13275967772302</v>
      </c>
      <c r="V29" s="100">
        <v>7.7876473532850703</v>
      </c>
      <c r="W29" s="100">
        <v>2635.3398643516675</v>
      </c>
      <c r="X29" s="100">
        <v>7</v>
      </c>
      <c r="Y29" s="100">
        <v>2368.7999999999997</v>
      </c>
      <c r="Z29" s="100">
        <v>1.031888660735222</v>
      </c>
      <c r="AA29" s="100">
        <v>349.19112279279909</v>
      </c>
      <c r="AB29" s="100">
        <v>2.0727739044940052</v>
      </c>
      <c r="AC29" s="100">
        <v>701.42668928077137</v>
      </c>
      <c r="AD29" s="100">
        <v>9.695076949485566</v>
      </c>
      <c r="AE29" s="100">
        <v>3280.8140397059151</v>
      </c>
      <c r="AF29" s="100">
        <v>8</v>
      </c>
      <c r="AG29" s="100">
        <v>2707.2</v>
      </c>
      <c r="AH29" s="100">
        <v>0.70319356224518947</v>
      </c>
      <c r="AI29" s="100">
        <v>237.9607014637721</v>
      </c>
      <c r="AJ29" s="100">
        <v>5.8088741825010673E-4</v>
      </c>
      <c r="AK29" s="100">
        <v>0.19657230233583611</v>
      </c>
      <c r="AL29" s="100">
        <v>9.0063308133181419E-4</v>
      </c>
      <c r="AM29" s="100">
        <v>0.30477423472268589</v>
      </c>
      <c r="AN29" s="100">
        <v>1.3986044249138119</v>
      </c>
      <c r="AO29" s="100">
        <v>473.28773739083391</v>
      </c>
      <c r="AP29" s="100">
        <v>12.037320108269247</v>
      </c>
      <c r="AQ29" s="100">
        <v>4073.4291246383132</v>
      </c>
      <c r="AR29" s="100">
        <v>10</v>
      </c>
      <c r="AS29" s="100">
        <v>3384</v>
      </c>
      <c r="AT29" s="100">
        <v>6.3471985824522896</v>
      </c>
      <c r="AU29" s="100">
        <v>2147.8920003018548</v>
      </c>
      <c r="AV29" s="100">
        <v>2.1871105854497292</v>
      </c>
      <c r="AW29" s="100">
        <v>740.11822211618835</v>
      </c>
      <c r="AX29" s="100">
        <v>10.045971534031098</v>
      </c>
      <c r="AY29" s="100">
        <v>3399.5567671161234</v>
      </c>
      <c r="AZ29" s="100">
        <v>8.8622190120679178</v>
      </c>
      <c r="BA29" s="100">
        <v>2998.9749136837831</v>
      </c>
      <c r="BB29" s="100">
        <v>0.29191330909884639</v>
      </c>
      <c r="BC29" s="100">
        <v>98.783463799049613</v>
      </c>
      <c r="BD29" s="100">
        <v>8.1209619580851342</v>
      </c>
      <c r="BE29" s="100">
        <v>2748.133526616009</v>
      </c>
      <c r="BF29" s="100">
        <v>12.434175121680243</v>
      </c>
      <c r="BG29" s="100">
        <v>4207.7248611765935</v>
      </c>
      <c r="BH29" s="100">
        <v>6.3918776685120386</v>
      </c>
      <c r="BI29" s="100">
        <v>2163.0114030244736</v>
      </c>
      <c r="BJ29" s="100">
        <v>8.8221588131554718</v>
      </c>
      <c r="BK29" s="100">
        <v>2985.4185423718113</v>
      </c>
      <c r="BL29" s="100">
        <v>4.8350336627597761</v>
      </c>
      <c r="BM29" s="100">
        <v>1636.1753914779081</v>
      </c>
      <c r="BN29" s="100">
        <v>0.328674849501774</v>
      </c>
      <c r="BO29" s="100">
        <v>111.22356907140032</v>
      </c>
      <c r="BP29" s="100">
        <v>8.2262748233324867</v>
      </c>
      <c r="BQ29" s="100">
        <v>2783.7714002157131</v>
      </c>
      <c r="BR29" s="100">
        <v>9.7003073082720093</v>
      </c>
      <c r="BS29" s="100">
        <v>3282.5839931192477</v>
      </c>
      <c r="BT29" s="100">
        <v>1.4671376499031783</v>
      </c>
      <c r="BU29" s="100">
        <v>496.47938072723548</v>
      </c>
      <c r="BV29" s="100">
        <v>0.24267266097898535</v>
      </c>
      <c r="BW29" s="100">
        <v>82.120428475288634</v>
      </c>
      <c r="BX29" s="100">
        <v>10.22158696883746</v>
      </c>
      <c r="BY29" s="100">
        <v>3458.9850302545965</v>
      </c>
      <c r="BZ29" s="100">
        <v>7</v>
      </c>
      <c r="CA29" s="100">
        <v>2368.7999999999997</v>
      </c>
      <c r="CB29" s="100">
        <v>6</v>
      </c>
      <c r="CC29" s="100">
        <v>2030.3999999999999</v>
      </c>
      <c r="CD29" s="100">
        <v>6.5283121970716769</v>
      </c>
      <c r="CE29" s="100">
        <v>2209.1808474890554</v>
      </c>
      <c r="CF29" s="100">
        <v>2.107339706419201</v>
      </c>
      <c r="CG29" s="100">
        <v>713.12375665225761</v>
      </c>
      <c r="CH29" s="100">
        <v>10</v>
      </c>
      <c r="CI29" s="100">
        <v>3384</v>
      </c>
      <c r="CJ29" s="100">
        <v>8.3271562423414771</v>
      </c>
      <c r="CK29" s="100">
        <v>2817.9096724083556</v>
      </c>
      <c r="CL29" s="100">
        <v>6.860856728016044</v>
      </c>
      <c r="CM29" s="100">
        <v>2321.7139167606292</v>
      </c>
      <c r="CN29" s="100">
        <v>5.5924000118025719E-4</v>
      </c>
      <c r="CO29" s="100">
        <v>0.18924681639939903</v>
      </c>
      <c r="CP29" s="100">
        <v>2.0222207810289139</v>
      </c>
      <c r="CQ29" s="100">
        <v>684.31951230018444</v>
      </c>
      <c r="CR29" s="100">
        <v>11.464000395011986</v>
      </c>
      <c r="CS29" s="100">
        <v>3879.4177336720559</v>
      </c>
      <c r="CT29" s="100">
        <v>10</v>
      </c>
      <c r="CU29" s="100">
        <v>3384</v>
      </c>
    </row>
    <row r="30" spans="2:99">
      <c r="C30" s="99" t="s">
        <v>196</v>
      </c>
      <c r="D30" s="100">
        <v>9</v>
      </c>
      <c r="E30" s="100">
        <v>1252.8</v>
      </c>
      <c r="F30" s="100">
        <v>5.7862877059571112</v>
      </c>
      <c r="G30" s="100">
        <v>805.45124866922981</v>
      </c>
      <c r="H30" s="100">
        <v>6.1875257823784988</v>
      </c>
      <c r="I30" s="100">
        <v>861.30358890708692</v>
      </c>
      <c r="J30" s="100">
        <v>4.5043613077569861E-4</v>
      </c>
      <c r="K30" s="100">
        <v>6.2700709403977248E-2</v>
      </c>
      <c r="L30" s="100">
        <v>8.4430721671325504</v>
      </c>
      <c r="M30" s="100">
        <v>1175.275645664851</v>
      </c>
      <c r="N30" s="100">
        <v>9</v>
      </c>
      <c r="O30" s="100">
        <v>1252.8</v>
      </c>
      <c r="P30" s="100">
        <v>9</v>
      </c>
      <c r="Q30" s="100">
        <v>1252.8</v>
      </c>
      <c r="R30" s="100">
        <v>6</v>
      </c>
      <c r="S30" s="100">
        <v>835.19999999999993</v>
      </c>
      <c r="T30" s="100">
        <v>1.8709596917190399</v>
      </c>
      <c r="U30" s="100">
        <v>260.43758908729035</v>
      </c>
      <c r="V30" s="100">
        <v>8.7876473532850703</v>
      </c>
      <c r="W30" s="100">
        <v>1223.2405115772817</v>
      </c>
      <c r="X30" s="100">
        <v>7</v>
      </c>
      <c r="Y30" s="100">
        <v>974.39999999999986</v>
      </c>
      <c r="Z30" s="100">
        <v>1.031888660735222</v>
      </c>
      <c r="AA30" s="100">
        <v>143.6389015743429</v>
      </c>
      <c r="AB30" s="100">
        <v>2.5385995274454709</v>
      </c>
      <c r="AC30" s="100">
        <v>353.37305422040953</v>
      </c>
      <c r="AD30" s="100">
        <v>10.695076949485566</v>
      </c>
      <c r="AE30" s="100">
        <v>1488.7547113683906</v>
      </c>
      <c r="AF30" s="100">
        <v>7</v>
      </c>
      <c r="AG30" s="100">
        <v>974.39999999999986</v>
      </c>
      <c r="AH30" s="100">
        <v>0.70319356224518947</v>
      </c>
      <c r="AI30" s="100">
        <v>97.884543864530372</v>
      </c>
      <c r="AJ30" s="100">
        <v>5.8088693274462803E-4</v>
      </c>
      <c r="AK30" s="100">
        <v>8.0859461038052222E-2</v>
      </c>
      <c r="AL30" s="100">
        <v>8.1057023360117642E-4</v>
      </c>
      <c r="AM30" s="100">
        <v>0.11283137651728375</v>
      </c>
      <c r="AN30" s="100">
        <v>1.1655141119252297</v>
      </c>
      <c r="AO30" s="100">
        <v>162.23956437999195</v>
      </c>
      <c r="AP30" s="100">
        <v>11.037320108269247</v>
      </c>
      <c r="AQ30" s="100">
        <v>1536.394959071079</v>
      </c>
      <c r="AR30" s="100">
        <v>11</v>
      </c>
      <c r="AS30" s="100">
        <v>1531.1999999999998</v>
      </c>
      <c r="AT30" s="100">
        <v>7.1405984052588245</v>
      </c>
      <c r="AU30" s="100">
        <v>993.97129801202834</v>
      </c>
      <c r="AV30" s="100">
        <v>2.3766374435344684</v>
      </c>
      <c r="AW30" s="100">
        <v>330.82793213999798</v>
      </c>
      <c r="AX30" s="100">
        <v>9.9297524746943093</v>
      </c>
      <c r="AY30" s="100">
        <v>1382.2215444774477</v>
      </c>
      <c r="AZ30" s="100">
        <v>8.8622190120679178</v>
      </c>
      <c r="BA30" s="100">
        <v>1233.6208864798541</v>
      </c>
      <c r="BB30" s="100">
        <v>0.26213236141685725</v>
      </c>
      <c r="BC30" s="100">
        <v>36.488824709226527</v>
      </c>
      <c r="BD30" s="100">
        <v>8.2147921789758449</v>
      </c>
      <c r="BE30" s="100">
        <v>1143.4990713134375</v>
      </c>
      <c r="BF30" s="100">
        <v>10.254903231470212</v>
      </c>
      <c r="BG30" s="100">
        <v>1427.4825298206536</v>
      </c>
      <c r="BH30" s="100">
        <v>8.2181284309440485</v>
      </c>
      <c r="BI30" s="100">
        <v>1143.9634775874115</v>
      </c>
      <c r="BJ30" s="100">
        <v>8.086978912059184</v>
      </c>
      <c r="BK30" s="100">
        <v>1125.7074645586383</v>
      </c>
      <c r="BL30" s="100">
        <v>5.5299296410079153</v>
      </c>
      <c r="BM30" s="100">
        <v>769.76620602830178</v>
      </c>
      <c r="BN30" s="100">
        <v>0.328674849501774</v>
      </c>
      <c r="BO30" s="100">
        <v>45.75153905064694</v>
      </c>
      <c r="BP30" s="100">
        <v>8.2715297879989844</v>
      </c>
      <c r="BQ30" s="100">
        <v>1151.3969464894585</v>
      </c>
      <c r="BR30" s="100">
        <v>8.7302765774448083</v>
      </c>
      <c r="BS30" s="100">
        <v>1215.2544995803173</v>
      </c>
      <c r="BT30" s="100">
        <v>1.4671376499031783</v>
      </c>
      <c r="BU30" s="100">
        <v>204.22556086652241</v>
      </c>
      <c r="BV30" s="100">
        <v>0.27295370780671258</v>
      </c>
      <c r="BW30" s="100">
        <v>37.99515612669439</v>
      </c>
      <c r="BX30" s="100">
        <v>10.22158696883746</v>
      </c>
      <c r="BY30" s="100">
        <v>1422.8449060621745</v>
      </c>
      <c r="BZ30" s="100">
        <v>7</v>
      </c>
      <c r="CA30" s="100">
        <v>974.39999999999986</v>
      </c>
      <c r="CB30" s="100">
        <v>7</v>
      </c>
      <c r="CC30" s="100">
        <v>974.39999999999986</v>
      </c>
      <c r="CD30" s="100">
        <v>7.4609282252247739</v>
      </c>
      <c r="CE30" s="100">
        <v>1038.5612089512883</v>
      </c>
      <c r="CF30" s="100">
        <v>2.107339706419201</v>
      </c>
      <c r="CG30" s="100">
        <v>293.34168713355274</v>
      </c>
      <c r="CH30" s="100">
        <v>11</v>
      </c>
      <c r="CI30" s="100">
        <v>1531.1999999999998</v>
      </c>
      <c r="CJ30" s="100">
        <v>9.0841704461907025</v>
      </c>
      <c r="CK30" s="100">
        <v>1264.5165261097457</v>
      </c>
      <c r="CL30" s="100">
        <v>8.3854915564640535</v>
      </c>
      <c r="CM30" s="100">
        <v>1167.2604246597962</v>
      </c>
      <c r="CN30" s="100">
        <v>5.5820577313267354E-4</v>
      </c>
      <c r="CO30" s="100">
        <v>7.7702243620068154E-2</v>
      </c>
      <c r="CP30" s="100">
        <v>2.2244313452682705</v>
      </c>
      <c r="CQ30" s="100">
        <v>309.64084326134321</v>
      </c>
      <c r="CR30" s="100">
        <v>11.597091340013074</v>
      </c>
      <c r="CS30" s="100">
        <v>1614.3151145298198</v>
      </c>
      <c r="CT30" s="100">
        <v>11</v>
      </c>
      <c r="CU30" s="100">
        <v>1531.1999999999998</v>
      </c>
    </row>
    <row r="31" spans="2:99">
      <c r="C31" s="99" t="s">
        <v>197</v>
      </c>
      <c r="D31" s="100">
        <v>8</v>
      </c>
      <c r="E31" s="100">
        <v>2726.4</v>
      </c>
      <c r="F31" s="100">
        <v>6.6129002353795556</v>
      </c>
      <c r="G31" s="100">
        <v>2253.6764002173527</v>
      </c>
      <c r="H31" s="100">
        <v>7.0714580370039979</v>
      </c>
      <c r="I31" s="100">
        <v>2409.9528990109625</v>
      </c>
      <c r="J31" s="100">
        <v>4.5722372324876923E-4</v>
      </c>
      <c r="K31" s="100">
        <v>0.15582184488318057</v>
      </c>
      <c r="L31" s="100">
        <v>7.4430721671325495</v>
      </c>
      <c r="M31" s="100">
        <v>2536.598994558773</v>
      </c>
      <c r="N31" s="100">
        <v>8</v>
      </c>
      <c r="O31" s="100">
        <v>2726.4</v>
      </c>
      <c r="P31" s="100">
        <v>9</v>
      </c>
      <c r="Q31" s="100">
        <v>3067.2000000000003</v>
      </c>
      <c r="R31" s="100">
        <v>6</v>
      </c>
      <c r="S31" s="100">
        <v>2044.8000000000002</v>
      </c>
      <c r="T31" s="100">
        <v>2.1382396476789025</v>
      </c>
      <c r="U31" s="100">
        <v>728.71207192896998</v>
      </c>
      <c r="V31" s="100">
        <v>7.6386767405113147</v>
      </c>
      <c r="W31" s="100">
        <v>2603.2610331662563</v>
      </c>
      <c r="X31" s="100">
        <v>7</v>
      </c>
      <c r="Y31" s="100">
        <v>2385.6</v>
      </c>
      <c r="Z31" s="100">
        <v>1.031888660735222</v>
      </c>
      <c r="AA31" s="100">
        <v>351.66765557856365</v>
      </c>
      <c r="AB31" s="100">
        <v>2.5606491498336967</v>
      </c>
      <c r="AC31" s="100">
        <v>872.66923026332393</v>
      </c>
      <c r="AD31" s="100">
        <v>8.5538205370284359</v>
      </c>
      <c r="AE31" s="100">
        <v>2915.1420390192911</v>
      </c>
      <c r="AF31" s="100">
        <v>7</v>
      </c>
      <c r="AG31" s="100">
        <v>2385.6</v>
      </c>
      <c r="AH31" s="100">
        <v>0.70319356224518947</v>
      </c>
      <c r="AI31" s="100">
        <v>239.64836601316057</v>
      </c>
      <c r="AJ31" s="100">
        <v>5.8088547622819192E-4</v>
      </c>
      <c r="AK31" s="100">
        <v>0.19796577029856782</v>
      </c>
      <c r="AL31" s="100">
        <v>9.9069551051468498E-4</v>
      </c>
      <c r="AM31" s="100">
        <v>0.33762902998340466</v>
      </c>
      <c r="AN31" s="100">
        <v>1.3985873297101934</v>
      </c>
      <c r="AO31" s="100">
        <v>476.63856196523392</v>
      </c>
      <c r="AP31" s="100">
        <v>12.037320108269247</v>
      </c>
      <c r="AQ31" s="100">
        <v>4102.3186928981595</v>
      </c>
      <c r="AR31" s="100">
        <v>11</v>
      </c>
      <c r="AS31" s="100">
        <v>3748.8</v>
      </c>
      <c r="AT31" s="100">
        <v>7.9339982280653611</v>
      </c>
      <c r="AU31" s="100">
        <v>2703.9065961246752</v>
      </c>
      <c r="AV31" s="100">
        <v>2.1871105854497292</v>
      </c>
      <c r="AW31" s="100">
        <v>745.36728752126771</v>
      </c>
      <c r="AX31" s="100">
        <v>7.9297524746943093</v>
      </c>
      <c r="AY31" s="100">
        <v>2702.4596433758206</v>
      </c>
      <c r="AZ31" s="100">
        <v>8.8622190120679178</v>
      </c>
      <c r="BA31" s="100">
        <v>3020.2442393127467</v>
      </c>
      <c r="BB31" s="100">
        <v>0.23094642667834192</v>
      </c>
      <c r="BC31" s="100">
        <v>78.706542211978928</v>
      </c>
      <c r="BD31" s="100">
        <v>8.3086223998665591</v>
      </c>
      <c r="BE31" s="100">
        <v>2831.5785138745237</v>
      </c>
      <c r="BF31" s="100">
        <v>11.434175121680243</v>
      </c>
      <c r="BG31" s="100">
        <v>3896.7668814686267</v>
      </c>
      <c r="BH31" s="100">
        <v>7.305003049728044</v>
      </c>
      <c r="BI31" s="100">
        <v>2489.5450393473175</v>
      </c>
      <c r="BJ31" s="100">
        <v>8.086978912059184</v>
      </c>
      <c r="BK31" s="100">
        <v>2756.0424132297699</v>
      </c>
      <c r="BL31" s="100">
        <v>5.4436932602264916</v>
      </c>
      <c r="BM31" s="100">
        <v>1855.2106630851883</v>
      </c>
      <c r="BN31" s="100">
        <v>0.3289070674537905</v>
      </c>
      <c r="BO31" s="100">
        <v>112.0915285882518</v>
      </c>
      <c r="BP31" s="100">
        <v>7.2489023056657356</v>
      </c>
      <c r="BQ31" s="100">
        <v>2470.4259057708828</v>
      </c>
      <c r="BR31" s="100">
        <v>8.7302765774448083</v>
      </c>
      <c r="BS31" s="100">
        <v>2975.2782575931906</v>
      </c>
      <c r="BT31" s="100">
        <v>1.4586713538792933</v>
      </c>
      <c r="BU31" s="100">
        <v>497.11519740206313</v>
      </c>
      <c r="BV31" s="100">
        <v>0.3028104682772722</v>
      </c>
      <c r="BW31" s="100">
        <v>103.19780758889438</v>
      </c>
      <c r="BX31" s="100">
        <v>10.246207743152732</v>
      </c>
      <c r="BY31" s="100">
        <v>3491.9075988664513</v>
      </c>
      <c r="BZ31" s="100">
        <v>6</v>
      </c>
      <c r="CA31" s="100">
        <v>2044.8000000000002</v>
      </c>
      <c r="CB31" s="100">
        <v>6</v>
      </c>
      <c r="CC31" s="100">
        <v>2044.8000000000002</v>
      </c>
      <c r="CD31" s="100">
        <v>6.5283121970716769</v>
      </c>
      <c r="CE31" s="100">
        <v>2224.8487967620276</v>
      </c>
      <c r="CF31" s="100">
        <v>2.107339706419201</v>
      </c>
      <c r="CG31" s="100">
        <v>718.18137194766371</v>
      </c>
      <c r="CH31" s="100">
        <v>10</v>
      </c>
      <c r="CI31" s="100">
        <v>3408</v>
      </c>
      <c r="CJ31" s="100">
        <v>8.3271562423414771</v>
      </c>
      <c r="CK31" s="100">
        <v>2837.8948473899754</v>
      </c>
      <c r="CL31" s="100">
        <v>6.860856728016044</v>
      </c>
      <c r="CM31" s="100">
        <v>2338.179972907868</v>
      </c>
      <c r="CN31" s="100">
        <v>5.6130845727542472E-4</v>
      </c>
      <c r="CO31" s="100">
        <v>0.19129392223946476</v>
      </c>
      <c r="CP31" s="100">
        <v>2.2244469264820084</v>
      </c>
      <c r="CQ31" s="100">
        <v>758.09151254506844</v>
      </c>
      <c r="CR31" s="100">
        <v>12.464000395011986</v>
      </c>
      <c r="CS31" s="100">
        <v>4247.7313346200854</v>
      </c>
      <c r="CT31" s="100">
        <v>9</v>
      </c>
      <c r="CU31" s="100">
        <v>3067.2000000000003</v>
      </c>
    </row>
    <row r="32" spans="2:99">
      <c r="C32" s="99" t="s">
        <v>198</v>
      </c>
      <c r="D32" s="100">
        <v>8</v>
      </c>
      <c r="E32" s="100">
        <v>6720</v>
      </c>
      <c r="F32" s="100">
        <v>5.7862877059571112</v>
      </c>
      <c r="G32" s="100">
        <v>4860.4816730039738</v>
      </c>
      <c r="H32" s="100">
        <v>7.0714580370039979</v>
      </c>
      <c r="I32" s="100">
        <v>5940.0247510833578</v>
      </c>
      <c r="J32" s="100">
        <v>3.8158540208006367E-4</v>
      </c>
      <c r="K32" s="100">
        <v>0.32053173774725346</v>
      </c>
      <c r="L32" s="100">
        <v>7.763754870939783</v>
      </c>
      <c r="M32" s="100">
        <v>6521.554091589418</v>
      </c>
      <c r="N32" s="100">
        <v>7</v>
      </c>
      <c r="O32" s="100">
        <v>5880</v>
      </c>
      <c r="P32" s="100">
        <v>9</v>
      </c>
      <c r="Q32" s="100">
        <v>7560</v>
      </c>
      <c r="R32" s="100">
        <v>7</v>
      </c>
      <c r="S32" s="100">
        <v>5880</v>
      </c>
      <c r="T32" s="100">
        <v>1.8709596917190399</v>
      </c>
      <c r="U32" s="100">
        <v>1571.6061410439934</v>
      </c>
      <c r="V32" s="100">
        <v>6.7876473532850703</v>
      </c>
      <c r="W32" s="100">
        <v>5701.6237767594594</v>
      </c>
      <c r="X32" s="100">
        <v>7</v>
      </c>
      <c r="Y32" s="100">
        <v>5880</v>
      </c>
      <c r="Z32" s="100">
        <v>1.031888660735222</v>
      </c>
      <c r="AA32" s="100">
        <v>866.78647501758644</v>
      </c>
      <c r="AB32" s="100">
        <v>2.3001743103726819</v>
      </c>
      <c r="AC32" s="100">
        <v>1932.1464207130527</v>
      </c>
      <c r="AD32" s="100">
        <v>8.695076949485566</v>
      </c>
      <c r="AE32" s="100">
        <v>7303.8646375678754</v>
      </c>
      <c r="AF32" s="100">
        <v>7</v>
      </c>
      <c r="AG32" s="100">
        <v>5880</v>
      </c>
      <c r="AH32" s="100">
        <v>0.70319356224518947</v>
      </c>
      <c r="AI32" s="100">
        <v>590.68259228595912</v>
      </c>
      <c r="AJ32" s="100">
        <v>4.8407252487143646E-4</v>
      </c>
      <c r="AK32" s="100">
        <v>0.40662092089200663</v>
      </c>
      <c r="AL32" s="100">
        <v>8.1057023360117642E-4</v>
      </c>
      <c r="AM32" s="100">
        <v>0.68087899622498815</v>
      </c>
      <c r="AN32" s="100">
        <v>1.1655147743588454</v>
      </c>
      <c r="AO32" s="100">
        <v>979.03241046143012</v>
      </c>
      <c r="AP32" s="100">
        <v>10.90765509473559</v>
      </c>
      <c r="AQ32" s="100">
        <v>9162.4302795778949</v>
      </c>
      <c r="AR32" s="100">
        <v>11</v>
      </c>
      <c r="AS32" s="100">
        <v>9240</v>
      </c>
      <c r="AT32" s="100">
        <v>6.3471985824522896</v>
      </c>
      <c r="AU32" s="100">
        <v>5331.6468092599234</v>
      </c>
      <c r="AV32" s="100">
        <v>2.0054541232509595</v>
      </c>
      <c r="AW32" s="100">
        <v>1684.5814635308059</v>
      </c>
      <c r="AX32" s="100">
        <v>9.0459715340310982</v>
      </c>
      <c r="AY32" s="100">
        <v>7598.6160885861227</v>
      </c>
      <c r="AZ32" s="100">
        <v>8.8622190120679178</v>
      </c>
      <c r="BA32" s="100">
        <v>7444.2639701370508</v>
      </c>
      <c r="BB32" s="100">
        <v>0.23375640079139415</v>
      </c>
      <c r="BC32" s="100">
        <v>196.35537666477109</v>
      </c>
      <c r="BD32" s="100">
        <v>8.1209619580851342</v>
      </c>
      <c r="BE32" s="100">
        <v>6821.6080447915128</v>
      </c>
      <c r="BF32" s="100">
        <v>10.344539176575228</v>
      </c>
      <c r="BG32" s="100">
        <v>8689.412908323191</v>
      </c>
      <c r="BH32" s="100">
        <v>7.305003049728044</v>
      </c>
      <c r="BI32" s="100">
        <v>6136.2025617715572</v>
      </c>
      <c r="BJ32" s="100">
        <v>7.3517990109628935</v>
      </c>
      <c r="BK32" s="100">
        <v>6175.5111692088303</v>
      </c>
      <c r="BL32" s="100">
        <v>5.4708444294245719</v>
      </c>
      <c r="BM32" s="100">
        <v>4595.5093207166401</v>
      </c>
      <c r="BN32" s="100">
        <v>0.328674849501774</v>
      </c>
      <c r="BO32" s="100">
        <v>276.08687358149018</v>
      </c>
      <c r="BP32" s="100">
        <v>7.2715297879989844</v>
      </c>
      <c r="BQ32" s="100">
        <v>6108.085021919147</v>
      </c>
      <c r="BR32" s="100">
        <v>8.7302765774448083</v>
      </c>
      <c r="BS32" s="100">
        <v>7333.432325053639</v>
      </c>
      <c r="BT32" s="100">
        <v>1.4502050578554084</v>
      </c>
      <c r="BU32" s="100">
        <v>1218.1722485985431</v>
      </c>
      <c r="BV32" s="100">
        <v>0.24267266097898535</v>
      </c>
      <c r="BW32" s="100">
        <v>203.84503522234769</v>
      </c>
      <c r="BX32" s="100">
        <v>9.2215869688374603</v>
      </c>
      <c r="BY32" s="100">
        <v>7746.133053823467</v>
      </c>
      <c r="BZ32" s="100">
        <v>7</v>
      </c>
      <c r="CA32" s="100">
        <v>5880</v>
      </c>
      <c r="CB32" s="100">
        <v>6</v>
      </c>
      <c r="CC32" s="100">
        <v>5040</v>
      </c>
      <c r="CD32" s="100">
        <v>6.5283121970716769</v>
      </c>
      <c r="CE32" s="100">
        <v>5483.7822455402084</v>
      </c>
      <c r="CF32" s="100">
        <v>1.9317280642176009</v>
      </c>
      <c r="CG32" s="100">
        <v>1622.6515739427848</v>
      </c>
      <c r="CH32" s="100">
        <v>10</v>
      </c>
      <c r="CI32" s="100">
        <v>8400</v>
      </c>
      <c r="CJ32" s="100">
        <v>9.0841704461907025</v>
      </c>
      <c r="CK32" s="100">
        <v>7630.70317480019</v>
      </c>
      <c r="CL32" s="100">
        <v>6.860856728016044</v>
      </c>
      <c r="CM32" s="100">
        <v>5763.1196515334768</v>
      </c>
      <c r="CN32" s="100">
        <v>4.9629782367877464E-4</v>
      </c>
      <c r="CO32" s="100">
        <v>0.41689017189017069</v>
      </c>
      <c r="CP32" s="100">
        <v>2.2244469264820084</v>
      </c>
      <c r="CQ32" s="100">
        <v>1868.5354182448871</v>
      </c>
      <c r="CR32" s="100">
        <v>11.464000395011986</v>
      </c>
      <c r="CS32" s="100">
        <v>9629.7603318100682</v>
      </c>
      <c r="CT32" s="100">
        <v>9</v>
      </c>
      <c r="CU32" s="100">
        <v>7560</v>
      </c>
    </row>
    <row r="33" spans="2:99">
      <c r="C33" s="99" t="s">
        <v>199</v>
      </c>
      <c r="D33" s="100">
        <v>8</v>
      </c>
      <c r="E33" s="100">
        <v>3792</v>
      </c>
      <c r="F33" s="100">
        <v>5.7862877059571112</v>
      </c>
      <c r="G33" s="100">
        <v>2742.7003726236708</v>
      </c>
      <c r="H33" s="100">
        <v>6.1875257823784988</v>
      </c>
      <c r="I33" s="100">
        <v>2932.8872208474086</v>
      </c>
      <c r="J33" s="100">
        <v>4.5043613077569861E-4</v>
      </c>
      <c r="K33" s="100">
        <v>0.21350672598768114</v>
      </c>
      <c r="L33" s="100">
        <v>8.6034135190361667</v>
      </c>
      <c r="M33" s="100">
        <v>4078.018008023143</v>
      </c>
      <c r="N33" s="100">
        <v>8</v>
      </c>
      <c r="O33" s="100">
        <v>3792</v>
      </c>
      <c r="P33" s="100">
        <v>9</v>
      </c>
      <c r="Q33" s="100">
        <v>4266</v>
      </c>
      <c r="R33" s="100">
        <v>7</v>
      </c>
      <c r="S33" s="100">
        <v>3318</v>
      </c>
      <c r="T33" s="100">
        <v>1.8709596917190399</v>
      </c>
      <c r="U33" s="100">
        <v>886.83489387482484</v>
      </c>
      <c r="V33" s="100">
        <v>8.6386767405113147</v>
      </c>
      <c r="W33" s="100">
        <v>4094.7327750023633</v>
      </c>
      <c r="X33" s="100">
        <v>7</v>
      </c>
      <c r="Y33" s="100">
        <v>3318</v>
      </c>
      <c r="Z33" s="100">
        <v>1.031888660735222</v>
      </c>
      <c r="AA33" s="100">
        <v>489.11522518849523</v>
      </c>
      <c r="AB33" s="100">
        <v>2.5275747162513578</v>
      </c>
      <c r="AC33" s="100">
        <v>1198.0704155031435</v>
      </c>
      <c r="AD33" s="100">
        <v>9.836333361942696</v>
      </c>
      <c r="AE33" s="100">
        <v>4662.4220135608375</v>
      </c>
      <c r="AF33" s="100">
        <v>7</v>
      </c>
      <c r="AG33" s="100">
        <v>3318</v>
      </c>
      <c r="AH33" s="100">
        <v>0.70319356224518947</v>
      </c>
      <c r="AI33" s="100">
        <v>333.3137485042198</v>
      </c>
      <c r="AJ33" s="100">
        <v>5.8088644723914933E-4</v>
      </c>
      <c r="AK33" s="100">
        <v>0.27534017599135679</v>
      </c>
      <c r="AL33" s="100">
        <v>9.9069425487138406E-4</v>
      </c>
      <c r="AM33" s="100">
        <v>0.46958907680903605</v>
      </c>
      <c r="AN33" s="100">
        <v>1.1654956918543802</v>
      </c>
      <c r="AO33" s="100">
        <v>552.44495793897624</v>
      </c>
      <c r="AP33" s="100">
        <v>11.037320108269247</v>
      </c>
      <c r="AQ33" s="100">
        <v>5231.6897313196232</v>
      </c>
      <c r="AR33" s="100">
        <v>10</v>
      </c>
      <c r="AS33" s="100">
        <v>4740</v>
      </c>
      <c r="AT33" s="100">
        <v>6.3471985824522896</v>
      </c>
      <c r="AU33" s="100">
        <v>3008.5721280823855</v>
      </c>
      <c r="AV33" s="100">
        <v>2.202851377221668</v>
      </c>
      <c r="AW33" s="100">
        <v>1044.1515528030707</v>
      </c>
      <c r="AX33" s="100">
        <v>9.0459715340310982</v>
      </c>
      <c r="AY33" s="100">
        <v>4287.7905071307405</v>
      </c>
      <c r="AZ33" s="100">
        <v>7.9759971108611269</v>
      </c>
      <c r="BA33" s="100">
        <v>3780.6226305481741</v>
      </c>
      <c r="BB33" s="100">
        <v>0.23375640079139415</v>
      </c>
      <c r="BC33" s="100">
        <v>110.80053397512083</v>
      </c>
      <c r="BD33" s="100">
        <v>8.1209619580851342</v>
      </c>
      <c r="BE33" s="100">
        <v>3849.3359681323536</v>
      </c>
      <c r="BF33" s="100">
        <v>10.434175121680243</v>
      </c>
      <c r="BG33" s="100">
        <v>4945.7990076764354</v>
      </c>
      <c r="BH33" s="100">
        <v>7.305003049728044</v>
      </c>
      <c r="BI33" s="100">
        <v>3462.5714455710927</v>
      </c>
      <c r="BJ33" s="100">
        <v>8.8221588131554718</v>
      </c>
      <c r="BK33" s="100">
        <v>4181.703277435694</v>
      </c>
      <c r="BL33" s="100">
        <v>4.9162910497275965</v>
      </c>
      <c r="BM33" s="100">
        <v>2330.3219575708808</v>
      </c>
      <c r="BN33" s="100">
        <v>0.35853327055175199</v>
      </c>
      <c r="BO33" s="100">
        <v>169.94477024153045</v>
      </c>
      <c r="BP33" s="100">
        <v>8.2489023056657356</v>
      </c>
      <c r="BQ33" s="100">
        <v>3909.9796928855585</v>
      </c>
      <c r="BR33" s="100">
        <v>8.7302765774448083</v>
      </c>
      <c r="BS33" s="100">
        <v>4138.1510977088392</v>
      </c>
      <c r="BT33" s="100">
        <v>1.6561677381170543</v>
      </c>
      <c r="BU33" s="100">
        <v>785.02350786748377</v>
      </c>
      <c r="BV33" s="100">
        <v>0.24267266097898535</v>
      </c>
      <c r="BW33" s="100">
        <v>115.02684130403905</v>
      </c>
      <c r="BX33" s="100">
        <v>10.22158696883746</v>
      </c>
      <c r="BY33" s="100">
        <v>4845.0322232289564</v>
      </c>
      <c r="BZ33" s="100">
        <v>8</v>
      </c>
      <c r="CA33" s="100">
        <v>3792</v>
      </c>
      <c r="CB33" s="100">
        <v>6</v>
      </c>
      <c r="CC33" s="100">
        <v>2844</v>
      </c>
      <c r="CD33" s="100">
        <v>5.5956961689185807</v>
      </c>
      <c r="CE33" s="100">
        <v>2652.3599840674074</v>
      </c>
      <c r="CF33" s="100">
        <v>2.107339706419201</v>
      </c>
      <c r="CG33" s="100">
        <v>998.87902084270127</v>
      </c>
      <c r="CH33" s="100">
        <v>11</v>
      </c>
      <c r="CI33" s="100">
        <v>5214</v>
      </c>
      <c r="CJ33" s="100">
        <v>9.0841704461907025</v>
      </c>
      <c r="CK33" s="100">
        <v>4305.8967914943933</v>
      </c>
      <c r="CL33" s="100">
        <v>6.860856728016044</v>
      </c>
      <c r="CM33" s="100">
        <v>3252.0460890796048</v>
      </c>
      <c r="CN33" s="100">
        <v>5.6027422922784096E-4</v>
      </c>
      <c r="CO33" s="100">
        <v>0.26556998465399662</v>
      </c>
      <c r="CP33" s="100">
        <v>2.2244472299889675</v>
      </c>
      <c r="CQ33" s="100">
        <v>1054.3879870147705</v>
      </c>
      <c r="CR33" s="100">
        <v>11.330909450010896</v>
      </c>
      <c r="CS33" s="100">
        <v>5370.8510793051646</v>
      </c>
      <c r="CT33" s="100">
        <v>10</v>
      </c>
      <c r="CU33" s="100">
        <v>4740</v>
      </c>
    </row>
    <row r="34" spans="2:99">
      <c r="C34" s="99" t="s">
        <v>200</v>
      </c>
      <c r="D34" s="100">
        <v>8</v>
      </c>
      <c r="E34" s="100">
        <v>4387.2</v>
      </c>
      <c r="F34" s="100">
        <v>4.9596751765346667</v>
      </c>
      <c r="G34" s="100">
        <v>2719.8858668116113</v>
      </c>
      <c r="H34" s="100">
        <v>7.0714580370039979</v>
      </c>
      <c r="I34" s="100">
        <v>3877.9875874929921</v>
      </c>
      <c r="J34" s="100">
        <v>4.5043613077569861E-4</v>
      </c>
      <c r="K34" s="100">
        <v>0.2470191741173931</v>
      </c>
      <c r="L34" s="100">
        <v>8.6034135190361667</v>
      </c>
      <c r="M34" s="100">
        <v>4718.1119738394336</v>
      </c>
      <c r="N34" s="100">
        <v>7</v>
      </c>
      <c r="O34" s="100">
        <v>3838.7999999999997</v>
      </c>
      <c r="P34" s="100">
        <v>9</v>
      </c>
      <c r="Q34" s="100">
        <v>4935.5999999999995</v>
      </c>
      <c r="R34" s="100">
        <v>7</v>
      </c>
      <c r="S34" s="100">
        <v>3838.7999999999997</v>
      </c>
      <c r="T34" s="100">
        <v>1.8709596917190399</v>
      </c>
      <c r="U34" s="100">
        <v>1026.0342949387214</v>
      </c>
      <c r="V34" s="100">
        <v>7.6386767405113147</v>
      </c>
      <c r="W34" s="100">
        <v>4189.0503244964048</v>
      </c>
      <c r="X34" s="100">
        <v>7</v>
      </c>
      <c r="Y34" s="100">
        <v>3838.7999999999997</v>
      </c>
      <c r="Z34" s="100">
        <v>1.031888660735222</v>
      </c>
      <c r="AA34" s="100">
        <v>565.88774154719567</v>
      </c>
      <c r="AB34" s="100">
        <v>2.0617490932998925</v>
      </c>
      <c r="AC34" s="100">
        <v>1130.663202765661</v>
      </c>
      <c r="AD34" s="100">
        <v>8.695076949485566</v>
      </c>
      <c r="AE34" s="100">
        <v>4768.3801990978845</v>
      </c>
      <c r="AF34" s="100">
        <v>7</v>
      </c>
      <c r="AG34" s="100">
        <v>3838.7999999999997</v>
      </c>
      <c r="AH34" s="100">
        <v>0.70319356224518947</v>
      </c>
      <c r="AI34" s="100">
        <v>385.6313495352619</v>
      </c>
      <c r="AJ34" s="100">
        <v>5.8088547622819192E-4</v>
      </c>
      <c r="AK34" s="100">
        <v>0.31855759516354043</v>
      </c>
      <c r="AL34" s="100">
        <v>9.0063308133181419E-4</v>
      </c>
      <c r="AM34" s="100">
        <v>0.49390718180236687</v>
      </c>
      <c r="AN34" s="100">
        <v>1.3985873297101934</v>
      </c>
      <c r="AO34" s="100">
        <v>766.98529161306999</v>
      </c>
      <c r="AP34" s="100">
        <v>11.90765509473559</v>
      </c>
      <c r="AQ34" s="100">
        <v>6530.1580539529978</v>
      </c>
      <c r="AR34" s="100">
        <v>11</v>
      </c>
      <c r="AS34" s="100">
        <v>6032.4</v>
      </c>
      <c r="AT34" s="100">
        <v>7.1405984052588245</v>
      </c>
      <c r="AU34" s="100">
        <v>3915.9041654439393</v>
      </c>
      <c r="AV34" s="100">
        <v>2.1949809813356982</v>
      </c>
      <c r="AW34" s="100">
        <v>1203.7275701644969</v>
      </c>
      <c r="AX34" s="100">
        <v>8.9297524746943093</v>
      </c>
      <c r="AY34" s="100">
        <v>4897.0762571223586</v>
      </c>
      <c r="AZ34" s="100">
        <v>8.8622190120679178</v>
      </c>
      <c r="BA34" s="100">
        <v>4860.0409062180461</v>
      </c>
      <c r="BB34" s="100">
        <v>0.23094642667834192</v>
      </c>
      <c r="BC34" s="100">
        <v>126.65102039040271</v>
      </c>
      <c r="BD34" s="100">
        <v>8.1209619580851342</v>
      </c>
      <c r="BE34" s="100">
        <v>4453.5355378138875</v>
      </c>
      <c r="BF34" s="100">
        <v>11.254903231470212</v>
      </c>
      <c r="BG34" s="100">
        <v>6172.1889321382641</v>
      </c>
      <c r="BH34" s="100">
        <v>6.3918776685120386</v>
      </c>
      <c r="BI34" s="100">
        <v>3505.3057134120018</v>
      </c>
      <c r="BJ34" s="100">
        <v>8.086978912059184</v>
      </c>
      <c r="BK34" s="100">
        <v>4434.8992353732565</v>
      </c>
      <c r="BL34" s="100">
        <v>5.4718254636911707</v>
      </c>
      <c r="BM34" s="100">
        <v>3000.749084288238</v>
      </c>
      <c r="BN34" s="100">
        <v>0.328674849501774</v>
      </c>
      <c r="BO34" s="100">
        <v>180.24528746677285</v>
      </c>
      <c r="BP34" s="100">
        <v>7.2715297879989844</v>
      </c>
      <c r="BQ34" s="100">
        <v>3987.7069357386431</v>
      </c>
      <c r="BR34" s="100">
        <v>9.7003073082720093</v>
      </c>
      <c r="BS34" s="100">
        <v>5319.6485278563696</v>
      </c>
      <c r="BT34" s="100">
        <v>1.4586713538792933</v>
      </c>
      <c r="BU34" s="100">
        <v>799.93537046740437</v>
      </c>
      <c r="BV34" s="100">
        <v>0.24246051780040159</v>
      </c>
      <c r="BW34" s="100">
        <v>132.96534796174024</v>
      </c>
      <c r="BX34" s="100">
        <v>9.2215869688374603</v>
      </c>
      <c r="BY34" s="100">
        <v>5057.1182937104631</v>
      </c>
      <c r="BZ34" s="100">
        <v>7</v>
      </c>
      <c r="CA34" s="100">
        <v>3838.7999999999997</v>
      </c>
      <c r="CB34" s="100">
        <v>6</v>
      </c>
      <c r="CC34" s="100">
        <v>3290.3999999999996</v>
      </c>
      <c r="CD34" s="100">
        <v>6.5283121970716769</v>
      </c>
      <c r="CE34" s="100">
        <v>3580.1264088741073</v>
      </c>
      <c r="CF34" s="100">
        <v>2.107339706419201</v>
      </c>
      <c r="CG34" s="100">
        <v>1155.6650950002897</v>
      </c>
      <c r="CH34" s="100">
        <v>11.780375838104788</v>
      </c>
      <c r="CI34" s="100">
        <v>6460.3581096166654</v>
      </c>
      <c r="CJ34" s="100">
        <v>9.8411846500399278</v>
      </c>
      <c r="CK34" s="100">
        <v>5396.9056620818965</v>
      </c>
      <c r="CL34" s="100">
        <v>6.860856728016044</v>
      </c>
      <c r="CM34" s="100">
        <v>3762.4938296439982</v>
      </c>
      <c r="CN34" s="100">
        <v>5.5820577313267354E-4</v>
      </c>
      <c r="CO34" s="100">
        <v>0.30612004598595816</v>
      </c>
      <c r="CP34" s="100">
        <v>2.0222284198823033</v>
      </c>
      <c r="CQ34" s="100">
        <v>1108.990065463455</v>
      </c>
      <c r="CR34" s="100">
        <v>10.464000395011986</v>
      </c>
      <c r="CS34" s="100">
        <v>5738.4578166245728</v>
      </c>
      <c r="CT34" s="100">
        <v>10</v>
      </c>
      <c r="CU34" s="100">
        <v>5484</v>
      </c>
    </row>
    <row r="35" spans="2:99">
      <c r="C35" s="99" t="s">
        <v>201</v>
      </c>
      <c r="D35" s="100">
        <v>8</v>
      </c>
      <c r="E35" s="100">
        <v>4022.3999999999992</v>
      </c>
      <c r="F35" s="100">
        <v>6.6129002353795556</v>
      </c>
      <c r="G35" s="100">
        <v>3324.9662383488399</v>
      </c>
      <c r="H35" s="100">
        <v>7.0714580370039979</v>
      </c>
      <c r="I35" s="100">
        <v>3555.5291010056094</v>
      </c>
      <c r="J35" s="100">
        <v>4.5043613077569861E-4</v>
      </c>
      <c r="K35" s="100">
        <v>0.22647928655402122</v>
      </c>
      <c r="L35" s="100">
        <v>8.6034135190361667</v>
      </c>
      <c r="M35" s="100">
        <v>4325.7963173713833</v>
      </c>
      <c r="N35" s="100">
        <v>8</v>
      </c>
      <c r="O35" s="100">
        <v>4022.3999999999992</v>
      </c>
      <c r="P35" s="100">
        <v>10</v>
      </c>
      <c r="Q35" s="100">
        <v>5027.9999999999991</v>
      </c>
      <c r="R35" s="100">
        <v>6</v>
      </c>
      <c r="S35" s="100">
        <v>3016.7999999999993</v>
      </c>
      <c r="T35" s="100">
        <v>1.8709596917190399</v>
      </c>
      <c r="U35" s="100">
        <v>940.71853299633301</v>
      </c>
      <c r="V35" s="100">
        <v>7.7876473532850703</v>
      </c>
      <c r="W35" s="100">
        <v>3915.6290892317325</v>
      </c>
      <c r="X35" s="100">
        <v>7</v>
      </c>
      <c r="Y35" s="100">
        <v>3519.5999999999995</v>
      </c>
      <c r="Z35" s="100">
        <v>0.88447599491590467</v>
      </c>
      <c r="AA35" s="100">
        <v>444.71453024371675</v>
      </c>
      <c r="AB35" s="100">
        <v>2.0727739044940052</v>
      </c>
      <c r="AC35" s="100">
        <v>1042.1907191795856</v>
      </c>
      <c r="AD35" s="100">
        <v>8.695076949485566</v>
      </c>
      <c r="AE35" s="100">
        <v>4371.884690201342</v>
      </c>
      <c r="AF35" s="100">
        <v>7</v>
      </c>
      <c r="AG35" s="100">
        <v>3519.5999999999995</v>
      </c>
      <c r="AH35" s="100">
        <v>0.70319356224518947</v>
      </c>
      <c r="AI35" s="100">
        <v>353.56572309688119</v>
      </c>
      <c r="AJ35" s="100">
        <v>5.8088693274462803E-4</v>
      </c>
      <c r="AK35" s="100">
        <v>0.29206994978399892</v>
      </c>
      <c r="AL35" s="100">
        <v>9.9069551051468498E-4</v>
      </c>
      <c r="AM35" s="100">
        <v>0.49812170268678352</v>
      </c>
      <c r="AN35" s="100">
        <v>1.3985689096393441</v>
      </c>
      <c r="AO35" s="100">
        <v>703.20044776666202</v>
      </c>
      <c r="AP35" s="100">
        <v>10.90765509473559</v>
      </c>
      <c r="AQ35" s="100">
        <v>5484.3689816330534</v>
      </c>
      <c r="AR35" s="100">
        <v>10</v>
      </c>
      <c r="AS35" s="100">
        <v>5027.9999999999991</v>
      </c>
      <c r="AT35" s="100">
        <v>7.1405984052588245</v>
      </c>
      <c r="AU35" s="100">
        <v>3590.2928781641363</v>
      </c>
      <c r="AV35" s="100">
        <v>1.9975837273649899</v>
      </c>
      <c r="AW35" s="100">
        <v>1004.3850981191167</v>
      </c>
      <c r="AX35" s="100">
        <v>8.9297524746943093</v>
      </c>
      <c r="AY35" s="100">
        <v>4489.8795442762976</v>
      </c>
      <c r="AZ35" s="100">
        <v>7.9759971108611269</v>
      </c>
      <c r="BA35" s="100">
        <v>4010.3313473409739</v>
      </c>
      <c r="BB35" s="100">
        <v>0.26213236141685725</v>
      </c>
      <c r="BC35" s="100">
        <v>131.8001513203958</v>
      </c>
      <c r="BD35" s="100">
        <v>7.5152922482361886</v>
      </c>
      <c r="BE35" s="100">
        <v>3778.688942413155</v>
      </c>
      <c r="BF35" s="100">
        <v>11.254903231470212</v>
      </c>
      <c r="BG35" s="100">
        <v>5658.9653447832216</v>
      </c>
      <c r="BH35" s="100">
        <v>7.305003049728044</v>
      </c>
      <c r="BI35" s="100">
        <v>3672.9555334032598</v>
      </c>
      <c r="BJ35" s="100">
        <v>7.3517990109628935</v>
      </c>
      <c r="BK35" s="100">
        <v>3696.4845427121422</v>
      </c>
      <c r="BL35" s="100">
        <v>5.441731191693294</v>
      </c>
      <c r="BM35" s="100">
        <v>2736.1024431833875</v>
      </c>
      <c r="BN35" s="100">
        <v>0.35853327055175199</v>
      </c>
      <c r="BO35" s="100">
        <v>180.27052843342088</v>
      </c>
      <c r="BP35" s="100">
        <v>8.2489023056657356</v>
      </c>
      <c r="BQ35" s="100">
        <v>4147.5480792887311</v>
      </c>
      <c r="BR35" s="100">
        <v>9.7003073082720093</v>
      </c>
      <c r="BS35" s="100">
        <v>4877.3145145991657</v>
      </c>
      <c r="BT35" s="100">
        <v>1.6477014420931695</v>
      </c>
      <c r="BU35" s="100">
        <v>828.46428508444546</v>
      </c>
      <c r="BV35" s="100">
        <v>0.24267266097898535</v>
      </c>
      <c r="BW35" s="100">
        <v>122.01581394023381</v>
      </c>
      <c r="BX35" s="100">
        <v>10.22158696883746</v>
      </c>
      <c r="BY35" s="100">
        <v>5139.4139279314741</v>
      </c>
      <c r="BZ35" s="100">
        <v>7</v>
      </c>
      <c r="CA35" s="100">
        <v>3519.5999999999995</v>
      </c>
      <c r="CB35" s="100">
        <v>7</v>
      </c>
      <c r="CC35" s="100">
        <v>3519.5999999999995</v>
      </c>
      <c r="CD35" s="100">
        <v>6.5283121970716769</v>
      </c>
      <c r="CE35" s="100">
        <v>3282.4353726876384</v>
      </c>
      <c r="CF35" s="100">
        <v>1.7561164220160008</v>
      </c>
      <c r="CG35" s="100">
        <v>882.97533698964503</v>
      </c>
      <c r="CH35" s="100">
        <v>10</v>
      </c>
      <c r="CI35" s="100">
        <v>5027.9999999999991</v>
      </c>
      <c r="CJ35" s="100">
        <v>8.3271562423414771</v>
      </c>
      <c r="CK35" s="100">
        <v>4186.8941586492938</v>
      </c>
      <c r="CL35" s="100">
        <v>6.860856728016044</v>
      </c>
      <c r="CM35" s="100">
        <v>3449.6387628464663</v>
      </c>
      <c r="CN35" s="100">
        <v>4.9940050782152571E-4</v>
      </c>
      <c r="CO35" s="100">
        <v>0.25109857533266305</v>
      </c>
      <c r="CP35" s="100">
        <v>2.0222284198823033</v>
      </c>
      <c r="CQ35" s="100">
        <v>1016.7764495168219</v>
      </c>
      <c r="CR35" s="100">
        <v>11.330909450010896</v>
      </c>
      <c r="CS35" s="100">
        <v>5697.181271465477</v>
      </c>
      <c r="CT35" s="100">
        <v>9</v>
      </c>
      <c r="CU35" s="100">
        <v>4525.1999999999989</v>
      </c>
    </row>
    <row r="36" spans="2:99">
      <c r="C36" s="99" t="s">
        <v>202</v>
      </c>
      <c r="D36" s="100">
        <v>7</v>
      </c>
      <c r="E36" s="100">
        <v>5325.5999999999995</v>
      </c>
      <c r="F36" s="100">
        <v>5.7862877059571112</v>
      </c>
      <c r="G36" s="100">
        <v>4402.2076866921698</v>
      </c>
      <c r="H36" s="100">
        <v>6.1875257823784988</v>
      </c>
      <c r="I36" s="100">
        <v>4707.4696152335619</v>
      </c>
      <c r="J36" s="100">
        <v>3.8158540208006367E-4</v>
      </c>
      <c r="K36" s="100">
        <v>0.2903101739025124</v>
      </c>
      <c r="L36" s="100">
        <v>7.6034135190361658</v>
      </c>
      <c r="M36" s="100">
        <v>5784.6770052827142</v>
      </c>
      <c r="N36" s="100">
        <v>7</v>
      </c>
      <c r="O36" s="100">
        <v>5325.5999999999995</v>
      </c>
      <c r="P36" s="100">
        <v>9</v>
      </c>
      <c r="Q36" s="100">
        <v>6847.2</v>
      </c>
      <c r="R36" s="100">
        <v>6</v>
      </c>
      <c r="S36" s="100">
        <v>4564.7999999999993</v>
      </c>
      <c r="T36" s="100">
        <v>1.8709596917190399</v>
      </c>
      <c r="U36" s="100">
        <v>1423.4261334598455</v>
      </c>
      <c r="V36" s="100">
        <v>7.7876473532850703</v>
      </c>
      <c r="W36" s="100">
        <v>5924.8421063792812</v>
      </c>
      <c r="X36" s="100">
        <v>7</v>
      </c>
      <c r="Y36" s="100">
        <v>5325.5999999999995</v>
      </c>
      <c r="Z36" s="100">
        <v>0.88447599491590467</v>
      </c>
      <c r="AA36" s="100">
        <v>672.90933693202021</v>
      </c>
      <c r="AB36" s="100">
        <v>2.2891494991785688</v>
      </c>
      <c r="AC36" s="100">
        <v>1741.5849389750551</v>
      </c>
      <c r="AD36" s="100">
        <v>9.5538205370284359</v>
      </c>
      <c r="AE36" s="100">
        <v>7268.546664571234</v>
      </c>
      <c r="AF36" s="100">
        <v>7</v>
      </c>
      <c r="AG36" s="100">
        <v>5325.5999999999995</v>
      </c>
      <c r="AH36" s="100">
        <v>0.70319356224518947</v>
      </c>
      <c r="AI36" s="100">
        <v>534.98966215614007</v>
      </c>
      <c r="AJ36" s="100">
        <v>5.8088596173367063E-4</v>
      </c>
      <c r="AK36" s="100">
        <v>0.44193803968697659</v>
      </c>
      <c r="AL36" s="100">
        <v>9.0063224423628035E-4</v>
      </c>
      <c r="AM36" s="100">
        <v>0.68520101141496204</v>
      </c>
      <c r="AN36" s="100">
        <v>1.3985860048429624</v>
      </c>
      <c r="AO36" s="100">
        <v>1064.0442324845258</v>
      </c>
      <c r="AP36" s="100">
        <v>10.90765509473559</v>
      </c>
      <c r="AQ36" s="100">
        <v>8298.5439960748372</v>
      </c>
      <c r="AR36" s="100">
        <v>10</v>
      </c>
      <c r="AS36" s="100">
        <v>7608</v>
      </c>
      <c r="AT36" s="100">
        <v>6.3471985824522896</v>
      </c>
      <c r="AU36" s="100">
        <v>4828.9486815297014</v>
      </c>
      <c r="AV36" s="100">
        <v>1.8159272651662204</v>
      </c>
      <c r="AW36" s="100">
        <v>1381.5574633384604</v>
      </c>
      <c r="AX36" s="100">
        <v>8.0459715340310982</v>
      </c>
      <c r="AY36" s="100">
        <v>6121.3751430908587</v>
      </c>
      <c r="AZ36" s="100">
        <v>9.7484409132747114</v>
      </c>
      <c r="BA36" s="100">
        <v>7416.6138468194004</v>
      </c>
      <c r="BB36" s="100">
        <v>0.26353734847338328</v>
      </c>
      <c r="BC36" s="100">
        <v>200.49921471854998</v>
      </c>
      <c r="BD36" s="100">
        <v>8.1209619580851342</v>
      </c>
      <c r="BE36" s="100">
        <v>6178.42785771117</v>
      </c>
      <c r="BF36" s="100">
        <v>10.344539176575228</v>
      </c>
      <c r="BG36" s="100">
        <v>7870.1254055384334</v>
      </c>
      <c r="BH36" s="100">
        <v>7.305003049728044</v>
      </c>
      <c r="BI36" s="100">
        <v>5557.6463202330951</v>
      </c>
      <c r="BJ36" s="100">
        <v>8.086978912059184</v>
      </c>
      <c r="BK36" s="100">
        <v>6152.5735562946265</v>
      </c>
      <c r="BL36" s="100">
        <v>5.499957667155849</v>
      </c>
      <c r="BM36" s="100">
        <v>4184.3677931721695</v>
      </c>
      <c r="BN36" s="100">
        <v>0.29928086435582896</v>
      </c>
      <c r="BO36" s="100">
        <v>227.69288160191465</v>
      </c>
      <c r="BP36" s="100">
        <v>8.2715297879989844</v>
      </c>
      <c r="BQ36" s="100">
        <v>6292.979862709627</v>
      </c>
      <c r="BR36" s="100">
        <v>9.7003073082720093</v>
      </c>
      <c r="BS36" s="100">
        <v>7379.9938001333439</v>
      </c>
      <c r="BT36" s="100">
        <v>1.2781075616893023</v>
      </c>
      <c r="BU36" s="100">
        <v>972.38423293322114</v>
      </c>
      <c r="BV36" s="100">
        <v>0.24246051780040159</v>
      </c>
      <c r="BW36" s="100">
        <v>184.46396194254552</v>
      </c>
      <c r="BX36" s="100">
        <v>9.1969661945221866</v>
      </c>
      <c r="BY36" s="100">
        <v>6997.0518807924791</v>
      </c>
      <c r="BZ36" s="100">
        <v>7</v>
      </c>
      <c r="CA36" s="100">
        <v>5325.5999999999995</v>
      </c>
      <c r="CB36" s="100">
        <v>7</v>
      </c>
      <c r="CC36" s="100">
        <v>5325.5999999999995</v>
      </c>
      <c r="CD36" s="100">
        <v>5.5956961689185807</v>
      </c>
      <c r="CE36" s="100">
        <v>4257.2056453132564</v>
      </c>
      <c r="CF36" s="100">
        <v>1.7561164220160008</v>
      </c>
      <c r="CG36" s="100">
        <v>1336.0533738697734</v>
      </c>
      <c r="CH36" s="100">
        <v>11</v>
      </c>
      <c r="CI36" s="100">
        <v>8368.7999999999993</v>
      </c>
      <c r="CJ36" s="100">
        <v>8.3271562423414771</v>
      </c>
      <c r="CK36" s="100">
        <v>6335.300469173395</v>
      </c>
      <c r="CL36" s="100">
        <v>7.6231741422400487</v>
      </c>
      <c r="CM36" s="100">
        <v>5799.7108874162286</v>
      </c>
      <c r="CN36" s="100">
        <v>4.9836627977394195E-4</v>
      </c>
      <c r="CO36" s="100">
        <v>0.37915706565201501</v>
      </c>
      <c r="CP36" s="100">
        <v>1.8200099132825984</v>
      </c>
      <c r="CQ36" s="100">
        <v>1384.6635420254008</v>
      </c>
      <c r="CR36" s="100">
        <v>10.464000395011986</v>
      </c>
      <c r="CS36" s="100">
        <v>7961.0115005251182</v>
      </c>
      <c r="CT36" s="100">
        <v>10</v>
      </c>
      <c r="CU36" s="100">
        <v>7608</v>
      </c>
    </row>
    <row r="37" spans="2:99">
      <c r="B37" s="99" t="s">
        <v>128</v>
      </c>
      <c r="C37" s="99" t="s">
        <v>203</v>
      </c>
      <c r="D37" s="100">
        <v>16</v>
      </c>
      <c r="E37" s="100">
        <v>13766.4</v>
      </c>
      <c r="F37" s="100">
        <v>14.052413000181556</v>
      </c>
      <c r="G37" s="100">
        <v>12090.696145356211</v>
      </c>
      <c r="H37" s="100">
        <v>9.7232548008804969</v>
      </c>
      <c r="I37" s="100">
        <v>8365.8884306775799</v>
      </c>
      <c r="J37" s="100">
        <v>8.9505947304325401E-4</v>
      </c>
      <c r="K37" s="100">
        <v>0.7701091706064157</v>
      </c>
      <c r="L37" s="100">
        <v>17.603413519036167</v>
      </c>
      <c r="M37" s="100">
        <v>15145.976991778718</v>
      </c>
      <c r="N37" s="100">
        <v>14</v>
      </c>
      <c r="O37" s="100">
        <v>12045.6</v>
      </c>
      <c r="P37" s="100">
        <v>12</v>
      </c>
      <c r="Q37" s="100">
        <v>10324.799999999999</v>
      </c>
      <c r="R37" s="100">
        <v>16</v>
      </c>
      <c r="S37" s="100">
        <v>13766.4</v>
      </c>
      <c r="T37" s="100">
        <v>3.7419193834380797</v>
      </c>
      <c r="U37" s="100">
        <v>3219.5474375101239</v>
      </c>
      <c r="V37" s="100">
        <v>21.191764902190048</v>
      </c>
      <c r="W37" s="100">
        <v>18233.394521844319</v>
      </c>
      <c r="X37" s="100">
        <v>14</v>
      </c>
      <c r="Y37" s="100">
        <v>12045.6</v>
      </c>
      <c r="Z37" s="100">
        <v>2.8008406505670314</v>
      </c>
      <c r="AA37" s="100">
        <v>2409.8432957478735</v>
      </c>
      <c r="AB37" s="100">
        <v>2.7108758773535815</v>
      </c>
      <c r="AC37" s="100">
        <v>2332.4376048750214</v>
      </c>
      <c r="AD37" s="100">
        <v>17.988794887199912</v>
      </c>
      <c r="AE37" s="100">
        <v>15477.559120946804</v>
      </c>
      <c r="AF37" s="100">
        <v>12</v>
      </c>
      <c r="AG37" s="100">
        <v>10324.799999999999</v>
      </c>
      <c r="AH37" s="100">
        <v>1.9086682403798003</v>
      </c>
      <c r="AI37" s="100">
        <v>1642.2181540227803</v>
      </c>
      <c r="AJ37" s="100">
        <v>1.3553876305657999E-3</v>
      </c>
      <c r="AK37" s="100">
        <v>1.1661755173388142</v>
      </c>
      <c r="AL37" s="100">
        <v>1.6211291664126445E-3</v>
      </c>
      <c r="AM37" s="100">
        <v>1.3948195347814394</v>
      </c>
      <c r="AN37" s="100">
        <v>2.7970206745174351</v>
      </c>
      <c r="AO37" s="100">
        <v>2406.5565883548011</v>
      </c>
      <c r="AP37" s="100">
        <v>18.777990081201935</v>
      </c>
      <c r="AQ37" s="100">
        <v>16156.582665866144</v>
      </c>
      <c r="AR37" s="100">
        <v>10</v>
      </c>
      <c r="AS37" s="100">
        <v>8604</v>
      </c>
      <c r="AT37" s="100">
        <v>13.487796987711114</v>
      </c>
      <c r="AU37" s="100">
        <v>11604.900528226643</v>
      </c>
      <c r="AV37" s="100">
        <v>3.3164013380721951</v>
      </c>
      <c r="AW37" s="100">
        <v>2853.4317112773165</v>
      </c>
      <c r="AX37" s="100">
        <v>18.929752474694311</v>
      </c>
      <c r="AY37" s="100">
        <v>16287.159029226985</v>
      </c>
      <c r="AZ37" s="100">
        <v>14.17955041930867</v>
      </c>
      <c r="BA37" s="100">
        <v>12200.08518077318</v>
      </c>
      <c r="BB37" s="100">
        <v>0.52454094232865545</v>
      </c>
      <c r="BC37" s="100">
        <v>451.31502677957513</v>
      </c>
      <c r="BD37" s="100">
        <v>14.834470602809569</v>
      </c>
      <c r="BE37" s="100">
        <v>12763.578506657354</v>
      </c>
      <c r="BF37" s="100">
        <v>20.806723505945136</v>
      </c>
      <c r="BG37" s="100">
        <v>17902.104904515196</v>
      </c>
      <c r="BH37" s="100">
        <v>10.044379193376061</v>
      </c>
      <c r="BI37" s="100">
        <v>8642.1838579807627</v>
      </c>
      <c r="BJ37" s="100">
        <v>10.292518615348053</v>
      </c>
      <c r="BK37" s="100">
        <v>8855.6830166454638</v>
      </c>
      <c r="BL37" s="100">
        <v>10.962197496090711</v>
      </c>
      <c r="BM37" s="100">
        <v>9431.8747256364477</v>
      </c>
      <c r="BN37" s="100">
        <v>0.41685680493960919</v>
      </c>
      <c r="BO37" s="100">
        <v>358.66359497003975</v>
      </c>
      <c r="BP37" s="100">
        <v>14.15839237633274</v>
      </c>
      <c r="BQ37" s="100">
        <v>12181.880800596689</v>
      </c>
      <c r="BR37" s="100">
        <v>17.460553154889617</v>
      </c>
      <c r="BS37" s="100">
        <v>15023.059934467026</v>
      </c>
      <c r="BT37" s="100">
        <v>3.4956708441125048</v>
      </c>
      <c r="BU37" s="100">
        <v>3007.675194274399</v>
      </c>
      <c r="BV37" s="100">
        <v>0.50947421660676795</v>
      </c>
      <c r="BW37" s="100">
        <v>438.35161596846314</v>
      </c>
      <c r="BX37" s="100">
        <v>15.123103871576367</v>
      </c>
      <c r="BY37" s="100">
        <v>13011.918571104306</v>
      </c>
      <c r="BZ37" s="100">
        <v>18</v>
      </c>
      <c r="CA37" s="100">
        <v>15487.199999999999</v>
      </c>
      <c r="CB37" s="100">
        <v>21</v>
      </c>
      <c r="CC37" s="100">
        <v>18068.399999999998</v>
      </c>
      <c r="CD37" s="100">
        <v>12.124008365990257</v>
      </c>
      <c r="CE37" s="100">
        <v>10431.496798098016</v>
      </c>
      <c r="CF37" s="100">
        <v>3.5835966360718849</v>
      </c>
      <c r="CG37" s="100">
        <v>3083.3265456762497</v>
      </c>
      <c r="CH37" s="100">
        <v>12.420202374364116</v>
      </c>
      <c r="CI37" s="100">
        <v>10686.342122902885</v>
      </c>
      <c r="CJ37" s="100">
        <v>14.383269873135276</v>
      </c>
      <c r="CK37" s="100">
        <v>12375.365398845592</v>
      </c>
      <c r="CL37" s="100">
        <v>9.9101263849120631</v>
      </c>
      <c r="CM37" s="100">
        <v>8526.6727415783389</v>
      </c>
      <c r="CN37" s="100">
        <v>1.091590073123338E-3</v>
      </c>
      <c r="CO37" s="100">
        <v>0.93920409891531997</v>
      </c>
      <c r="CP37" s="100">
        <v>3.8420462501611476</v>
      </c>
      <c r="CQ37" s="100">
        <v>3305.6965936386514</v>
      </c>
      <c r="CR37" s="100">
        <v>16.931636615007626</v>
      </c>
      <c r="CS37" s="100">
        <v>14567.980143552561</v>
      </c>
      <c r="CT37" s="100">
        <v>19</v>
      </c>
      <c r="CU37" s="100">
        <v>16347.6</v>
      </c>
    </row>
    <row r="38" spans="2:99">
      <c r="C38" s="99" t="s">
        <v>204</v>
      </c>
      <c r="D38" s="100">
        <v>15</v>
      </c>
      <c r="E38" s="100">
        <v>18630</v>
      </c>
      <c r="F38" s="100">
        <v>13.225800470759111</v>
      </c>
      <c r="G38" s="100">
        <v>16426.444184682816</v>
      </c>
      <c r="H38" s="100">
        <v>10.607187055505998</v>
      </c>
      <c r="I38" s="100">
        <v>13174.126322938449</v>
      </c>
      <c r="J38" s="100">
        <v>7.5735801565198413E-4</v>
      </c>
      <c r="K38" s="100">
        <v>0.94063865543976433</v>
      </c>
      <c r="L38" s="100">
        <v>17.282730815228934</v>
      </c>
      <c r="M38" s="100">
        <v>21465.151672514337</v>
      </c>
      <c r="N38" s="100">
        <v>15</v>
      </c>
      <c r="O38" s="100">
        <v>18630</v>
      </c>
      <c r="P38" s="100">
        <v>11</v>
      </c>
      <c r="Q38" s="100">
        <v>13662</v>
      </c>
      <c r="R38" s="100">
        <v>18</v>
      </c>
      <c r="S38" s="100">
        <v>22356</v>
      </c>
      <c r="T38" s="100">
        <v>3.7419193834380797</v>
      </c>
      <c r="U38" s="100">
        <v>4647.4638742300949</v>
      </c>
      <c r="V38" s="100">
        <v>20.191764902190048</v>
      </c>
      <c r="W38" s="100">
        <v>25078.17200852004</v>
      </c>
      <c r="X38" s="100">
        <v>12</v>
      </c>
      <c r="Y38" s="100">
        <v>14904</v>
      </c>
      <c r="Z38" s="100">
        <v>2.9482533163863489</v>
      </c>
      <c r="AA38" s="100">
        <v>3661.7306189518454</v>
      </c>
      <c r="AB38" s="100">
        <v>2.4724506602807925</v>
      </c>
      <c r="AC38" s="100">
        <v>3070.7837200687445</v>
      </c>
      <c r="AD38" s="100">
        <v>15.988794887199914</v>
      </c>
      <c r="AE38" s="100">
        <v>19858.083249902294</v>
      </c>
      <c r="AF38" s="100">
        <v>13</v>
      </c>
      <c r="AG38" s="100">
        <v>16146</v>
      </c>
      <c r="AH38" s="100">
        <v>1.9086682403798003</v>
      </c>
      <c r="AI38" s="100">
        <v>2370.5659545517119</v>
      </c>
      <c r="AJ38" s="100">
        <v>1.3553876305657999E-3</v>
      </c>
      <c r="AK38" s="100">
        <v>1.6833914371627234</v>
      </c>
      <c r="AL38" s="100">
        <v>1.5310667372297737E-3</v>
      </c>
      <c r="AM38" s="100">
        <v>1.9015848876393791</v>
      </c>
      <c r="AN38" s="100">
        <v>2.5639658768033211</v>
      </c>
      <c r="AO38" s="100">
        <v>3184.4456189897246</v>
      </c>
      <c r="AP38" s="100">
        <v>17.648325067668278</v>
      </c>
      <c r="AQ38" s="100">
        <v>21919.219734044</v>
      </c>
      <c r="AR38" s="100">
        <v>10</v>
      </c>
      <c r="AS38" s="100">
        <v>12420</v>
      </c>
      <c r="AT38" s="100">
        <v>12.694397164904579</v>
      </c>
      <c r="AU38" s="100">
        <v>15766.441278811488</v>
      </c>
      <c r="AV38" s="100">
        <v>3.1111336882155176</v>
      </c>
      <c r="AW38" s="100">
        <v>3864.0280407636728</v>
      </c>
      <c r="AX38" s="100">
        <v>19.813533415357522</v>
      </c>
      <c r="AY38" s="100">
        <v>24608.408501874044</v>
      </c>
      <c r="AZ38" s="100">
        <v>14.17955041930867</v>
      </c>
      <c r="BA38" s="100">
        <v>17611.001620781368</v>
      </c>
      <c r="BB38" s="100">
        <v>0.4663840340212031</v>
      </c>
      <c r="BC38" s="100">
        <v>579.24897025433427</v>
      </c>
      <c r="BD38" s="100">
        <v>14.928300823700283</v>
      </c>
      <c r="BE38" s="100">
        <v>18540.949623035751</v>
      </c>
      <c r="BF38" s="100">
        <v>19.71708756084012</v>
      </c>
      <c r="BG38" s="100">
        <v>24488.622750563431</v>
      </c>
      <c r="BH38" s="100">
        <v>10.957504574592067</v>
      </c>
      <c r="BI38" s="100">
        <v>13609.220681643346</v>
      </c>
      <c r="BJ38" s="100">
        <v>9.5573387142517632</v>
      </c>
      <c r="BK38" s="100">
        <v>11870.21468310069</v>
      </c>
      <c r="BL38" s="100">
        <v>10.327367763692514</v>
      </c>
      <c r="BM38" s="100">
        <v>12826.590762506103</v>
      </c>
      <c r="BN38" s="100">
        <v>0.3872306018416477</v>
      </c>
      <c r="BO38" s="100">
        <v>480.94040748732647</v>
      </c>
      <c r="BP38" s="100">
        <v>13.15839237633274</v>
      </c>
      <c r="BQ38" s="100">
        <v>16342.723331405263</v>
      </c>
      <c r="BR38" s="100">
        <v>18.430583885716821</v>
      </c>
      <c r="BS38" s="100">
        <v>22890.785186060293</v>
      </c>
      <c r="BT38" s="100">
        <v>3.3151070519225136</v>
      </c>
      <c r="BU38" s="100">
        <v>4117.3629584877617</v>
      </c>
      <c r="BV38" s="100">
        <v>0.48004174249337583</v>
      </c>
      <c r="BW38" s="100">
        <v>596.21184417677273</v>
      </c>
      <c r="BX38" s="100">
        <v>13.147724645891639</v>
      </c>
      <c r="BY38" s="100">
        <v>16329.474010197415</v>
      </c>
      <c r="BZ38" s="100">
        <v>16</v>
      </c>
      <c r="CA38" s="100">
        <v>19872</v>
      </c>
      <c r="CB38" s="100">
        <v>20</v>
      </c>
      <c r="CC38" s="100">
        <v>24840</v>
      </c>
      <c r="CD38" s="100">
        <v>11.191392337837161</v>
      </c>
      <c r="CE38" s="100">
        <v>13899.709283593755</v>
      </c>
      <c r="CF38" s="100">
        <v>3.4079849938702846</v>
      </c>
      <c r="CG38" s="100">
        <v>4232.7173623868939</v>
      </c>
      <c r="CH38" s="100">
        <v>12.420202374364116</v>
      </c>
      <c r="CI38" s="100">
        <v>15425.891348960233</v>
      </c>
      <c r="CJ38" s="100">
        <v>12.112227261587602</v>
      </c>
      <c r="CK38" s="100">
        <v>15043.386258891802</v>
      </c>
      <c r="CL38" s="100">
        <v>8.3854915564640535</v>
      </c>
      <c r="CM38" s="100">
        <v>10414.780513128355</v>
      </c>
      <c r="CN38" s="100">
        <v>1.0307163517170228E-3</v>
      </c>
      <c r="CO38" s="100">
        <v>1.2801497088325422</v>
      </c>
      <c r="CP38" s="100">
        <v>3.6398439317890996</v>
      </c>
      <c r="CQ38" s="100">
        <v>4520.6861632820619</v>
      </c>
      <c r="CR38" s="100">
        <v>16.931636615007626</v>
      </c>
      <c r="CS38" s="100">
        <v>21029.092675839471</v>
      </c>
      <c r="CT38" s="100">
        <v>19</v>
      </c>
      <c r="CU38" s="100">
        <v>23598</v>
      </c>
    </row>
    <row r="39" spans="2:99">
      <c r="C39" s="99" t="s">
        <v>205</v>
      </c>
      <c r="D39" s="100">
        <v>14</v>
      </c>
      <c r="E39" s="100">
        <v>19924.8</v>
      </c>
      <c r="F39" s="100">
        <v>14.879025529604</v>
      </c>
      <c r="G39" s="100">
        <v>21175.829133732415</v>
      </c>
      <c r="H39" s="100">
        <v>8.8393225462549978</v>
      </c>
      <c r="I39" s="100">
        <v>12580.123847830113</v>
      </c>
      <c r="J39" s="100">
        <v>8.2620874434761917E-4</v>
      </c>
      <c r="K39" s="100">
        <v>1.1758602849555317</v>
      </c>
      <c r="L39" s="100">
        <v>17.282730815228934</v>
      </c>
      <c r="M39" s="100">
        <v>24596.78249623382</v>
      </c>
      <c r="N39" s="100">
        <v>15</v>
      </c>
      <c r="O39" s="100">
        <v>21348</v>
      </c>
      <c r="P39" s="100">
        <v>9</v>
      </c>
      <c r="Q39" s="100">
        <v>12808.800000000001</v>
      </c>
      <c r="R39" s="100">
        <v>17</v>
      </c>
      <c r="S39" s="100">
        <v>24194.400000000001</v>
      </c>
      <c r="T39" s="100">
        <v>3.7419193834380797</v>
      </c>
      <c r="U39" s="100">
        <v>5325.4996665090748</v>
      </c>
      <c r="V39" s="100">
        <v>21.191764902190048</v>
      </c>
      <c r="W39" s="100">
        <v>30160.119808796877</v>
      </c>
      <c r="X39" s="100">
        <v>12</v>
      </c>
      <c r="Y39" s="100">
        <v>17078.400000000001</v>
      </c>
      <c r="Z39" s="100">
        <v>2.9482533163863489</v>
      </c>
      <c r="AA39" s="100">
        <v>4195.9541198810521</v>
      </c>
      <c r="AB39" s="100">
        <v>2.7108758773535815</v>
      </c>
      <c r="AC39" s="100">
        <v>3858.1185486496174</v>
      </c>
      <c r="AD39" s="100">
        <v>13.847538474742782</v>
      </c>
      <c r="AE39" s="100">
        <v>19707.816757253928</v>
      </c>
      <c r="AF39" s="100">
        <v>12</v>
      </c>
      <c r="AG39" s="100">
        <v>17078.400000000001</v>
      </c>
      <c r="AH39" s="100">
        <v>1.7077557940240315</v>
      </c>
      <c r="AI39" s="100">
        <v>2430.4780460550019</v>
      </c>
      <c r="AJ39" s="100">
        <v>1.4522005819225553E-3</v>
      </c>
      <c r="AK39" s="100">
        <v>2.0667718681921809</v>
      </c>
      <c r="AL39" s="100">
        <v>1.3509427159595663E-3</v>
      </c>
      <c r="AM39" s="100">
        <v>1.9226616733536548</v>
      </c>
      <c r="AN39" s="100">
        <v>2.3308755638147387</v>
      </c>
      <c r="AO39" s="100">
        <v>3317.3021024211362</v>
      </c>
      <c r="AP39" s="100">
        <v>16.648325067668278</v>
      </c>
      <c r="AQ39" s="100">
        <v>23693.896236305492</v>
      </c>
      <c r="AR39" s="100">
        <v>11</v>
      </c>
      <c r="AS39" s="100">
        <v>15655.2</v>
      </c>
      <c r="AT39" s="100">
        <v>13.487796987711114</v>
      </c>
      <c r="AU39" s="100">
        <v>19195.832672910459</v>
      </c>
      <c r="AV39" s="100">
        <v>3.5059281961569346</v>
      </c>
      <c r="AW39" s="100">
        <v>4989.6370087705491</v>
      </c>
      <c r="AX39" s="100">
        <v>18.813533415357522</v>
      </c>
      <c r="AY39" s="100">
        <v>26775.420756736825</v>
      </c>
      <c r="AZ39" s="100">
        <v>12.407106616895085</v>
      </c>
      <c r="BA39" s="100">
        <v>17657.794137165085</v>
      </c>
      <c r="BB39" s="100">
        <v>0.49335500759014006</v>
      </c>
      <c r="BC39" s="100">
        <v>702.14284680228741</v>
      </c>
      <c r="BD39" s="100">
        <v>14.834470602809569</v>
      </c>
      <c r="BE39" s="100">
        <v>21112.418561918581</v>
      </c>
      <c r="BF39" s="100">
        <v>19.71708756084012</v>
      </c>
      <c r="BG39" s="100">
        <v>28061.359016587659</v>
      </c>
      <c r="BH39" s="100">
        <v>10.044379193376061</v>
      </c>
      <c r="BI39" s="100">
        <v>14295.160468012811</v>
      </c>
      <c r="BJ39" s="100">
        <v>11.027698516444341</v>
      </c>
      <c r="BK39" s="100">
        <v>15694.620528603586</v>
      </c>
      <c r="BL39" s="100">
        <v>10.963178530357311</v>
      </c>
      <c r="BM39" s="100">
        <v>15602.795684404526</v>
      </c>
      <c r="BN39" s="100">
        <v>0.35760439874368616</v>
      </c>
      <c r="BO39" s="100">
        <v>508.94258029201416</v>
      </c>
      <c r="BP39" s="100">
        <v>15.15839237633274</v>
      </c>
      <c r="BQ39" s="100">
        <v>21573.424029996757</v>
      </c>
      <c r="BR39" s="100">
        <v>16.490522424062419</v>
      </c>
      <c r="BS39" s="100">
        <v>23469.311513925637</v>
      </c>
      <c r="BT39" s="100">
        <v>3.3235733479463989</v>
      </c>
      <c r="BU39" s="100">
        <v>4730.1095887973152</v>
      </c>
      <c r="BV39" s="100">
        <v>0.41990393519508895</v>
      </c>
      <c r="BW39" s="100">
        <v>597.60728056965058</v>
      </c>
      <c r="BX39" s="100">
        <v>15.123103871576367</v>
      </c>
      <c r="BY39" s="100">
        <v>21523.201430027486</v>
      </c>
      <c r="BZ39" s="100">
        <v>16</v>
      </c>
      <c r="CA39" s="100">
        <v>22771.200000000001</v>
      </c>
      <c r="CB39" s="100">
        <v>18</v>
      </c>
      <c r="CC39" s="100">
        <v>25617.600000000002</v>
      </c>
      <c r="CD39" s="100">
        <v>12.124008365990257</v>
      </c>
      <c r="CE39" s="100">
        <v>17254.888706477333</v>
      </c>
      <c r="CF39" s="100">
        <v>3.0567617094670845</v>
      </c>
      <c r="CG39" s="100">
        <v>4350.3832649135547</v>
      </c>
      <c r="CH39" s="100">
        <v>10.360173463740672</v>
      </c>
      <c r="CI39" s="100">
        <v>14744.598873595725</v>
      </c>
      <c r="CJ39" s="100">
        <v>14.383269873135276</v>
      </c>
      <c r="CK39" s="100">
        <v>20470.269683446128</v>
      </c>
      <c r="CL39" s="100">
        <v>8.3854915564640535</v>
      </c>
      <c r="CM39" s="100">
        <v>11934.231583159641</v>
      </c>
      <c r="CN39" s="100">
        <v>1.0317505797646067E-3</v>
      </c>
      <c r="CO39" s="100">
        <v>1.4683874251209883</v>
      </c>
      <c r="CP39" s="100">
        <v>3.2354154679639562</v>
      </c>
      <c r="CQ39" s="100">
        <v>4604.6432940063023</v>
      </c>
      <c r="CR39" s="100">
        <v>17.931636615007626</v>
      </c>
      <c r="CS39" s="100">
        <v>25520.305230478854</v>
      </c>
      <c r="CT39" s="100">
        <v>21</v>
      </c>
      <c r="CU39" s="100">
        <v>29887.200000000001</v>
      </c>
    </row>
    <row r="40" spans="2:99">
      <c r="C40" s="99" t="s">
        <v>206</v>
      </c>
      <c r="D40" s="100">
        <v>15</v>
      </c>
      <c r="E40" s="100">
        <v>10872</v>
      </c>
      <c r="F40" s="100">
        <v>15.705638059026445</v>
      </c>
      <c r="G40" s="100">
        <v>11383.446465182366</v>
      </c>
      <c r="H40" s="100">
        <v>9.7232548008804969</v>
      </c>
      <c r="I40" s="100">
        <v>7047.4150796781832</v>
      </c>
      <c r="J40" s="100">
        <v>8.2620874434761917E-4</v>
      </c>
      <c r="K40" s="100">
        <v>0.59883609790315429</v>
      </c>
      <c r="L40" s="100">
        <v>17.443072167132549</v>
      </c>
      <c r="M40" s="100">
        <v>12642.738706737671</v>
      </c>
      <c r="N40" s="100">
        <v>14</v>
      </c>
      <c r="O40" s="100">
        <v>10147.199999999999</v>
      </c>
      <c r="P40" s="100">
        <v>10</v>
      </c>
      <c r="Q40" s="100">
        <v>7248</v>
      </c>
      <c r="R40" s="100">
        <v>18</v>
      </c>
      <c r="S40" s="100">
        <v>13046.4</v>
      </c>
      <c r="T40" s="100">
        <v>3.4746394274782166</v>
      </c>
      <c r="U40" s="100">
        <v>2518.4186570362112</v>
      </c>
      <c r="V40" s="100">
        <v>19.191764902190048</v>
      </c>
      <c r="W40" s="100">
        <v>13910.191201107345</v>
      </c>
      <c r="X40" s="100">
        <v>13</v>
      </c>
      <c r="Y40" s="100">
        <v>9422.4</v>
      </c>
      <c r="Z40" s="100">
        <v>2.8008406505670314</v>
      </c>
      <c r="AA40" s="100">
        <v>2030.0493035309842</v>
      </c>
      <c r="AB40" s="100">
        <v>2.7219006885476946</v>
      </c>
      <c r="AC40" s="100">
        <v>1972.8336190593689</v>
      </c>
      <c r="AD40" s="100">
        <v>14.988794887199914</v>
      </c>
      <c r="AE40" s="100">
        <v>10863.878534242496</v>
      </c>
      <c r="AF40" s="100">
        <v>13</v>
      </c>
      <c r="AG40" s="100">
        <v>9422.4</v>
      </c>
      <c r="AH40" s="100">
        <v>2.0091244635576841</v>
      </c>
      <c r="AI40" s="100">
        <v>1456.2134111866094</v>
      </c>
      <c r="AJ40" s="100">
        <v>1.4522005819225553E-3</v>
      </c>
      <c r="AK40" s="100">
        <v>1.052554981777468</v>
      </c>
      <c r="AL40" s="100">
        <v>1.7111920141432825E-3</v>
      </c>
      <c r="AM40" s="100">
        <v>1.2402719718510511</v>
      </c>
      <c r="AN40" s="100">
        <v>2.5639494440333181</v>
      </c>
      <c r="AO40" s="100">
        <v>1858.3505570353489</v>
      </c>
      <c r="AP40" s="100">
        <v>18.777990081201935</v>
      </c>
      <c r="AQ40" s="100">
        <v>13610.287210855162</v>
      </c>
      <c r="AR40" s="100">
        <v>10</v>
      </c>
      <c r="AS40" s="100">
        <v>7248</v>
      </c>
      <c r="AT40" s="100">
        <v>13.487796987711114</v>
      </c>
      <c r="AU40" s="100">
        <v>9775.9552566930142</v>
      </c>
      <c r="AV40" s="100">
        <v>3.6954550542416733</v>
      </c>
      <c r="AW40" s="100">
        <v>2678.4658233143646</v>
      </c>
      <c r="AX40" s="100">
        <v>18.929752474694311</v>
      </c>
      <c r="AY40" s="100">
        <v>13720.284593658436</v>
      </c>
      <c r="AZ40" s="100">
        <v>13.293328518101879</v>
      </c>
      <c r="BA40" s="100">
        <v>9635.0045099202416</v>
      </c>
      <c r="BB40" s="100">
        <v>0.4961649817031924</v>
      </c>
      <c r="BC40" s="100">
        <v>359.62037873847385</v>
      </c>
      <c r="BD40" s="100">
        <v>16.327300685179598</v>
      </c>
      <c r="BE40" s="100">
        <v>11834.027536618172</v>
      </c>
      <c r="BF40" s="100">
        <v>21.71708756084012</v>
      </c>
      <c r="BG40" s="100">
        <v>15740.545064096917</v>
      </c>
      <c r="BH40" s="100">
        <v>10.044379193376061</v>
      </c>
      <c r="BI40" s="100">
        <v>7280.1660393589682</v>
      </c>
      <c r="BJ40" s="100">
        <v>11.762878417540632</v>
      </c>
      <c r="BK40" s="100">
        <v>8525.734277033449</v>
      </c>
      <c r="BL40" s="100">
        <v>12.233819029420303</v>
      </c>
      <c r="BM40" s="100">
        <v>8867.0720325238344</v>
      </c>
      <c r="BN40" s="100">
        <v>0.3872306018416477</v>
      </c>
      <c r="BO40" s="100">
        <v>280.66474021482622</v>
      </c>
      <c r="BP40" s="100">
        <v>14.15839237633274</v>
      </c>
      <c r="BQ40" s="100">
        <v>10262.00279436597</v>
      </c>
      <c r="BR40" s="100">
        <v>16.490522424062419</v>
      </c>
      <c r="BS40" s="100">
        <v>11952.330652960442</v>
      </c>
      <c r="BT40" s="100">
        <v>3.6931672283502657</v>
      </c>
      <c r="BU40" s="100">
        <v>2676.8076071082724</v>
      </c>
      <c r="BV40" s="100">
        <v>0.47961745613620832</v>
      </c>
      <c r="BW40" s="100">
        <v>347.62673220752379</v>
      </c>
      <c r="BX40" s="100">
        <v>14.123103871576367</v>
      </c>
      <c r="BY40" s="100">
        <v>10236.425686118549</v>
      </c>
      <c r="BZ40" s="100">
        <v>17</v>
      </c>
      <c r="CA40" s="100">
        <v>12321.599999999999</v>
      </c>
      <c r="CB40" s="100">
        <v>20</v>
      </c>
      <c r="CC40" s="100">
        <v>14496</v>
      </c>
      <c r="CD40" s="100">
        <v>12.124008365990257</v>
      </c>
      <c r="CE40" s="100">
        <v>8787.481263669737</v>
      </c>
      <c r="CF40" s="100">
        <v>3.0496253302630962</v>
      </c>
      <c r="CG40" s="100">
        <v>2210.3684393746921</v>
      </c>
      <c r="CH40" s="100">
        <v>12.360173463740672</v>
      </c>
      <c r="CI40" s="100">
        <v>8958.6537265192383</v>
      </c>
      <c r="CJ40" s="100">
        <v>14.383269873135276</v>
      </c>
      <c r="CK40" s="100">
        <v>10424.994004048447</v>
      </c>
      <c r="CL40" s="100">
        <v>9.9101263849120631</v>
      </c>
      <c r="CM40" s="100">
        <v>7182.8596037842626</v>
      </c>
      <c r="CN40" s="100">
        <v>9.7087685835829142E-4</v>
      </c>
      <c r="CO40" s="100">
        <v>0.70369154693808955</v>
      </c>
      <c r="CP40" s="100">
        <v>3.6398356859217911</v>
      </c>
      <c r="CQ40" s="100">
        <v>2638.1529051561142</v>
      </c>
      <c r="CR40" s="100">
        <v>18.931636615007626</v>
      </c>
      <c r="CS40" s="100">
        <v>13721.650218557526</v>
      </c>
      <c r="CT40" s="100">
        <v>22</v>
      </c>
      <c r="CU40" s="100">
        <v>15945.599999999999</v>
      </c>
    </row>
    <row r="41" spans="2:99">
      <c r="C41" s="99" t="s">
        <v>207</v>
      </c>
      <c r="D41" s="100">
        <v>16</v>
      </c>
      <c r="E41" s="100">
        <v>10560</v>
      </c>
      <c r="F41" s="100">
        <v>15.705638059026445</v>
      </c>
      <c r="G41" s="100">
        <v>10365.721118957454</v>
      </c>
      <c r="H41" s="100">
        <v>9.7232548008804969</v>
      </c>
      <c r="I41" s="100">
        <v>6417.3481685811275</v>
      </c>
      <c r="J41" s="100">
        <v>7.5735801565198413E-4</v>
      </c>
      <c r="K41" s="100">
        <v>0.49985629033030954</v>
      </c>
      <c r="L41" s="100">
        <v>17.282730815228934</v>
      </c>
      <c r="M41" s="100">
        <v>11406.602338051096</v>
      </c>
      <c r="N41" s="100">
        <v>16</v>
      </c>
      <c r="O41" s="100">
        <v>10560</v>
      </c>
      <c r="P41" s="100">
        <v>12</v>
      </c>
      <c r="Q41" s="100">
        <v>7920</v>
      </c>
      <c r="R41" s="100">
        <v>16</v>
      </c>
      <c r="S41" s="100">
        <v>10560</v>
      </c>
      <c r="T41" s="100">
        <v>4.276479295357805</v>
      </c>
      <c r="U41" s="100">
        <v>2822.4763349361515</v>
      </c>
      <c r="V41" s="100">
        <v>21.340735514963804</v>
      </c>
      <c r="W41" s="100">
        <v>14084.88543987611</v>
      </c>
      <c r="X41" s="100">
        <v>13</v>
      </c>
      <c r="Y41" s="100">
        <v>8580</v>
      </c>
      <c r="Z41" s="100">
        <v>2.9482533163863489</v>
      </c>
      <c r="AA41" s="100">
        <v>1945.8471888149902</v>
      </c>
      <c r="AB41" s="100">
        <v>2.9603259056204836</v>
      </c>
      <c r="AC41" s="100">
        <v>1953.8150977095193</v>
      </c>
      <c r="AD41" s="100">
        <v>17.988794887199912</v>
      </c>
      <c r="AE41" s="100">
        <v>11872.604625551941</v>
      </c>
      <c r="AF41" s="100">
        <v>13</v>
      </c>
      <c r="AG41" s="100">
        <v>8580</v>
      </c>
      <c r="AH41" s="100">
        <v>1.9086682403798003</v>
      </c>
      <c r="AI41" s="100">
        <v>1259.7210386506681</v>
      </c>
      <c r="AJ41" s="100">
        <v>1.3553866595548423E-3</v>
      </c>
      <c r="AK41" s="100">
        <v>0.89455519530619587</v>
      </c>
      <c r="AL41" s="100">
        <v>1.7111915955955151E-3</v>
      </c>
      <c r="AM41" s="100">
        <v>1.12938645309304</v>
      </c>
      <c r="AN41" s="100">
        <v>2.5639481191660871</v>
      </c>
      <c r="AO41" s="100">
        <v>1692.2057586496176</v>
      </c>
      <c r="AP41" s="100">
        <v>18.777990081201935</v>
      </c>
      <c r="AQ41" s="100">
        <v>12393.473453593277</v>
      </c>
      <c r="AR41" s="100">
        <v>11</v>
      </c>
      <c r="AS41" s="100">
        <v>7260</v>
      </c>
      <c r="AT41" s="100">
        <v>15.074596633324186</v>
      </c>
      <c r="AU41" s="100">
        <v>9949.2337779939626</v>
      </c>
      <c r="AV41" s="100">
        <v>3.7033254501276427</v>
      </c>
      <c r="AW41" s="100">
        <v>2444.1947970842443</v>
      </c>
      <c r="AX41" s="100">
        <v>20.813533415357522</v>
      </c>
      <c r="AY41" s="100">
        <v>13736.932054135965</v>
      </c>
      <c r="AZ41" s="100">
        <v>13.293328518101879</v>
      </c>
      <c r="BA41" s="100">
        <v>8773.5968219472397</v>
      </c>
      <c r="BB41" s="100">
        <v>0.49335500759014006</v>
      </c>
      <c r="BC41" s="100">
        <v>325.61430500949245</v>
      </c>
      <c r="BD41" s="100">
        <v>16.233470464288885</v>
      </c>
      <c r="BE41" s="100">
        <v>10714.090506430664</v>
      </c>
      <c r="BF41" s="100">
        <v>20.71708756084012</v>
      </c>
      <c r="BG41" s="100">
        <v>13673.27779015448</v>
      </c>
      <c r="BH41" s="100">
        <v>10.957504574592067</v>
      </c>
      <c r="BI41" s="100">
        <v>7231.9530192307639</v>
      </c>
      <c r="BJ41" s="100">
        <v>11.027698516444341</v>
      </c>
      <c r="BK41" s="100">
        <v>7278.2810208532646</v>
      </c>
      <c r="BL41" s="100">
        <v>10.990329699555391</v>
      </c>
      <c r="BM41" s="100">
        <v>7253.6176017065582</v>
      </c>
      <c r="BN41" s="100">
        <v>0.41662458698759275</v>
      </c>
      <c r="BO41" s="100">
        <v>274.97222741181122</v>
      </c>
      <c r="BP41" s="100">
        <v>16.158392376332742</v>
      </c>
      <c r="BQ41" s="100">
        <v>10664.538968379609</v>
      </c>
      <c r="BR41" s="100">
        <v>19.400614616544019</v>
      </c>
      <c r="BS41" s="100">
        <v>12804.405646919053</v>
      </c>
      <c r="BT41" s="100">
        <v>3.1260769637086376</v>
      </c>
      <c r="BU41" s="100">
        <v>2063.210796047701</v>
      </c>
      <c r="BV41" s="100">
        <v>0.53975526343449509</v>
      </c>
      <c r="BW41" s="100">
        <v>356.23847386676675</v>
      </c>
      <c r="BX41" s="100">
        <v>14.123103871576367</v>
      </c>
      <c r="BY41" s="100">
        <v>9321.2485552404014</v>
      </c>
      <c r="BZ41" s="100">
        <v>18</v>
      </c>
      <c r="CA41" s="100">
        <v>11880</v>
      </c>
      <c r="CB41" s="100">
        <v>21</v>
      </c>
      <c r="CC41" s="100">
        <v>13860</v>
      </c>
      <c r="CD41" s="100">
        <v>12.124008365990257</v>
      </c>
      <c r="CE41" s="100">
        <v>8001.8455215535696</v>
      </c>
      <c r="CF41" s="100">
        <v>3.2323733516686848</v>
      </c>
      <c r="CG41" s="100">
        <v>2133.3664121013321</v>
      </c>
      <c r="CH41" s="100">
        <v>11.420202374364116</v>
      </c>
      <c r="CI41" s="100">
        <v>7537.3335670803172</v>
      </c>
      <c r="CJ41" s="100">
        <v>13.626255669286053</v>
      </c>
      <c r="CK41" s="100">
        <v>8993.3287417287956</v>
      </c>
      <c r="CL41" s="100">
        <v>8.3854915564640535</v>
      </c>
      <c r="CM41" s="100">
        <v>5534.4244272662754</v>
      </c>
      <c r="CN41" s="100">
        <v>9.7087685835829142E-4</v>
      </c>
      <c r="CO41" s="100">
        <v>0.64077872651647239</v>
      </c>
      <c r="CP41" s="100">
        <v>3.8420459466541885</v>
      </c>
      <c r="CQ41" s="100">
        <v>2535.7503247917643</v>
      </c>
      <c r="CR41" s="100">
        <v>19.931636615007626</v>
      </c>
      <c r="CS41" s="100">
        <v>13154.880165905033</v>
      </c>
      <c r="CT41" s="100">
        <v>22</v>
      </c>
      <c r="CU41" s="100">
        <v>14520</v>
      </c>
    </row>
    <row r="42" spans="2:99">
      <c r="C42" s="99" t="s">
        <v>208</v>
      </c>
      <c r="D42" s="100">
        <v>16</v>
      </c>
      <c r="E42" s="100">
        <v>13536</v>
      </c>
      <c r="F42" s="100">
        <v>14.879025529604</v>
      </c>
      <c r="G42" s="100">
        <v>12587.655598044985</v>
      </c>
      <c r="H42" s="100">
        <v>9.7232548008804969</v>
      </c>
      <c r="I42" s="100">
        <v>8225.8735615449004</v>
      </c>
      <c r="J42" s="100">
        <v>7.5735801565198413E-4</v>
      </c>
      <c r="K42" s="100">
        <v>0.64072488124157856</v>
      </c>
      <c r="L42" s="100">
        <v>18.443072167132549</v>
      </c>
      <c r="M42" s="100">
        <v>15602.839053394136</v>
      </c>
      <c r="N42" s="100">
        <v>15</v>
      </c>
      <c r="O42" s="100">
        <v>12690</v>
      </c>
      <c r="P42" s="100">
        <v>12</v>
      </c>
      <c r="Q42" s="100">
        <v>10152</v>
      </c>
      <c r="R42" s="100">
        <v>17</v>
      </c>
      <c r="S42" s="100">
        <v>14382</v>
      </c>
      <c r="T42" s="100">
        <v>4.0091993393979424</v>
      </c>
      <c r="U42" s="100">
        <v>3391.7826411306592</v>
      </c>
      <c r="V42" s="100">
        <v>22.340735514963804</v>
      </c>
      <c r="W42" s="100">
        <v>18900.262245659378</v>
      </c>
      <c r="X42" s="100">
        <v>13</v>
      </c>
      <c r="Y42" s="100">
        <v>10998</v>
      </c>
      <c r="Z42" s="100">
        <v>3.243078648024984</v>
      </c>
      <c r="AA42" s="100">
        <v>2743.6445362291365</v>
      </c>
      <c r="AB42" s="100">
        <v>2.7219006885476946</v>
      </c>
      <c r="AC42" s="100">
        <v>2302.7279825113496</v>
      </c>
      <c r="AD42" s="100">
        <v>17.988794887199912</v>
      </c>
      <c r="AE42" s="100">
        <v>15218.520474571125</v>
      </c>
      <c r="AF42" s="100">
        <v>14</v>
      </c>
      <c r="AG42" s="100">
        <v>11844</v>
      </c>
      <c r="AH42" s="100">
        <v>2.0091244635576841</v>
      </c>
      <c r="AI42" s="100">
        <v>1699.7192961698008</v>
      </c>
      <c r="AJ42" s="100">
        <v>1.3553871450603212E-3</v>
      </c>
      <c r="AK42" s="100">
        <v>1.1466575247210318</v>
      </c>
      <c r="AL42" s="100">
        <v>1.5310675743253077E-3</v>
      </c>
      <c r="AM42" s="100">
        <v>1.2952831678792103</v>
      </c>
      <c r="AN42" s="100">
        <v>2.797039094588285</v>
      </c>
      <c r="AO42" s="100">
        <v>2366.2950740216893</v>
      </c>
      <c r="AP42" s="100">
        <v>19.648325067668278</v>
      </c>
      <c r="AQ42" s="100">
        <v>16622.483007247363</v>
      </c>
      <c r="AR42" s="100">
        <v>12</v>
      </c>
      <c r="AS42" s="100">
        <v>10152</v>
      </c>
      <c r="AT42" s="100">
        <v>14.281196810517649</v>
      </c>
      <c r="AU42" s="100">
        <v>12081.892501697932</v>
      </c>
      <c r="AV42" s="100">
        <v>3.3085309421862266</v>
      </c>
      <c r="AW42" s="100">
        <v>2799.0171770895477</v>
      </c>
      <c r="AX42" s="100">
        <v>18.929752474694311</v>
      </c>
      <c r="AY42" s="100">
        <v>16014.570593591387</v>
      </c>
      <c r="AZ42" s="100">
        <v>13.293328518101879</v>
      </c>
      <c r="BA42" s="100">
        <v>11246.15592631419</v>
      </c>
      <c r="BB42" s="100">
        <v>0.49475999464666626</v>
      </c>
      <c r="BC42" s="100">
        <v>418.56695547107967</v>
      </c>
      <c r="BD42" s="100">
        <v>16.238831363345049</v>
      </c>
      <c r="BE42" s="100">
        <v>13738.051333389913</v>
      </c>
      <c r="BF42" s="100">
        <v>20.806723505945136</v>
      </c>
      <c r="BG42" s="100">
        <v>17602.488086029585</v>
      </c>
      <c r="BH42" s="100">
        <v>11.870629955808072</v>
      </c>
      <c r="BI42" s="100">
        <v>10042.552942613629</v>
      </c>
      <c r="BJ42" s="100">
        <v>9.5573387142517632</v>
      </c>
      <c r="BK42" s="100">
        <v>8085.5085522569916</v>
      </c>
      <c r="BL42" s="100">
        <v>10.962197496090711</v>
      </c>
      <c r="BM42" s="100">
        <v>9274.0190816927425</v>
      </c>
      <c r="BN42" s="100">
        <v>0.41708902289162569</v>
      </c>
      <c r="BO42" s="100">
        <v>352.85731336631534</v>
      </c>
      <c r="BP42" s="100">
        <v>14.15839237633274</v>
      </c>
      <c r="BQ42" s="100">
        <v>11977.999950377498</v>
      </c>
      <c r="BR42" s="100">
        <v>19.400614616544019</v>
      </c>
      <c r="BS42" s="100">
        <v>16412.91996559624</v>
      </c>
      <c r="BT42" s="100">
        <v>3.5126034361602749</v>
      </c>
      <c r="BU42" s="100">
        <v>2971.6625069915926</v>
      </c>
      <c r="BV42" s="100">
        <v>0.47961745613620832</v>
      </c>
      <c r="BW42" s="100">
        <v>405.75636789123223</v>
      </c>
      <c r="BX42" s="100">
        <v>15.123103871576367</v>
      </c>
      <c r="BY42" s="100">
        <v>12794.145875353606</v>
      </c>
      <c r="BZ42" s="100">
        <v>17</v>
      </c>
      <c r="CA42" s="100">
        <v>14382</v>
      </c>
      <c r="CB42" s="100">
        <v>19</v>
      </c>
      <c r="CC42" s="100">
        <v>16074</v>
      </c>
      <c r="CD42" s="100">
        <v>13.056624394143354</v>
      </c>
      <c r="CE42" s="100">
        <v>11045.904237445277</v>
      </c>
      <c r="CF42" s="100">
        <v>3.2252369724646961</v>
      </c>
      <c r="CG42" s="100">
        <v>2728.5504787051327</v>
      </c>
      <c r="CH42" s="100">
        <v>13.420202374364116</v>
      </c>
      <c r="CI42" s="100">
        <v>11353.491208712043</v>
      </c>
      <c r="CJ42" s="100">
        <v>13.626255669286053</v>
      </c>
      <c r="CK42" s="100">
        <v>11527.812296216001</v>
      </c>
      <c r="CL42" s="100">
        <v>9.1478089706880574</v>
      </c>
      <c r="CM42" s="100">
        <v>7739.0463892020962</v>
      </c>
      <c r="CN42" s="100">
        <v>1.1503953384344858E-3</v>
      </c>
      <c r="CO42" s="100">
        <v>0.97323445631557493</v>
      </c>
      <c r="CP42" s="100">
        <v>3.4376254251893941</v>
      </c>
      <c r="CQ42" s="100">
        <v>2908.2311097102274</v>
      </c>
      <c r="CR42" s="100">
        <v>17.064727560008716</v>
      </c>
      <c r="CS42" s="100">
        <v>14436.759515767373</v>
      </c>
      <c r="CT42" s="100">
        <v>23</v>
      </c>
      <c r="CU42" s="100">
        <v>19458</v>
      </c>
    </row>
    <row r="43" spans="2:99">
      <c r="C43" s="99" t="s">
        <v>209</v>
      </c>
      <c r="D43" s="100">
        <v>15</v>
      </c>
      <c r="E43" s="100">
        <v>15336</v>
      </c>
      <c r="F43" s="100">
        <v>14.052413000181556</v>
      </c>
      <c r="G43" s="100">
        <v>14367.187051385623</v>
      </c>
      <c r="H43" s="100">
        <v>11.491119310131497</v>
      </c>
      <c r="I43" s="100">
        <v>11748.520382678442</v>
      </c>
      <c r="J43" s="100">
        <v>7.5735801565198413E-4</v>
      </c>
      <c r="K43" s="100">
        <v>0.7743228352025886</v>
      </c>
      <c r="L43" s="100">
        <v>18.443072167132549</v>
      </c>
      <c r="M43" s="100">
        <v>18856.196983676316</v>
      </c>
      <c r="N43" s="100">
        <v>16</v>
      </c>
      <c r="O43" s="100">
        <v>16358.4</v>
      </c>
      <c r="P43" s="100">
        <v>11</v>
      </c>
      <c r="Q43" s="100">
        <v>11246.4</v>
      </c>
      <c r="R43" s="100">
        <v>17</v>
      </c>
      <c r="S43" s="100">
        <v>17380.8</v>
      </c>
      <c r="T43" s="100">
        <v>3.7419193834380797</v>
      </c>
      <c r="U43" s="100">
        <v>3825.7383776270926</v>
      </c>
      <c r="V43" s="100">
        <v>21.191764902190048</v>
      </c>
      <c r="W43" s="100">
        <v>21666.460435999106</v>
      </c>
      <c r="X43" s="100">
        <v>13</v>
      </c>
      <c r="Y43" s="100">
        <v>13291.199999999999</v>
      </c>
      <c r="Z43" s="100">
        <v>2.8008406505670314</v>
      </c>
      <c r="AA43" s="100">
        <v>2863.5794811397327</v>
      </c>
      <c r="AB43" s="100">
        <v>2.9493010944263705</v>
      </c>
      <c r="AC43" s="100">
        <v>3015.365438941521</v>
      </c>
      <c r="AD43" s="100">
        <v>16.847538474742784</v>
      </c>
      <c r="AE43" s="100">
        <v>17224.923336577023</v>
      </c>
      <c r="AF43" s="100">
        <v>12</v>
      </c>
      <c r="AG43" s="100">
        <v>12268.8</v>
      </c>
      <c r="AH43" s="100">
        <v>1.7077557940240315</v>
      </c>
      <c r="AI43" s="100">
        <v>1746.0095238101699</v>
      </c>
      <c r="AJ43" s="100">
        <v>1.4522005819225553E-3</v>
      </c>
      <c r="AK43" s="100">
        <v>1.4847298749576205</v>
      </c>
      <c r="AL43" s="100">
        <v>1.6211291664126445E-3</v>
      </c>
      <c r="AM43" s="100">
        <v>1.6574424597402877</v>
      </c>
      <c r="AN43" s="100">
        <v>2.797039094588285</v>
      </c>
      <c r="AO43" s="100">
        <v>2859.6927703070623</v>
      </c>
      <c r="AP43" s="100">
        <v>16.648325067668278</v>
      </c>
      <c r="AQ43" s="100">
        <v>17021.247549184049</v>
      </c>
      <c r="AR43" s="100">
        <v>10</v>
      </c>
      <c r="AS43" s="100">
        <v>10224</v>
      </c>
      <c r="AT43" s="100">
        <v>12.694397164904579</v>
      </c>
      <c r="AU43" s="100">
        <v>12978.751661398441</v>
      </c>
      <c r="AV43" s="100">
        <v>3.3164013380721951</v>
      </c>
      <c r="AW43" s="100">
        <v>3390.6887280450123</v>
      </c>
      <c r="AX43" s="100">
        <v>20.929752474694311</v>
      </c>
      <c r="AY43" s="100">
        <v>21398.578930127464</v>
      </c>
      <c r="AZ43" s="100">
        <v>14.17955041930867</v>
      </c>
      <c r="BA43" s="100">
        <v>14497.172348701184</v>
      </c>
      <c r="BB43" s="100">
        <v>0.49756996875971843</v>
      </c>
      <c r="BC43" s="100">
        <v>508.71553605993608</v>
      </c>
      <c r="BD43" s="100">
        <v>14.840367591771351</v>
      </c>
      <c r="BE43" s="100">
        <v>15172.791825827029</v>
      </c>
      <c r="BF43" s="100">
        <v>17.71708756084012</v>
      </c>
      <c r="BG43" s="100">
        <v>18113.950322202938</v>
      </c>
      <c r="BH43" s="100">
        <v>10.957504574592067</v>
      </c>
      <c r="BI43" s="100">
        <v>11202.952677062929</v>
      </c>
      <c r="BJ43" s="100">
        <v>11.027698516444341</v>
      </c>
      <c r="BK43" s="100">
        <v>11274.718963212694</v>
      </c>
      <c r="BL43" s="100">
        <v>11.59702722848891</v>
      </c>
      <c r="BM43" s="100">
        <v>11856.800638407061</v>
      </c>
      <c r="BN43" s="100">
        <v>0.41685680493960919</v>
      </c>
      <c r="BO43" s="100">
        <v>426.19439737025641</v>
      </c>
      <c r="BP43" s="100">
        <v>13.15839237633274</v>
      </c>
      <c r="BQ43" s="100">
        <v>13453.140365562593</v>
      </c>
      <c r="BR43" s="100">
        <v>17.460553154889617</v>
      </c>
      <c r="BS43" s="100">
        <v>17851.669545559143</v>
      </c>
      <c r="BT43" s="100">
        <v>2.9285805794708768</v>
      </c>
      <c r="BU43" s="100">
        <v>2994.1807844510245</v>
      </c>
      <c r="BV43" s="100">
        <v>0.44997283884423245</v>
      </c>
      <c r="BW43" s="100">
        <v>460.05223043434324</v>
      </c>
      <c r="BX43" s="100">
        <v>16.123103871576365</v>
      </c>
      <c r="BY43" s="100">
        <v>16484.261398299677</v>
      </c>
      <c r="BZ43" s="100">
        <v>18</v>
      </c>
      <c r="CA43" s="100">
        <v>18403.2</v>
      </c>
      <c r="CB43" s="100">
        <v>19</v>
      </c>
      <c r="CC43" s="100">
        <v>19425.599999999999</v>
      </c>
      <c r="CD43" s="100">
        <v>12.124008365990257</v>
      </c>
      <c r="CE43" s="100">
        <v>12395.586153388438</v>
      </c>
      <c r="CF43" s="100">
        <v>3.2323733516686848</v>
      </c>
      <c r="CG43" s="100">
        <v>3304.7785147460631</v>
      </c>
      <c r="CH43" s="100">
        <v>12.360173463740672</v>
      </c>
      <c r="CI43" s="100">
        <v>12637.041349328463</v>
      </c>
      <c r="CJ43" s="100">
        <v>14.383269873135276</v>
      </c>
      <c r="CK43" s="100">
        <v>14705.455118293507</v>
      </c>
      <c r="CL43" s="100">
        <v>9.1478089706880574</v>
      </c>
      <c r="CM43" s="100">
        <v>9352.7198916314701</v>
      </c>
      <c r="CN43" s="100">
        <v>1.0317505797646067E-3</v>
      </c>
      <c r="CO43" s="100">
        <v>1.0548617927513337</v>
      </c>
      <c r="CP43" s="100">
        <v>3.6398359894287506</v>
      </c>
      <c r="CQ43" s="100">
        <v>3721.3683155919548</v>
      </c>
      <c r="CR43" s="100">
        <v>19.064727560008716</v>
      </c>
      <c r="CS43" s="100">
        <v>19491.77745735291</v>
      </c>
      <c r="CT43" s="100">
        <v>20</v>
      </c>
      <c r="CU43" s="100">
        <v>20448</v>
      </c>
    </row>
    <row r="44" spans="2:99">
      <c r="C44" s="99" t="s">
        <v>210</v>
      </c>
      <c r="D44" s="100">
        <v>14</v>
      </c>
      <c r="E44" s="100">
        <v>14313.6</v>
      </c>
      <c r="F44" s="100">
        <v>14.879025529604</v>
      </c>
      <c r="G44" s="100">
        <v>15212.315701467129</v>
      </c>
      <c r="H44" s="100">
        <v>9.7232548008804969</v>
      </c>
      <c r="I44" s="100">
        <v>9941.0557084202192</v>
      </c>
      <c r="J44" s="100">
        <v>7.5735801565198413E-4</v>
      </c>
      <c r="K44" s="100">
        <v>0.7743228352025886</v>
      </c>
      <c r="L44" s="100">
        <v>18.443072167132549</v>
      </c>
      <c r="M44" s="100">
        <v>18856.196983676316</v>
      </c>
      <c r="N44" s="100">
        <v>16</v>
      </c>
      <c r="O44" s="100">
        <v>16358.4</v>
      </c>
      <c r="P44" s="100">
        <v>12</v>
      </c>
      <c r="Q44" s="100">
        <v>12268.8</v>
      </c>
      <c r="R44" s="100">
        <v>16</v>
      </c>
      <c r="S44" s="100">
        <v>16358.4</v>
      </c>
      <c r="T44" s="100">
        <v>4.0091993393979424</v>
      </c>
      <c r="U44" s="100">
        <v>4099.0054046004561</v>
      </c>
      <c r="V44" s="100">
        <v>19.340735514963804</v>
      </c>
      <c r="W44" s="100">
        <v>19773.967990498993</v>
      </c>
      <c r="X44" s="100">
        <v>14</v>
      </c>
      <c r="Y44" s="100">
        <v>14313.6</v>
      </c>
      <c r="Z44" s="100">
        <v>2.9482533163863489</v>
      </c>
      <c r="AA44" s="100">
        <v>3014.2941906734031</v>
      </c>
      <c r="AB44" s="100">
        <v>2.7108758773535815</v>
      </c>
      <c r="AC44" s="100">
        <v>2771.5994970063016</v>
      </c>
      <c r="AD44" s="100">
        <v>14.847538474742782</v>
      </c>
      <c r="AE44" s="100">
        <v>15180.12333657702</v>
      </c>
      <c r="AF44" s="100">
        <v>12</v>
      </c>
      <c r="AG44" s="100">
        <v>12268.8</v>
      </c>
      <c r="AH44" s="100">
        <v>1.9086682403798003</v>
      </c>
      <c r="AI44" s="100">
        <v>1951.4224089643078</v>
      </c>
      <c r="AJ44" s="100">
        <v>1.2585746792090442E-3</v>
      </c>
      <c r="AK44" s="100">
        <v>1.2867667520233268</v>
      </c>
      <c r="AL44" s="100">
        <v>1.6211295849604115E-3</v>
      </c>
      <c r="AM44" s="100">
        <v>1.6574428876635248</v>
      </c>
      <c r="AN44" s="100">
        <v>2.797039094588285</v>
      </c>
      <c r="AO44" s="100">
        <v>2859.6927703070623</v>
      </c>
      <c r="AP44" s="100">
        <v>19.777990081201935</v>
      </c>
      <c r="AQ44" s="100">
        <v>20221.017059020858</v>
      </c>
      <c r="AR44" s="100">
        <v>10</v>
      </c>
      <c r="AS44" s="100">
        <v>10224</v>
      </c>
      <c r="AT44" s="100">
        <v>12.694397164904579</v>
      </c>
      <c r="AU44" s="100">
        <v>12978.751661398441</v>
      </c>
      <c r="AV44" s="100">
        <v>3.3164013380721951</v>
      </c>
      <c r="AW44" s="100">
        <v>3390.6887280450123</v>
      </c>
      <c r="AX44" s="100">
        <v>19.813533415357522</v>
      </c>
      <c r="AY44" s="100">
        <v>20257.356563861529</v>
      </c>
      <c r="AZ44" s="100">
        <v>13.293328518101879</v>
      </c>
      <c r="BA44" s="100">
        <v>13591.09907690736</v>
      </c>
      <c r="BB44" s="100">
        <v>0.4961649817031924</v>
      </c>
      <c r="BC44" s="100">
        <v>507.2790772933439</v>
      </c>
      <c r="BD44" s="100">
        <v>13.435470741330255</v>
      </c>
      <c r="BE44" s="100">
        <v>13736.425285936051</v>
      </c>
      <c r="BF44" s="100">
        <v>18.71708756084012</v>
      </c>
      <c r="BG44" s="100">
        <v>19136.350322202939</v>
      </c>
      <c r="BH44" s="100">
        <v>11.870629955808072</v>
      </c>
      <c r="BI44" s="100">
        <v>12136.532066818172</v>
      </c>
      <c r="BJ44" s="100">
        <v>11.762878417540632</v>
      </c>
      <c r="BK44" s="100">
        <v>12026.366894093542</v>
      </c>
      <c r="BL44" s="100">
        <v>11.598008262755508</v>
      </c>
      <c r="BM44" s="100">
        <v>11857.80364784123</v>
      </c>
      <c r="BN44" s="100">
        <v>0.35760439874368616</v>
      </c>
      <c r="BO44" s="100">
        <v>365.61473727554471</v>
      </c>
      <c r="BP44" s="100">
        <v>14.135764893999491</v>
      </c>
      <c r="BQ44" s="100">
        <v>14452.40602762508</v>
      </c>
      <c r="BR44" s="100">
        <v>19.400614616544019</v>
      </c>
      <c r="BS44" s="100">
        <v>19835.188383954603</v>
      </c>
      <c r="BT44" s="100">
        <v>3.3235733479463989</v>
      </c>
      <c r="BU44" s="100">
        <v>3398.0213909403983</v>
      </c>
      <c r="BV44" s="100">
        <v>0.44997283884423245</v>
      </c>
      <c r="BW44" s="100">
        <v>460.05223043434324</v>
      </c>
      <c r="BX44" s="100">
        <v>14.123103871576367</v>
      </c>
      <c r="BY44" s="100">
        <v>14439.461398299678</v>
      </c>
      <c r="BZ44" s="100">
        <v>17</v>
      </c>
      <c r="CA44" s="100">
        <v>17380.8</v>
      </c>
      <c r="CB44" s="100">
        <v>22</v>
      </c>
      <c r="CC44" s="100">
        <v>22492.799999999999</v>
      </c>
      <c r="CD44" s="100">
        <v>12.124008365990257</v>
      </c>
      <c r="CE44" s="100">
        <v>12395.586153388438</v>
      </c>
      <c r="CF44" s="100">
        <v>3.569323877663908</v>
      </c>
      <c r="CG44" s="100">
        <v>3649.2767325235795</v>
      </c>
      <c r="CH44" s="100">
        <v>11.420202374364116</v>
      </c>
      <c r="CI44" s="100">
        <v>11676.014907549872</v>
      </c>
      <c r="CJ44" s="100">
        <v>12.869241465436827</v>
      </c>
      <c r="CK44" s="100">
        <v>13157.512474262612</v>
      </c>
      <c r="CL44" s="100">
        <v>8.3854915564640535</v>
      </c>
      <c r="CM44" s="100">
        <v>8573.3265673288479</v>
      </c>
      <c r="CN44" s="100">
        <v>9.7191108640587529E-4</v>
      </c>
      <c r="CO44" s="100">
        <v>0.99368189474136692</v>
      </c>
      <c r="CP44" s="100">
        <v>3.6398359894287506</v>
      </c>
      <c r="CQ44" s="100">
        <v>3721.3683155919548</v>
      </c>
      <c r="CR44" s="100">
        <v>18.931636615007626</v>
      </c>
      <c r="CS44" s="100">
        <v>19355.705275183798</v>
      </c>
      <c r="CT44" s="100">
        <v>22</v>
      </c>
      <c r="CU44" s="100">
        <v>22492.799999999999</v>
      </c>
    </row>
    <row r="45" spans="2:99">
      <c r="C45" s="99" t="s">
        <v>211</v>
      </c>
      <c r="D45" s="100">
        <v>15</v>
      </c>
      <c r="E45" s="100">
        <v>18738</v>
      </c>
      <c r="F45" s="100">
        <v>14.052413000181556</v>
      </c>
      <c r="G45" s="100">
        <v>17554.2743198268</v>
      </c>
      <c r="H45" s="100">
        <v>10.607187055505998</v>
      </c>
      <c r="I45" s="100">
        <v>13250.498069738092</v>
      </c>
      <c r="J45" s="100">
        <v>8.2620874434761917E-4</v>
      </c>
      <c r="K45" s="100">
        <v>1.032099963439046</v>
      </c>
      <c r="L45" s="100">
        <v>17.282730815228934</v>
      </c>
      <c r="M45" s="100">
        <v>21589.587334383985</v>
      </c>
      <c r="N45" s="100">
        <v>14</v>
      </c>
      <c r="O45" s="100">
        <v>17488.8</v>
      </c>
      <c r="P45" s="100">
        <v>10</v>
      </c>
      <c r="Q45" s="100">
        <v>12492</v>
      </c>
      <c r="R45" s="100">
        <v>16</v>
      </c>
      <c r="S45" s="100">
        <v>19987.2</v>
      </c>
      <c r="T45" s="100">
        <v>3.7419193834380797</v>
      </c>
      <c r="U45" s="100">
        <v>4674.405693790849</v>
      </c>
      <c r="V45" s="100">
        <v>19.191764902190048</v>
      </c>
      <c r="W45" s="100">
        <v>23974.35271581581</v>
      </c>
      <c r="X45" s="100">
        <v>14</v>
      </c>
      <c r="Y45" s="100">
        <v>17488.8</v>
      </c>
      <c r="Z45" s="100">
        <v>2.6534279847477142</v>
      </c>
      <c r="AA45" s="100">
        <v>3314.6622385468449</v>
      </c>
      <c r="AB45" s="100">
        <v>2.7108758773535815</v>
      </c>
      <c r="AC45" s="100">
        <v>3386.426145990094</v>
      </c>
      <c r="AD45" s="100">
        <v>15.988794887199914</v>
      </c>
      <c r="AE45" s="100">
        <v>19973.202573090133</v>
      </c>
      <c r="AF45" s="100">
        <v>13</v>
      </c>
      <c r="AG45" s="100">
        <v>16239.6</v>
      </c>
      <c r="AH45" s="100">
        <v>1.8082120172019158</v>
      </c>
      <c r="AI45" s="100">
        <v>2258.8184518886333</v>
      </c>
      <c r="AJ45" s="100">
        <v>1.3553871450603212E-3</v>
      </c>
      <c r="AK45" s="100">
        <v>1.6931496216093533</v>
      </c>
      <c r="AL45" s="100">
        <v>1.6211291664126445E-3</v>
      </c>
      <c r="AM45" s="100">
        <v>2.0251145546826756</v>
      </c>
      <c r="AN45" s="100">
        <v>2.5639474567324712</v>
      </c>
      <c r="AO45" s="100">
        <v>3202.8831629502029</v>
      </c>
      <c r="AP45" s="100">
        <v>18.648325067668278</v>
      </c>
      <c r="AQ45" s="100">
        <v>23295.487674531214</v>
      </c>
      <c r="AR45" s="100">
        <v>10</v>
      </c>
      <c r="AS45" s="100">
        <v>12492</v>
      </c>
      <c r="AT45" s="100">
        <v>13.487796987711114</v>
      </c>
      <c r="AU45" s="100">
        <v>16848.955997048724</v>
      </c>
      <c r="AV45" s="100">
        <v>3.4901874043849959</v>
      </c>
      <c r="AW45" s="100">
        <v>4359.9421055577368</v>
      </c>
      <c r="AX45" s="100">
        <v>19.929752474694311</v>
      </c>
      <c r="AY45" s="100">
        <v>24896.246791388134</v>
      </c>
      <c r="AZ45" s="100">
        <v>14.17955041930867</v>
      </c>
      <c r="BA45" s="100">
        <v>17713.094383800391</v>
      </c>
      <c r="BB45" s="100">
        <v>0.43800807339574011</v>
      </c>
      <c r="BC45" s="100">
        <v>547.15968528595852</v>
      </c>
      <c r="BD45" s="100">
        <v>16.139640243398169</v>
      </c>
      <c r="BE45" s="100">
        <v>20161.638592052994</v>
      </c>
      <c r="BF45" s="100">
        <v>20.71708756084012</v>
      </c>
      <c r="BG45" s="100">
        <v>25879.785781001479</v>
      </c>
      <c r="BH45" s="100">
        <v>10.044379193376061</v>
      </c>
      <c r="BI45" s="100">
        <v>12547.438488365377</v>
      </c>
      <c r="BJ45" s="100">
        <v>10.292518615348053</v>
      </c>
      <c r="BK45" s="100">
        <v>12857.414254292788</v>
      </c>
      <c r="BL45" s="100">
        <v>12.234800063686903</v>
      </c>
      <c r="BM45" s="100">
        <v>15283.712239557679</v>
      </c>
      <c r="BN45" s="100">
        <v>0.35737218079166977</v>
      </c>
      <c r="BO45" s="100">
        <v>446.42932824495387</v>
      </c>
      <c r="BP45" s="100">
        <v>15.15839237633274</v>
      </c>
      <c r="BQ45" s="100">
        <v>18935.86375651486</v>
      </c>
      <c r="BR45" s="100">
        <v>17.460553154889617</v>
      </c>
      <c r="BS45" s="100">
        <v>21811.72300108811</v>
      </c>
      <c r="BT45" s="100">
        <v>2.9370468754947621</v>
      </c>
      <c r="BU45" s="100">
        <v>3668.9589568680567</v>
      </c>
      <c r="BV45" s="100">
        <v>0.44976069566564864</v>
      </c>
      <c r="BW45" s="100">
        <v>561.84106102552835</v>
      </c>
      <c r="BX45" s="100">
        <v>15.147724645891639</v>
      </c>
      <c r="BY45" s="100">
        <v>18922.537627647835</v>
      </c>
      <c r="BZ45" s="100">
        <v>15</v>
      </c>
      <c r="CA45" s="100">
        <v>18738</v>
      </c>
      <c r="CB45" s="100">
        <v>22</v>
      </c>
      <c r="CC45" s="100">
        <v>27482.400000000001</v>
      </c>
      <c r="CD45" s="100">
        <v>12.124008365990257</v>
      </c>
      <c r="CE45" s="100">
        <v>15145.31125079503</v>
      </c>
      <c r="CF45" s="100">
        <v>2.8740136880614959</v>
      </c>
      <c r="CG45" s="100">
        <v>3590.2178991264209</v>
      </c>
      <c r="CH45" s="100">
        <v>10.420202374364116</v>
      </c>
      <c r="CI45" s="100">
        <v>13016.916806055655</v>
      </c>
      <c r="CJ45" s="100">
        <v>13.626255669286053</v>
      </c>
      <c r="CK45" s="100">
        <v>17021.91858207214</v>
      </c>
      <c r="CL45" s="100">
        <v>9.1478089706880574</v>
      </c>
      <c r="CM45" s="100">
        <v>11427.442966183522</v>
      </c>
      <c r="CN45" s="100">
        <v>1.0905558450757542E-3</v>
      </c>
      <c r="CO45" s="100">
        <v>1.3623223616686322</v>
      </c>
      <c r="CP45" s="100">
        <v>3.6398356859217911</v>
      </c>
      <c r="CQ45" s="100">
        <v>4546.8827388535019</v>
      </c>
      <c r="CR45" s="100">
        <v>16.931636615007626</v>
      </c>
      <c r="CS45" s="100">
        <v>21151.000459467527</v>
      </c>
      <c r="CT45" s="100">
        <v>21</v>
      </c>
      <c r="CU45" s="100">
        <v>26233.200000000001</v>
      </c>
    </row>
    <row r="46" spans="2:99">
      <c r="C46" s="99" t="s">
        <v>212</v>
      </c>
      <c r="D46" s="100">
        <v>14</v>
      </c>
      <c r="E46" s="100">
        <v>16968</v>
      </c>
      <c r="F46" s="100">
        <v>14.879025529604</v>
      </c>
      <c r="G46" s="100">
        <v>18033.378941880048</v>
      </c>
      <c r="H46" s="100">
        <v>9.7232548008804969</v>
      </c>
      <c r="I46" s="100">
        <v>11784.584818667163</v>
      </c>
      <c r="J46" s="100">
        <v>7.5735801565198413E-4</v>
      </c>
      <c r="K46" s="100">
        <v>0.91791791497020481</v>
      </c>
      <c r="L46" s="100">
        <v>16.282730815228934</v>
      </c>
      <c r="M46" s="100">
        <v>19734.669748057469</v>
      </c>
      <c r="N46" s="100">
        <v>13</v>
      </c>
      <c r="O46" s="100">
        <v>15756</v>
      </c>
      <c r="P46" s="100">
        <v>10</v>
      </c>
      <c r="Q46" s="100">
        <v>12120</v>
      </c>
      <c r="R46" s="100">
        <v>15</v>
      </c>
      <c r="S46" s="100">
        <v>18180</v>
      </c>
      <c r="T46" s="100">
        <v>3.7419193834380797</v>
      </c>
      <c r="U46" s="100">
        <v>4535.2062927269526</v>
      </c>
      <c r="V46" s="100">
        <v>21.340735514963804</v>
      </c>
      <c r="W46" s="100">
        <v>25864.971444136128</v>
      </c>
      <c r="X46" s="100">
        <v>13</v>
      </c>
      <c r="Y46" s="100">
        <v>15756</v>
      </c>
      <c r="Z46" s="100">
        <v>2.6534279847477142</v>
      </c>
      <c r="AA46" s="100">
        <v>3215.9547175142297</v>
      </c>
      <c r="AB46" s="100">
        <v>2.7108758773535815</v>
      </c>
      <c r="AC46" s="100">
        <v>3285.5815633525408</v>
      </c>
      <c r="AD46" s="100">
        <v>14.988794887199914</v>
      </c>
      <c r="AE46" s="100">
        <v>18166.419403286294</v>
      </c>
      <c r="AF46" s="100">
        <v>12</v>
      </c>
      <c r="AG46" s="100">
        <v>14544</v>
      </c>
      <c r="AH46" s="100">
        <v>1.6072995708461475</v>
      </c>
      <c r="AI46" s="100">
        <v>1948.0470798655308</v>
      </c>
      <c r="AJ46" s="100">
        <v>1.2585737081980868E-3</v>
      </c>
      <c r="AK46" s="100">
        <v>1.5253913343360812</v>
      </c>
      <c r="AL46" s="100">
        <v>1.4410047265946699E-3</v>
      </c>
      <c r="AM46" s="100">
        <v>1.7464977286327399</v>
      </c>
      <c r="AN46" s="100">
        <v>2.7970213369510506</v>
      </c>
      <c r="AO46" s="100">
        <v>3389.9898603846732</v>
      </c>
      <c r="AP46" s="100">
        <v>17.777990081201935</v>
      </c>
      <c r="AQ46" s="100">
        <v>21546.923978416744</v>
      </c>
      <c r="AR46" s="100">
        <v>10</v>
      </c>
      <c r="AS46" s="100">
        <v>12120</v>
      </c>
      <c r="AT46" s="100">
        <v>13.487796987711114</v>
      </c>
      <c r="AU46" s="100">
        <v>16347.209949105871</v>
      </c>
      <c r="AV46" s="100">
        <v>2.9294772260167479</v>
      </c>
      <c r="AW46" s="100">
        <v>3550.5263979322986</v>
      </c>
      <c r="AX46" s="100">
        <v>20.929752474694311</v>
      </c>
      <c r="AY46" s="100">
        <v>25366.859999329507</v>
      </c>
      <c r="AZ46" s="100">
        <v>15.06577232051546</v>
      </c>
      <c r="BA46" s="100">
        <v>18259.716052464737</v>
      </c>
      <c r="BB46" s="100">
        <v>0.46497904696467701</v>
      </c>
      <c r="BC46" s="100">
        <v>563.55460492118857</v>
      </c>
      <c r="BD46" s="100">
        <v>14.041140451179199</v>
      </c>
      <c r="BE46" s="100">
        <v>17017.862226829191</v>
      </c>
      <c r="BF46" s="100">
        <v>20.71708756084012</v>
      </c>
      <c r="BG46" s="100">
        <v>25109.110123738225</v>
      </c>
      <c r="BH46" s="100">
        <v>10.957504574592067</v>
      </c>
      <c r="BI46" s="100">
        <v>13280.495544405585</v>
      </c>
      <c r="BJ46" s="100">
        <v>9.5573387142517632</v>
      </c>
      <c r="BK46" s="100">
        <v>11583.494521673138</v>
      </c>
      <c r="BL46" s="100">
        <v>10.325405695159317</v>
      </c>
      <c r="BM46" s="100">
        <v>12514.391702533092</v>
      </c>
      <c r="BN46" s="100">
        <v>0.41685680493960919</v>
      </c>
      <c r="BO46" s="100">
        <v>505.23044758680635</v>
      </c>
      <c r="BP46" s="100">
        <v>14.15839237633274</v>
      </c>
      <c r="BQ46" s="100">
        <v>17159.971560115282</v>
      </c>
      <c r="BR46" s="100">
        <v>16.490522424062419</v>
      </c>
      <c r="BS46" s="100">
        <v>19986.51317796365</v>
      </c>
      <c r="BT46" s="100">
        <v>2.9285805794708768</v>
      </c>
      <c r="BU46" s="100">
        <v>3549.4396623187026</v>
      </c>
      <c r="BV46" s="100">
        <v>0.44976069566564864</v>
      </c>
      <c r="BW46" s="100">
        <v>545.10996314676618</v>
      </c>
      <c r="BX46" s="100">
        <v>15.147724645891639</v>
      </c>
      <c r="BY46" s="100">
        <v>18359.042270820668</v>
      </c>
      <c r="BZ46" s="100">
        <v>17</v>
      </c>
      <c r="CA46" s="100">
        <v>20604</v>
      </c>
      <c r="CB46" s="100">
        <v>19</v>
      </c>
      <c r="CC46" s="100">
        <v>23028</v>
      </c>
      <c r="CD46" s="100">
        <v>13.056624394143354</v>
      </c>
      <c r="CE46" s="100">
        <v>15824.628765701746</v>
      </c>
      <c r="CF46" s="100">
        <v>3.2323733516686848</v>
      </c>
      <c r="CG46" s="100">
        <v>3917.6365022224459</v>
      </c>
      <c r="CH46" s="100">
        <v>12.360173463740672</v>
      </c>
      <c r="CI46" s="100">
        <v>14980.530238053694</v>
      </c>
      <c r="CJ46" s="100">
        <v>12.869241465436827</v>
      </c>
      <c r="CK46" s="100">
        <v>15597.520656109435</v>
      </c>
      <c r="CL46" s="100">
        <v>8.3854915564640535</v>
      </c>
      <c r="CM46" s="100">
        <v>10163.215766434432</v>
      </c>
      <c r="CN46" s="100">
        <v>1.0307163517170228E-3</v>
      </c>
      <c r="CO46" s="100">
        <v>1.2492282182810317</v>
      </c>
      <c r="CP46" s="100">
        <v>3.2354228033103865</v>
      </c>
      <c r="CQ46" s="100">
        <v>3921.3324376121882</v>
      </c>
      <c r="CR46" s="100">
        <v>17.931636615007626</v>
      </c>
      <c r="CS46" s="100">
        <v>21733.143577389244</v>
      </c>
      <c r="CT46" s="100">
        <v>21</v>
      </c>
      <c r="CU46" s="100">
        <v>25452</v>
      </c>
    </row>
    <row r="47" spans="2:99">
      <c r="C47" s="99" t="s">
        <v>213</v>
      </c>
      <c r="D47" s="100">
        <v>15</v>
      </c>
      <c r="E47" s="100">
        <v>22914</v>
      </c>
      <c r="F47" s="100">
        <v>14.052413000181556</v>
      </c>
      <c r="G47" s="100">
        <v>21466.466099077345</v>
      </c>
      <c r="H47" s="100">
        <v>10.607187055505998</v>
      </c>
      <c r="I47" s="100">
        <v>16203.538945990962</v>
      </c>
      <c r="J47" s="100">
        <v>7.5735801565198413E-4</v>
      </c>
      <c r="K47" s="100">
        <v>1.1569401047099708</v>
      </c>
      <c r="L47" s="100">
        <v>16.443072167132549</v>
      </c>
      <c r="M47" s="100">
        <v>25118.437042511679</v>
      </c>
      <c r="N47" s="100">
        <v>13</v>
      </c>
      <c r="O47" s="100">
        <v>19858.8</v>
      </c>
      <c r="P47" s="100">
        <v>11</v>
      </c>
      <c r="Q47" s="100">
        <v>16803.599999999999</v>
      </c>
      <c r="R47" s="100">
        <v>15</v>
      </c>
      <c r="S47" s="100">
        <v>22914</v>
      </c>
      <c r="T47" s="100">
        <v>3.7419193834380797</v>
      </c>
      <c r="U47" s="100">
        <v>5716.1560501400099</v>
      </c>
      <c r="V47" s="100">
        <v>18.340735514963804</v>
      </c>
      <c r="W47" s="100">
        <v>28017.307572658705</v>
      </c>
      <c r="X47" s="100">
        <v>13</v>
      </c>
      <c r="Y47" s="100">
        <v>19858.8</v>
      </c>
      <c r="Z47" s="100">
        <v>2.9482533163863489</v>
      </c>
      <c r="AA47" s="100">
        <v>4503.7517661117863</v>
      </c>
      <c r="AB47" s="100">
        <v>2.4834754714749057</v>
      </c>
      <c r="AC47" s="100">
        <v>3793.7571302250658</v>
      </c>
      <c r="AD47" s="100">
        <v>13.988794887199914</v>
      </c>
      <c r="AE47" s="100">
        <v>21369.283069686586</v>
      </c>
      <c r="AF47" s="100">
        <v>12</v>
      </c>
      <c r="AG47" s="100">
        <v>18331.199999999997</v>
      </c>
      <c r="AH47" s="100">
        <v>1.9086682403798003</v>
      </c>
      <c r="AI47" s="100">
        <v>2915.6816040041826</v>
      </c>
      <c r="AJ47" s="100">
        <v>1.3553876305657999E-3</v>
      </c>
      <c r="AK47" s="100">
        <v>2.0704901444523158</v>
      </c>
      <c r="AL47" s="100">
        <v>1.5310663186820072E-3</v>
      </c>
      <c r="AM47" s="100">
        <v>2.3388569084186339</v>
      </c>
      <c r="AN47" s="100">
        <v>2.7970206745174351</v>
      </c>
      <c r="AO47" s="100">
        <v>4272.7287823928336</v>
      </c>
      <c r="AP47" s="100">
        <v>18.777990081201935</v>
      </c>
      <c r="AQ47" s="100">
        <v>28685.257648044073</v>
      </c>
      <c r="AR47" s="100">
        <v>10</v>
      </c>
      <c r="AS47" s="100">
        <v>15276</v>
      </c>
      <c r="AT47" s="100">
        <v>13.487796987711114</v>
      </c>
      <c r="AU47" s="100">
        <v>20603.958678427498</v>
      </c>
      <c r="AV47" s="100">
        <v>3.3085309421862266</v>
      </c>
      <c r="AW47" s="100">
        <v>5054.1118672836792</v>
      </c>
      <c r="AX47" s="100">
        <v>17.813533415357522</v>
      </c>
      <c r="AY47" s="100">
        <v>27211.953645300149</v>
      </c>
      <c r="AZ47" s="100">
        <v>13.293328518101879</v>
      </c>
      <c r="BA47" s="100">
        <v>20306.888644252427</v>
      </c>
      <c r="BB47" s="100">
        <v>0.49475999464666626</v>
      </c>
      <c r="BC47" s="100">
        <v>755.79536782224739</v>
      </c>
      <c r="BD47" s="100">
        <v>14.140331571126078</v>
      </c>
      <c r="BE47" s="100">
        <v>21600.770508052196</v>
      </c>
      <c r="BF47" s="100">
        <v>17.806723505945136</v>
      </c>
      <c r="BG47" s="100">
        <v>27201.550827681789</v>
      </c>
      <c r="BH47" s="100">
        <v>10.044379193376061</v>
      </c>
      <c r="BI47" s="100">
        <v>15343.79365580127</v>
      </c>
      <c r="BJ47" s="100">
        <v>10.292518615348053</v>
      </c>
      <c r="BK47" s="100">
        <v>15722.851436805684</v>
      </c>
      <c r="BL47" s="100">
        <v>10.961216461824115</v>
      </c>
      <c r="BM47" s="100">
        <v>16744.354267082519</v>
      </c>
      <c r="BN47" s="100">
        <v>0.32774597769370828</v>
      </c>
      <c r="BO47" s="100">
        <v>500.66475552490874</v>
      </c>
      <c r="BP47" s="100">
        <v>14.135764893999491</v>
      </c>
      <c r="BQ47" s="100">
        <v>21593.79445207362</v>
      </c>
      <c r="BR47" s="100">
        <v>16.490522424062419</v>
      </c>
      <c r="BS47" s="100">
        <v>25190.922054997751</v>
      </c>
      <c r="BT47" s="100">
        <v>3.3235733479463989</v>
      </c>
      <c r="BU47" s="100">
        <v>5077.0906463229185</v>
      </c>
      <c r="BV47" s="100">
        <v>0.47982959931479208</v>
      </c>
      <c r="BW47" s="100">
        <v>732.9876959132763</v>
      </c>
      <c r="BX47" s="100">
        <v>13.147724645891639</v>
      </c>
      <c r="BY47" s="100">
        <v>20084.464169064067</v>
      </c>
      <c r="BZ47" s="100">
        <v>15</v>
      </c>
      <c r="CA47" s="100">
        <v>22914</v>
      </c>
      <c r="CB47" s="100">
        <v>18</v>
      </c>
      <c r="CC47" s="100">
        <v>27496.799999999999</v>
      </c>
      <c r="CD47" s="100">
        <v>12.124008365990257</v>
      </c>
      <c r="CE47" s="100">
        <v>18520.635179886714</v>
      </c>
      <c r="CF47" s="100">
        <v>3.2181005932607079</v>
      </c>
      <c r="CG47" s="100">
        <v>4915.9704662650574</v>
      </c>
      <c r="CH47" s="100">
        <v>11.420202374364116</v>
      </c>
      <c r="CI47" s="100">
        <v>17445.501147078623</v>
      </c>
      <c r="CJ47" s="100">
        <v>13.626255669286053</v>
      </c>
      <c r="CK47" s="100">
        <v>20815.468160401371</v>
      </c>
      <c r="CL47" s="100">
        <v>9.1478089706880574</v>
      </c>
      <c r="CM47" s="100">
        <v>13974.192983623076</v>
      </c>
      <c r="CN47" s="100">
        <v>1.0307163517170228E-3</v>
      </c>
      <c r="CO47" s="100">
        <v>1.5745222988829239</v>
      </c>
      <c r="CP47" s="100">
        <v>3.4376171793220864</v>
      </c>
      <c r="CQ47" s="100">
        <v>5251.304003132419</v>
      </c>
      <c r="CR47" s="100">
        <v>16.931636615007626</v>
      </c>
      <c r="CS47" s="100">
        <v>25864.768093085648</v>
      </c>
      <c r="CT47" s="100">
        <v>18</v>
      </c>
      <c r="CU47" s="100">
        <v>27496.799999999999</v>
      </c>
    </row>
    <row r="48" spans="2:99">
      <c r="C48" s="99" t="s">
        <v>214</v>
      </c>
      <c r="D48" s="100">
        <v>16</v>
      </c>
      <c r="E48" s="100">
        <v>13881.6</v>
      </c>
      <c r="F48" s="100">
        <v>16.532250588448889</v>
      </c>
      <c r="G48" s="100">
        <v>14343.380610538257</v>
      </c>
      <c r="H48" s="100">
        <v>10.607187055505998</v>
      </c>
      <c r="I48" s="100">
        <v>9202.795489357004</v>
      </c>
      <c r="J48" s="100">
        <v>7.5735801565198413E-4</v>
      </c>
      <c r="K48" s="100">
        <v>0.65708381437966146</v>
      </c>
      <c r="L48" s="100">
        <v>18.443072167132549</v>
      </c>
      <c r="M48" s="100">
        <v>16001.2094122042</v>
      </c>
      <c r="N48" s="100">
        <v>15</v>
      </c>
      <c r="O48" s="100">
        <v>13014</v>
      </c>
      <c r="P48" s="100">
        <v>11</v>
      </c>
      <c r="Q48" s="100">
        <v>9543.6</v>
      </c>
      <c r="R48" s="100">
        <v>17</v>
      </c>
      <c r="S48" s="100">
        <v>14749.2</v>
      </c>
      <c r="T48" s="100">
        <v>3.7419193834380797</v>
      </c>
      <c r="U48" s="100">
        <v>3246.489257070878</v>
      </c>
      <c r="V48" s="100">
        <v>21.191764902190048</v>
      </c>
      <c r="W48" s="100">
        <v>18385.975229140087</v>
      </c>
      <c r="X48" s="100">
        <v>13</v>
      </c>
      <c r="Y48" s="100">
        <v>11278.800000000001</v>
      </c>
      <c r="Z48" s="100">
        <v>3.095665982205666</v>
      </c>
      <c r="AA48" s="100">
        <v>2685.7998061616358</v>
      </c>
      <c r="AB48" s="100">
        <v>2.9493010944263705</v>
      </c>
      <c r="AC48" s="100">
        <v>2558.8136295243189</v>
      </c>
      <c r="AD48" s="100">
        <v>16.988794887199912</v>
      </c>
      <c r="AE48" s="100">
        <v>14739.478444134644</v>
      </c>
      <c r="AF48" s="100">
        <v>13</v>
      </c>
      <c r="AG48" s="100">
        <v>11278.800000000001</v>
      </c>
      <c r="AH48" s="100">
        <v>2.0091244635576841</v>
      </c>
      <c r="AI48" s="100">
        <v>1743.1163845826468</v>
      </c>
      <c r="AJ48" s="100">
        <v>1.4522000964170764E-3</v>
      </c>
      <c r="AK48" s="100">
        <v>1.2599288036514555</v>
      </c>
      <c r="AL48" s="100">
        <v>1.5310667372297737E-3</v>
      </c>
      <c r="AM48" s="100">
        <v>1.3283535012205516</v>
      </c>
      <c r="AN48" s="100">
        <v>2.7970384321546691</v>
      </c>
      <c r="AO48" s="100">
        <v>2426.7105437373912</v>
      </c>
      <c r="AP48" s="100">
        <v>20.777990081201935</v>
      </c>
      <c r="AQ48" s="100">
        <v>18026.984194450801</v>
      </c>
      <c r="AR48" s="100">
        <v>10</v>
      </c>
      <c r="AS48" s="100">
        <v>8676</v>
      </c>
      <c r="AT48" s="100">
        <v>13.487796987711114</v>
      </c>
      <c r="AU48" s="100">
        <v>11702.012666538163</v>
      </c>
      <c r="AV48" s="100">
        <v>3.1347448758734253</v>
      </c>
      <c r="AW48" s="100">
        <v>2719.704654307784</v>
      </c>
      <c r="AX48" s="100">
        <v>21.929752474694311</v>
      </c>
      <c r="AY48" s="100">
        <v>19026.253247044784</v>
      </c>
      <c r="AZ48" s="100">
        <v>14.17955041930867</v>
      </c>
      <c r="BA48" s="100">
        <v>12302.177943792203</v>
      </c>
      <c r="BB48" s="100">
        <v>0.49475999464666626</v>
      </c>
      <c r="BC48" s="100">
        <v>429.25377135544767</v>
      </c>
      <c r="BD48" s="100">
        <v>16.233470464288885</v>
      </c>
      <c r="BE48" s="100">
        <v>14084.158974817037</v>
      </c>
      <c r="BF48" s="100">
        <v>19.806723505945136</v>
      </c>
      <c r="BG48" s="100">
        <v>17184.313313758001</v>
      </c>
      <c r="BH48" s="100">
        <v>10.957504574592067</v>
      </c>
      <c r="BI48" s="100">
        <v>9506.7309689160775</v>
      </c>
      <c r="BJ48" s="100">
        <v>10.292518615348053</v>
      </c>
      <c r="BK48" s="100">
        <v>8929.7891506759715</v>
      </c>
      <c r="BL48" s="100">
        <v>11.598008262755508</v>
      </c>
      <c r="BM48" s="100">
        <v>10062.431968766679</v>
      </c>
      <c r="BN48" s="100">
        <v>0.3872306018416477</v>
      </c>
      <c r="BO48" s="100">
        <v>335.96127015781354</v>
      </c>
      <c r="BP48" s="100">
        <v>13.15839237633274</v>
      </c>
      <c r="BQ48" s="100">
        <v>11416.221225706286</v>
      </c>
      <c r="BR48" s="100">
        <v>17.460553154889617</v>
      </c>
      <c r="BS48" s="100">
        <v>15148.775917182233</v>
      </c>
      <c r="BT48" s="100">
        <v>3.1345432597325229</v>
      </c>
      <c r="BU48" s="100">
        <v>2719.5297321439371</v>
      </c>
      <c r="BV48" s="100">
        <v>0.50968635978535171</v>
      </c>
      <c r="BW48" s="100">
        <v>442.20388574977113</v>
      </c>
      <c r="BX48" s="100">
        <v>15.123103871576367</v>
      </c>
      <c r="BY48" s="100">
        <v>13120.804918979657</v>
      </c>
      <c r="BZ48" s="100">
        <v>19</v>
      </c>
      <c r="CA48" s="100">
        <v>16484.400000000001</v>
      </c>
      <c r="CB48" s="100">
        <v>21</v>
      </c>
      <c r="CC48" s="100">
        <v>18219.600000000002</v>
      </c>
      <c r="CD48" s="100">
        <v>12.124008365990257</v>
      </c>
      <c r="CE48" s="100">
        <v>10518.789658333148</v>
      </c>
      <c r="CF48" s="100">
        <v>3.5764602568678958</v>
      </c>
      <c r="CG48" s="100">
        <v>3102.9369188585865</v>
      </c>
      <c r="CH48" s="100">
        <v>12.420202374364116</v>
      </c>
      <c r="CI48" s="100">
        <v>10775.767579998308</v>
      </c>
      <c r="CJ48" s="100">
        <v>13.626255669286053</v>
      </c>
      <c r="CK48" s="100">
        <v>11822.139418672579</v>
      </c>
      <c r="CL48" s="100">
        <v>8.3854915564640535</v>
      </c>
      <c r="CM48" s="100">
        <v>7275.2524743882132</v>
      </c>
      <c r="CN48" s="100">
        <v>1.0296821236694391E-3</v>
      </c>
      <c r="CO48" s="100">
        <v>0.89335221049560543</v>
      </c>
      <c r="CP48" s="100">
        <v>3.2354151644569971</v>
      </c>
      <c r="CQ48" s="100">
        <v>2807.0461966828907</v>
      </c>
      <c r="CR48" s="100">
        <v>17.931636615007626</v>
      </c>
      <c r="CS48" s="100">
        <v>15557.487927180617</v>
      </c>
      <c r="CT48" s="100">
        <v>20</v>
      </c>
      <c r="CU48" s="100">
        <v>17352</v>
      </c>
    </row>
    <row r="49" spans="2:99">
      <c r="B49" s="99" t="s">
        <v>129</v>
      </c>
      <c r="C49" s="99" t="s">
        <v>215</v>
      </c>
      <c r="D49" s="100">
        <v>6.0872146563648668</v>
      </c>
      <c r="E49" s="100">
        <v>5997.1238794506662</v>
      </c>
      <c r="F49" s="100">
        <v>6</v>
      </c>
      <c r="G49" s="100">
        <v>5911.2</v>
      </c>
      <c r="H49" s="100">
        <v>9</v>
      </c>
      <c r="I49" s="100">
        <v>8866.7999999999993</v>
      </c>
      <c r="J49" s="100">
        <v>7.10151015673339</v>
      </c>
      <c r="K49" s="100">
        <v>6996.4078064137357</v>
      </c>
      <c r="L49" s="100">
        <v>10</v>
      </c>
      <c r="M49" s="100">
        <v>9852</v>
      </c>
      <c r="N49" s="100">
        <v>9</v>
      </c>
      <c r="O49" s="100">
        <v>8866.7999999999993</v>
      </c>
      <c r="P49" s="100">
        <v>5</v>
      </c>
      <c r="Q49" s="100">
        <v>4926</v>
      </c>
      <c r="R49" s="100">
        <v>5.9961635465704379</v>
      </c>
      <c r="S49" s="100">
        <v>5907.4203260811946</v>
      </c>
      <c r="T49" s="100">
        <v>9</v>
      </c>
      <c r="U49" s="100">
        <v>8866.7999999999993</v>
      </c>
      <c r="V49" s="100">
        <v>7</v>
      </c>
      <c r="W49" s="100">
        <v>6896.4</v>
      </c>
      <c r="X49" s="100">
        <v>4.3027000276055167</v>
      </c>
      <c r="Y49" s="100">
        <v>4239.0200671969551</v>
      </c>
      <c r="Z49" s="100">
        <v>6</v>
      </c>
      <c r="AA49" s="100">
        <v>5911.2</v>
      </c>
      <c r="AB49" s="100">
        <v>9</v>
      </c>
      <c r="AC49" s="100">
        <v>8866.7999999999993</v>
      </c>
      <c r="AD49" s="100">
        <v>9</v>
      </c>
      <c r="AE49" s="100">
        <v>8866.7999999999993</v>
      </c>
      <c r="AF49" s="100">
        <v>6.5538727236358723</v>
      </c>
      <c r="AG49" s="100">
        <v>6456.8754073260607</v>
      </c>
      <c r="AH49" s="100">
        <v>5.682326476946078E-4</v>
      </c>
      <c r="AI49" s="100">
        <v>0.55982280450872757</v>
      </c>
      <c r="AJ49" s="100">
        <v>10.85678572105655</v>
      </c>
      <c r="AK49" s="100">
        <v>10696.105292384913</v>
      </c>
      <c r="AL49" s="100">
        <v>7.0010127931603857E-4</v>
      </c>
      <c r="AM49" s="100">
        <v>0.68973978038216111</v>
      </c>
      <c r="AN49" s="100">
        <v>4.8793221495961721</v>
      </c>
      <c r="AO49" s="100">
        <v>4807.1081817821487</v>
      </c>
      <c r="AP49" s="100">
        <v>7.8718051918911121</v>
      </c>
      <c r="AQ49" s="100">
        <v>7755.3024750511231</v>
      </c>
      <c r="AR49" s="100">
        <v>6</v>
      </c>
      <c r="AS49" s="100">
        <v>5911.2</v>
      </c>
      <c r="AT49" s="100">
        <v>8.0168649613325442</v>
      </c>
      <c r="AU49" s="100">
        <v>7898.2153599048224</v>
      </c>
      <c r="AV49" s="100">
        <v>4.7171150495566696</v>
      </c>
      <c r="AW49" s="100">
        <v>4647.3017468232301</v>
      </c>
      <c r="AX49" s="100">
        <v>5.1455121630081413</v>
      </c>
      <c r="AY49" s="100">
        <v>5069.3585829956201</v>
      </c>
      <c r="AZ49" s="100">
        <v>7.6648060260582564</v>
      </c>
      <c r="BA49" s="100">
        <v>7551.3668968725933</v>
      </c>
      <c r="BB49" s="100">
        <v>10</v>
      </c>
      <c r="BC49" s="100">
        <v>9852</v>
      </c>
      <c r="BD49" s="100">
        <v>3.1039575528739505</v>
      </c>
      <c r="BE49" s="100">
        <v>3058.0189810914158</v>
      </c>
      <c r="BF49" s="100">
        <v>9.7286098245201327</v>
      </c>
      <c r="BG49" s="100">
        <v>9584.6263991172345</v>
      </c>
      <c r="BH49" s="100">
        <v>1.4726616918883233</v>
      </c>
      <c r="BI49" s="100">
        <v>1450.8662988483761</v>
      </c>
      <c r="BJ49" s="100">
        <v>7.7702199799473455</v>
      </c>
      <c r="BK49" s="100">
        <v>7655.2207242441245</v>
      </c>
      <c r="BL49" s="100">
        <v>6.6026995221886065</v>
      </c>
      <c r="BM49" s="100">
        <v>6504.9795692602147</v>
      </c>
      <c r="BN49" s="100">
        <v>9</v>
      </c>
      <c r="BO49" s="100">
        <v>8866.7999999999993</v>
      </c>
      <c r="BP49" s="100">
        <v>7</v>
      </c>
      <c r="BQ49" s="100">
        <v>6896.4</v>
      </c>
      <c r="BR49" s="100">
        <v>9</v>
      </c>
      <c r="BS49" s="100">
        <v>8866.7999999999993</v>
      </c>
      <c r="BT49" s="100">
        <v>9</v>
      </c>
      <c r="BU49" s="100">
        <v>8866.7999999999993</v>
      </c>
      <c r="BV49" s="100">
        <v>11</v>
      </c>
      <c r="BW49" s="100">
        <v>10837.199999999999</v>
      </c>
      <c r="BX49" s="100">
        <v>8</v>
      </c>
      <c r="BY49" s="100">
        <v>7881.5999999999995</v>
      </c>
      <c r="BZ49" s="100">
        <v>10</v>
      </c>
      <c r="CA49" s="100">
        <v>9852</v>
      </c>
      <c r="CB49" s="100">
        <v>0.73354287814425756</v>
      </c>
      <c r="CC49" s="100">
        <v>722.68644354772255</v>
      </c>
      <c r="CD49" s="100">
        <v>10</v>
      </c>
      <c r="CE49" s="100">
        <v>9852</v>
      </c>
      <c r="CF49" s="100">
        <v>6.8750449709692045</v>
      </c>
      <c r="CG49" s="100">
        <v>6773.2943053988602</v>
      </c>
      <c r="CH49" s="100">
        <v>7.8944166655172028</v>
      </c>
      <c r="CI49" s="100">
        <v>7777.5792988675475</v>
      </c>
      <c r="CJ49" s="100">
        <v>12</v>
      </c>
      <c r="CK49" s="100">
        <v>11822.4</v>
      </c>
      <c r="CL49" s="100">
        <v>6.3160327169740986</v>
      </c>
      <c r="CM49" s="100">
        <v>6222.5554327628815</v>
      </c>
      <c r="CN49" s="100">
        <v>6.5044498563452491</v>
      </c>
      <c r="CO49" s="100">
        <v>6408.1839984713388</v>
      </c>
      <c r="CP49" s="100">
        <v>8.8215245627615886</v>
      </c>
      <c r="CQ49" s="100">
        <v>8690.9659992327161</v>
      </c>
      <c r="CR49" s="100">
        <v>7.8628649118713314</v>
      </c>
      <c r="CS49" s="100">
        <v>7746.4945111756351</v>
      </c>
      <c r="CT49" s="100">
        <v>10</v>
      </c>
      <c r="CU49" s="100">
        <v>9852</v>
      </c>
    </row>
    <row r="50" spans="2:99">
      <c r="C50" s="99" t="s">
        <v>216</v>
      </c>
      <c r="D50" s="100">
        <v>6</v>
      </c>
      <c r="E50" s="100">
        <v>1692</v>
      </c>
      <c r="F50" s="100">
        <v>5.7862877059571112</v>
      </c>
      <c r="G50" s="100">
        <v>1631.7331330799054</v>
      </c>
      <c r="H50" s="100">
        <v>9.7232548008804969</v>
      </c>
      <c r="I50" s="100">
        <v>2741.9578538483001</v>
      </c>
      <c r="J50" s="100">
        <v>8.2620874434761917E-4</v>
      </c>
      <c r="K50" s="100">
        <v>0.2329908659060286</v>
      </c>
      <c r="L50" s="100">
        <v>12.641365407614467</v>
      </c>
      <c r="M50" s="100">
        <v>3564.8650449472798</v>
      </c>
      <c r="N50" s="100">
        <v>8</v>
      </c>
      <c r="O50" s="100">
        <v>2256</v>
      </c>
      <c r="P50" s="100">
        <v>7</v>
      </c>
      <c r="Q50" s="100">
        <v>1974</v>
      </c>
      <c r="R50" s="100">
        <v>9</v>
      </c>
      <c r="S50" s="100">
        <v>2538</v>
      </c>
      <c r="T50" s="100">
        <v>2.1382396476789025</v>
      </c>
      <c r="U50" s="100">
        <v>602.9835806454505</v>
      </c>
      <c r="V50" s="100">
        <v>8.595882451095024</v>
      </c>
      <c r="W50" s="100">
        <v>2424.0388512087966</v>
      </c>
      <c r="X50" s="100">
        <v>11</v>
      </c>
      <c r="Y50" s="100">
        <v>3102</v>
      </c>
      <c r="Z50" s="100">
        <v>1.031888660735222</v>
      </c>
      <c r="AA50" s="100">
        <v>290.99260232733263</v>
      </c>
      <c r="AB50" s="100">
        <v>2.8611026048734676</v>
      </c>
      <c r="AC50" s="100">
        <v>806.83093457431789</v>
      </c>
      <c r="AD50" s="100">
        <v>8.565025649828522</v>
      </c>
      <c r="AE50" s="100">
        <v>2415.3372332516433</v>
      </c>
      <c r="AF50" s="100">
        <v>9</v>
      </c>
      <c r="AG50" s="100">
        <v>2538</v>
      </c>
      <c r="AH50" s="100">
        <v>0.80364978542307375</v>
      </c>
      <c r="AI50" s="100">
        <v>226.6292394893068</v>
      </c>
      <c r="AJ50" s="100">
        <v>9.6813291210590569E-4</v>
      </c>
      <c r="AK50" s="100">
        <v>0.27301348121386543</v>
      </c>
      <c r="AL50" s="100">
        <v>7.2050403748840296E-4</v>
      </c>
      <c r="AM50" s="100">
        <v>0.20318213857172965</v>
      </c>
      <c r="AN50" s="100">
        <v>1.8646738680322632</v>
      </c>
      <c r="AO50" s="100">
        <v>525.83803078509823</v>
      </c>
      <c r="AP50" s="100">
        <v>7.6483250676682788</v>
      </c>
      <c r="AQ50" s="100">
        <v>2156.8276690824546</v>
      </c>
      <c r="AR50" s="100">
        <v>6</v>
      </c>
      <c r="AS50" s="100">
        <v>1692</v>
      </c>
      <c r="AT50" s="100">
        <v>7.9339982280653611</v>
      </c>
      <c r="AU50" s="100">
        <v>2237.3875003144317</v>
      </c>
      <c r="AV50" s="100">
        <v>1.3739103819089891</v>
      </c>
      <c r="AW50" s="100">
        <v>387.44272769833492</v>
      </c>
      <c r="AX50" s="100">
        <v>8.6973143560207333</v>
      </c>
      <c r="AY50" s="100">
        <v>2452.6426483978466</v>
      </c>
      <c r="AZ50" s="100">
        <v>6.2035533084475425</v>
      </c>
      <c r="BA50" s="100">
        <v>1749.4020329822069</v>
      </c>
      <c r="BB50" s="100">
        <v>0.40120219043112038</v>
      </c>
      <c r="BC50" s="100">
        <v>113.13901770157595</v>
      </c>
      <c r="BD50" s="100">
        <v>8.3572077733330072</v>
      </c>
      <c r="BE50" s="100">
        <v>2356.732592079908</v>
      </c>
      <c r="BF50" s="100">
        <v>9.5378156706300903</v>
      </c>
      <c r="BG50" s="100">
        <v>2689.6640191176853</v>
      </c>
      <c r="BH50" s="100">
        <v>9.1312538121600539</v>
      </c>
      <c r="BI50" s="100">
        <v>2575.0135750291352</v>
      </c>
      <c r="BJ50" s="100">
        <v>5.881439208770316</v>
      </c>
      <c r="BK50" s="100">
        <v>1658.5658568732292</v>
      </c>
      <c r="BL50" s="100">
        <v>7.7520683565022566</v>
      </c>
      <c r="BM50" s="100">
        <v>2186.0832765336363</v>
      </c>
      <c r="BN50" s="100">
        <v>0.29811977459574673</v>
      </c>
      <c r="BO50" s="100">
        <v>84.069776436000581</v>
      </c>
      <c r="BP50" s="100">
        <v>8.1357648939994913</v>
      </c>
      <c r="BQ50" s="100">
        <v>2294.2857001078564</v>
      </c>
      <c r="BR50" s="100">
        <v>7.7602458466176074</v>
      </c>
      <c r="BS50" s="100">
        <v>2188.3893287461651</v>
      </c>
      <c r="BT50" s="100">
        <v>1.9495649543059561</v>
      </c>
      <c r="BU50" s="100">
        <v>549.77731711427964</v>
      </c>
      <c r="BV50" s="100">
        <v>0.33033365378341012</v>
      </c>
      <c r="BW50" s="100">
        <v>93.15409036692165</v>
      </c>
      <c r="BX50" s="100">
        <v>8.0984830972610933</v>
      </c>
      <c r="BY50" s="100">
        <v>2283.7722334276282</v>
      </c>
      <c r="BZ50" s="100">
        <v>10</v>
      </c>
      <c r="CA50" s="100">
        <v>2820</v>
      </c>
      <c r="CB50" s="100">
        <v>8</v>
      </c>
      <c r="CC50" s="100">
        <v>2256</v>
      </c>
      <c r="CD50" s="100">
        <v>8.3935442533778701</v>
      </c>
      <c r="CE50" s="100">
        <v>2366.9794794525592</v>
      </c>
      <c r="CF50" s="100">
        <v>1.4548477920407188</v>
      </c>
      <c r="CG50" s="100">
        <v>410.26707735548268</v>
      </c>
      <c r="CH50" s="100">
        <v>9.3601734637406722</v>
      </c>
      <c r="CI50" s="100">
        <v>2639.5689167748696</v>
      </c>
      <c r="CJ50" s="100">
        <v>8.3271562423414771</v>
      </c>
      <c r="CK50" s="100">
        <v>2348.2580603402967</v>
      </c>
      <c r="CL50" s="100">
        <v>6.860856728016044</v>
      </c>
      <c r="CM50" s="100">
        <v>1934.7615973005245</v>
      </c>
      <c r="CN50" s="100">
        <v>5.5096617679958762E-4</v>
      </c>
      <c r="CO50" s="100">
        <v>0.15537246185748371</v>
      </c>
      <c r="CP50" s="100">
        <v>1.8199421253023802</v>
      </c>
      <c r="CQ50" s="100">
        <v>513.22367933527119</v>
      </c>
      <c r="CR50" s="100">
        <v>9.3992728350032682</v>
      </c>
      <c r="CS50" s="100">
        <v>2650.5949394709214</v>
      </c>
      <c r="CT50" s="100">
        <v>10</v>
      </c>
      <c r="CU50" s="100">
        <v>2820</v>
      </c>
    </row>
    <row r="51" spans="2:99">
      <c r="C51" s="99" t="s">
        <v>217</v>
      </c>
      <c r="D51" s="100">
        <v>6</v>
      </c>
      <c r="E51" s="100">
        <v>5126.3999999999996</v>
      </c>
      <c r="F51" s="100">
        <v>4.9596751765346667</v>
      </c>
      <c r="G51" s="100">
        <v>4237.5464708312193</v>
      </c>
      <c r="H51" s="100">
        <v>7.9553902916294978</v>
      </c>
      <c r="I51" s="100">
        <v>6797.085465168243</v>
      </c>
      <c r="J51" s="100">
        <v>7.2583904555823821E-4</v>
      </c>
      <c r="K51" s="100">
        <v>0.62015688052495876</v>
      </c>
      <c r="L51" s="100">
        <v>10.641365407614467</v>
      </c>
      <c r="M51" s="100">
        <v>9091.9826042658005</v>
      </c>
      <c r="N51" s="100">
        <v>8</v>
      </c>
      <c r="O51" s="100">
        <v>6835.2</v>
      </c>
      <c r="P51" s="100">
        <v>6</v>
      </c>
      <c r="Q51" s="100">
        <v>5126.3999999999996</v>
      </c>
      <c r="R51" s="100">
        <v>8</v>
      </c>
      <c r="S51" s="100">
        <v>6835.2</v>
      </c>
      <c r="T51" s="100">
        <v>2.4055196036387652</v>
      </c>
      <c r="U51" s="100">
        <v>2055.2759493489607</v>
      </c>
      <c r="V51" s="100">
        <v>8.595882451095024</v>
      </c>
      <c r="W51" s="100">
        <v>7344.321966215588</v>
      </c>
      <c r="X51" s="100">
        <v>11</v>
      </c>
      <c r="Y51" s="100">
        <v>9398.4</v>
      </c>
      <c r="Z51" s="100">
        <v>0.88447599491590467</v>
      </c>
      <c r="AA51" s="100">
        <v>755.69629005614888</v>
      </c>
      <c r="AB51" s="100">
        <v>2.6226773878006786</v>
      </c>
      <c r="AC51" s="100">
        <v>2240.8155601368999</v>
      </c>
      <c r="AD51" s="100">
        <v>8.4237692373713919</v>
      </c>
      <c r="AE51" s="100">
        <v>7197.2684364101169</v>
      </c>
      <c r="AF51" s="100">
        <v>9</v>
      </c>
      <c r="AG51" s="100">
        <v>7689.5999999999995</v>
      </c>
      <c r="AH51" s="100">
        <v>0.80364978542307375</v>
      </c>
      <c r="AI51" s="100">
        <v>686.6383766654742</v>
      </c>
      <c r="AJ51" s="100">
        <v>9.6813242660042699E-4</v>
      </c>
      <c r="AK51" s="100">
        <v>0.8271723452874048</v>
      </c>
      <c r="AL51" s="100">
        <v>7.2050320039286891E-4</v>
      </c>
      <c r="AM51" s="100">
        <v>0.61559793441566713</v>
      </c>
      <c r="AN51" s="100">
        <v>2.0977280033127621</v>
      </c>
      <c r="AO51" s="100">
        <v>1792.298806030424</v>
      </c>
      <c r="AP51" s="100">
        <v>6.6483250676682788</v>
      </c>
      <c r="AQ51" s="100">
        <v>5680.328937815777</v>
      </c>
      <c r="AR51" s="100">
        <v>6</v>
      </c>
      <c r="AS51" s="100">
        <v>5126.3999999999996</v>
      </c>
      <c r="AT51" s="100">
        <v>7.1405984052588245</v>
      </c>
      <c r="AU51" s="100">
        <v>6100.9272774531391</v>
      </c>
      <c r="AV51" s="100">
        <v>1.1922539197102189</v>
      </c>
      <c r="AW51" s="100">
        <v>1018.661749000411</v>
      </c>
      <c r="AX51" s="100">
        <v>6.6973143560207324</v>
      </c>
      <c r="AY51" s="100">
        <v>5722.1853857841134</v>
      </c>
      <c r="AZ51" s="100">
        <v>5.3173314072407507</v>
      </c>
      <c r="BA51" s="100">
        <v>4543.1279543464971</v>
      </c>
      <c r="BB51" s="100">
        <v>0.34164029506714205</v>
      </c>
      <c r="BC51" s="100">
        <v>291.89746810536616</v>
      </c>
      <c r="BD51" s="100">
        <v>6.8633055111517445</v>
      </c>
      <c r="BE51" s="100">
        <v>5864.0082287280502</v>
      </c>
      <c r="BF51" s="100">
        <v>8.5378156706300903</v>
      </c>
      <c r="BG51" s="100">
        <v>7294.7097089863491</v>
      </c>
      <c r="BH51" s="100">
        <v>8.2181284309440485</v>
      </c>
      <c r="BI51" s="100">
        <v>7021.5689313985949</v>
      </c>
      <c r="BJ51" s="100">
        <v>4.4110794065777359</v>
      </c>
      <c r="BK51" s="100">
        <v>3768.8262449800172</v>
      </c>
      <c r="BL51" s="100">
        <v>7.1162575898374616</v>
      </c>
      <c r="BM51" s="100">
        <v>6080.1304847571273</v>
      </c>
      <c r="BN51" s="100">
        <v>0.26849357149778524</v>
      </c>
      <c r="BO51" s="100">
        <v>229.40090748770771</v>
      </c>
      <c r="BP51" s="100">
        <v>9.1357648939994913</v>
      </c>
      <c r="BQ51" s="100">
        <v>7805.5975254331652</v>
      </c>
      <c r="BR51" s="100">
        <v>8.7302765774448083</v>
      </c>
      <c r="BS51" s="100">
        <v>7459.1483077688445</v>
      </c>
      <c r="BT51" s="100">
        <v>1.9495649543059561</v>
      </c>
      <c r="BU51" s="100">
        <v>1665.7082969590087</v>
      </c>
      <c r="BV51" s="100">
        <v>0.33033365378341012</v>
      </c>
      <c r="BW51" s="100">
        <v>282.23707379254557</v>
      </c>
      <c r="BX51" s="100">
        <v>8.0984830972610933</v>
      </c>
      <c r="BY51" s="100">
        <v>6919.3439582998781</v>
      </c>
      <c r="BZ51" s="100">
        <v>10</v>
      </c>
      <c r="CA51" s="100">
        <v>8544</v>
      </c>
      <c r="CB51" s="100">
        <v>7</v>
      </c>
      <c r="CC51" s="100">
        <v>5980.8</v>
      </c>
      <c r="CD51" s="100">
        <v>8.3935442533778701</v>
      </c>
      <c r="CE51" s="100">
        <v>7171.4442100860524</v>
      </c>
      <c r="CF51" s="100">
        <v>1.4548477920407188</v>
      </c>
      <c r="CG51" s="100">
        <v>1243.0219535195902</v>
      </c>
      <c r="CH51" s="100">
        <v>9</v>
      </c>
      <c r="CI51" s="100">
        <v>7689.5999999999995</v>
      </c>
      <c r="CJ51" s="100">
        <v>7.5701420384922509</v>
      </c>
      <c r="CK51" s="100">
        <v>6467.929357687779</v>
      </c>
      <c r="CL51" s="100">
        <v>6.0985393137920383</v>
      </c>
      <c r="CM51" s="100">
        <v>5210.5919897039175</v>
      </c>
      <c r="CN51" s="100">
        <v>5.4993194875200386E-4</v>
      </c>
      <c r="CO51" s="100">
        <v>0.46986185701371208</v>
      </c>
      <c r="CP51" s="100">
        <v>1.6177315610630236</v>
      </c>
      <c r="CQ51" s="100">
        <v>1382.1898457722473</v>
      </c>
      <c r="CR51" s="100">
        <v>9.3992728350032682</v>
      </c>
      <c r="CS51" s="100">
        <v>8030.7387102267921</v>
      </c>
      <c r="CT51" s="100">
        <v>11</v>
      </c>
      <c r="CU51" s="100">
        <v>9398.4</v>
      </c>
    </row>
    <row r="52" spans="2:99">
      <c r="C52" s="99" t="s">
        <v>218</v>
      </c>
      <c r="D52" s="100">
        <v>7</v>
      </c>
      <c r="E52" s="100">
        <v>3780</v>
      </c>
      <c r="F52" s="100">
        <v>4.9596751765346667</v>
      </c>
      <c r="G52" s="100">
        <v>2678.2245953287202</v>
      </c>
      <c r="H52" s="100">
        <v>7.9553902916294978</v>
      </c>
      <c r="I52" s="100">
        <v>4295.9107574799291</v>
      </c>
      <c r="J52" s="100">
        <v>7.9468977425387326E-4</v>
      </c>
      <c r="K52" s="100">
        <v>0.42913247809709154</v>
      </c>
      <c r="L52" s="100">
        <v>10.641365407614467</v>
      </c>
      <c r="M52" s="100">
        <v>5746.337320111812</v>
      </c>
      <c r="N52" s="100">
        <v>9</v>
      </c>
      <c r="O52" s="100">
        <v>4860</v>
      </c>
      <c r="P52" s="100">
        <v>6</v>
      </c>
      <c r="Q52" s="100">
        <v>3240</v>
      </c>
      <c r="R52" s="100">
        <v>8</v>
      </c>
      <c r="S52" s="100">
        <v>4320</v>
      </c>
      <c r="T52" s="100">
        <v>2.4055196036387652</v>
      </c>
      <c r="U52" s="100">
        <v>1298.9805859649332</v>
      </c>
      <c r="V52" s="100">
        <v>9.595882451095024</v>
      </c>
      <c r="W52" s="100">
        <v>5181.776523591313</v>
      </c>
      <c r="X52" s="100">
        <v>11</v>
      </c>
      <c r="Y52" s="100">
        <v>5940</v>
      </c>
      <c r="Z52" s="100">
        <v>0.88447599491590467</v>
      </c>
      <c r="AA52" s="100">
        <v>477.61703725458852</v>
      </c>
      <c r="AB52" s="100">
        <v>2.3842521707278896</v>
      </c>
      <c r="AC52" s="100">
        <v>1287.4961721930604</v>
      </c>
      <c r="AD52" s="100">
        <v>9.565025649828522</v>
      </c>
      <c r="AE52" s="100">
        <v>5165.1138509074017</v>
      </c>
      <c r="AF52" s="100">
        <v>10</v>
      </c>
      <c r="AG52" s="100">
        <v>5400</v>
      </c>
      <c r="AH52" s="100">
        <v>0.80364978542307375</v>
      </c>
      <c r="AI52" s="100">
        <v>433.97088412845983</v>
      </c>
      <c r="AJ52" s="100">
        <v>1.064945863462661E-3</v>
      </c>
      <c r="AK52" s="100">
        <v>0.575070766269837</v>
      </c>
      <c r="AL52" s="100">
        <v>6.3044160830553217E-4</v>
      </c>
      <c r="AM52" s="100">
        <v>0.34043846848498738</v>
      </c>
      <c r="AN52" s="100">
        <v>1.8646554479614139</v>
      </c>
      <c r="AO52" s="100">
        <v>1006.9139418991635</v>
      </c>
      <c r="AP52" s="100">
        <v>6.6483250676682788</v>
      </c>
      <c r="AQ52" s="100">
        <v>3590.0955365408704</v>
      </c>
      <c r="AR52" s="100">
        <v>6</v>
      </c>
      <c r="AS52" s="100">
        <v>3240</v>
      </c>
      <c r="AT52" s="100">
        <v>7.1405984052588245</v>
      </c>
      <c r="AU52" s="100">
        <v>3855.9231388397652</v>
      </c>
      <c r="AV52" s="100">
        <v>1.1843835238242497</v>
      </c>
      <c r="AW52" s="100">
        <v>639.56710286509485</v>
      </c>
      <c r="AX52" s="100">
        <v>7.6973143560207324</v>
      </c>
      <c r="AY52" s="100">
        <v>4156.549752251196</v>
      </c>
      <c r="AZ52" s="100">
        <v>6.2035533084475425</v>
      </c>
      <c r="BA52" s="100">
        <v>3349.9187865616727</v>
      </c>
      <c r="BB52" s="100">
        <v>0.34445026918019422</v>
      </c>
      <c r="BC52" s="100">
        <v>186.00314535730487</v>
      </c>
      <c r="BD52" s="100">
        <v>7.6571717526877325</v>
      </c>
      <c r="BE52" s="100">
        <v>4134.8727464513759</v>
      </c>
      <c r="BF52" s="100">
        <v>9.5378156706300903</v>
      </c>
      <c r="BG52" s="100">
        <v>5150.4204621402487</v>
      </c>
      <c r="BH52" s="100">
        <v>8.2181284309440485</v>
      </c>
      <c r="BI52" s="100">
        <v>4437.7893527097858</v>
      </c>
      <c r="BJ52" s="100">
        <v>5.1462593076740264</v>
      </c>
      <c r="BK52" s="100">
        <v>2778.9800261439741</v>
      </c>
      <c r="BL52" s="100">
        <v>7.1162575898374616</v>
      </c>
      <c r="BM52" s="100">
        <v>3842.7790985122292</v>
      </c>
      <c r="BN52" s="100">
        <v>0.26849357149778524</v>
      </c>
      <c r="BO52" s="100">
        <v>144.98652860880404</v>
      </c>
      <c r="BP52" s="100">
        <v>8.1131374116662442</v>
      </c>
      <c r="BQ52" s="100">
        <v>4381.0942022997715</v>
      </c>
      <c r="BR52" s="100">
        <v>8.7302765774448083</v>
      </c>
      <c r="BS52" s="100">
        <v>4714.3493518201967</v>
      </c>
      <c r="BT52" s="100">
        <v>1.7605348660920799</v>
      </c>
      <c r="BU52" s="100">
        <v>950.6888276897231</v>
      </c>
      <c r="BV52" s="100">
        <v>0.35997827107538588</v>
      </c>
      <c r="BW52" s="100">
        <v>194.38826638070839</v>
      </c>
      <c r="BX52" s="100">
        <v>8.0984830972610933</v>
      </c>
      <c r="BY52" s="100">
        <v>4373.1808725209903</v>
      </c>
      <c r="BZ52" s="100">
        <v>10</v>
      </c>
      <c r="CA52" s="100">
        <v>5400</v>
      </c>
      <c r="CB52" s="100">
        <v>8</v>
      </c>
      <c r="CC52" s="100">
        <v>4320</v>
      </c>
      <c r="CD52" s="100">
        <v>9.3261602815309672</v>
      </c>
      <c r="CE52" s="100">
        <v>5036.1265520267225</v>
      </c>
      <c r="CF52" s="100">
        <v>1.2863725290431072</v>
      </c>
      <c r="CG52" s="100">
        <v>694.6411656832779</v>
      </c>
      <c r="CH52" s="100">
        <v>9.3601734637406722</v>
      </c>
      <c r="CI52" s="100">
        <v>5054.4936704199627</v>
      </c>
      <c r="CJ52" s="100">
        <v>9.0841704461907025</v>
      </c>
      <c r="CK52" s="100">
        <v>4905.4520409429797</v>
      </c>
      <c r="CL52" s="100">
        <v>6.0985393137920383</v>
      </c>
      <c r="CM52" s="100">
        <v>3293.2112294477006</v>
      </c>
      <c r="CN52" s="100">
        <v>6.0873721406315157E-4</v>
      </c>
      <c r="CO52" s="100">
        <v>0.32871809559410187</v>
      </c>
      <c r="CP52" s="100">
        <v>1.6177236187026753</v>
      </c>
      <c r="CQ52" s="100">
        <v>873.57075409944468</v>
      </c>
      <c r="CR52" s="100">
        <v>9.3992728350032682</v>
      </c>
      <c r="CS52" s="100">
        <v>5075.6073309017647</v>
      </c>
      <c r="CT52" s="100">
        <v>10</v>
      </c>
      <c r="CU52" s="100">
        <v>5400</v>
      </c>
    </row>
    <row r="53" spans="2:99">
      <c r="C53" s="99" t="s">
        <v>219</v>
      </c>
      <c r="D53" s="100">
        <v>7</v>
      </c>
      <c r="E53" s="100">
        <v>2847.6</v>
      </c>
      <c r="F53" s="100">
        <v>5.7862877059571112</v>
      </c>
      <c r="G53" s="100">
        <v>2353.8618387833531</v>
      </c>
      <c r="H53" s="100">
        <v>7.9553902916294978</v>
      </c>
      <c r="I53" s="100">
        <v>3236.2527706348797</v>
      </c>
      <c r="J53" s="100">
        <v>7.9468977425387326E-4</v>
      </c>
      <c r="K53" s="100">
        <v>0.32327980016647567</v>
      </c>
      <c r="L53" s="100">
        <v>11.641365407614467</v>
      </c>
      <c r="M53" s="100">
        <v>4735.7074478175655</v>
      </c>
      <c r="N53" s="100">
        <v>8</v>
      </c>
      <c r="O53" s="100">
        <v>3254.4</v>
      </c>
      <c r="P53" s="100">
        <v>6</v>
      </c>
      <c r="Q53" s="100">
        <v>2440.8000000000002</v>
      </c>
      <c r="R53" s="100">
        <v>8</v>
      </c>
      <c r="S53" s="100">
        <v>3254.4</v>
      </c>
      <c r="T53" s="100">
        <v>2.4055196036387652</v>
      </c>
      <c r="U53" s="100">
        <v>978.56537476024971</v>
      </c>
      <c r="V53" s="100">
        <v>8.595882451095024</v>
      </c>
      <c r="W53" s="100">
        <v>3496.8049811054557</v>
      </c>
      <c r="X53" s="100">
        <v>12</v>
      </c>
      <c r="Y53" s="100">
        <v>4881.6000000000004</v>
      </c>
      <c r="Z53" s="100">
        <v>1.031888660735222</v>
      </c>
      <c r="AA53" s="100">
        <v>419.7723071870883</v>
      </c>
      <c r="AB53" s="100">
        <v>2.6226773878006786</v>
      </c>
      <c r="AC53" s="100">
        <v>1066.905161357316</v>
      </c>
      <c r="AD53" s="100">
        <v>9.565025649828522</v>
      </c>
      <c r="AE53" s="100">
        <v>3891.0524343502429</v>
      </c>
      <c r="AF53" s="100">
        <v>9</v>
      </c>
      <c r="AG53" s="100">
        <v>3661.2000000000003</v>
      </c>
      <c r="AH53" s="100">
        <v>0.70319356224518947</v>
      </c>
      <c r="AI53" s="100">
        <v>286.05914112134309</v>
      </c>
      <c r="AJ53" s="100">
        <v>1.1617593003248952E-3</v>
      </c>
      <c r="AK53" s="100">
        <v>0.4726036833721674</v>
      </c>
      <c r="AL53" s="100">
        <v>7.2050361894063599E-4</v>
      </c>
      <c r="AM53" s="100">
        <v>0.29310087218505071</v>
      </c>
      <c r="AN53" s="100">
        <v>1.8646738680322632</v>
      </c>
      <c r="AO53" s="100">
        <v>758.54932951552473</v>
      </c>
      <c r="AP53" s="100">
        <v>7.6483250676682788</v>
      </c>
      <c r="AQ53" s="100">
        <v>3111.3386375274558</v>
      </c>
      <c r="AR53" s="100">
        <v>7</v>
      </c>
      <c r="AS53" s="100">
        <v>2847.6</v>
      </c>
      <c r="AT53" s="100">
        <v>6.3471985824522896</v>
      </c>
      <c r="AU53" s="100">
        <v>2582.0403833415917</v>
      </c>
      <c r="AV53" s="100">
        <v>1.1922539197102189</v>
      </c>
      <c r="AW53" s="100">
        <v>485.00889453811703</v>
      </c>
      <c r="AX53" s="100">
        <v>7.6973143560207324</v>
      </c>
      <c r="AY53" s="100">
        <v>3131.2674800292339</v>
      </c>
      <c r="AZ53" s="100">
        <v>6.2035533084475425</v>
      </c>
      <c r="BA53" s="100">
        <v>2523.6054858764605</v>
      </c>
      <c r="BB53" s="100">
        <v>0.34304528212366814</v>
      </c>
      <c r="BC53" s="100">
        <v>139.55082076790819</v>
      </c>
      <c r="BD53" s="100">
        <v>6.863841601057362</v>
      </c>
      <c r="BE53" s="100">
        <v>2792.210763310135</v>
      </c>
      <c r="BF53" s="100">
        <v>10.53781567063009</v>
      </c>
      <c r="BG53" s="100">
        <v>4286.7834148123211</v>
      </c>
      <c r="BH53" s="100">
        <v>8.2181284309440485</v>
      </c>
      <c r="BI53" s="100">
        <v>3343.134645708039</v>
      </c>
      <c r="BJ53" s="100">
        <v>5.1462593076740264</v>
      </c>
      <c r="BK53" s="100">
        <v>2093.4982863617938</v>
      </c>
      <c r="BL53" s="100">
        <v>7.1152765555708601</v>
      </c>
      <c r="BM53" s="100">
        <v>2894.4945028062261</v>
      </c>
      <c r="BN53" s="100">
        <v>0.26849357149778524</v>
      </c>
      <c r="BO53" s="100">
        <v>109.22318488529903</v>
      </c>
      <c r="BP53" s="100">
        <v>8.1357648939994913</v>
      </c>
      <c r="BQ53" s="100">
        <v>3309.6291588789932</v>
      </c>
      <c r="BR53" s="100">
        <v>8.7302765774448083</v>
      </c>
      <c r="BS53" s="100">
        <v>3551.4765117045481</v>
      </c>
      <c r="BT53" s="100">
        <v>1.9495649543059561</v>
      </c>
      <c r="BU53" s="100">
        <v>793.08302341166302</v>
      </c>
      <c r="BV53" s="100">
        <v>0.30047689331285049</v>
      </c>
      <c r="BW53" s="100">
        <v>122.23400019966758</v>
      </c>
      <c r="BX53" s="100">
        <v>8.0984830972610933</v>
      </c>
      <c r="BY53" s="100">
        <v>3294.4629239658129</v>
      </c>
      <c r="BZ53" s="100">
        <v>10</v>
      </c>
      <c r="CA53" s="100">
        <v>4068</v>
      </c>
      <c r="CB53" s="100">
        <v>9</v>
      </c>
      <c r="CC53" s="100">
        <v>3661.2000000000003</v>
      </c>
      <c r="CD53" s="100">
        <v>8.3935442533778701</v>
      </c>
      <c r="CE53" s="100">
        <v>3414.4938022741176</v>
      </c>
      <c r="CF53" s="100">
        <v>1.4619841712447073</v>
      </c>
      <c r="CG53" s="100">
        <v>594.7351608623469</v>
      </c>
      <c r="CH53" s="100">
        <v>9</v>
      </c>
      <c r="CI53" s="100">
        <v>3661.2000000000003</v>
      </c>
      <c r="CJ53" s="100">
        <v>7.5701420384922509</v>
      </c>
      <c r="CK53" s="100">
        <v>3079.5337812586477</v>
      </c>
      <c r="CL53" s="100">
        <v>6.860856728016044</v>
      </c>
      <c r="CM53" s="100">
        <v>2790.9965169569268</v>
      </c>
      <c r="CN53" s="100">
        <v>5.4993194875200386E-4</v>
      </c>
      <c r="CO53" s="100">
        <v>0.22371231675231518</v>
      </c>
      <c r="CP53" s="100">
        <v>1.8199418217954206</v>
      </c>
      <c r="CQ53" s="100">
        <v>740.35233310637716</v>
      </c>
      <c r="CR53" s="100">
        <v>9.3992728350032682</v>
      </c>
      <c r="CS53" s="100">
        <v>3823.6241892793296</v>
      </c>
      <c r="CT53" s="100">
        <v>11</v>
      </c>
      <c r="CU53" s="100">
        <v>4474.8</v>
      </c>
    </row>
    <row r="54" spans="2:99">
      <c r="C54" s="99" t="s">
        <v>220</v>
      </c>
      <c r="D54" s="100">
        <v>6</v>
      </c>
      <c r="E54" s="100">
        <v>2008.8000000000002</v>
      </c>
      <c r="F54" s="100">
        <v>4.9596751765346667</v>
      </c>
      <c r="G54" s="100">
        <v>1660.4992491038065</v>
      </c>
      <c r="H54" s="100">
        <v>7.9553902916294978</v>
      </c>
      <c r="I54" s="100">
        <v>2663.4646696375557</v>
      </c>
      <c r="J54" s="100">
        <v>6.8850728695634929E-4</v>
      </c>
      <c r="K54" s="100">
        <v>0.23051223967298576</v>
      </c>
      <c r="L54" s="100">
        <v>11.641365407614467</v>
      </c>
      <c r="M54" s="100">
        <v>3897.5291384693237</v>
      </c>
      <c r="N54" s="100">
        <v>9</v>
      </c>
      <c r="O54" s="100">
        <v>3013.2000000000003</v>
      </c>
      <c r="P54" s="100">
        <v>7</v>
      </c>
      <c r="Q54" s="100">
        <v>2343.6</v>
      </c>
      <c r="R54" s="100">
        <v>8</v>
      </c>
      <c r="S54" s="100">
        <v>2678.4</v>
      </c>
      <c r="T54" s="100">
        <v>2.1382396476789025</v>
      </c>
      <c r="U54" s="100">
        <v>715.8826340428966</v>
      </c>
      <c r="V54" s="100">
        <v>8.595882451095024</v>
      </c>
      <c r="W54" s="100">
        <v>2877.9014446266142</v>
      </c>
      <c r="X54" s="100">
        <v>11</v>
      </c>
      <c r="Y54" s="100">
        <v>3682.8</v>
      </c>
      <c r="Z54" s="100">
        <v>1.031888660735222</v>
      </c>
      <c r="AA54" s="100">
        <v>345.47632361415236</v>
      </c>
      <c r="AB54" s="100">
        <v>2.3842521707278896</v>
      </c>
      <c r="AC54" s="100">
        <v>798.24762675969748</v>
      </c>
      <c r="AD54" s="100">
        <v>8.565025649828522</v>
      </c>
      <c r="AE54" s="100">
        <v>2867.5705875625895</v>
      </c>
      <c r="AF54" s="100">
        <v>8</v>
      </c>
      <c r="AG54" s="100">
        <v>2678.4</v>
      </c>
      <c r="AH54" s="100">
        <v>0.70319356224518947</v>
      </c>
      <c r="AI54" s="100">
        <v>235.42920463968943</v>
      </c>
      <c r="AJ54" s="100">
        <v>1.064945863462661E-3</v>
      </c>
      <c r="AK54" s="100">
        <v>0.35654387508729896</v>
      </c>
      <c r="AL54" s="100">
        <v>8.1056604812350668E-4</v>
      </c>
      <c r="AM54" s="100">
        <v>0.27137751291175005</v>
      </c>
      <c r="AN54" s="100">
        <v>2.0977457609499957</v>
      </c>
      <c r="AO54" s="100">
        <v>702.32528076605854</v>
      </c>
      <c r="AP54" s="100">
        <v>7.6483250676682788</v>
      </c>
      <c r="AQ54" s="100">
        <v>2560.65923265534</v>
      </c>
      <c r="AR54" s="100">
        <v>6</v>
      </c>
      <c r="AS54" s="100">
        <v>2008.8000000000002</v>
      </c>
      <c r="AT54" s="100">
        <v>7.9339982280653611</v>
      </c>
      <c r="AU54" s="100">
        <v>2656.3026067562828</v>
      </c>
      <c r="AV54" s="100">
        <v>1.1843835238242497</v>
      </c>
      <c r="AW54" s="100">
        <v>396.53160377635879</v>
      </c>
      <c r="AX54" s="100">
        <v>7.6973143560207324</v>
      </c>
      <c r="AY54" s="100">
        <v>2577.0608463957415</v>
      </c>
      <c r="AZ54" s="100">
        <v>6.2035533084475425</v>
      </c>
      <c r="BA54" s="100">
        <v>2076.9496476682375</v>
      </c>
      <c r="BB54" s="100">
        <v>0.37423121686218341</v>
      </c>
      <c r="BC54" s="100">
        <v>125.29261140545901</v>
      </c>
      <c r="BD54" s="100">
        <v>7.5633415317970201</v>
      </c>
      <c r="BE54" s="100">
        <v>2532.2067448456423</v>
      </c>
      <c r="BF54" s="100">
        <v>8.5378156706300903</v>
      </c>
      <c r="BG54" s="100">
        <v>2858.4606865269543</v>
      </c>
      <c r="BH54" s="100">
        <v>8.2181284309440485</v>
      </c>
      <c r="BI54" s="100">
        <v>2751.4293986800676</v>
      </c>
      <c r="BJ54" s="100">
        <v>4.4110794065777359</v>
      </c>
      <c r="BK54" s="100">
        <v>1476.829385322226</v>
      </c>
      <c r="BL54" s="100">
        <v>6.480446823172664</v>
      </c>
      <c r="BM54" s="100">
        <v>2169.6535963982078</v>
      </c>
      <c r="BN54" s="100">
        <v>0.26849357149778524</v>
      </c>
      <c r="BO54" s="100">
        <v>89.891647737458499</v>
      </c>
      <c r="BP54" s="100">
        <v>8.1357648939994913</v>
      </c>
      <c r="BQ54" s="100">
        <v>2723.8540865110299</v>
      </c>
      <c r="BR54" s="100">
        <v>7.7602458466176074</v>
      </c>
      <c r="BS54" s="100">
        <v>2598.1303094475752</v>
      </c>
      <c r="BT54" s="100">
        <v>2.1470613385437174</v>
      </c>
      <c r="BU54" s="100">
        <v>718.83613614443664</v>
      </c>
      <c r="BV54" s="100">
        <v>0.35997827107538588</v>
      </c>
      <c r="BW54" s="100">
        <v>120.52072515603919</v>
      </c>
      <c r="BX54" s="100">
        <v>8.0984830972610933</v>
      </c>
      <c r="BY54" s="100">
        <v>2711.3721409630143</v>
      </c>
      <c r="BZ54" s="100">
        <v>9</v>
      </c>
      <c r="CA54" s="100">
        <v>3013.2000000000003</v>
      </c>
      <c r="CB54" s="100">
        <v>9</v>
      </c>
      <c r="CC54" s="100">
        <v>3013.2000000000003</v>
      </c>
      <c r="CD54" s="100">
        <v>9.3261602815309672</v>
      </c>
      <c r="CE54" s="100">
        <v>3122.3984622565681</v>
      </c>
      <c r="CF54" s="100">
        <v>1.4548477920407188</v>
      </c>
      <c r="CG54" s="100">
        <v>487.08304077523269</v>
      </c>
      <c r="CH54" s="100">
        <v>10</v>
      </c>
      <c r="CI54" s="100">
        <v>3348</v>
      </c>
      <c r="CJ54" s="100">
        <v>7.5701420384922509</v>
      </c>
      <c r="CK54" s="100">
        <v>2534.4835544872058</v>
      </c>
      <c r="CL54" s="100">
        <v>6.0985393137920383</v>
      </c>
      <c r="CM54" s="100">
        <v>2041.7909622575744</v>
      </c>
      <c r="CN54" s="100">
        <v>5.4993194875200386E-4</v>
      </c>
      <c r="CO54" s="100">
        <v>0.18411721644217091</v>
      </c>
      <c r="CP54" s="100">
        <v>1.6177315610630236</v>
      </c>
      <c r="CQ54" s="100">
        <v>541.61652664390033</v>
      </c>
      <c r="CR54" s="100">
        <v>9.3992728350032682</v>
      </c>
      <c r="CS54" s="100">
        <v>3146.8765451590943</v>
      </c>
      <c r="CT54" s="100">
        <v>10</v>
      </c>
      <c r="CU54" s="100">
        <v>3348</v>
      </c>
    </row>
    <row r="55" spans="2:99">
      <c r="C55" s="99" t="s">
        <v>221</v>
      </c>
      <c r="D55" s="100">
        <v>6</v>
      </c>
      <c r="E55" s="100">
        <v>3981.6000000000004</v>
      </c>
      <c r="F55" s="100">
        <v>4.9596751765346667</v>
      </c>
      <c r="G55" s="100">
        <v>3291.2404471484051</v>
      </c>
      <c r="H55" s="100">
        <v>7.9553902916294978</v>
      </c>
      <c r="I55" s="100">
        <v>5279.1969975253351</v>
      </c>
      <c r="J55" s="100">
        <v>7.5735801565198413E-4</v>
      </c>
      <c r="K55" s="100">
        <v>0.50258277918665673</v>
      </c>
      <c r="L55" s="100">
        <v>12.641365407614467</v>
      </c>
      <c r="M55" s="100">
        <v>8388.8100844929613</v>
      </c>
      <c r="N55" s="100">
        <v>8</v>
      </c>
      <c r="O55" s="100">
        <v>5308.8</v>
      </c>
      <c r="P55" s="100">
        <v>6</v>
      </c>
      <c r="Q55" s="100">
        <v>3981.6000000000004</v>
      </c>
      <c r="R55" s="100">
        <v>8</v>
      </c>
      <c r="S55" s="100">
        <v>5308.8</v>
      </c>
      <c r="T55" s="100">
        <v>2.4055196036387652</v>
      </c>
      <c r="U55" s="100">
        <v>1596.3028089746847</v>
      </c>
      <c r="V55" s="100">
        <v>8.595882451095024</v>
      </c>
      <c r="W55" s="100">
        <v>5704.2275945466581</v>
      </c>
      <c r="X55" s="100">
        <v>10</v>
      </c>
      <c r="Y55" s="100">
        <v>6636</v>
      </c>
      <c r="Z55" s="100">
        <v>0.88447599491590467</v>
      </c>
      <c r="AA55" s="100">
        <v>586.93827022619439</v>
      </c>
      <c r="AB55" s="100">
        <v>2.6226773878006786</v>
      </c>
      <c r="AC55" s="100">
        <v>1740.4087145445303</v>
      </c>
      <c r="AD55" s="100">
        <v>8.565025649828522</v>
      </c>
      <c r="AE55" s="100">
        <v>5683.7510212262077</v>
      </c>
      <c r="AF55" s="100">
        <v>8</v>
      </c>
      <c r="AG55" s="100">
        <v>5308.8</v>
      </c>
      <c r="AH55" s="100">
        <v>0.80364978542307375</v>
      </c>
      <c r="AI55" s="100">
        <v>533.3019976067518</v>
      </c>
      <c r="AJ55" s="100">
        <v>1.0649463489681397E-3</v>
      </c>
      <c r="AK55" s="100">
        <v>0.70669839717525751</v>
      </c>
      <c r="AL55" s="100">
        <v>6.304411897577652E-4</v>
      </c>
      <c r="AM55" s="100">
        <v>0.41836077352325302</v>
      </c>
      <c r="AN55" s="100">
        <v>1.8646554479614139</v>
      </c>
      <c r="AO55" s="100">
        <v>1237.3853552671944</v>
      </c>
      <c r="AP55" s="100">
        <v>6.6483250676682788</v>
      </c>
      <c r="AQ55" s="100">
        <v>4411.8285149046696</v>
      </c>
      <c r="AR55" s="100">
        <v>6</v>
      </c>
      <c r="AS55" s="100">
        <v>3981.6000000000004</v>
      </c>
      <c r="AT55" s="100">
        <v>6.3471985824522896</v>
      </c>
      <c r="AU55" s="100">
        <v>4212.0009793153395</v>
      </c>
      <c r="AV55" s="100">
        <v>1.1922539197102189</v>
      </c>
      <c r="AW55" s="100">
        <v>791.17970111970124</v>
      </c>
      <c r="AX55" s="100">
        <v>6.6973143560207324</v>
      </c>
      <c r="AY55" s="100">
        <v>4444.3378066553578</v>
      </c>
      <c r="AZ55" s="100">
        <v>6.2035533084475425</v>
      </c>
      <c r="BA55" s="100">
        <v>4116.6779754857889</v>
      </c>
      <c r="BB55" s="100">
        <v>0.34304528212366814</v>
      </c>
      <c r="BC55" s="100">
        <v>227.64484921726617</v>
      </c>
      <c r="BD55" s="100">
        <v>7.6566356627821168</v>
      </c>
      <c r="BE55" s="100">
        <v>5080.9434258222127</v>
      </c>
      <c r="BF55" s="100">
        <v>8.4481797255250761</v>
      </c>
      <c r="BG55" s="100">
        <v>5606.2120658584408</v>
      </c>
      <c r="BH55" s="100">
        <v>8.2181284309440485</v>
      </c>
      <c r="BI55" s="100">
        <v>5453.550026774471</v>
      </c>
      <c r="BJ55" s="100">
        <v>5.1462593076740264</v>
      </c>
      <c r="BK55" s="100">
        <v>3415.0576765724841</v>
      </c>
      <c r="BL55" s="100">
        <v>6.4794657889060652</v>
      </c>
      <c r="BM55" s="100">
        <v>4299.7734975180647</v>
      </c>
      <c r="BN55" s="100">
        <v>0.26872578944980163</v>
      </c>
      <c r="BO55" s="100">
        <v>178.32643387888837</v>
      </c>
      <c r="BP55" s="100">
        <v>8.1131374116662442</v>
      </c>
      <c r="BQ55" s="100">
        <v>5383.8779863817199</v>
      </c>
      <c r="BR55" s="100">
        <v>7.7602458466176074</v>
      </c>
      <c r="BS55" s="100">
        <v>5149.6991438154446</v>
      </c>
      <c r="BT55" s="100">
        <v>1.7605348660920799</v>
      </c>
      <c r="BU55" s="100">
        <v>1168.2909371387043</v>
      </c>
      <c r="BV55" s="100">
        <v>0.33012151060482631</v>
      </c>
      <c r="BW55" s="100">
        <v>219.06863443736273</v>
      </c>
      <c r="BX55" s="100">
        <v>8.123103871576367</v>
      </c>
      <c r="BY55" s="100">
        <v>5390.4917291780775</v>
      </c>
      <c r="BZ55" s="100">
        <v>9</v>
      </c>
      <c r="CA55" s="100">
        <v>5972.4000000000005</v>
      </c>
      <c r="CB55" s="100">
        <v>8</v>
      </c>
      <c r="CC55" s="100">
        <v>5308.8</v>
      </c>
      <c r="CD55" s="100">
        <v>8.3935442533778701</v>
      </c>
      <c r="CE55" s="100">
        <v>5569.9559665415545</v>
      </c>
      <c r="CF55" s="100">
        <v>1.2792361498391189</v>
      </c>
      <c r="CG55" s="100">
        <v>848.90110903323932</v>
      </c>
      <c r="CH55" s="100">
        <v>10</v>
      </c>
      <c r="CI55" s="100">
        <v>6636</v>
      </c>
      <c r="CJ55" s="100">
        <v>8.3271562423414771</v>
      </c>
      <c r="CK55" s="100">
        <v>5525.9008824178045</v>
      </c>
      <c r="CL55" s="100">
        <v>6.0985393137920383</v>
      </c>
      <c r="CM55" s="100">
        <v>4046.9906886323965</v>
      </c>
      <c r="CN55" s="100">
        <v>5.4993194875200386E-4</v>
      </c>
      <c r="CO55" s="100">
        <v>0.36493484119182978</v>
      </c>
      <c r="CP55" s="100">
        <v>1.8199338794350723</v>
      </c>
      <c r="CQ55" s="100">
        <v>1207.7081223931141</v>
      </c>
      <c r="CR55" s="100">
        <v>8.3992728350032682</v>
      </c>
      <c r="CS55" s="100">
        <v>5573.7574533081688</v>
      </c>
      <c r="CT55" s="100">
        <v>9</v>
      </c>
      <c r="CU55" s="100">
        <v>5972.4000000000005</v>
      </c>
    </row>
    <row r="56" spans="2:99">
      <c r="C56" s="99" t="s">
        <v>222</v>
      </c>
      <c r="D56" s="100">
        <v>6.05246913580247</v>
      </c>
      <c r="E56" s="100">
        <v>5941.103703703704</v>
      </c>
      <c r="F56" s="100">
        <v>0.4644493797545507</v>
      </c>
      <c r="G56" s="100">
        <v>455.90351116706694</v>
      </c>
      <c r="H56" s="100">
        <v>9.3869435568295163</v>
      </c>
      <c r="I56" s="100">
        <v>9214.2237953838521</v>
      </c>
      <c r="J56" s="100">
        <v>11</v>
      </c>
      <c r="K56" s="100">
        <v>10797.599999999999</v>
      </c>
      <c r="L56" s="100">
        <v>10.099353669549235</v>
      </c>
      <c r="M56" s="100">
        <v>9913.5255620295284</v>
      </c>
      <c r="N56" s="100">
        <v>6.9661020644377123</v>
      </c>
      <c r="O56" s="100">
        <v>6837.9257864520578</v>
      </c>
      <c r="P56" s="100">
        <v>5</v>
      </c>
      <c r="Q56" s="100">
        <v>4908</v>
      </c>
      <c r="R56" s="100">
        <v>3.4472324712435918</v>
      </c>
      <c r="S56" s="100">
        <v>3383.8033937727096</v>
      </c>
      <c r="T56" s="100">
        <v>6.8441136745591482</v>
      </c>
      <c r="U56" s="100">
        <v>6718.1819829472597</v>
      </c>
      <c r="V56" s="100">
        <v>6.6589942512288918</v>
      </c>
      <c r="W56" s="100">
        <v>6536.4687570062797</v>
      </c>
      <c r="X56" s="100">
        <v>10.099940511600236</v>
      </c>
      <c r="Y56" s="100">
        <v>9914.1016061867904</v>
      </c>
      <c r="Z56" s="100">
        <v>7</v>
      </c>
      <c r="AA56" s="100">
        <v>6871.1999999999989</v>
      </c>
      <c r="AB56" s="100">
        <v>11</v>
      </c>
      <c r="AC56" s="100">
        <v>10797.599999999999</v>
      </c>
      <c r="AD56" s="100">
        <v>3.4986921204170449</v>
      </c>
      <c r="AE56" s="100">
        <v>3434.3161854013711</v>
      </c>
      <c r="AF56" s="100">
        <v>8</v>
      </c>
      <c r="AG56" s="100">
        <v>7852.7999999999993</v>
      </c>
      <c r="AH56" s="100">
        <v>8</v>
      </c>
      <c r="AI56" s="100">
        <v>7852.7999999999993</v>
      </c>
      <c r="AJ56" s="100">
        <v>10</v>
      </c>
      <c r="AK56" s="100">
        <v>9816</v>
      </c>
      <c r="AL56" s="100">
        <v>3.3909202065428117</v>
      </c>
      <c r="AM56" s="100">
        <v>3328.5272747424237</v>
      </c>
      <c r="AN56" s="100">
        <v>8</v>
      </c>
      <c r="AO56" s="100">
        <v>7852.7999999999993</v>
      </c>
      <c r="AP56" s="100">
        <v>5.081454268996767</v>
      </c>
      <c r="AQ56" s="100">
        <v>4987.9555104472256</v>
      </c>
      <c r="AR56" s="100">
        <v>5</v>
      </c>
      <c r="AS56" s="100">
        <v>4908</v>
      </c>
      <c r="AT56" s="100">
        <v>4.742562241242001</v>
      </c>
      <c r="AU56" s="100">
        <v>4655.2990960031475</v>
      </c>
      <c r="AV56" s="100">
        <v>5.9329128197715884</v>
      </c>
      <c r="AW56" s="100">
        <v>5823.7472238877908</v>
      </c>
      <c r="AX56" s="100">
        <v>5.4482209942780386</v>
      </c>
      <c r="AY56" s="100">
        <v>5347.9737279833225</v>
      </c>
      <c r="AZ56" s="100">
        <v>7.1104656151208276</v>
      </c>
      <c r="BA56" s="100">
        <v>6979.6330478026039</v>
      </c>
      <c r="BB56" s="100">
        <v>3.4798458697690604</v>
      </c>
      <c r="BC56" s="100">
        <v>3415.8167057653095</v>
      </c>
      <c r="BD56" s="100">
        <v>7.4345973300076942</v>
      </c>
      <c r="BE56" s="100">
        <v>7297.8007391355522</v>
      </c>
      <c r="BF56" s="100">
        <v>4.8960715399774548</v>
      </c>
      <c r="BG56" s="100">
        <v>4805.9838236418691</v>
      </c>
      <c r="BH56" s="100">
        <v>8.354983060392609</v>
      </c>
      <c r="BI56" s="100">
        <v>8201.251372081384</v>
      </c>
      <c r="BJ56" s="100">
        <v>5.1696404348572376</v>
      </c>
      <c r="BK56" s="100">
        <v>5074.5190508558635</v>
      </c>
      <c r="BL56" s="100">
        <v>7.1189799687446778</v>
      </c>
      <c r="BM56" s="100">
        <v>6987.9907373197748</v>
      </c>
      <c r="BN56" s="100">
        <v>6.0765059325023989</v>
      </c>
      <c r="BO56" s="100">
        <v>5964.6982233443541</v>
      </c>
      <c r="BP56" s="100">
        <v>8.7716970070407818</v>
      </c>
      <c r="BQ56" s="100">
        <v>8610.2977821112308</v>
      </c>
      <c r="BR56" s="100">
        <v>6.3386957745349806</v>
      </c>
      <c r="BS56" s="100">
        <v>6222.0637722835363</v>
      </c>
      <c r="BT56" s="100">
        <v>8.5330554585961309</v>
      </c>
      <c r="BU56" s="100">
        <v>8376.0472381579621</v>
      </c>
      <c r="BV56" s="100">
        <v>5.0720989551619526</v>
      </c>
      <c r="BW56" s="100">
        <v>4978.772334386972</v>
      </c>
      <c r="BX56" s="100">
        <v>2.3835681944258615</v>
      </c>
      <c r="BY56" s="100">
        <v>2339.7105396484253</v>
      </c>
      <c r="BZ56" s="100">
        <v>6.0568189589783223</v>
      </c>
      <c r="CA56" s="100">
        <v>5945.3734901331209</v>
      </c>
      <c r="CB56" s="100">
        <v>4.2017438042958029</v>
      </c>
      <c r="CC56" s="100">
        <v>4124.4317182967598</v>
      </c>
      <c r="CD56" s="100">
        <v>9.4298764055157687</v>
      </c>
      <c r="CE56" s="100">
        <v>9256.3666796542784</v>
      </c>
      <c r="CF56" s="100">
        <v>6.7051294059941773</v>
      </c>
      <c r="CG56" s="100">
        <v>6581.7550249238839</v>
      </c>
      <c r="CH56" s="100">
        <v>8.2285714285714313</v>
      </c>
      <c r="CI56" s="100">
        <v>8077.1657142857166</v>
      </c>
      <c r="CJ56" s="100">
        <v>7.7410406505646252</v>
      </c>
      <c r="CK56" s="100">
        <v>7598.6055025942351</v>
      </c>
      <c r="CL56" s="100">
        <v>9.3898969371461742</v>
      </c>
      <c r="CM56" s="100">
        <v>9217.1228335026844</v>
      </c>
      <c r="CN56" s="100">
        <v>6.1007665342733945</v>
      </c>
      <c r="CO56" s="100">
        <v>5988.5124300427633</v>
      </c>
      <c r="CP56" s="100">
        <v>9.0126511568851893</v>
      </c>
      <c r="CQ56" s="100">
        <v>8846.818375598501</v>
      </c>
      <c r="CR56" s="100">
        <v>7.9474111269756733</v>
      </c>
      <c r="CS56" s="100">
        <v>7801.1787622393203</v>
      </c>
      <c r="CT56" s="100">
        <v>5.7509613209709487</v>
      </c>
      <c r="CU56" s="100">
        <v>5645.1436326650828</v>
      </c>
    </row>
    <row r="57" spans="2:99">
      <c r="C57" s="99" t="s">
        <v>223</v>
      </c>
      <c r="D57" s="100">
        <v>5</v>
      </c>
      <c r="E57" s="100">
        <v>7056</v>
      </c>
      <c r="F57" s="100">
        <v>4.9596751765346667</v>
      </c>
      <c r="G57" s="100">
        <v>6999.0936091257217</v>
      </c>
      <c r="H57" s="100">
        <v>7.9553902916294978</v>
      </c>
      <c r="I57" s="100">
        <v>11226.646779547547</v>
      </c>
      <c r="J57" s="100">
        <v>6.8850728695634929E-4</v>
      </c>
      <c r="K57" s="100">
        <v>0.97162148335280019</v>
      </c>
      <c r="L57" s="100">
        <v>10.641365407614467</v>
      </c>
      <c r="M57" s="100">
        <v>15017.094863225537</v>
      </c>
      <c r="N57" s="100">
        <v>8</v>
      </c>
      <c r="O57" s="100">
        <v>11289.6</v>
      </c>
      <c r="P57" s="100">
        <v>6</v>
      </c>
      <c r="Q57" s="100">
        <v>8467.2000000000007</v>
      </c>
      <c r="R57" s="100">
        <v>9</v>
      </c>
      <c r="S57" s="100">
        <v>12700.800000000001</v>
      </c>
      <c r="T57" s="100">
        <v>2.1382396476789025</v>
      </c>
      <c r="U57" s="100">
        <v>3017.4837908044674</v>
      </c>
      <c r="V57" s="100">
        <v>8.595882451095024</v>
      </c>
      <c r="W57" s="100">
        <v>12130.509314985298</v>
      </c>
      <c r="X57" s="100">
        <v>11</v>
      </c>
      <c r="Y57" s="100">
        <v>15523.2</v>
      </c>
      <c r="Z57" s="100">
        <v>1.031888660735222</v>
      </c>
      <c r="AA57" s="100">
        <v>1456.2012780295454</v>
      </c>
      <c r="AB57" s="100">
        <v>2.6226773878006786</v>
      </c>
      <c r="AC57" s="100">
        <v>3701.1223296643179</v>
      </c>
      <c r="AD57" s="100">
        <v>7.423769237371391</v>
      </c>
      <c r="AE57" s="100">
        <v>10476.423147778507</v>
      </c>
      <c r="AF57" s="100">
        <v>9</v>
      </c>
      <c r="AG57" s="100">
        <v>12700.800000000001</v>
      </c>
      <c r="AH57" s="100">
        <v>0.70319356224518947</v>
      </c>
      <c r="AI57" s="100">
        <v>992.34675504041138</v>
      </c>
      <c r="AJ57" s="100">
        <v>9.6813291210590569E-4</v>
      </c>
      <c r="AK57" s="100">
        <v>1.3662291655638541</v>
      </c>
      <c r="AL57" s="100">
        <v>7.2050361894063599E-4</v>
      </c>
      <c r="AM57" s="100">
        <v>1.0167747070490256</v>
      </c>
      <c r="AN57" s="100">
        <v>1.6315835550436815</v>
      </c>
      <c r="AO57" s="100">
        <v>2302.4907128776435</v>
      </c>
      <c r="AP57" s="100">
        <v>7.6483250676682788</v>
      </c>
      <c r="AQ57" s="100">
        <v>10793.316335493475</v>
      </c>
      <c r="AR57" s="100">
        <v>5</v>
      </c>
      <c r="AS57" s="100">
        <v>7056</v>
      </c>
      <c r="AT57" s="100">
        <v>7.1405984052588245</v>
      </c>
      <c r="AU57" s="100">
        <v>10076.812469501254</v>
      </c>
      <c r="AV57" s="100">
        <v>1.1922539197102189</v>
      </c>
      <c r="AW57" s="100">
        <v>1682.5087314950608</v>
      </c>
      <c r="AX57" s="100">
        <v>6.5810952966839436</v>
      </c>
      <c r="AY57" s="100">
        <v>9287.2416826803819</v>
      </c>
      <c r="AZ57" s="100">
        <v>5.3173314072407507</v>
      </c>
      <c r="BA57" s="100">
        <v>7503.8180818981473</v>
      </c>
      <c r="BB57" s="100">
        <v>0.34304528212366814</v>
      </c>
      <c r="BC57" s="100">
        <v>484.10550213292049</v>
      </c>
      <c r="BD57" s="100">
        <v>6.1643416703177047</v>
      </c>
      <c r="BE57" s="100">
        <v>8699.1189651523455</v>
      </c>
      <c r="BF57" s="100">
        <v>8.5378156706300903</v>
      </c>
      <c r="BG57" s="100">
        <v>12048.565474393185</v>
      </c>
      <c r="BH57" s="100">
        <v>8.2181284309440485</v>
      </c>
      <c r="BI57" s="100">
        <v>11597.422841748241</v>
      </c>
      <c r="BJ57" s="100">
        <v>5.1462593076740264</v>
      </c>
      <c r="BK57" s="100">
        <v>7262.4011349895864</v>
      </c>
      <c r="BL57" s="100">
        <v>7.1162575898374616</v>
      </c>
      <c r="BM57" s="100">
        <v>10042.462710778625</v>
      </c>
      <c r="BN57" s="100">
        <v>0.26826135354576874</v>
      </c>
      <c r="BO57" s="100">
        <v>378.57042212378889</v>
      </c>
      <c r="BP57" s="100">
        <v>7.1357648939994922</v>
      </c>
      <c r="BQ57" s="100">
        <v>10069.991418412084</v>
      </c>
      <c r="BR57" s="100">
        <v>7.7602458466176074</v>
      </c>
      <c r="BS57" s="100">
        <v>10951.258938746769</v>
      </c>
      <c r="BT57" s="100">
        <v>1.7605348660920799</v>
      </c>
      <c r="BU57" s="100">
        <v>2484.4668030291432</v>
      </c>
      <c r="BV57" s="100">
        <v>0.30047689331285049</v>
      </c>
      <c r="BW57" s="100">
        <v>424.03299184309463</v>
      </c>
      <c r="BX57" s="100">
        <v>7.0984830972610933</v>
      </c>
      <c r="BY57" s="100">
        <v>10017.379346854856</v>
      </c>
      <c r="BZ57" s="100">
        <v>9</v>
      </c>
      <c r="CA57" s="100">
        <v>12700.800000000001</v>
      </c>
      <c r="CB57" s="100">
        <v>7</v>
      </c>
      <c r="CC57" s="100">
        <v>9878.4</v>
      </c>
      <c r="CD57" s="100">
        <v>7.4609282252247739</v>
      </c>
      <c r="CE57" s="100">
        <v>10528.861911437201</v>
      </c>
      <c r="CF57" s="100">
        <v>1.1036245076375186</v>
      </c>
      <c r="CG57" s="100">
        <v>1557.4349051780664</v>
      </c>
      <c r="CH57" s="100">
        <v>8</v>
      </c>
      <c r="CI57" s="100">
        <v>11289.6</v>
      </c>
      <c r="CJ57" s="100">
        <v>7.5701420384922509</v>
      </c>
      <c r="CK57" s="100">
        <v>10682.984444720265</v>
      </c>
      <c r="CL57" s="100">
        <v>6.0985393137920383</v>
      </c>
      <c r="CM57" s="100">
        <v>8606.2586796233245</v>
      </c>
      <c r="CN57" s="100">
        <v>5.488977207044202E-4</v>
      </c>
      <c r="CO57" s="100">
        <v>0.77460446345807776</v>
      </c>
      <c r="CP57" s="100">
        <v>1.6177236187026753</v>
      </c>
      <c r="CQ57" s="100">
        <v>2282.9315707132155</v>
      </c>
      <c r="CR57" s="100">
        <v>9.3992728350032682</v>
      </c>
      <c r="CS57" s="100">
        <v>13264.253824756612</v>
      </c>
      <c r="CT57" s="100">
        <v>9</v>
      </c>
      <c r="CU57" s="100">
        <v>12700.800000000001</v>
      </c>
    </row>
    <row r="58" spans="2:99">
      <c r="C58" s="99" t="s">
        <v>224</v>
      </c>
      <c r="D58" s="100">
        <v>5.0872146563648668</v>
      </c>
      <c r="E58" s="100">
        <v>5988.6690934727212</v>
      </c>
      <c r="F58" s="100">
        <v>6</v>
      </c>
      <c r="G58" s="100">
        <v>7063.2000000000007</v>
      </c>
      <c r="H58" s="100">
        <v>10</v>
      </c>
      <c r="I58" s="100">
        <v>11772</v>
      </c>
      <c r="J58" s="100">
        <v>7.10151015673339</v>
      </c>
      <c r="K58" s="100">
        <v>8359.897756506547</v>
      </c>
      <c r="L58" s="100">
        <v>10</v>
      </c>
      <c r="M58" s="100">
        <v>11772</v>
      </c>
      <c r="N58" s="100">
        <v>8</v>
      </c>
      <c r="O58" s="100">
        <v>9417.6</v>
      </c>
      <c r="P58" s="100">
        <v>6</v>
      </c>
      <c r="Q58" s="100">
        <v>7063.2000000000007</v>
      </c>
      <c r="R58" s="100">
        <v>5.9961635465704379</v>
      </c>
      <c r="S58" s="100">
        <v>7058.6837270227197</v>
      </c>
      <c r="T58" s="100">
        <v>9</v>
      </c>
      <c r="U58" s="100">
        <v>10594.800000000001</v>
      </c>
      <c r="V58" s="100">
        <v>8</v>
      </c>
      <c r="W58" s="100">
        <v>9417.6</v>
      </c>
      <c r="X58" s="100">
        <v>4.7329700303660687</v>
      </c>
      <c r="Y58" s="100">
        <v>5571.652319746936</v>
      </c>
      <c r="Z58" s="100">
        <v>6</v>
      </c>
      <c r="AA58" s="100">
        <v>7063.2000000000007</v>
      </c>
      <c r="AB58" s="100">
        <v>10</v>
      </c>
      <c r="AC58" s="100">
        <v>11772</v>
      </c>
      <c r="AD58" s="100">
        <v>8</v>
      </c>
      <c r="AE58" s="100">
        <v>9417.6</v>
      </c>
      <c r="AF58" s="100">
        <v>5.8256646432318853</v>
      </c>
      <c r="AG58" s="100">
        <v>6857.9724180125759</v>
      </c>
      <c r="AH58" s="100">
        <v>6.4156705895586634E-4</v>
      </c>
      <c r="AI58" s="100">
        <v>0.75525274180284585</v>
      </c>
      <c r="AJ58" s="100">
        <v>8.9303011621327499</v>
      </c>
      <c r="AK58" s="100">
        <v>10512.750528062674</v>
      </c>
      <c r="AL58" s="100">
        <v>6.1258919608277998E-4</v>
      </c>
      <c r="AM58" s="100">
        <v>0.72114000162864866</v>
      </c>
      <c r="AN58" s="100">
        <v>4.3245533771477529</v>
      </c>
      <c r="AO58" s="100">
        <v>5090.864235578335</v>
      </c>
      <c r="AP58" s="100">
        <v>6.69785326622931</v>
      </c>
      <c r="AQ58" s="100">
        <v>7884.7128650051436</v>
      </c>
      <c r="AR58" s="100">
        <v>6</v>
      </c>
      <c r="AS58" s="100">
        <v>7063.2000000000007</v>
      </c>
      <c r="AT58" s="100">
        <v>9.0144556811421808</v>
      </c>
      <c r="AU58" s="100">
        <v>10611.817227840576</v>
      </c>
      <c r="AV58" s="100">
        <v>4.7171150495566696</v>
      </c>
      <c r="AW58" s="100">
        <v>5552.9878363381113</v>
      </c>
      <c r="AX58" s="100">
        <v>5.1455121630081413</v>
      </c>
      <c r="AY58" s="100">
        <v>6057.2969182931838</v>
      </c>
      <c r="AZ58" s="100">
        <v>7.6648060260582564</v>
      </c>
      <c r="BA58" s="100">
        <v>9023.0096538757807</v>
      </c>
      <c r="BB58" s="100">
        <v>11</v>
      </c>
      <c r="BC58" s="100">
        <v>12949.2</v>
      </c>
      <c r="BD58" s="100">
        <v>2.7935617975865554</v>
      </c>
      <c r="BE58" s="100">
        <v>3288.580948118893</v>
      </c>
      <c r="BF58" s="100">
        <v>8.592290509245748</v>
      </c>
      <c r="BG58" s="100">
        <v>10114.844387484094</v>
      </c>
      <c r="BH58" s="100">
        <v>1.4726616918883233</v>
      </c>
      <c r="BI58" s="100">
        <v>1733.6173436909341</v>
      </c>
      <c r="BJ58" s="100">
        <v>7.7702199799473455</v>
      </c>
      <c r="BK58" s="100">
        <v>9147.1029603940151</v>
      </c>
      <c r="BL58" s="100">
        <v>7.262969474407468</v>
      </c>
      <c r="BM58" s="100">
        <v>8549.967665272472</v>
      </c>
      <c r="BN58" s="100">
        <v>8</v>
      </c>
      <c r="BO58" s="100">
        <v>9417.6</v>
      </c>
      <c r="BP58" s="100">
        <v>7</v>
      </c>
      <c r="BQ58" s="100">
        <v>8240.4</v>
      </c>
      <c r="BR58" s="100">
        <v>8</v>
      </c>
      <c r="BS58" s="100">
        <v>9417.6</v>
      </c>
      <c r="BT58" s="100">
        <v>10</v>
      </c>
      <c r="BU58" s="100">
        <v>11772</v>
      </c>
      <c r="BV58" s="100">
        <v>10</v>
      </c>
      <c r="BW58" s="100">
        <v>11772</v>
      </c>
      <c r="BX58" s="100">
        <v>8</v>
      </c>
      <c r="BY58" s="100">
        <v>9417.6</v>
      </c>
      <c r="BZ58" s="100">
        <v>8</v>
      </c>
      <c r="CA58" s="100">
        <v>9417.6</v>
      </c>
      <c r="CB58" s="100">
        <v>0.73043733598313565</v>
      </c>
      <c r="CC58" s="100">
        <v>859.87083191934732</v>
      </c>
      <c r="CD58" s="100">
        <v>8</v>
      </c>
      <c r="CE58" s="100">
        <v>9417.6</v>
      </c>
      <c r="CF58" s="100">
        <v>6.8750449709692045</v>
      </c>
      <c r="CG58" s="100">
        <v>8093.3029398249482</v>
      </c>
      <c r="CH58" s="100">
        <v>7.8944166655172028</v>
      </c>
      <c r="CI58" s="100">
        <v>9293.3072986468524</v>
      </c>
      <c r="CJ58" s="100">
        <v>10</v>
      </c>
      <c r="CK58" s="100">
        <v>11772</v>
      </c>
      <c r="CL58" s="100">
        <v>5.5265286273523371</v>
      </c>
      <c r="CM58" s="100">
        <v>6505.8295001191718</v>
      </c>
      <c r="CN58" s="100">
        <v>5.7817332056402213</v>
      </c>
      <c r="CO58" s="100">
        <v>6806.2563296796689</v>
      </c>
      <c r="CP58" s="100">
        <v>9.8215245627615886</v>
      </c>
      <c r="CQ58" s="100">
        <v>11561.898715282943</v>
      </c>
      <c r="CR58" s="100">
        <v>6.9892132549967396</v>
      </c>
      <c r="CS58" s="100">
        <v>8227.7018437821625</v>
      </c>
      <c r="CT58" s="100">
        <v>11</v>
      </c>
      <c r="CU58" s="100">
        <v>12949.2</v>
      </c>
    </row>
    <row r="59" spans="2:99">
      <c r="C59" s="99" t="s">
        <v>225</v>
      </c>
      <c r="D59" s="100">
        <v>6</v>
      </c>
      <c r="E59" s="100">
        <v>1821.6</v>
      </c>
      <c r="F59" s="100">
        <v>5.7862877059571112</v>
      </c>
      <c r="G59" s="100">
        <v>1756.7169475285787</v>
      </c>
      <c r="H59" s="100">
        <v>8.8393225462549978</v>
      </c>
      <c r="I59" s="100">
        <v>2683.6183250430172</v>
      </c>
      <c r="J59" s="100">
        <v>6.8850728695634929E-4</v>
      </c>
      <c r="K59" s="100">
        <v>0.20903081231994763</v>
      </c>
      <c r="L59" s="100">
        <v>10.801706759518083</v>
      </c>
      <c r="M59" s="100">
        <v>3279.3981721896898</v>
      </c>
      <c r="N59" s="100">
        <v>9</v>
      </c>
      <c r="O59" s="100">
        <v>2732.3999999999996</v>
      </c>
      <c r="P59" s="100">
        <v>7</v>
      </c>
      <c r="Q59" s="100">
        <v>2125.1999999999998</v>
      </c>
      <c r="R59" s="100">
        <v>9</v>
      </c>
      <c r="S59" s="100">
        <v>2732.3999999999996</v>
      </c>
      <c r="T59" s="100">
        <v>2.4055196036387652</v>
      </c>
      <c r="U59" s="100">
        <v>730.31575166472896</v>
      </c>
      <c r="V59" s="100">
        <v>9.595882451095024</v>
      </c>
      <c r="W59" s="100">
        <v>2913.3099121524488</v>
      </c>
      <c r="X59" s="100">
        <v>10</v>
      </c>
      <c r="Y59" s="100">
        <v>3035.9999999999995</v>
      </c>
      <c r="Z59" s="100">
        <v>0.88447599491590467</v>
      </c>
      <c r="AA59" s="100">
        <v>268.52691205646863</v>
      </c>
      <c r="AB59" s="100">
        <v>2.7219006885476946</v>
      </c>
      <c r="AC59" s="100">
        <v>826.36904904307994</v>
      </c>
      <c r="AD59" s="100">
        <v>9.565025649828522</v>
      </c>
      <c r="AE59" s="100">
        <v>2903.941787287939</v>
      </c>
      <c r="AF59" s="100">
        <v>8</v>
      </c>
      <c r="AG59" s="100">
        <v>2428.7999999999997</v>
      </c>
      <c r="AH59" s="100">
        <v>0.90410600860095791</v>
      </c>
      <c r="AI59" s="100">
        <v>274.48658421125077</v>
      </c>
      <c r="AJ59" s="100">
        <v>9.6813291210590569E-4</v>
      </c>
      <c r="AK59" s="100">
        <v>0.29392515211535292</v>
      </c>
      <c r="AL59" s="100">
        <v>7.2050361894063599E-4</v>
      </c>
      <c r="AM59" s="100">
        <v>0.21874489871037706</v>
      </c>
      <c r="AN59" s="100">
        <v>2.0977464233836112</v>
      </c>
      <c r="AO59" s="100">
        <v>636.87581413926432</v>
      </c>
      <c r="AP59" s="100">
        <v>6.6483250676682788</v>
      </c>
      <c r="AQ59" s="100">
        <v>2018.4314905440892</v>
      </c>
      <c r="AR59" s="100">
        <v>6</v>
      </c>
      <c r="AS59" s="100">
        <v>1821.6</v>
      </c>
      <c r="AT59" s="100">
        <v>7.1405984052588245</v>
      </c>
      <c r="AU59" s="100">
        <v>2167.8856758365787</v>
      </c>
      <c r="AV59" s="100">
        <v>1.1922539197102189</v>
      </c>
      <c r="AW59" s="100">
        <v>361.96829002402239</v>
      </c>
      <c r="AX59" s="100">
        <v>7.6973143560207324</v>
      </c>
      <c r="AY59" s="100">
        <v>2336.9046384878943</v>
      </c>
      <c r="AZ59" s="100">
        <v>6.2035533084475425</v>
      </c>
      <c r="BA59" s="100">
        <v>1883.3987844446738</v>
      </c>
      <c r="BB59" s="100">
        <v>0.34445026918019422</v>
      </c>
      <c r="BC59" s="100">
        <v>104.57510172310695</v>
      </c>
      <c r="BD59" s="100">
        <v>8.3566716834273898</v>
      </c>
      <c r="BE59" s="100">
        <v>2537.0855230885554</v>
      </c>
      <c r="BF59" s="100">
        <v>9.5378156706300903</v>
      </c>
      <c r="BG59" s="100">
        <v>2895.680837603295</v>
      </c>
      <c r="BH59" s="100">
        <v>8.2181284309440485</v>
      </c>
      <c r="BI59" s="100">
        <v>2495.0237916346127</v>
      </c>
      <c r="BJ59" s="100">
        <v>5.1462593076740264</v>
      </c>
      <c r="BK59" s="100">
        <v>1562.4043258098343</v>
      </c>
      <c r="BL59" s="100">
        <v>6.4814278574392628</v>
      </c>
      <c r="BM59" s="100">
        <v>1967.76149751856</v>
      </c>
      <c r="BN59" s="100">
        <v>0.23909958635184012</v>
      </c>
      <c r="BO59" s="100">
        <v>72.590634416418652</v>
      </c>
      <c r="BP59" s="100">
        <v>8.1357648939994913</v>
      </c>
      <c r="BQ59" s="100">
        <v>2470.0182218182454</v>
      </c>
      <c r="BR59" s="100">
        <v>7.7602458466176074</v>
      </c>
      <c r="BS59" s="100">
        <v>2356.0106390331052</v>
      </c>
      <c r="BT59" s="100">
        <v>1.7690011621159651</v>
      </c>
      <c r="BU59" s="100">
        <v>537.06875281840701</v>
      </c>
      <c r="BV59" s="100">
        <v>0.33012151060482631</v>
      </c>
      <c r="BW59" s="100">
        <v>100.22489061962526</v>
      </c>
      <c r="BX59" s="100">
        <v>8.0984830972610933</v>
      </c>
      <c r="BY59" s="100">
        <v>2458.6994683284674</v>
      </c>
      <c r="BZ59" s="100">
        <v>10</v>
      </c>
      <c r="CA59" s="100">
        <v>3035.9999999999995</v>
      </c>
      <c r="CB59" s="100">
        <v>9</v>
      </c>
      <c r="CC59" s="100">
        <v>2732.3999999999996</v>
      </c>
      <c r="CD59" s="100">
        <v>9.3261602815309672</v>
      </c>
      <c r="CE59" s="100">
        <v>2831.4222614728014</v>
      </c>
      <c r="CF59" s="100">
        <v>1.2792361498391189</v>
      </c>
      <c r="CG59" s="100">
        <v>388.37609509115646</v>
      </c>
      <c r="CH59" s="100">
        <v>8</v>
      </c>
      <c r="CI59" s="100">
        <v>2428.7999999999997</v>
      </c>
      <c r="CJ59" s="100">
        <v>9.0841704461907025</v>
      </c>
      <c r="CK59" s="100">
        <v>2757.9541474634971</v>
      </c>
      <c r="CL59" s="100">
        <v>6.860856728016044</v>
      </c>
      <c r="CM59" s="100">
        <v>2082.9561026256706</v>
      </c>
      <c r="CN59" s="100">
        <v>6.0977144211073534E-4</v>
      </c>
      <c r="CO59" s="100">
        <v>0.18512660982481924</v>
      </c>
      <c r="CP59" s="100">
        <v>1.8199418217954206</v>
      </c>
      <c r="CQ59" s="100">
        <v>552.53433709708963</v>
      </c>
      <c r="CR59" s="100">
        <v>10.532363780004358</v>
      </c>
      <c r="CS59" s="100">
        <v>3197.6256436093227</v>
      </c>
      <c r="CT59" s="100">
        <v>10</v>
      </c>
      <c r="CU59" s="100">
        <v>3035.9999999999995</v>
      </c>
    </row>
    <row r="60" spans="2:99">
      <c r="C60" s="99" t="s">
        <v>226</v>
      </c>
      <c r="D60" s="100">
        <v>6</v>
      </c>
      <c r="E60" s="100">
        <v>3909.6000000000004</v>
      </c>
      <c r="F60" s="100">
        <v>4.9596751765346667</v>
      </c>
      <c r="G60" s="100">
        <v>3231.7243450299889</v>
      </c>
      <c r="H60" s="100">
        <v>7.9553902916294978</v>
      </c>
      <c r="I60" s="100">
        <v>5183.7323140257813</v>
      </c>
      <c r="J60" s="100">
        <v>7.9468977425387326E-4</v>
      </c>
      <c r="K60" s="100">
        <v>0.51781985690382382</v>
      </c>
      <c r="L60" s="100">
        <v>11.801706759518083</v>
      </c>
      <c r="M60" s="100">
        <v>7689.9921245019832</v>
      </c>
      <c r="N60" s="100">
        <v>9</v>
      </c>
      <c r="O60" s="100">
        <v>5864.4000000000005</v>
      </c>
      <c r="P60" s="100">
        <v>6</v>
      </c>
      <c r="Q60" s="100">
        <v>3909.6000000000004</v>
      </c>
      <c r="R60" s="100">
        <v>9</v>
      </c>
      <c r="S60" s="100">
        <v>5864.4000000000005</v>
      </c>
      <c r="T60" s="100">
        <v>2.1382396476789025</v>
      </c>
      <c r="U60" s="100">
        <v>1393.2769544275729</v>
      </c>
      <c r="V60" s="100">
        <v>8.595882451095024</v>
      </c>
      <c r="W60" s="100">
        <v>5601.0770051335176</v>
      </c>
      <c r="X60" s="100">
        <v>10</v>
      </c>
      <c r="Y60" s="100">
        <v>6516</v>
      </c>
      <c r="Z60" s="100">
        <v>0.88447599491590467</v>
      </c>
      <c r="AA60" s="100">
        <v>576.32455828720356</v>
      </c>
      <c r="AB60" s="100">
        <v>2.7219006885476946</v>
      </c>
      <c r="AC60" s="100">
        <v>1773.590488657678</v>
      </c>
      <c r="AD60" s="100">
        <v>8.565025649828522</v>
      </c>
      <c r="AE60" s="100">
        <v>5580.9707134282653</v>
      </c>
      <c r="AF60" s="100">
        <v>8</v>
      </c>
      <c r="AG60" s="100">
        <v>5212.8</v>
      </c>
      <c r="AH60" s="100">
        <v>0.70319356224518947</v>
      </c>
      <c r="AI60" s="100">
        <v>458.2009251589655</v>
      </c>
      <c r="AJ60" s="100">
        <v>9.6813291210590569E-4</v>
      </c>
      <c r="AK60" s="100">
        <v>0.63083540552820816</v>
      </c>
      <c r="AL60" s="100">
        <v>6.3044077120999822E-4</v>
      </c>
      <c r="AM60" s="100">
        <v>0.41079520652043483</v>
      </c>
      <c r="AN60" s="100">
        <v>1.8646561103950292</v>
      </c>
      <c r="AO60" s="100">
        <v>1215.009921533401</v>
      </c>
      <c r="AP60" s="100">
        <v>7.6483250676682788</v>
      </c>
      <c r="AQ60" s="100">
        <v>4983.6486140926509</v>
      </c>
      <c r="AR60" s="100">
        <v>6</v>
      </c>
      <c r="AS60" s="100">
        <v>3909.6000000000004</v>
      </c>
      <c r="AT60" s="100">
        <v>7.1405984052588245</v>
      </c>
      <c r="AU60" s="100">
        <v>4652.8139208666498</v>
      </c>
      <c r="AV60" s="100">
        <v>1.1922539197102189</v>
      </c>
      <c r="AW60" s="100">
        <v>776.87265408317865</v>
      </c>
      <c r="AX60" s="100">
        <v>7.6973143560207324</v>
      </c>
      <c r="AY60" s="100">
        <v>5015.5700343831095</v>
      </c>
      <c r="AZ60" s="100">
        <v>6.2035533084475425</v>
      </c>
      <c r="BA60" s="100">
        <v>4042.235335784419</v>
      </c>
      <c r="BB60" s="100">
        <v>0.37282622980565733</v>
      </c>
      <c r="BC60" s="100">
        <v>242.93357134136633</v>
      </c>
      <c r="BD60" s="100">
        <v>8.2633775524422948</v>
      </c>
      <c r="BE60" s="100">
        <v>5384.4168131713996</v>
      </c>
      <c r="BF60" s="100">
        <v>8.5378156706300903</v>
      </c>
      <c r="BG60" s="100">
        <v>5563.2406909825668</v>
      </c>
      <c r="BH60" s="100">
        <v>7.305003049728044</v>
      </c>
      <c r="BI60" s="100">
        <v>4759.9399872027934</v>
      </c>
      <c r="BJ60" s="100">
        <v>5.1462593076740264</v>
      </c>
      <c r="BK60" s="100">
        <v>3353.3025648803955</v>
      </c>
      <c r="BL60" s="100">
        <v>7.1162575898374616</v>
      </c>
      <c r="BM60" s="100">
        <v>4636.9534455380899</v>
      </c>
      <c r="BN60" s="100">
        <v>0.26849357149778524</v>
      </c>
      <c r="BO60" s="100">
        <v>174.95041118795686</v>
      </c>
      <c r="BP60" s="100">
        <v>7.1357648939994922</v>
      </c>
      <c r="BQ60" s="100">
        <v>4649.6644049300694</v>
      </c>
      <c r="BR60" s="100">
        <v>7.7602458466176074</v>
      </c>
      <c r="BS60" s="100">
        <v>5056.576193656033</v>
      </c>
      <c r="BT60" s="100">
        <v>1.9495649543059561</v>
      </c>
      <c r="BU60" s="100">
        <v>1270.336524225761</v>
      </c>
      <c r="BV60" s="100">
        <v>0.30047689331285049</v>
      </c>
      <c r="BW60" s="100">
        <v>195.79074368265339</v>
      </c>
      <c r="BX60" s="100">
        <v>8.0984830972610933</v>
      </c>
      <c r="BY60" s="100">
        <v>5276.9715861753284</v>
      </c>
      <c r="BZ60" s="100">
        <v>9</v>
      </c>
      <c r="CA60" s="100">
        <v>5864.4000000000005</v>
      </c>
      <c r="CB60" s="100">
        <v>8</v>
      </c>
      <c r="CC60" s="100">
        <v>5212.8</v>
      </c>
      <c r="CD60" s="100">
        <v>8.3935442533778701</v>
      </c>
      <c r="CE60" s="100">
        <v>5469.2334355010207</v>
      </c>
      <c r="CF60" s="100">
        <v>1.4548477920407188</v>
      </c>
      <c r="CG60" s="100">
        <v>947.97882129373238</v>
      </c>
      <c r="CH60" s="100">
        <v>8</v>
      </c>
      <c r="CI60" s="100">
        <v>5212.8</v>
      </c>
      <c r="CJ60" s="100">
        <v>7.5701420384922509</v>
      </c>
      <c r="CK60" s="100">
        <v>4932.7045522815506</v>
      </c>
      <c r="CL60" s="100">
        <v>6.0985393137920383</v>
      </c>
      <c r="CM60" s="100">
        <v>3973.8082168668925</v>
      </c>
      <c r="CN60" s="100">
        <v>6.0977144211073534E-4</v>
      </c>
      <c r="CO60" s="100">
        <v>0.39732707167935516</v>
      </c>
      <c r="CP60" s="100">
        <v>1.8199418217954206</v>
      </c>
      <c r="CQ60" s="100">
        <v>1185.874091081896</v>
      </c>
      <c r="CR60" s="100">
        <v>8.5323637800043581</v>
      </c>
      <c r="CS60" s="100">
        <v>5559.6882390508399</v>
      </c>
      <c r="CT60" s="100">
        <v>11</v>
      </c>
      <c r="CU60" s="100">
        <v>7167.6</v>
      </c>
    </row>
    <row r="61" spans="2:99">
      <c r="C61" s="99" t="s">
        <v>227</v>
      </c>
      <c r="D61" s="100">
        <v>5</v>
      </c>
      <c r="E61" s="100">
        <v>4758</v>
      </c>
      <c r="F61" s="100">
        <v>4.9596751765346667</v>
      </c>
      <c r="G61" s="100">
        <v>4719.626897990388</v>
      </c>
      <c r="H61" s="100">
        <v>7.9553902916294978</v>
      </c>
      <c r="I61" s="100">
        <v>7570.3494015146298</v>
      </c>
      <c r="J61" s="100">
        <v>6.8850728695634929E-4</v>
      </c>
      <c r="K61" s="100">
        <v>0.65518353426766196</v>
      </c>
      <c r="L61" s="100">
        <v>11.641365407614467</v>
      </c>
      <c r="M61" s="100">
        <v>11077.923321885926</v>
      </c>
      <c r="N61" s="100">
        <v>9</v>
      </c>
      <c r="O61" s="100">
        <v>8564.4</v>
      </c>
      <c r="P61" s="100">
        <v>6</v>
      </c>
      <c r="Q61" s="100">
        <v>5709.5999999999995</v>
      </c>
      <c r="R61" s="100">
        <v>8</v>
      </c>
      <c r="S61" s="100">
        <v>7612.7999999999993</v>
      </c>
      <c r="T61" s="100">
        <v>2.4055196036387652</v>
      </c>
      <c r="U61" s="100">
        <v>2289.0924548226485</v>
      </c>
      <c r="V61" s="100">
        <v>8.595882451095024</v>
      </c>
      <c r="W61" s="100">
        <v>8179.8417404620241</v>
      </c>
      <c r="X61" s="100">
        <v>11</v>
      </c>
      <c r="Y61" s="100">
        <v>10467.599999999999</v>
      </c>
      <c r="Z61" s="100">
        <v>1.031888660735222</v>
      </c>
      <c r="AA61" s="100">
        <v>981.94524955563713</v>
      </c>
      <c r="AB61" s="100">
        <v>2.6226773878006786</v>
      </c>
      <c r="AC61" s="100">
        <v>2495.7398022311254</v>
      </c>
      <c r="AD61" s="100">
        <v>9.4237692373713919</v>
      </c>
      <c r="AE61" s="100">
        <v>8967.6588062826158</v>
      </c>
      <c r="AF61" s="100">
        <v>9</v>
      </c>
      <c r="AG61" s="100">
        <v>8564.4</v>
      </c>
      <c r="AH61" s="100">
        <v>0.80364978542307375</v>
      </c>
      <c r="AI61" s="100">
        <v>764.75313580859688</v>
      </c>
      <c r="AJ61" s="100">
        <v>8.7131996074915033E-4</v>
      </c>
      <c r="AK61" s="100">
        <v>0.8291480746488914</v>
      </c>
      <c r="AL61" s="100">
        <v>6.3044077120999822E-4</v>
      </c>
      <c r="AM61" s="100">
        <v>0.59992743788343428</v>
      </c>
      <c r="AN61" s="100">
        <v>2.0977457609499957</v>
      </c>
      <c r="AO61" s="100">
        <v>1996.2148661200156</v>
      </c>
      <c r="AP61" s="100">
        <v>6.6483250676682788</v>
      </c>
      <c r="AQ61" s="100">
        <v>6326.5461343931338</v>
      </c>
      <c r="AR61" s="100">
        <v>6</v>
      </c>
      <c r="AS61" s="100">
        <v>5709.5999999999995</v>
      </c>
      <c r="AT61" s="100">
        <v>7.1405984052588245</v>
      </c>
      <c r="AU61" s="100">
        <v>6794.9934424442963</v>
      </c>
      <c r="AV61" s="100">
        <v>1.1843835238242497</v>
      </c>
      <c r="AW61" s="100">
        <v>1127.0593612711559</v>
      </c>
      <c r="AX61" s="100">
        <v>7.5810952966839436</v>
      </c>
      <c r="AY61" s="100">
        <v>7214.1702843244402</v>
      </c>
      <c r="AZ61" s="100">
        <v>5.3173314072407507</v>
      </c>
      <c r="BA61" s="100">
        <v>5059.9725671302976</v>
      </c>
      <c r="BB61" s="100">
        <v>0.34304528212366814</v>
      </c>
      <c r="BC61" s="100">
        <v>326.44189046888255</v>
      </c>
      <c r="BD61" s="100">
        <v>7.6566356627821168</v>
      </c>
      <c r="BE61" s="100">
        <v>7286.0544967034621</v>
      </c>
      <c r="BF61" s="100">
        <v>8.4481797255250761</v>
      </c>
      <c r="BG61" s="100">
        <v>8039.287826809662</v>
      </c>
      <c r="BH61" s="100">
        <v>7.305003049728044</v>
      </c>
      <c r="BI61" s="100">
        <v>6951.4409021212059</v>
      </c>
      <c r="BJ61" s="100">
        <v>5.1462593076740264</v>
      </c>
      <c r="BK61" s="100">
        <v>4897.1803571826031</v>
      </c>
      <c r="BL61" s="100">
        <v>6.480446823172664</v>
      </c>
      <c r="BM61" s="100">
        <v>6166.7931969311066</v>
      </c>
      <c r="BN61" s="100">
        <v>0.23886736839982373</v>
      </c>
      <c r="BO61" s="100">
        <v>227.30618776927224</v>
      </c>
      <c r="BP61" s="100">
        <v>9.1357648939994913</v>
      </c>
      <c r="BQ61" s="100">
        <v>8693.5938731299157</v>
      </c>
      <c r="BR61" s="100">
        <v>7.7602458466176074</v>
      </c>
      <c r="BS61" s="100">
        <v>7384.6499476413146</v>
      </c>
      <c r="BT61" s="100">
        <v>1.7605348660920799</v>
      </c>
      <c r="BU61" s="100">
        <v>1675.324978573223</v>
      </c>
      <c r="BV61" s="100">
        <v>0.30026475013426662</v>
      </c>
      <c r="BW61" s="100">
        <v>285.73193622776807</v>
      </c>
      <c r="BX61" s="100">
        <v>7.0984830972610933</v>
      </c>
      <c r="BY61" s="100">
        <v>6754.916515353656</v>
      </c>
      <c r="BZ61" s="100">
        <v>10</v>
      </c>
      <c r="CA61" s="100">
        <v>9516</v>
      </c>
      <c r="CB61" s="100">
        <v>7</v>
      </c>
      <c r="CC61" s="100">
        <v>6661.1999999999989</v>
      </c>
      <c r="CD61" s="100">
        <v>9.3261602815309672</v>
      </c>
      <c r="CE61" s="100">
        <v>8874.7741239048682</v>
      </c>
      <c r="CF61" s="100">
        <v>1.4477114128367305</v>
      </c>
      <c r="CG61" s="100">
        <v>1377.6421804554327</v>
      </c>
      <c r="CH61" s="100">
        <v>9.3601734637406722</v>
      </c>
      <c r="CI61" s="100">
        <v>8907.1410680956233</v>
      </c>
      <c r="CJ61" s="100">
        <v>8.3271562423414771</v>
      </c>
      <c r="CK61" s="100">
        <v>7924.1218802121484</v>
      </c>
      <c r="CL61" s="100">
        <v>6.0985393137920383</v>
      </c>
      <c r="CM61" s="100">
        <v>5803.3700110045029</v>
      </c>
      <c r="CN61" s="100">
        <v>6.0977144211073534E-4</v>
      </c>
      <c r="CO61" s="100">
        <v>0.58025850431257564</v>
      </c>
      <c r="CP61" s="100">
        <v>1.6177236187026753</v>
      </c>
      <c r="CQ61" s="100">
        <v>1539.4257955574658</v>
      </c>
      <c r="CR61" s="100">
        <v>8.5323637800043581</v>
      </c>
      <c r="CS61" s="100">
        <v>8119.3973730521466</v>
      </c>
      <c r="CT61" s="100">
        <v>11</v>
      </c>
      <c r="CU61" s="100">
        <v>10467.599999999999</v>
      </c>
    </row>
    <row r="62" spans="2:99">
      <c r="C62" s="99" t="s">
        <v>228</v>
      </c>
      <c r="D62" s="100">
        <v>6.05246913580247</v>
      </c>
      <c r="E62" s="100">
        <v>10102.781481481483</v>
      </c>
      <c r="F62" s="100">
        <v>0.55488986099399484</v>
      </c>
      <c r="G62" s="100">
        <v>926.22215597117622</v>
      </c>
      <c r="H62" s="100">
        <v>8.3316659058538711</v>
      </c>
      <c r="I62" s="100">
        <v>13907.216730051283</v>
      </c>
      <c r="J62" s="100">
        <v>10</v>
      </c>
      <c r="K62" s="100">
        <v>16692</v>
      </c>
      <c r="L62" s="100">
        <v>9.1812306086811226</v>
      </c>
      <c r="M62" s="100">
        <v>15325.310132010531</v>
      </c>
      <c r="N62" s="100">
        <v>6.0953393063829981</v>
      </c>
      <c r="O62" s="100">
        <v>10174.340370214501</v>
      </c>
      <c r="P62" s="100">
        <v>6</v>
      </c>
      <c r="Q62" s="100">
        <v>10015.200000000001</v>
      </c>
      <c r="R62" s="100">
        <v>3.4667626701445071</v>
      </c>
      <c r="S62" s="100">
        <v>5786.7202490052114</v>
      </c>
      <c r="T62" s="100">
        <v>6.8441136745591482</v>
      </c>
      <c r="U62" s="100">
        <v>11424.19454557413</v>
      </c>
      <c r="V62" s="100">
        <v>6.5453891725732554</v>
      </c>
      <c r="W62" s="100">
        <v>10925.563606859278</v>
      </c>
      <c r="X62" s="100">
        <v>10.083283759666864</v>
      </c>
      <c r="Y62" s="100">
        <v>16831.017251635931</v>
      </c>
      <c r="Z62" s="100">
        <v>6</v>
      </c>
      <c r="AA62" s="100">
        <v>10015.200000000001</v>
      </c>
      <c r="AB62" s="100">
        <v>9</v>
      </c>
      <c r="AC62" s="100">
        <v>15022.800000000001</v>
      </c>
      <c r="AD62" s="100">
        <v>4.1137562208133858</v>
      </c>
      <c r="AE62" s="100">
        <v>6866.6818837817036</v>
      </c>
      <c r="AF62" s="100">
        <v>8</v>
      </c>
      <c r="AG62" s="100">
        <v>13353.6</v>
      </c>
      <c r="AH62" s="100">
        <v>7</v>
      </c>
      <c r="AI62" s="100">
        <v>11684.4</v>
      </c>
      <c r="AJ62" s="100">
        <v>10</v>
      </c>
      <c r="AK62" s="100">
        <v>16692</v>
      </c>
      <c r="AL62" s="100">
        <v>3.0014359753391227</v>
      </c>
      <c r="AM62" s="100">
        <v>5009.9969300360635</v>
      </c>
      <c r="AN62" s="100">
        <v>7</v>
      </c>
      <c r="AO62" s="100">
        <v>11684.4</v>
      </c>
      <c r="AP62" s="100">
        <v>4.3821251007073236</v>
      </c>
      <c r="AQ62" s="100">
        <v>7314.6432181006649</v>
      </c>
      <c r="AR62" s="100">
        <v>5</v>
      </c>
      <c r="AS62" s="100">
        <v>8346</v>
      </c>
      <c r="AT62" s="100">
        <v>5.2970677879340489</v>
      </c>
      <c r="AU62" s="100">
        <v>8841.865551619514</v>
      </c>
      <c r="AV62" s="100">
        <v>6.9329128197715884</v>
      </c>
      <c r="AW62" s="100">
        <v>11572.418078762736</v>
      </c>
      <c r="AX62" s="100">
        <v>5.4482209942780386</v>
      </c>
      <c r="AY62" s="100">
        <v>9094.1704836489025</v>
      </c>
      <c r="AZ62" s="100">
        <v>6.1454005401374525</v>
      </c>
      <c r="BA62" s="100">
        <v>10257.902581597436</v>
      </c>
      <c r="BB62" s="100">
        <v>3.7979658573904613</v>
      </c>
      <c r="BC62" s="100">
        <v>6339.5646091561584</v>
      </c>
      <c r="BD62" s="100">
        <v>6.7600147630105827</v>
      </c>
      <c r="BE62" s="100">
        <v>11283.816642417265</v>
      </c>
      <c r="BF62" s="100">
        <v>4.0793605795279904</v>
      </c>
      <c r="BG62" s="100">
        <v>6809.2686793481216</v>
      </c>
      <c r="BH62" s="100">
        <v>7.2544844168578315</v>
      </c>
      <c r="BI62" s="100">
        <v>12109.185388619093</v>
      </c>
      <c r="BJ62" s="100">
        <v>5.7901871719751865</v>
      </c>
      <c r="BK62" s="100">
        <v>9664.9804274609814</v>
      </c>
      <c r="BL62" s="100">
        <v>6.4430777631107627</v>
      </c>
      <c r="BM62" s="100">
        <v>10754.785402184485</v>
      </c>
      <c r="BN62" s="100">
        <v>5.4013386066687996</v>
      </c>
      <c r="BO62" s="100">
        <v>9015.9144022515611</v>
      </c>
      <c r="BP62" s="100">
        <v>7.7716970070407809</v>
      </c>
      <c r="BQ62" s="100">
        <v>12972.516644152473</v>
      </c>
      <c r="BR62" s="100">
        <v>5.5463588027181077</v>
      </c>
      <c r="BS62" s="100">
        <v>9257.9821134970662</v>
      </c>
      <c r="BT62" s="100">
        <v>6.8264443668769053</v>
      </c>
      <c r="BU62" s="100">
        <v>11394.70093719093</v>
      </c>
      <c r="BV62" s="100">
        <v>4.6058756006199868</v>
      </c>
      <c r="BW62" s="100">
        <v>7688.1275525548817</v>
      </c>
      <c r="BX62" s="100">
        <v>2.3812806965890227</v>
      </c>
      <c r="BY62" s="100">
        <v>3974.8337387463971</v>
      </c>
      <c r="BZ62" s="100">
        <v>5.9588253271444342</v>
      </c>
      <c r="CA62" s="100">
        <v>9946.4712360694903</v>
      </c>
      <c r="CB62" s="100">
        <v>4.1981734230146657</v>
      </c>
      <c r="CC62" s="100">
        <v>7007.59107769608</v>
      </c>
      <c r="CD62" s="100">
        <v>9.5863963621489283</v>
      </c>
      <c r="CE62" s="100">
        <v>16001.612807698992</v>
      </c>
      <c r="CF62" s="100">
        <v>6.8233523109933181</v>
      </c>
      <c r="CG62" s="100">
        <v>11389.539677510047</v>
      </c>
      <c r="CH62" s="100">
        <v>7.3142857142857167</v>
      </c>
      <c r="CI62" s="100">
        <v>12209.005714285719</v>
      </c>
      <c r="CJ62" s="100">
        <v>8.5151447156210871</v>
      </c>
      <c r="CK62" s="100">
        <v>14213.479559314719</v>
      </c>
      <c r="CL62" s="100">
        <v>8.3898969371461742</v>
      </c>
      <c r="CM62" s="100">
        <v>14004.415967484394</v>
      </c>
      <c r="CN62" s="100">
        <v>6.2112889364504964</v>
      </c>
      <c r="CO62" s="100">
        <v>10367.883492723169</v>
      </c>
      <c r="CP62" s="100">
        <v>8.0969809377176674</v>
      </c>
      <c r="CQ62" s="100">
        <v>13515.480581238331</v>
      </c>
      <c r="CR62" s="100">
        <v>7.9474111269756733</v>
      </c>
      <c r="CS62" s="100">
        <v>13265.818653147795</v>
      </c>
      <c r="CT62" s="100">
        <v>6.3899570233010552</v>
      </c>
      <c r="CU62" s="100">
        <v>10666.116263294121</v>
      </c>
    </row>
    <row r="63" spans="2:99">
      <c r="C63" s="99" t="s">
        <v>229</v>
      </c>
      <c r="D63" s="100">
        <v>6</v>
      </c>
      <c r="E63" s="100">
        <v>4773.6000000000004</v>
      </c>
      <c r="F63" s="100">
        <v>4.9596751765346667</v>
      </c>
      <c r="G63" s="100">
        <v>3945.9175704509807</v>
      </c>
      <c r="H63" s="100">
        <v>7.9553902916294978</v>
      </c>
      <c r="I63" s="100">
        <v>6329.3085160204282</v>
      </c>
      <c r="J63" s="100">
        <v>7.9129597801733782E-4</v>
      </c>
      <c r="K63" s="100">
        <v>0.62955508011059402</v>
      </c>
      <c r="L63" s="100">
        <v>11.641365407614467</v>
      </c>
      <c r="M63" s="100">
        <v>9261.8703182980698</v>
      </c>
      <c r="N63" s="100">
        <v>9</v>
      </c>
      <c r="O63" s="100">
        <v>7160.4000000000005</v>
      </c>
      <c r="P63" s="100">
        <v>6</v>
      </c>
      <c r="Q63" s="100">
        <v>4773.6000000000004</v>
      </c>
      <c r="R63" s="100">
        <v>8</v>
      </c>
      <c r="S63" s="100">
        <v>6364.8</v>
      </c>
      <c r="T63" s="100">
        <v>2.4055196036387652</v>
      </c>
      <c r="U63" s="100">
        <v>1913.8313966550015</v>
      </c>
      <c r="V63" s="100">
        <v>8.595882451095024</v>
      </c>
      <c r="W63" s="100">
        <v>6838.8840780912014</v>
      </c>
      <c r="X63" s="100">
        <v>11</v>
      </c>
      <c r="Y63" s="100">
        <v>8751.6</v>
      </c>
      <c r="Z63" s="100">
        <v>1.031888660735222</v>
      </c>
      <c r="AA63" s="100">
        <v>820.97061848094268</v>
      </c>
      <c r="AB63" s="100">
        <v>2.3842521707278896</v>
      </c>
      <c r="AC63" s="100">
        <v>1896.9110270311091</v>
      </c>
      <c r="AD63" s="100">
        <v>8.4237692373713919</v>
      </c>
      <c r="AE63" s="100">
        <v>6701.9508052526799</v>
      </c>
      <c r="AF63" s="100">
        <v>9</v>
      </c>
      <c r="AG63" s="100">
        <v>7160.4000000000005</v>
      </c>
      <c r="AH63" s="100">
        <v>0.70319356224518947</v>
      </c>
      <c r="AI63" s="100">
        <v>559.46079812227276</v>
      </c>
      <c r="AJ63" s="100">
        <v>1.064945863462661E-3</v>
      </c>
      <c r="AK63" s="100">
        <v>0.84727092897089318</v>
      </c>
      <c r="AL63" s="100">
        <v>7.2050320039286891E-4</v>
      </c>
      <c r="AM63" s="100">
        <v>0.57323234623256647</v>
      </c>
      <c r="AN63" s="100">
        <v>1.8646561103950292</v>
      </c>
      <c r="AO63" s="100">
        <v>1483.5204014302853</v>
      </c>
      <c r="AP63" s="100">
        <v>6.6483250676682788</v>
      </c>
      <c r="AQ63" s="100">
        <v>5289.407423836883</v>
      </c>
      <c r="AR63" s="100">
        <v>5</v>
      </c>
      <c r="AS63" s="100">
        <v>3978</v>
      </c>
      <c r="AT63" s="100">
        <v>7.1405984052588245</v>
      </c>
      <c r="AU63" s="100">
        <v>5681.0600912239206</v>
      </c>
      <c r="AV63" s="100">
        <v>1.1922539197102189</v>
      </c>
      <c r="AW63" s="100">
        <v>948.55721852145018</v>
      </c>
      <c r="AX63" s="100">
        <v>6.6973143560207324</v>
      </c>
      <c r="AY63" s="100">
        <v>5328.3833016500948</v>
      </c>
      <c r="AZ63" s="100">
        <v>6.2035533084475425</v>
      </c>
      <c r="BA63" s="100">
        <v>4935.5470122008646</v>
      </c>
      <c r="BB63" s="100">
        <v>0.37142124274913124</v>
      </c>
      <c r="BC63" s="100">
        <v>295.5027407312088</v>
      </c>
      <c r="BD63" s="100">
        <v>7.5628054418914035</v>
      </c>
      <c r="BE63" s="100">
        <v>6016.9680095688009</v>
      </c>
      <c r="BF63" s="100">
        <v>8.5378156706300903</v>
      </c>
      <c r="BG63" s="100">
        <v>6792.6861475532996</v>
      </c>
      <c r="BH63" s="100">
        <v>9.1312538121600539</v>
      </c>
      <c r="BI63" s="100">
        <v>7264.8255329545391</v>
      </c>
      <c r="BJ63" s="100">
        <v>5.1462593076740264</v>
      </c>
      <c r="BK63" s="100">
        <v>4094.3639051854557</v>
      </c>
      <c r="BL63" s="100">
        <v>6.4794657889060652</v>
      </c>
      <c r="BM63" s="100">
        <v>5155.0629816536657</v>
      </c>
      <c r="BN63" s="100">
        <v>0.23886736839982373</v>
      </c>
      <c r="BO63" s="100">
        <v>190.04287829889975</v>
      </c>
      <c r="BP63" s="100">
        <v>9.1131374116662442</v>
      </c>
      <c r="BQ63" s="100">
        <v>7250.4121247216644</v>
      </c>
      <c r="BR63" s="100">
        <v>7.7602458466176074</v>
      </c>
      <c r="BS63" s="100">
        <v>6174.0515955689689</v>
      </c>
      <c r="BT63" s="100">
        <v>1.7690011621159651</v>
      </c>
      <c r="BU63" s="100">
        <v>1407.4173245794618</v>
      </c>
      <c r="BV63" s="100">
        <v>0.30026475013426662</v>
      </c>
      <c r="BW63" s="100">
        <v>238.89063520682254</v>
      </c>
      <c r="BX63" s="100">
        <v>8.0984830972610933</v>
      </c>
      <c r="BY63" s="100">
        <v>6443.1531521809256</v>
      </c>
      <c r="BZ63" s="100">
        <v>9</v>
      </c>
      <c r="CA63" s="100">
        <v>7160.4000000000005</v>
      </c>
      <c r="CB63" s="100">
        <v>8</v>
      </c>
      <c r="CC63" s="100">
        <v>6364.8</v>
      </c>
      <c r="CD63" s="100">
        <v>8.3935442533778701</v>
      </c>
      <c r="CE63" s="100">
        <v>6677.9038079874335</v>
      </c>
      <c r="CF63" s="100">
        <v>1.2792361498391189</v>
      </c>
      <c r="CG63" s="100">
        <v>1017.7602808120031</v>
      </c>
      <c r="CH63" s="100">
        <v>8</v>
      </c>
      <c r="CI63" s="100">
        <v>6364.8</v>
      </c>
      <c r="CJ63" s="100">
        <v>9.0841704461907025</v>
      </c>
      <c r="CK63" s="100">
        <v>7227.3660069893231</v>
      </c>
      <c r="CL63" s="100">
        <v>6.0985393137920383</v>
      </c>
      <c r="CM63" s="100">
        <v>4851.9978780529455</v>
      </c>
      <c r="CN63" s="100">
        <v>4.9009245539327249E-4</v>
      </c>
      <c r="CO63" s="100">
        <v>0.38991755751088758</v>
      </c>
      <c r="CP63" s="100">
        <v>1.6177315610630236</v>
      </c>
      <c r="CQ63" s="100">
        <v>1287.0672299817415</v>
      </c>
      <c r="CR63" s="100">
        <v>9.3992728350032682</v>
      </c>
      <c r="CS63" s="100">
        <v>7478.0614675286006</v>
      </c>
      <c r="CT63" s="100">
        <v>9</v>
      </c>
      <c r="CU63" s="100">
        <v>7160.4000000000005</v>
      </c>
    </row>
    <row r="64" spans="2:99">
      <c r="C64" s="99" t="s">
        <v>230</v>
      </c>
      <c r="D64" s="100">
        <v>6</v>
      </c>
      <c r="E64" s="100">
        <v>6055.1999999999989</v>
      </c>
      <c r="F64" s="100">
        <v>4.9596751765346667</v>
      </c>
      <c r="G64" s="100">
        <v>5005.3041881587851</v>
      </c>
      <c r="H64" s="100">
        <v>7.9553902916294978</v>
      </c>
      <c r="I64" s="100">
        <v>8028.5798823124878</v>
      </c>
      <c r="J64" s="100">
        <v>6.5359452062606794E-4</v>
      </c>
      <c r="K64" s="100">
        <v>0.6596075902158276</v>
      </c>
      <c r="L64" s="100">
        <v>10.641365407614467</v>
      </c>
      <c r="M64" s="100">
        <v>10739.265969364518</v>
      </c>
      <c r="N64" s="100">
        <v>8</v>
      </c>
      <c r="O64" s="100">
        <v>8073.5999999999985</v>
      </c>
      <c r="P64" s="100">
        <v>6</v>
      </c>
      <c r="Q64" s="100">
        <v>6055.1999999999989</v>
      </c>
      <c r="R64" s="100">
        <v>8</v>
      </c>
      <c r="S64" s="100">
        <v>8073.5999999999985</v>
      </c>
      <c r="T64" s="100">
        <v>2.1382396476789025</v>
      </c>
      <c r="U64" s="100">
        <v>2157.9114524375482</v>
      </c>
      <c r="V64" s="100">
        <v>8.595882451095024</v>
      </c>
      <c r="W64" s="100">
        <v>8674.9645696450971</v>
      </c>
      <c r="X64" s="100">
        <v>10</v>
      </c>
      <c r="Y64" s="100">
        <v>10091.999999999998</v>
      </c>
      <c r="Z64" s="100">
        <v>1.031888660735222</v>
      </c>
      <c r="AA64" s="100">
        <v>1041.3820364139858</v>
      </c>
      <c r="AB64" s="100">
        <v>2.3842521707278896</v>
      </c>
      <c r="AC64" s="100">
        <v>2406.1872906985859</v>
      </c>
      <c r="AD64" s="100">
        <v>9.4237692373713919</v>
      </c>
      <c r="AE64" s="100">
        <v>9510.4679143552075</v>
      </c>
      <c r="AF64" s="100">
        <v>9</v>
      </c>
      <c r="AG64" s="100">
        <v>9082.7999999999993</v>
      </c>
      <c r="AH64" s="100">
        <v>0.70319356224518947</v>
      </c>
      <c r="AI64" s="100">
        <v>709.66294301784512</v>
      </c>
      <c r="AJ64" s="100">
        <v>9.6813339761138428E-4</v>
      </c>
      <c r="AK64" s="100">
        <v>0.97704022486940889</v>
      </c>
      <c r="AL64" s="100">
        <v>6.304411897577652E-4</v>
      </c>
      <c r="AM64" s="100">
        <v>0.63624124870353649</v>
      </c>
      <c r="AN64" s="100">
        <v>1.6315828926100655</v>
      </c>
      <c r="AO64" s="100">
        <v>1646.5934552220779</v>
      </c>
      <c r="AP64" s="100">
        <v>6.6483250676682788</v>
      </c>
      <c r="AQ64" s="100">
        <v>6709.4896582908259</v>
      </c>
      <c r="AR64" s="100">
        <v>5</v>
      </c>
      <c r="AS64" s="100">
        <v>5045.9999999999991</v>
      </c>
      <c r="AT64" s="100">
        <v>6.3471985824522896</v>
      </c>
      <c r="AU64" s="100">
        <v>6405.5928094108494</v>
      </c>
      <c r="AV64" s="100">
        <v>1.0027270616254798</v>
      </c>
      <c r="AW64" s="100">
        <v>1011.952150592434</v>
      </c>
      <c r="AX64" s="100">
        <v>7.6973143560207324</v>
      </c>
      <c r="AY64" s="100">
        <v>7768.1296480961219</v>
      </c>
      <c r="AZ64" s="100">
        <v>5.3173314072407507</v>
      </c>
      <c r="BA64" s="100">
        <v>5366.2508561873647</v>
      </c>
      <c r="BB64" s="100">
        <v>0.34164029506714205</v>
      </c>
      <c r="BC64" s="100">
        <v>344.7833857817597</v>
      </c>
      <c r="BD64" s="100">
        <v>7.6571717526877325</v>
      </c>
      <c r="BE64" s="100">
        <v>7727.6177328124586</v>
      </c>
      <c r="BF64" s="100">
        <v>9.5378156706300903</v>
      </c>
      <c r="BG64" s="100">
        <v>9625.5635747998858</v>
      </c>
      <c r="BH64" s="100">
        <v>8.2181284309440485</v>
      </c>
      <c r="BI64" s="100">
        <v>8293.7352125087327</v>
      </c>
      <c r="BJ64" s="100">
        <v>4.4110794065777359</v>
      </c>
      <c r="BK64" s="100">
        <v>4451.6613371182502</v>
      </c>
      <c r="BL64" s="100">
        <v>7.1162575898374616</v>
      </c>
      <c r="BM64" s="100">
        <v>7181.7271596639648</v>
      </c>
      <c r="BN64" s="100">
        <v>0.26849357149778524</v>
      </c>
      <c r="BO64" s="100">
        <v>270.96371235556484</v>
      </c>
      <c r="BP64" s="100">
        <v>8.1357648939994913</v>
      </c>
      <c r="BQ64" s="100">
        <v>8210.6139310242852</v>
      </c>
      <c r="BR64" s="100">
        <v>7.7602458466176074</v>
      </c>
      <c r="BS64" s="100">
        <v>7831.6401084064883</v>
      </c>
      <c r="BT64" s="100">
        <v>1.5715047778782039</v>
      </c>
      <c r="BU64" s="100">
        <v>1585.962621834683</v>
      </c>
      <c r="BV64" s="100">
        <v>0.33012151060482631</v>
      </c>
      <c r="BW64" s="100">
        <v>333.15862850239063</v>
      </c>
      <c r="BX64" s="100">
        <v>8.0984830972610933</v>
      </c>
      <c r="BY64" s="100">
        <v>8172.9891417558938</v>
      </c>
      <c r="BZ64" s="100">
        <v>9</v>
      </c>
      <c r="CA64" s="100">
        <v>9082.7999999999993</v>
      </c>
      <c r="CB64" s="100">
        <v>7</v>
      </c>
      <c r="CC64" s="100">
        <v>7064.3999999999987</v>
      </c>
      <c r="CD64" s="100">
        <v>9.3261602815309672</v>
      </c>
      <c r="CE64" s="100">
        <v>9411.9609561210509</v>
      </c>
      <c r="CF64" s="100">
        <v>1.2792361498391189</v>
      </c>
      <c r="CG64" s="100">
        <v>1291.0051224176386</v>
      </c>
      <c r="CH64" s="100">
        <v>9</v>
      </c>
      <c r="CI64" s="100">
        <v>9082.7999999999993</v>
      </c>
      <c r="CJ64" s="100">
        <v>7.5701420384922509</v>
      </c>
      <c r="CK64" s="100">
        <v>7639.7873452463782</v>
      </c>
      <c r="CL64" s="100">
        <v>5.3362218995680344</v>
      </c>
      <c r="CM64" s="100">
        <v>5385.3151410440596</v>
      </c>
      <c r="CN64" s="100">
        <v>5.488977207044202E-4</v>
      </c>
      <c r="CO64" s="100">
        <v>0.55394757973490072</v>
      </c>
      <c r="CP64" s="100">
        <v>1.6177239222096347</v>
      </c>
      <c r="CQ64" s="100">
        <v>1632.606982293963</v>
      </c>
      <c r="CR64" s="100">
        <v>8.3992728350032682</v>
      </c>
      <c r="CS64" s="100">
        <v>8476.5461450852963</v>
      </c>
      <c r="CT64" s="100">
        <v>11</v>
      </c>
      <c r="CU64" s="100">
        <v>11101.199999999997</v>
      </c>
    </row>
    <row r="65" spans="2:99">
      <c r="C65" s="99" t="s">
        <v>231</v>
      </c>
      <c r="D65" s="100">
        <v>6</v>
      </c>
      <c r="E65" s="100">
        <v>6156</v>
      </c>
      <c r="F65" s="100">
        <v>4.9596751765346667</v>
      </c>
      <c r="G65" s="100">
        <v>5088.6267311245683</v>
      </c>
      <c r="H65" s="100">
        <v>7.9553902916294978</v>
      </c>
      <c r="I65" s="100">
        <v>8162.2304392118649</v>
      </c>
      <c r="J65" s="100">
        <v>6.8850728695634929E-4</v>
      </c>
      <c r="K65" s="100">
        <v>0.70640847641721438</v>
      </c>
      <c r="L65" s="100">
        <v>11.641365407614467</v>
      </c>
      <c r="M65" s="100">
        <v>11944.040908212442</v>
      </c>
      <c r="N65" s="100">
        <v>8</v>
      </c>
      <c r="O65" s="100">
        <v>8208</v>
      </c>
      <c r="P65" s="100">
        <v>6</v>
      </c>
      <c r="Q65" s="100">
        <v>6156</v>
      </c>
      <c r="R65" s="100">
        <v>9</v>
      </c>
      <c r="S65" s="100">
        <v>9234</v>
      </c>
      <c r="T65" s="100">
        <v>2.4055196036387652</v>
      </c>
      <c r="U65" s="100">
        <v>2468.0631133333732</v>
      </c>
      <c r="V65" s="100">
        <v>7.5958824510950231</v>
      </c>
      <c r="W65" s="100">
        <v>7793.3753948234935</v>
      </c>
      <c r="X65" s="100">
        <v>12</v>
      </c>
      <c r="Y65" s="100">
        <v>12312</v>
      </c>
      <c r="Z65" s="100">
        <v>1.031888660735222</v>
      </c>
      <c r="AA65" s="100">
        <v>1058.7177659143379</v>
      </c>
      <c r="AB65" s="100">
        <v>2.3842521707278896</v>
      </c>
      <c r="AC65" s="100">
        <v>2446.2427271668148</v>
      </c>
      <c r="AD65" s="100">
        <v>7.565025649828522</v>
      </c>
      <c r="AE65" s="100">
        <v>7761.7163167240633</v>
      </c>
      <c r="AF65" s="100">
        <v>8</v>
      </c>
      <c r="AG65" s="100">
        <v>8208</v>
      </c>
      <c r="AH65" s="100">
        <v>0.80364978542307375</v>
      </c>
      <c r="AI65" s="100">
        <v>824.5446798440737</v>
      </c>
      <c r="AJ65" s="100">
        <v>9.6813291210590569E-4</v>
      </c>
      <c r="AK65" s="100">
        <v>0.99330436782065923</v>
      </c>
      <c r="AL65" s="100">
        <v>7.2050320039286891E-4</v>
      </c>
      <c r="AM65" s="100">
        <v>0.73923628360308347</v>
      </c>
      <c r="AN65" s="100">
        <v>1.8646554479614139</v>
      </c>
      <c r="AO65" s="100">
        <v>1913.1364896084108</v>
      </c>
      <c r="AP65" s="100">
        <v>7.6483250676682788</v>
      </c>
      <c r="AQ65" s="100">
        <v>7847.1815194276542</v>
      </c>
      <c r="AR65" s="100">
        <v>6</v>
      </c>
      <c r="AS65" s="100">
        <v>6156</v>
      </c>
      <c r="AT65" s="100">
        <v>7.1405984052588245</v>
      </c>
      <c r="AU65" s="100">
        <v>7326.2539637955542</v>
      </c>
      <c r="AV65" s="100">
        <v>1.1922539197102189</v>
      </c>
      <c r="AW65" s="100">
        <v>1223.2525216226845</v>
      </c>
      <c r="AX65" s="100">
        <v>6.5810952966839436</v>
      </c>
      <c r="AY65" s="100">
        <v>6752.2037743977262</v>
      </c>
      <c r="AZ65" s="100">
        <v>5.3173314072407507</v>
      </c>
      <c r="BA65" s="100">
        <v>5455.5820238290098</v>
      </c>
      <c r="BB65" s="100">
        <v>0.34304528212366814</v>
      </c>
      <c r="BC65" s="100">
        <v>351.96445945888348</v>
      </c>
      <c r="BD65" s="100">
        <v>7.6566356627821168</v>
      </c>
      <c r="BE65" s="100">
        <v>7855.7081900144522</v>
      </c>
      <c r="BF65" s="100">
        <v>9.5378156706300903</v>
      </c>
      <c r="BG65" s="100">
        <v>9785.7988780664728</v>
      </c>
      <c r="BH65" s="100">
        <v>8.2181284309440485</v>
      </c>
      <c r="BI65" s="100">
        <v>8431.7997701485947</v>
      </c>
      <c r="BJ65" s="100">
        <v>5.1462593076740264</v>
      </c>
      <c r="BK65" s="100">
        <v>5280.062049673551</v>
      </c>
      <c r="BL65" s="100">
        <v>6.4814278574392628</v>
      </c>
      <c r="BM65" s="100">
        <v>6649.944981732684</v>
      </c>
      <c r="BN65" s="100">
        <v>0.26872578944980163</v>
      </c>
      <c r="BO65" s="100">
        <v>275.71265997549648</v>
      </c>
      <c r="BP65" s="100">
        <v>8.1131374116662442</v>
      </c>
      <c r="BQ65" s="100">
        <v>8324.0789843695675</v>
      </c>
      <c r="BR65" s="100">
        <v>7.7602458466176074</v>
      </c>
      <c r="BS65" s="100">
        <v>7962.0122386296653</v>
      </c>
      <c r="BT65" s="100">
        <v>1.5799710739020891</v>
      </c>
      <c r="BU65" s="100">
        <v>1621.0503218235435</v>
      </c>
      <c r="BV65" s="100">
        <v>0.33012151060482631</v>
      </c>
      <c r="BW65" s="100">
        <v>338.70466988055182</v>
      </c>
      <c r="BX65" s="100">
        <v>8.0984830972610933</v>
      </c>
      <c r="BY65" s="100">
        <v>8309.0436577898818</v>
      </c>
      <c r="BZ65" s="100">
        <v>9</v>
      </c>
      <c r="CA65" s="100">
        <v>9234</v>
      </c>
      <c r="CB65" s="100">
        <v>8</v>
      </c>
      <c r="CC65" s="100">
        <v>8208</v>
      </c>
      <c r="CD65" s="100">
        <v>8.3935442533778701</v>
      </c>
      <c r="CE65" s="100">
        <v>8611.776403965694</v>
      </c>
      <c r="CF65" s="100">
        <v>1.4548477920407188</v>
      </c>
      <c r="CG65" s="100">
        <v>1492.6738346337775</v>
      </c>
      <c r="CH65" s="100">
        <v>9.3601734637406722</v>
      </c>
      <c r="CI65" s="100">
        <v>9603.5379737979292</v>
      </c>
      <c r="CJ65" s="100">
        <v>8.3271562423414771</v>
      </c>
      <c r="CK65" s="100">
        <v>8543.6623046423556</v>
      </c>
      <c r="CL65" s="100">
        <v>6.0985393137920383</v>
      </c>
      <c r="CM65" s="100">
        <v>6257.1013359506314</v>
      </c>
      <c r="CN65" s="100">
        <v>5.488977207044202E-4</v>
      </c>
      <c r="CO65" s="100">
        <v>0.56316906144273515</v>
      </c>
      <c r="CP65" s="100">
        <v>1.6177239222096347</v>
      </c>
      <c r="CQ65" s="100">
        <v>1659.7847441870852</v>
      </c>
      <c r="CR65" s="100">
        <v>9.5323637800043581</v>
      </c>
      <c r="CS65" s="100">
        <v>9780.2052382844722</v>
      </c>
      <c r="CT65" s="100">
        <v>10</v>
      </c>
      <c r="CU65" s="100">
        <v>10260</v>
      </c>
    </row>
    <row r="66" spans="2:99">
      <c r="C66" s="99" t="s">
        <v>232</v>
      </c>
      <c r="D66" s="100">
        <v>6</v>
      </c>
      <c r="E66" s="100">
        <v>7142.4</v>
      </c>
      <c r="F66" s="100">
        <v>4.9596751765346667</v>
      </c>
      <c r="G66" s="100">
        <v>5903.9973301468663</v>
      </c>
      <c r="H66" s="100">
        <v>8.8393225462549978</v>
      </c>
      <c r="I66" s="100">
        <v>10522.329559061947</v>
      </c>
      <c r="J66" s="100">
        <v>6.1965655826071435E-4</v>
      </c>
      <c r="K66" s="100">
        <v>0.73763916695355425</v>
      </c>
      <c r="L66" s="100">
        <v>11.641365407614467</v>
      </c>
      <c r="M66" s="100">
        <v>13857.881381224261</v>
      </c>
      <c r="N66" s="100">
        <v>9</v>
      </c>
      <c r="O66" s="100">
        <v>10713.599999999999</v>
      </c>
      <c r="P66" s="100">
        <v>6</v>
      </c>
      <c r="Q66" s="100">
        <v>7142.4</v>
      </c>
      <c r="R66" s="100">
        <v>8</v>
      </c>
      <c r="S66" s="100">
        <v>9523.1999999999989</v>
      </c>
      <c r="T66" s="100">
        <v>2.4055196036387652</v>
      </c>
      <c r="U66" s="100">
        <v>2863.5305361715859</v>
      </c>
      <c r="V66" s="100">
        <v>8.595882451095024</v>
      </c>
      <c r="W66" s="100">
        <v>10232.538469783516</v>
      </c>
      <c r="X66" s="100">
        <v>10</v>
      </c>
      <c r="Y66" s="100">
        <v>11903.999999999998</v>
      </c>
      <c r="Z66" s="100">
        <v>1.031888660735222</v>
      </c>
      <c r="AA66" s="100">
        <v>1228.3602617392082</v>
      </c>
      <c r="AB66" s="100">
        <v>2.3842521707278896</v>
      </c>
      <c r="AC66" s="100">
        <v>2838.2137840344794</v>
      </c>
      <c r="AD66" s="100">
        <v>9.565025649828522</v>
      </c>
      <c r="AE66" s="100">
        <v>11386.206533555871</v>
      </c>
      <c r="AF66" s="100">
        <v>9</v>
      </c>
      <c r="AG66" s="100">
        <v>10713.599999999999</v>
      </c>
      <c r="AH66" s="100">
        <v>0.80364978542307375</v>
      </c>
      <c r="AI66" s="100">
        <v>956.66470456762693</v>
      </c>
      <c r="AJ66" s="100">
        <v>1.064945863462661E-3</v>
      </c>
      <c r="AK66" s="100">
        <v>1.2677115558659515</v>
      </c>
      <c r="AL66" s="100">
        <v>7.2050361894063599E-4</v>
      </c>
      <c r="AM66" s="100">
        <v>0.85768750798693294</v>
      </c>
      <c r="AN66" s="100">
        <v>1.8646561103950292</v>
      </c>
      <c r="AO66" s="100">
        <v>2219.6866338142427</v>
      </c>
      <c r="AP66" s="100">
        <v>7.6483250676682788</v>
      </c>
      <c r="AQ66" s="100">
        <v>9104.5661605523183</v>
      </c>
      <c r="AR66" s="100">
        <v>6</v>
      </c>
      <c r="AS66" s="100">
        <v>7142.4</v>
      </c>
      <c r="AT66" s="100">
        <v>7.1405984052588245</v>
      </c>
      <c r="AU66" s="100">
        <v>8500.1683416201031</v>
      </c>
      <c r="AV66" s="100">
        <v>1.0027270616254798</v>
      </c>
      <c r="AW66" s="100">
        <v>1193.6462941589709</v>
      </c>
      <c r="AX66" s="100">
        <v>7.5810952966839436</v>
      </c>
      <c r="AY66" s="100">
        <v>9024.5358411725647</v>
      </c>
      <c r="AZ66" s="100">
        <v>5.3173314072407507</v>
      </c>
      <c r="BA66" s="100">
        <v>6329.7513071793892</v>
      </c>
      <c r="BB66" s="100">
        <v>0.37282622980565733</v>
      </c>
      <c r="BC66" s="100">
        <v>443.81234396065446</v>
      </c>
      <c r="BD66" s="100">
        <v>6.8633055111517445</v>
      </c>
      <c r="BE66" s="100">
        <v>8170.0788804750355</v>
      </c>
      <c r="BF66" s="100">
        <v>7.4481797255250761</v>
      </c>
      <c r="BG66" s="100">
        <v>8866.3131452650505</v>
      </c>
      <c r="BH66" s="100">
        <v>7.305003049728044</v>
      </c>
      <c r="BI66" s="100">
        <v>8695.8756303962618</v>
      </c>
      <c r="BJ66" s="100">
        <v>4.4110794065777359</v>
      </c>
      <c r="BK66" s="100">
        <v>5250.9489255901362</v>
      </c>
      <c r="BL66" s="100">
        <v>6.4794657889060652</v>
      </c>
      <c r="BM66" s="100">
        <v>7713.1560751137795</v>
      </c>
      <c r="BN66" s="100">
        <v>0.26849357149778524</v>
      </c>
      <c r="BO66" s="100">
        <v>319.61474751096353</v>
      </c>
      <c r="BP66" s="100">
        <v>8.1357648939994913</v>
      </c>
      <c r="BQ66" s="100">
        <v>9684.8145298169929</v>
      </c>
      <c r="BR66" s="100">
        <v>7.7602458466176074</v>
      </c>
      <c r="BS66" s="100">
        <v>9237.7966558135995</v>
      </c>
      <c r="BT66" s="100">
        <v>1.5715047778782039</v>
      </c>
      <c r="BU66" s="100">
        <v>1870.7192875862136</v>
      </c>
      <c r="BV66" s="100">
        <v>0.30005260695568287</v>
      </c>
      <c r="BW66" s="100">
        <v>357.18262332004485</v>
      </c>
      <c r="BX66" s="100">
        <v>8.0984830972610933</v>
      </c>
      <c r="BY66" s="100">
        <v>9640.4342789796046</v>
      </c>
      <c r="BZ66" s="100">
        <v>10</v>
      </c>
      <c r="CA66" s="100">
        <v>11903.999999999998</v>
      </c>
      <c r="CB66" s="100">
        <v>7</v>
      </c>
      <c r="CC66" s="100">
        <v>8332.7999999999993</v>
      </c>
      <c r="CD66" s="100">
        <v>7.4609282252247739</v>
      </c>
      <c r="CE66" s="100">
        <v>8881.4889593075695</v>
      </c>
      <c r="CF66" s="100">
        <v>1.4548477920407188</v>
      </c>
      <c r="CG66" s="100">
        <v>1731.8508116452715</v>
      </c>
      <c r="CH66" s="100">
        <v>9</v>
      </c>
      <c r="CI66" s="100">
        <v>10713.599999999999</v>
      </c>
      <c r="CJ66" s="100">
        <v>7.5701420384922509</v>
      </c>
      <c r="CK66" s="100">
        <v>9011.4970826211738</v>
      </c>
      <c r="CL66" s="100">
        <v>6.0985393137920383</v>
      </c>
      <c r="CM66" s="100">
        <v>7259.7011991380414</v>
      </c>
      <c r="CN66" s="100">
        <v>4.8905822734568872E-4</v>
      </c>
      <c r="CO66" s="100">
        <v>0.58217491383230779</v>
      </c>
      <c r="CP66" s="100">
        <v>1.4155133579702779</v>
      </c>
      <c r="CQ66" s="100">
        <v>1685.0271013278186</v>
      </c>
      <c r="CR66" s="100">
        <v>8.5323637800043581</v>
      </c>
      <c r="CS66" s="100">
        <v>10156.925843717187</v>
      </c>
      <c r="CT66" s="100">
        <v>10</v>
      </c>
      <c r="CU66" s="100">
        <v>11903.999999999998</v>
      </c>
    </row>
    <row r="67" spans="2:99">
      <c r="C67" s="99" t="s">
        <v>233</v>
      </c>
      <c r="D67" s="100">
        <v>6</v>
      </c>
      <c r="E67" s="100">
        <v>6739.2000000000007</v>
      </c>
      <c r="F67" s="100">
        <v>4.9596751765346667</v>
      </c>
      <c r="G67" s="100">
        <v>5570.707158283738</v>
      </c>
      <c r="H67" s="100">
        <v>7.0714580370039979</v>
      </c>
      <c r="I67" s="100">
        <v>7942.6616671628908</v>
      </c>
      <c r="J67" s="100">
        <v>6.1965655826071435E-4</v>
      </c>
      <c r="K67" s="100">
        <v>0.69599824623843443</v>
      </c>
      <c r="L67" s="100">
        <v>11.641365407614467</v>
      </c>
      <c r="M67" s="100">
        <v>13075.58162583257</v>
      </c>
      <c r="N67" s="100">
        <v>8</v>
      </c>
      <c r="O67" s="100">
        <v>8985.6</v>
      </c>
      <c r="P67" s="100">
        <v>6</v>
      </c>
      <c r="Q67" s="100">
        <v>6739.2000000000007</v>
      </c>
      <c r="R67" s="100">
        <v>8</v>
      </c>
      <c r="S67" s="100">
        <v>8985.6</v>
      </c>
      <c r="T67" s="100">
        <v>2.1382396476789025</v>
      </c>
      <c r="U67" s="100">
        <v>2401.6707722729434</v>
      </c>
      <c r="V67" s="100">
        <v>8.595882451095024</v>
      </c>
      <c r="W67" s="100">
        <v>9654.8951690699305</v>
      </c>
      <c r="X67" s="100">
        <v>11</v>
      </c>
      <c r="Y67" s="100">
        <v>12355.2</v>
      </c>
      <c r="Z67" s="100">
        <v>0.88447599491590467</v>
      </c>
      <c r="AA67" s="100">
        <v>993.44343748954418</v>
      </c>
      <c r="AB67" s="100">
        <v>2.3842521707278896</v>
      </c>
      <c r="AC67" s="100">
        <v>2677.9920381615657</v>
      </c>
      <c r="AD67" s="100">
        <v>8.4237692373713919</v>
      </c>
      <c r="AE67" s="100">
        <v>9461.5776074155474</v>
      </c>
      <c r="AF67" s="100">
        <v>9</v>
      </c>
      <c r="AG67" s="100">
        <v>10108.800000000001</v>
      </c>
      <c r="AH67" s="100">
        <v>0.70319356224518947</v>
      </c>
      <c r="AI67" s="100">
        <v>789.82700911379686</v>
      </c>
      <c r="AJ67" s="100">
        <v>1.064945863462661E-3</v>
      </c>
      <c r="AK67" s="100">
        <v>1.1961471938412609</v>
      </c>
      <c r="AL67" s="100">
        <v>6.3044077120999822E-4</v>
      </c>
      <c r="AM67" s="100">
        <v>0.70811107422307007</v>
      </c>
      <c r="AN67" s="100">
        <v>1.8646738680322632</v>
      </c>
      <c r="AO67" s="100">
        <v>2094.4016885738383</v>
      </c>
      <c r="AP67" s="100">
        <v>6.6483250676682788</v>
      </c>
      <c r="AQ67" s="100">
        <v>7467.398716005011</v>
      </c>
      <c r="AR67" s="100">
        <v>6</v>
      </c>
      <c r="AS67" s="100">
        <v>6739.2000000000007</v>
      </c>
      <c r="AT67" s="100">
        <v>7.1405984052588245</v>
      </c>
      <c r="AU67" s="100">
        <v>8020.3201287867123</v>
      </c>
      <c r="AV67" s="100">
        <v>0.9948566657395107</v>
      </c>
      <c r="AW67" s="100">
        <v>1117.4230069586185</v>
      </c>
      <c r="AX67" s="100">
        <v>7.6973143560207324</v>
      </c>
      <c r="AY67" s="100">
        <v>8645.6234846824864</v>
      </c>
      <c r="AZ67" s="100">
        <v>6.2035533084475425</v>
      </c>
      <c r="BA67" s="100">
        <v>6967.83107604828</v>
      </c>
      <c r="BB67" s="100">
        <v>0.31185934738515281</v>
      </c>
      <c r="BC67" s="100">
        <v>350.28041898300364</v>
      </c>
      <c r="BD67" s="100">
        <v>7.6571717526877325</v>
      </c>
      <c r="BE67" s="100">
        <v>8600.535312618862</v>
      </c>
      <c r="BF67" s="100">
        <v>9.4481797255250761</v>
      </c>
      <c r="BG67" s="100">
        <v>10612.195467709766</v>
      </c>
      <c r="BH67" s="100">
        <v>8.2181284309440485</v>
      </c>
      <c r="BI67" s="100">
        <v>9230.6018536363554</v>
      </c>
      <c r="BJ67" s="100">
        <v>4.4110794065777359</v>
      </c>
      <c r="BK67" s="100">
        <v>4954.5243894681134</v>
      </c>
      <c r="BL67" s="100">
        <v>7.1152765555708601</v>
      </c>
      <c r="BM67" s="100">
        <v>7991.8786272171901</v>
      </c>
      <c r="BN67" s="100">
        <v>0.23886736839982373</v>
      </c>
      <c r="BO67" s="100">
        <v>268.295828186682</v>
      </c>
      <c r="BP67" s="100">
        <v>7.1131374116662434</v>
      </c>
      <c r="BQ67" s="100">
        <v>7989.4759407835245</v>
      </c>
      <c r="BR67" s="100">
        <v>6.7902151157904065</v>
      </c>
      <c r="BS67" s="100">
        <v>7626.769618055785</v>
      </c>
      <c r="BT67" s="100">
        <v>1.9410986582820711</v>
      </c>
      <c r="BU67" s="100">
        <v>2180.2420129824222</v>
      </c>
      <c r="BV67" s="100">
        <v>0.32990936742624255</v>
      </c>
      <c r="BW67" s="100">
        <v>370.55420149315563</v>
      </c>
      <c r="BX67" s="100">
        <v>7.0984830972610933</v>
      </c>
      <c r="BY67" s="100">
        <v>7973.0162148436602</v>
      </c>
      <c r="BZ67" s="100">
        <v>9</v>
      </c>
      <c r="CA67" s="100">
        <v>10108.800000000001</v>
      </c>
      <c r="CB67" s="100">
        <v>7</v>
      </c>
      <c r="CC67" s="100">
        <v>7862.4000000000005</v>
      </c>
      <c r="CD67" s="100">
        <v>9.3261602815309672</v>
      </c>
      <c r="CE67" s="100">
        <v>10475.143228215582</v>
      </c>
      <c r="CF67" s="100">
        <v>1.4477114128367305</v>
      </c>
      <c r="CG67" s="100">
        <v>1626.0694588982158</v>
      </c>
      <c r="CH67" s="100">
        <v>9</v>
      </c>
      <c r="CI67" s="100">
        <v>10108.800000000001</v>
      </c>
      <c r="CJ67" s="100">
        <v>8.3271562423414771</v>
      </c>
      <c r="CK67" s="100">
        <v>9353.061891397947</v>
      </c>
      <c r="CL67" s="100">
        <v>6.0985393137920383</v>
      </c>
      <c r="CM67" s="100">
        <v>6849.8793572512177</v>
      </c>
      <c r="CN67" s="100">
        <v>5.4993194875200386E-4</v>
      </c>
      <c r="CO67" s="100">
        <v>0.61768356483825071</v>
      </c>
      <c r="CP67" s="100">
        <v>1.8199418217954206</v>
      </c>
      <c r="CQ67" s="100">
        <v>2044.1586542406164</v>
      </c>
      <c r="CR67" s="100">
        <v>9.3992728350032682</v>
      </c>
      <c r="CS67" s="100">
        <v>10557.263248275671</v>
      </c>
      <c r="CT67" s="100">
        <v>9</v>
      </c>
      <c r="CU67" s="100">
        <v>10108.800000000001</v>
      </c>
    </row>
    <row r="68" spans="2:99">
      <c r="C68" s="99" t="s">
        <v>234</v>
      </c>
      <c r="D68" s="100">
        <v>5</v>
      </c>
      <c r="E68" s="100">
        <v>5166</v>
      </c>
      <c r="F68" s="100">
        <v>4.9596751765346667</v>
      </c>
      <c r="G68" s="100">
        <v>5124.3363923956176</v>
      </c>
      <c r="H68" s="100">
        <v>7.9553902916294978</v>
      </c>
      <c r="I68" s="100">
        <v>8219.5092493115972</v>
      </c>
      <c r="J68" s="100">
        <v>7.5735801565198413E-4</v>
      </c>
      <c r="K68" s="100">
        <v>0.78250230177163005</v>
      </c>
      <c r="L68" s="100">
        <v>12.641365407614467</v>
      </c>
      <c r="M68" s="100">
        <v>13061.058739147267</v>
      </c>
      <c r="N68" s="100">
        <v>8</v>
      </c>
      <c r="O68" s="100">
        <v>8265.6</v>
      </c>
      <c r="P68" s="100">
        <v>6</v>
      </c>
      <c r="Q68" s="100">
        <v>6199.2000000000007</v>
      </c>
      <c r="R68" s="100">
        <v>8</v>
      </c>
      <c r="S68" s="100">
        <v>8265.6</v>
      </c>
      <c r="T68" s="100">
        <v>2.4055196036387652</v>
      </c>
      <c r="U68" s="100">
        <v>2485.3828544795724</v>
      </c>
      <c r="V68" s="100">
        <v>7.5958824510950231</v>
      </c>
      <c r="W68" s="100">
        <v>7848.0657484713784</v>
      </c>
      <c r="X68" s="100">
        <v>10</v>
      </c>
      <c r="Y68" s="100">
        <v>10332</v>
      </c>
      <c r="Z68" s="100">
        <v>1.031888660735222</v>
      </c>
      <c r="AA68" s="100">
        <v>1066.1473642716314</v>
      </c>
      <c r="AB68" s="100">
        <v>2.6226773878006786</v>
      </c>
      <c r="AC68" s="100">
        <v>2709.7502770756614</v>
      </c>
      <c r="AD68" s="100">
        <v>7.565025649828522</v>
      </c>
      <c r="AE68" s="100">
        <v>7816.1845014028295</v>
      </c>
      <c r="AF68" s="100">
        <v>9</v>
      </c>
      <c r="AG68" s="100">
        <v>9298.8000000000011</v>
      </c>
      <c r="AH68" s="100">
        <v>0.70319356224518947</v>
      </c>
      <c r="AI68" s="100">
        <v>726.53958851172979</v>
      </c>
      <c r="AJ68" s="100">
        <v>9.6813242660042699E-4</v>
      </c>
      <c r="AK68" s="100">
        <v>1.0002744231635612</v>
      </c>
      <c r="AL68" s="100">
        <v>7.2050361894063599E-4</v>
      </c>
      <c r="AM68" s="100">
        <v>0.74442433908946515</v>
      </c>
      <c r="AN68" s="100">
        <v>1.631601312680915</v>
      </c>
      <c r="AO68" s="100">
        <v>1685.7704762619214</v>
      </c>
      <c r="AP68" s="100">
        <v>6.6483250676682788</v>
      </c>
      <c r="AQ68" s="100">
        <v>6869.049459914866</v>
      </c>
      <c r="AR68" s="100">
        <v>5</v>
      </c>
      <c r="AS68" s="100">
        <v>5166</v>
      </c>
      <c r="AT68" s="100">
        <v>6.3471985824522896</v>
      </c>
      <c r="AU68" s="100">
        <v>6557.925575389706</v>
      </c>
      <c r="AV68" s="100">
        <v>1.1922539197102189</v>
      </c>
      <c r="AW68" s="100">
        <v>1231.8367498445982</v>
      </c>
      <c r="AX68" s="100">
        <v>6.5810952966839436</v>
      </c>
      <c r="AY68" s="100">
        <v>6799.5876605338508</v>
      </c>
      <c r="AZ68" s="100">
        <v>6.2035533084475425</v>
      </c>
      <c r="BA68" s="100">
        <v>6409.5112782880014</v>
      </c>
      <c r="BB68" s="100">
        <v>0.37282622980565733</v>
      </c>
      <c r="BC68" s="100">
        <v>385.20406063520517</v>
      </c>
      <c r="BD68" s="100">
        <v>8.2623053726310598</v>
      </c>
      <c r="BE68" s="100">
        <v>8536.6139110024105</v>
      </c>
      <c r="BF68" s="100">
        <v>9.4481797255250761</v>
      </c>
      <c r="BG68" s="100">
        <v>9761.8592924125096</v>
      </c>
      <c r="BH68" s="100">
        <v>7.305003049728044</v>
      </c>
      <c r="BI68" s="100">
        <v>7547.5291509790159</v>
      </c>
      <c r="BJ68" s="100">
        <v>5.1462593076740264</v>
      </c>
      <c r="BK68" s="100">
        <v>5317.1151166888039</v>
      </c>
      <c r="BL68" s="100">
        <v>7.1152765555708601</v>
      </c>
      <c r="BM68" s="100">
        <v>7351.5037372158131</v>
      </c>
      <c r="BN68" s="100">
        <v>0.26826135354576874</v>
      </c>
      <c r="BO68" s="100">
        <v>277.16763048348827</v>
      </c>
      <c r="BP68" s="100">
        <v>8.1357648939994913</v>
      </c>
      <c r="BQ68" s="100">
        <v>8405.8722884802755</v>
      </c>
      <c r="BR68" s="100">
        <v>8.7302765774448083</v>
      </c>
      <c r="BS68" s="100">
        <v>9020.1217598159765</v>
      </c>
      <c r="BT68" s="100">
        <v>1.9580312503298414</v>
      </c>
      <c r="BU68" s="100">
        <v>2023.0378878407921</v>
      </c>
      <c r="BV68" s="100">
        <v>0.32990936742624255</v>
      </c>
      <c r="BW68" s="100">
        <v>340.8623584247938</v>
      </c>
      <c r="BX68" s="100">
        <v>8.0984830972610933</v>
      </c>
      <c r="BY68" s="100">
        <v>8367.3527360901626</v>
      </c>
      <c r="BZ68" s="100">
        <v>9</v>
      </c>
      <c r="CA68" s="100">
        <v>9298.8000000000011</v>
      </c>
      <c r="CB68" s="100">
        <v>7</v>
      </c>
      <c r="CC68" s="100">
        <v>7232.4000000000005</v>
      </c>
      <c r="CD68" s="100">
        <v>8.3935442533778701</v>
      </c>
      <c r="CE68" s="100">
        <v>8672.2099225900165</v>
      </c>
      <c r="CF68" s="100">
        <v>1.2792361498391189</v>
      </c>
      <c r="CG68" s="100">
        <v>1321.7067900137777</v>
      </c>
      <c r="CH68" s="100">
        <v>8.3601734637406722</v>
      </c>
      <c r="CI68" s="100">
        <v>8637.731222736862</v>
      </c>
      <c r="CJ68" s="100">
        <v>7.5701420384922509</v>
      </c>
      <c r="CK68" s="100">
        <v>7821.4707541701937</v>
      </c>
      <c r="CL68" s="100">
        <v>6.0985393137920383</v>
      </c>
      <c r="CM68" s="100">
        <v>6301.0108190099345</v>
      </c>
      <c r="CN68" s="100">
        <v>5.488977207044202E-4</v>
      </c>
      <c r="CO68" s="100">
        <v>0.56712112503180701</v>
      </c>
      <c r="CP68" s="100">
        <v>1.6177236187026753</v>
      </c>
      <c r="CQ68" s="100">
        <v>1671.4320428436042</v>
      </c>
      <c r="CR68" s="100">
        <v>9.5323637800043581</v>
      </c>
      <c r="CS68" s="100">
        <v>9848.8382575005035</v>
      </c>
      <c r="CT68" s="100">
        <v>10</v>
      </c>
      <c r="CU68" s="100">
        <v>10332</v>
      </c>
    </row>
    <row r="69" spans="2:99">
      <c r="C69" s="99" t="s">
        <v>235</v>
      </c>
      <c r="D69" s="100">
        <v>7</v>
      </c>
      <c r="E69" s="100">
        <v>5308.8</v>
      </c>
      <c r="F69" s="100">
        <v>5.7862877059571112</v>
      </c>
      <c r="G69" s="100">
        <v>4388.3205961978729</v>
      </c>
      <c r="H69" s="100">
        <v>8.8393225462549978</v>
      </c>
      <c r="I69" s="100">
        <v>6703.7422190797897</v>
      </c>
      <c r="J69" s="100">
        <v>6.8850728695634929E-4</v>
      </c>
      <c r="K69" s="100">
        <v>0.52216392642769527</v>
      </c>
      <c r="L69" s="100">
        <v>11.641365407614467</v>
      </c>
      <c r="M69" s="100">
        <v>8828.8115251348117</v>
      </c>
      <c r="N69" s="100">
        <v>9</v>
      </c>
      <c r="O69" s="100">
        <v>6825.5999999999995</v>
      </c>
      <c r="P69" s="100">
        <v>6</v>
      </c>
      <c r="Q69" s="100">
        <v>4550.3999999999996</v>
      </c>
      <c r="R69" s="100">
        <v>9</v>
      </c>
      <c r="S69" s="100">
        <v>6825.5999999999995</v>
      </c>
      <c r="T69" s="100">
        <v>2.1382396476789025</v>
      </c>
      <c r="U69" s="100">
        <v>1621.6409487996796</v>
      </c>
      <c r="V69" s="100">
        <v>8.595882451095024</v>
      </c>
      <c r="W69" s="100">
        <v>6519.1172509104663</v>
      </c>
      <c r="X69" s="100">
        <v>10</v>
      </c>
      <c r="Y69" s="100">
        <v>7584</v>
      </c>
      <c r="Z69" s="100">
        <v>0.88447599491590467</v>
      </c>
      <c r="AA69" s="100">
        <v>670.78659454422211</v>
      </c>
      <c r="AB69" s="100">
        <v>2.1458269536551002</v>
      </c>
      <c r="AC69" s="100">
        <v>1627.395161652028</v>
      </c>
      <c r="AD69" s="100">
        <v>9.4237692373713919</v>
      </c>
      <c r="AE69" s="100">
        <v>7146.9865896224637</v>
      </c>
      <c r="AF69" s="100">
        <v>8</v>
      </c>
      <c r="AG69" s="100">
        <v>6067.2</v>
      </c>
      <c r="AH69" s="100">
        <v>0.70319356224518947</v>
      </c>
      <c r="AI69" s="100">
        <v>533.30199760675168</v>
      </c>
      <c r="AJ69" s="100">
        <v>1.161758329313938E-3</v>
      </c>
      <c r="AK69" s="100">
        <v>0.88107751695169056</v>
      </c>
      <c r="AL69" s="100">
        <v>6.3044077120999822E-4</v>
      </c>
      <c r="AM69" s="100">
        <v>0.47812628088566261</v>
      </c>
      <c r="AN69" s="100">
        <v>1.8646738680322632</v>
      </c>
      <c r="AO69" s="100">
        <v>1414.1686615156684</v>
      </c>
      <c r="AP69" s="100">
        <v>6.6483250676682788</v>
      </c>
      <c r="AQ69" s="100">
        <v>5042.0897313196228</v>
      </c>
      <c r="AR69" s="100">
        <v>5</v>
      </c>
      <c r="AS69" s="100">
        <v>3792</v>
      </c>
      <c r="AT69" s="100">
        <v>7.9339982280653611</v>
      </c>
      <c r="AU69" s="100">
        <v>6017.14425616477</v>
      </c>
      <c r="AV69" s="100">
        <v>1.1843835238242497</v>
      </c>
      <c r="AW69" s="100">
        <v>898.23646446831094</v>
      </c>
      <c r="AX69" s="100">
        <v>7.6973143560207324</v>
      </c>
      <c r="AY69" s="100">
        <v>5837.6432076061237</v>
      </c>
      <c r="AZ69" s="100">
        <v>6.2035533084475425</v>
      </c>
      <c r="BA69" s="100">
        <v>4704.7748291266162</v>
      </c>
      <c r="BB69" s="100">
        <v>0.37423121686218341</v>
      </c>
      <c r="BC69" s="100">
        <v>283.81695486827988</v>
      </c>
      <c r="BD69" s="100">
        <v>6.9576718219480744</v>
      </c>
      <c r="BE69" s="100">
        <v>5276.6983097654193</v>
      </c>
      <c r="BF69" s="100">
        <v>9.4481797255250761</v>
      </c>
      <c r="BG69" s="100">
        <v>7165.4995038382176</v>
      </c>
      <c r="BH69" s="100">
        <v>7.305003049728044</v>
      </c>
      <c r="BI69" s="100">
        <v>5540.1143129137481</v>
      </c>
      <c r="BJ69" s="100">
        <v>5.1462593076740264</v>
      </c>
      <c r="BK69" s="100">
        <v>3902.9230589399813</v>
      </c>
      <c r="BL69" s="100">
        <v>7.1172386241040586</v>
      </c>
      <c r="BM69" s="100">
        <v>5397.7137725205175</v>
      </c>
      <c r="BN69" s="100">
        <v>0.29835199254776312</v>
      </c>
      <c r="BO69" s="100">
        <v>226.27015114822353</v>
      </c>
      <c r="BP69" s="100">
        <v>9.1357648939994913</v>
      </c>
      <c r="BQ69" s="100">
        <v>6928.5640956092138</v>
      </c>
      <c r="BR69" s="100">
        <v>8.7302765774448083</v>
      </c>
      <c r="BS69" s="100">
        <v>6621.0417563341425</v>
      </c>
      <c r="BT69" s="100">
        <v>1.7605348660920799</v>
      </c>
      <c r="BU69" s="100">
        <v>1335.1896424442334</v>
      </c>
      <c r="BV69" s="100">
        <v>0.33012151060482631</v>
      </c>
      <c r="BW69" s="100">
        <v>250.36415364270027</v>
      </c>
      <c r="BX69" s="100">
        <v>8.0984830972610933</v>
      </c>
      <c r="BY69" s="100">
        <v>6141.8895809628129</v>
      </c>
      <c r="BZ69" s="100">
        <v>8</v>
      </c>
      <c r="CA69" s="100">
        <v>6067.2</v>
      </c>
      <c r="CB69" s="100">
        <v>8</v>
      </c>
      <c r="CC69" s="100">
        <v>6067.2</v>
      </c>
      <c r="CD69" s="100">
        <v>9.3261602815309672</v>
      </c>
      <c r="CE69" s="100">
        <v>7072.9599575130851</v>
      </c>
      <c r="CF69" s="100">
        <v>1.2792361498391189</v>
      </c>
      <c r="CG69" s="100">
        <v>970.17269603798775</v>
      </c>
      <c r="CH69" s="100">
        <v>9.3601734637406722</v>
      </c>
      <c r="CI69" s="100">
        <v>7098.7555549009257</v>
      </c>
      <c r="CJ69" s="100">
        <v>8.3271562423414771</v>
      </c>
      <c r="CK69" s="100">
        <v>6315.315294191776</v>
      </c>
      <c r="CL69" s="100">
        <v>6.0985393137920383</v>
      </c>
      <c r="CM69" s="100">
        <v>4625.1322155798816</v>
      </c>
      <c r="CN69" s="100">
        <v>4.8905822734568872E-4</v>
      </c>
      <c r="CO69" s="100">
        <v>0.37090175961897032</v>
      </c>
      <c r="CP69" s="100">
        <v>1.6177239222096347</v>
      </c>
      <c r="CQ69" s="100">
        <v>1226.881822603787</v>
      </c>
      <c r="CR69" s="100">
        <v>9.5323637800043581</v>
      </c>
      <c r="CS69" s="100">
        <v>7229.3446907553052</v>
      </c>
      <c r="CT69" s="100">
        <v>10</v>
      </c>
      <c r="CU69" s="100">
        <v>7584</v>
      </c>
    </row>
    <row r="70" spans="2:99">
      <c r="C70" s="99" t="s">
        <v>236</v>
      </c>
      <c r="D70" s="100">
        <v>6</v>
      </c>
      <c r="E70" s="100">
        <v>3211.2</v>
      </c>
      <c r="F70" s="100">
        <v>4.9596751765346667</v>
      </c>
      <c r="G70" s="100">
        <v>2654.4181544813532</v>
      </c>
      <c r="H70" s="100">
        <v>8.8393225462549978</v>
      </c>
      <c r="I70" s="100">
        <v>4730.8054267556745</v>
      </c>
      <c r="J70" s="100">
        <v>7.5735801565198413E-4</v>
      </c>
      <c r="K70" s="100">
        <v>0.40533800997694186</v>
      </c>
      <c r="L70" s="100">
        <v>10.641365407614467</v>
      </c>
      <c r="M70" s="100">
        <v>5695.2587661552616</v>
      </c>
      <c r="N70" s="100">
        <v>9</v>
      </c>
      <c r="O70" s="100">
        <v>4816.7999999999993</v>
      </c>
      <c r="P70" s="100">
        <v>6</v>
      </c>
      <c r="Q70" s="100">
        <v>3211.2</v>
      </c>
      <c r="R70" s="100">
        <v>8</v>
      </c>
      <c r="S70" s="100">
        <v>4281.5999999999995</v>
      </c>
      <c r="T70" s="100">
        <v>2.1382396476789025</v>
      </c>
      <c r="U70" s="100">
        <v>1144.3858594377484</v>
      </c>
      <c r="V70" s="100">
        <v>8.595882451095024</v>
      </c>
      <c r="W70" s="100">
        <v>4600.5162878260562</v>
      </c>
      <c r="X70" s="100">
        <v>12</v>
      </c>
      <c r="Y70" s="100">
        <v>6422.4</v>
      </c>
      <c r="Z70" s="100">
        <v>0.88447599491590467</v>
      </c>
      <c r="AA70" s="100">
        <v>473.3715524789921</v>
      </c>
      <c r="AB70" s="100">
        <v>2.3842521707278896</v>
      </c>
      <c r="AC70" s="100">
        <v>1276.0517617735663</v>
      </c>
      <c r="AD70" s="100">
        <v>9.565025649828522</v>
      </c>
      <c r="AE70" s="100">
        <v>5119.2017277882242</v>
      </c>
      <c r="AF70" s="100">
        <v>8</v>
      </c>
      <c r="AG70" s="100">
        <v>4281.5999999999995</v>
      </c>
      <c r="AH70" s="100">
        <v>0.70319356224518947</v>
      </c>
      <c r="AI70" s="100">
        <v>376.34919451362538</v>
      </c>
      <c r="AJ70" s="100">
        <v>1.0649463489681397E-3</v>
      </c>
      <c r="AK70" s="100">
        <v>0.56995928596774836</v>
      </c>
      <c r="AL70" s="100">
        <v>6.304411897577652E-4</v>
      </c>
      <c r="AM70" s="100">
        <v>0.33741212475835591</v>
      </c>
      <c r="AN70" s="100">
        <v>1.8646738680322632</v>
      </c>
      <c r="AO70" s="100">
        <v>997.97345417086717</v>
      </c>
      <c r="AP70" s="100">
        <v>6.6483250676682788</v>
      </c>
      <c r="AQ70" s="100">
        <v>3558.1835762160622</v>
      </c>
      <c r="AR70" s="100">
        <v>5</v>
      </c>
      <c r="AS70" s="100">
        <v>2675.9999999999995</v>
      </c>
      <c r="AT70" s="100">
        <v>7.1405984052588245</v>
      </c>
      <c r="AU70" s="100">
        <v>3821.6482664945224</v>
      </c>
      <c r="AV70" s="100">
        <v>1.381780777794958</v>
      </c>
      <c r="AW70" s="100">
        <v>739.52907227586138</v>
      </c>
      <c r="AX70" s="100">
        <v>8.6973143560207333</v>
      </c>
      <c r="AY70" s="100">
        <v>4654.8026433422956</v>
      </c>
      <c r="AZ70" s="100">
        <v>5.3173314072407507</v>
      </c>
      <c r="BA70" s="100">
        <v>2845.8357691552496</v>
      </c>
      <c r="BB70" s="100">
        <v>0.34304528212366814</v>
      </c>
      <c r="BC70" s="100">
        <v>183.59783499258717</v>
      </c>
      <c r="BD70" s="100">
        <v>7.6577078425933491</v>
      </c>
      <c r="BE70" s="100">
        <v>4098.4052373559598</v>
      </c>
      <c r="BF70" s="100">
        <v>8.4481797255250761</v>
      </c>
      <c r="BG70" s="100">
        <v>4521.4657891010202</v>
      </c>
      <c r="BH70" s="100">
        <v>9.1312538121600539</v>
      </c>
      <c r="BI70" s="100">
        <v>4887.0470402680603</v>
      </c>
      <c r="BJ70" s="100">
        <v>5.1462593076740264</v>
      </c>
      <c r="BK70" s="100">
        <v>2754.2779814671385</v>
      </c>
      <c r="BL70" s="100">
        <v>6.480446823172664</v>
      </c>
      <c r="BM70" s="100">
        <v>3468.3351397620095</v>
      </c>
      <c r="BN70" s="100">
        <v>0.26872578944980163</v>
      </c>
      <c r="BO70" s="100">
        <v>143.8220425135338</v>
      </c>
      <c r="BP70" s="100">
        <v>8.1357648939994913</v>
      </c>
      <c r="BQ70" s="100">
        <v>4354.261371268527</v>
      </c>
      <c r="BR70" s="100">
        <v>7.7602458466176074</v>
      </c>
      <c r="BS70" s="100">
        <v>4153.2835771097425</v>
      </c>
      <c r="BT70" s="100">
        <v>1.9495649543059561</v>
      </c>
      <c r="BU70" s="100">
        <v>1043.4071635445475</v>
      </c>
      <c r="BV70" s="100">
        <v>0.33012151060482631</v>
      </c>
      <c r="BW70" s="100">
        <v>176.68103247570301</v>
      </c>
      <c r="BX70" s="100">
        <v>8.0984830972610933</v>
      </c>
      <c r="BY70" s="100">
        <v>4334.3081536541367</v>
      </c>
      <c r="BZ70" s="100">
        <v>10</v>
      </c>
      <c r="CA70" s="100">
        <v>5351.9999999999991</v>
      </c>
      <c r="CB70" s="100">
        <v>8</v>
      </c>
      <c r="CC70" s="100">
        <v>4281.5999999999995</v>
      </c>
      <c r="CD70" s="100">
        <v>9.3261602815309672</v>
      </c>
      <c r="CE70" s="100">
        <v>4991.3609826753727</v>
      </c>
      <c r="CF70" s="100">
        <v>1.2792361498391189</v>
      </c>
      <c r="CG70" s="100">
        <v>684.64718739389639</v>
      </c>
      <c r="CH70" s="100">
        <v>9</v>
      </c>
      <c r="CI70" s="100">
        <v>4816.7999999999993</v>
      </c>
      <c r="CJ70" s="100">
        <v>9.0841704461907025</v>
      </c>
      <c r="CK70" s="100">
        <v>4861.8480228012631</v>
      </c>
      <c r="CL70" s="100">
        <v>6.0985393137920383</v>
      </c>
      <c r="CM70" s="100">
        <v>3263.9382407414982</v>
      </c>
      <c r="CN70" s="100">
        <v>6.0873721406315157E-4</v>
      </c>
      <c r="CO70" s="100">
        <v>0.32579615696659869</v>
      </c>
      <c r="CP70" s="100">
        <v>1.6177239222096347</v>
      </c>
      <c r="CQ70" s="100">
        <v>865.80584316659633</v>
      </c>
      <c r="CR70" s="100">
        <v>10.399272835003268</v>
      </c>
      <c r="CS70" s="100">
        <v>5565.6908212937487</v>
      </c>
      <c r="CT70" s="100">
        <v>9</v>
      </c>
      <c r="CU70" s="100">
        <v>4816.7999999999993</v>
      </c>
    </row>
    <row r="71" spans="2:99">
      <c r="B71" s="99" t="s">
        <v>130</v>
      </c>
      <c r="C71" s="99" t="s">
        <v>237</v>
      </c>
      <c r="D71" s="100">
        <v>8</v>
      </c>
      <c r="E71" s="100">
        <v>4512</v>
      </c>
      <c r="F71" s="100">
        <v>5</v>
      </c>
      <c r="G71" s="100">
        <v>2820</v>
      </c>
      <c r="H71" s="100">
        <v>6</v>
      </c>
      <c r="I71" s="100">
        <v>3384</v>
      </c>
      <c r="J71" s="100">
        <v>6.4259613432675851</v>
      </c>
      <c r="K71" s="100">
        <v>3624.2421976029182</v>
      </c>
      <c r="L71" s="100">
        <v>7</v>
      </c>
      <c r="M71" s="100">
        <v>3948</v>
      </c>
      <c r="N71" s="100">
        <v>6</v>
      </c>
      <c r="O71" s="100">
        <v>3384</v>
      </c>
      <c r="P71" s="100">
        <v>9</v>
      </c>
      <c r="Q71" s="100">
        <v>5076</v>
      </c>
      <c r="R71" s="100">
        <v>5.9961635465704379</v>
      </c>
      <c r="S71" s="100">
        <v>3381.8362402657272</v>
      </c>
      <c r="T71" s="100">
        <v>9</v>
      </c>
      <c r="U71" s="100">
        <v>5076</v>
      </c>
      <c r="V71" s="100">
        <v>8</v>
      </c>
      <c r="W71" s="100">
        <v>4512</v>
      </c>
      <c r="X71" s="100">
        <v>3.8724300248449652</v>
      </c>
      <c r="Y71" s="100">
        <v>2184.0505340125605</v>
      </c>
      <c r="Z71" s="100">
        <v>7</v>
      </c>
      <c r="AA71" s="100">
        <v>3948</v>
      </c>
      <c r="AB71" s="100">
        <v>8</v>
      </c>
      <c r="AC71" s="100">
        <v>4512</v>
      </c>
      <c r="AD71" s="100">
        <v>8</v>
      </c>
      <c r="AE71" s="100">
        <v>4512</v>
      </c>
      <c r="AF71" s="100">
        <v>4.3692484824239139</v>
      </c>
      <c r="AG71" s="100">
        <v>2464.2561440870873</v>
      </c>
      <c r="AH71" s="100">
        <v>6.3510920379518409E-4</v>
      </c>
      <c r="AI71" s="100">
        <v>0.35820159094048382</v>
      </c>
      <c r="AJ71" s="100">
        <v>5.7794536767714062</v>
      </c>
      <c r="AK71" s="100">
        <v>3259.6118736990729</v>
      </c>
      <c r="AL71" s="100">
        <v>7.0010182207485856E-4</v>
      </c>
      <c r="AM71" s="100">
        <v>0.39485742765022025</v>
      </c>
      <c r="AN71" s="100">
        <v>5.4137157105151248</v>
      </c>
      <c r="AO71" s="100">
        <v>3053.3356607305304</v>
      </c>
      <c r="AP71" s="100">
        <v>8.8697596283090121</v>
      </c>
      <c r="AQ71" s="100">
        <v>5002.5444303662825</v>
      </c>
      <c r="AR71" s="100">
        <v>8</v>
      </c>
      <c r="AS71" s="100">
        <v>4512</v>
      </c>
      <c r="AT71" s="100">
        <v>5</v>
      </c>
      <c r="AU71" s="100">
        <v>2820</v>
      </c>
      <c r="AV71" s="100">
        <v>5.9911542434139529</v>
      </c>
      <c r="AW71" s="100">
        <v>3379.0109932854693</v>
      </c>
      <c r="AX71" s="100">
        <v>4.0841655362964158</v>
      </c>
      <c r="AY71" s="100">
        <v>2303.4693624711786</v>
      </c>
      <c r="AZ71" s="100">
        <v>8.6648060260582564</v>
      </c>
      <c r="BA71" s="100">
        <v>4886.950598696857</v>
      </c>
      <c r="BB71" s="100">
        <v>8</v>
      </c>
      <c r="BC71" s="100">
        <v>4512</v>
      </c>
      <c r="BD71" s="100">
        <v>2.1727702870117653</v>
      </c>
      <c r="BE71" s="100">
        <v>1225.4424418746357</v>
      </c>
      <c r="BF71" s="100">
        <v>9.3964338158872582</v>
      </c>
      <c r="BG71" s="100">
        <v>5299.5886721604138</v>
      </c>
      <c r="BH71" s="100">
        <v>1.1470853066546935</v>
      </c>
      <c r="BI71" s="100">
        <v>646.95611295324716</v>
      </c>
      <c r="BJ71" s="100">
        <v>6.5134799866315642</v>
      </c>
      <c r="BK71" s="100">
        <v>3673.6027124602024</v>
      </c>
      <c r="BL71" s="100">
        <v>5.2821596177508852</v>
      </c>
      <c r="BM71" s="100">
        <v>2979.1380244114994</v>
      </c>
      <c r="BN71" s="100">
        <v>6</v>
      </c>
      <c r="BO71" s="100">
        <v>3384</v>
      </c>
      <c r="BP71" s="100">
        <v>7</v>
      </c>
      <c r="BQ71" s="100">
        <v>3948</v>
      </c>
      <c r="BR71" s="100">
        <v>5</v>
      </c>
      <c r="BS71" s="100">
        <v>2820</v>
      </c>
      <c r="BT71" s="100">
        <v>5</v>
      </c>
      <c r="BU71" s="100">
        <v>2820</v>
      </c>
      <c r="BV71" s="100">
        <v>8</v>
      </c>
      <c r="BW71" s="100">
        <v>4512</v>
      </c>
      <c r="BX71" s="100">
        <v>5</v>
      </c>
      <c r="BY71" s="100">
        <v>2820</v>
      </c>
      <c r="BZ71" s="100">
        <v>7</v>
      </c>
      <c r="CA71" s="100">
        <v>3948</v>
      </c>
      <c r="CB71" s="100">
        <v>0.73820119138594043</v>
      </c>
      <c r="CC71" s="100">
        <v>416.34547194167038</v>
      </c>
      <c r="CD71" s="100">
        <v>7</v>
      </c>
      <c r="CE71" s="100">
        <v>3948</v>
      </c>
      <c r="CF71" s="100">
        <v>6.8750449709692045</v>
      </c>
      <c r="CG71" s="100">
        <v>3877.5253636266311</v>
      </c>
      <c r="CH71" s="100">
        <v>9.8680208318965033</v>
      </c>
      <c r="CI71" s="100">
        <v>5565.5637491896277</v>
      </c>
      <c r="CJ71" s="100">
        <v>10</v>
      </c>
      <c r="CK71" s="100">
        <v>5640</v>
      </c>
      <c r="CL71" s="100">
        <v>7.105536806595862</v>
      </c>
      <c r="CM71" s="100">
        <v>4007.5227589200663</v>
      </c>
      <c r="CN71" s="100">
        <v>4.3362999042301658</v>
      </c>
      <c r="CO71" s="100">
        <v>2445.6731459858133</v>
      </c>
      <c r="CP71" s="100">
        <v>6.9858294753139063</v>
      </c>
      <c r="CQ71" s="100">
        <v>3940.0078240770431</v>
      </c>
      <c r="CR71" s="100">
        <v>8.7365165687459232</v>
      </c>
      <c r="CS71" s="100">
        <v>4927.3953447727008</v>
      </c>
      <c r="CT71" s="100">
        <v>7</v>
      </c>
      <c r="CU71" s="100">
        <v>3948</v>
      </c>
    </row>
    <row r="72" spans="2:99">
      <c r="C72" s="99" t="s">
        <v>238</v>
      </c>
      <c r="D72" s="100">
        <v>8</v>
      </c>
      <c r="E72" s="100">
        <v>595.19999999999993</v>
      </c>
      <c r="F72" s="100">
        <v>5</v>
      </c>
      <c r="G72" s="100">
        <v>371.99999999999994</v>
      </c>
      <c r="H72" s="100">
        <v>6</v>
      </c>
      <c r="I72" s="100">
        <v>446.4</v>
      </c>
      <c r="J72" s="100">
        <v>6.462446015965484</v>
      </c>
      <c r="K72" s="100">
        <v>480.80598358783197</v>
      </c>
      <c r="L72" s="100">
        <v>8</v>
      </c>
      <c r="M72" s="100">
        <v>595.19999999999993</v>
      </c>
      <c r="N72" s="100">
        <v>7</v>
      </c>
      <c r="O72" s="100">
        <v>520.79999999999995</v>
      </c>
      <c r="P72" s="100">
        <v>10</v>
      </c>
      <c r="Q72" s="100">
        <v>743.99999999999989</v>
      </c>
      <c r="R72" s="100">
        <v>5.9961635465704379</v>
      </c>
      <c r="S72" s="100">
        <v>446.11456786484052</v>
      </c>
      <c r="T72" s="100">
        <v>9</v>
      </c>
      <c r="U72" s="100">
        <v>669.59999999999991</v>
      </c>
      <c r="V72" s="100">
        <v>9</v>
      </c>
      <c r="W72" s="100">
        <v>669.59999999999991</v>
      </c>
      <c r="X72" s="100">
        <v>3.8724300248449652</v>
      </c>
      <c r="Y72" s="100">
        <v>288.10879384846538</v>
      </c>
      <c r="Z72" s="100">
        <v>7</v>
      </c>
      <c r="AA72" s="100">
        <v>520.79999999999995</v>
      </c>
      <c r="AB72" s="100">
        <v>9</v>
      </c>
      <c r="AC72" s="100">
        <v>669.59999999999991</v>
      </c>
      <c r="AD72" s="100">
        <v>9</v>
      </c>
      <c r="AE72" s="100">
        <v>669.59999999999991</v>
      </c>
      <c r="AF72" s="100">
        <v>4.3692484824239139</v>
      </c>
      <c r="AG72" s="100">
        <v>325.07208709233919</v>
      </c>
      <c r="AH72" s="100">
        <v>7.116725426367836E-4</v>
      </c>
      <c r="AI72" s="100">
        <v>5.2948437172176691E-2</v>
      </c>
      <c r="AJ72" s="100">
        <v>5.7794536767714062</v>
      </c>
      <c r="AK72" s="100">
        <v>429.9913535517926</v>
      </c>
      <c r="AL72" s="100">
        <v>7.0010182207485856E-4</v>
      </c>
      <c r="AM72" s="100">
        <v>5.2087575562369468E-2</v>
      </c>
      <c r="AN72" s="100">
        <v>5.4137157105151248</v>
      </c>
      <c r="AO72" s="100">
        <v>402.78044886232522</v>
      </c>
      <c r="AP72" s="100">
        <v>9.0437115539708159</v>
      </c>
      <c r="AQ72" s="100">
        <v>672.85213961542865</v>
      </c>
      <c r="AR72" s="100">
        <v>10</v>
      </c>
      <c r="AS72" s="100">
        <v>743.99999999999989</v>
      </c>
      <c r="AT72" s="100">
        <v>5</v>
      </c>
      <c r="AU72" s="100">
        <v>371.99999999999994</v>
      </c>
      <c r="AV72" s="100">
        <v>5.2422599629872089</v>
      </c>
      <c r="AW72" s="100">
        <v>390.02414124624829</v>
      </c>
      <c r="AX72" s="100">
        <v>4.7843682178687068</v>
      </c>
      <c r="AY72" s="100">
        <v>355.95699540943173</v>
      </c>
      <c r="AZ72" s="100">
        <v>10.664806026058256</v>
      </c>
      <c r="BA72" s="100">
        <v>793.4615683387342</v>
      </c>
      <c r="BB72" s="100">
        <v>8</v>
      </c>
      <c r="BC72" s="100">
        <v>595.19999999999993</v>
      </c>
      <c r="BD72" s="100">
        <v>2.4831660422991604</v>
      </c>
      <c r="BE72" s="100">
        <v>184.74755354705752</v>
      </c>
      <c r="BF72" s="100">
        <v>9.5625218202036937</v>
      </c>
      <c r="BG72" s="100">
        <v>711.45162342315473</v>
      </c>
      <c r="BH72" s="100">
        <v>1.1546532649916836</v>
      </c>
      <c r="BI72" s="100">
        <v>85.906202915381257</v>
      </c>
      <c r="BJ72" s="100">
        <v>7.6418499832894549</v>
      </c>
      <c r="BK72" s="100">
        <v>568.55363875673538</v>
      </c>
      <c r="BL72" s="100">
        <v>5.2821596177508852</v>
      </c>
      <c r="BM72" s="100">
        <v>392.99267556066582</v>
      </c>
      <c r="BN72" s="100">
        <v>5</v>
      </c>
      <c r="BO72" s="100">
        <v>371.99999999999994</v>
      </c>
      <c r="BP72" s="100">
        <v>8</v>
      </c>
      <c r="BQ72" s="100">
        <v>595.19999999999993</v>
      </c>
      <c r="BR72" s="100">
        <v>5</v>
      </c>
      <c r="BS72" s="100">
        <v>371.99999999999994</v>
      </c>
      <c r="BT72" s="100">
        <v>5</v>
      </c>
      <c r="BU72" s="100">
        <v>371.99999999999994</v>
      </c>
      <c r="BV72" s="100">
        <v>8</v>
      </c>
      <c r="BW72" s="100">
        <v>595.19999999999993</v>
      </c>
      <c r="BX72" s="100">
        <v>5</v>
      </c>
      <c r="BY72" s="100">
        <v>371.99999999999994</v>
      </c>
      <c r="BZ72" s="100">
        <v>6</v>
      </c>
      <c r="CA72" s="100">
        <v>446.4</v>
      </c>
      <c r="CB72" s="100">
        <v>0.91576401936990126</v>
      </c>
      <c r="CC72" s="100">
        <v>68.132843041120651</v>
      </c>
      <c r="CD72" s="100">
        <v>6</v>
      </c>
      <c r="CE72" s="100">
        <v>446.4</v>
      </c>
      <c r="CF72" s="100">
        <v>6.8750449709692045</v>
      </c>
      <c r="CG72" s="100">
        <v>511.50334584010875</v>
      </c>
      <c r="CH72" s="100">
        <v>10.854822915086153</v>
      </c>
      <c r="CI72" s="100">
        <v>807.59882488240964</v>
      </c>
      <c r="CJ72" s="100">
        <v>10</v>
      </c>
      <c r="CK72" s="100">
        <v>743.99999999999989</v>
      </c>
      <c r="CL72" s="100">
        <v>6.3160327169740986</v>
      </c>
      <c r="CM72" s="100">
        <v>469.9128341428729</v>
      </c>
      <c r="CN72" s="100">
        <v>5.0590165549351935</v>
      </c>
      <c r="CO72" s="100">
        <v>376.39083168717838</v>
      </c>
      <c r="CP72" s="100">
        <v>7.9858294753139063</v>
      </c>
      <c r="CQ72" s="100">
        <v>594.14571296335453</v>
      </c>
      <c r="CR72" s="100">
        <v>7.8628649118713314</v>
      </c>
      <c r="CS72" s="100">
        <v>584.99714944322704</v>
      </c>
      <c r="CT72" s="100">
        <v>7</v>
      </c>
      <c r="CU72" s="100">
        <v>520.79999999999995</v>
      </c>
    </row>
    <row r="73" spans="2:99">
      <c r="C73" s="99" t="s">
        <v>239</v>
      </c>
      <c r="D73" s="100">
        <v>8</v>
      </c>
      <c r="E73" s="100">
        <v>4473.5999999999995</v>
      </c>
      <c r="F73" s="100">
        <v>5</v>
      </c>
      <c r="G73" s="100">
        <v>2795.9999999999995</v>
      </c>
      <c r="H73" s="100">
        <v>6</v>
      </c>
      <c r="I73" s="100">
        <v>3355.2</v>
      </c>
      <c r="J73" s="100">
        <v>6.389476670569687</v>
      </c>
      <c r="K73" s="100">
        <v>3572.9953541825685</v>
      </c>
      <c r="L73" s="100">
        <v>8</v>
      </c>
      <c r="M73" s="100">
        <v>4473.5999999999995</v>
      </c>
      <c r="N73" s="100">
        <v>7</v>
      </c>
      <c r="O73" s="100">
        <v>3914.3999999999996</v>
      </c>
      <c r="P73" s="100">
        <v>8</v>
      </c>
      <c r="Q73" s="100">
        <v>4473.5999999999995</v>
      </c>
      <c r="R73" s="100">
        <v>5.2466431032491325</v>
      </c>
      <c r="S73" s="100">
        <v>2933.9228233369145</v>
      </c>
      <c r="T73" s="100">
        <v>8</v>
      </c>
      <c r="U73" s="100">
        <v>4473.5999999999995</v>
      </c>
      <c r="V73" s="100">
        <v>9</v>
      </c>
      <c r="W73" s="100">
        <v>5032.7999999999993</v>
      </c>
      <c r="X73" s="100">
        <v>3.8724300248449652</v>
      </c>
      <c r="Y73" s="100">
        <v>2165.4628698933043</v>
      </c>
      <c r="Z73" s="100">
        <v>8</v>
      </c>
      <c r="AA73" s="100">
        <v>4473.5999999999995</v>
      </c>
      <c r="AB73" s="100">
        <v>8</v>
      </c>
      <c r="AC73" s="100">
        <v>4473.5999999999995</v>
      </c>
      <c r="AD73" s="100">
        <v>7</v>
      </c>
      <c r="AE73" s="100">
        <v>3914.3999999999996</v>
      </c>
      <c r="AF73" s="100">
        <v>4.3692484824239139</v>
      </c>
      <c r="AG73" s="100">
        <v>2443.2837513714526</v>
      </c>
      <c r="AH73" s="100">
        <v>7.116725426367836E-4</v>
      </c>
      <c r="AI73" s="100">
        <v>0.39796728584248936</v>
      </c>
      <c r="AJ73" s="100">
        <v>4.8162113973095053</v>
      </c>
      <c r="AK73" s="100">
        <v>2693.225413375475</v>
      </c>
      <c r="AL73" s="100">
        <v>6.1258973884159996E-4</v>
      </c>
      <c r="AM73" s="100">
        <v>0.34256018196022264</v>
      </c>
      <c r="AN73" s="100">
        <v>4.8548718957608124</v>
      </c>
      <c r="AO73" s="100">
        <v>2714.8443641094459</v>
      </c>
      <c r="AP73" s="100">
        <v>8.0437115539708159</v>
      </c>
      <c r="AQ73" s="100">
        <v>4498.0435009804796</v>
      </c>
      <c r="AR73" s="100">
        <v>8</v>
      </c>
      <c r="AS73" s="100">
        <v>4473.5999999999995</v>
      </c>
      <c r="AT73" s="100">
        <v>5</v>
      </c>
      <c r="AU73" s="100">
        <v>2795.9999999999995</v>
      </c>
      <c r="AV73" s="100">
        <v>5.9911542434139529</v>
      </c>
      <c r="AW73" s="100">
        <v>3350.2534529170821</v>
      </c>
      <c r="AX73" s="100">
        <v>4.7843682178687068</v>
      </c>
      <c r="AY73" s="100">
        <v>2675.4187074321803</v>
      </c>
      <c r="AZ73" s="100">
        <v>9.6648060260582564</v>
      </c>
      <c r="BA73" s="100">
        <v>5404.5595297717764</v>
      </c>
      <c r="BB73" s="100">
        <v>7</v>
      </c>
      <c r="BC73" s="100">
        <v>3914.3999999999996</v>
      </c>
      <c r="BD73" s="100">
        <v>2.1727702870117653</v>
      </c>
      <c r="BE73" s="100">
        <v>1215.0131444969791</v>
      </c>
      <c r="BF73" s="100">
        <v>9.5625218202036937</v>
      </c>
      <c r="BG73" s="100">
        <v>5347.3622018579044</v>
      </c>
      <c r="BH73" s="100">
        <v>1.1470853066546935</v>
      </c>
      <c r="BI73" s="100">
        <v>641.45010348130461</v>
      </c>
      <c r="BJ73" s="100">
        <v>6.6418499832894549</v>
      </c>
      <c r="BK73" s="100">
        <v>3714.1225106554625</v>
      </c>
      <c r="BL73" s="100">
        <v>5.9424295699697467</v>
      </c>
      <c r="BM73" s="100">
        <v>3323.006615527082</v>
      </c>
      <c r="BN73" s="100">
        <v>5</v>
      </c>
      <c r="BO73" s="100">
        <v>2795.9999999999995</v>
      </c>
      <c r="BP73" s="100">
        <v>7</v>
      </c>
      <c r="BQ73" s="100">
        <v>3914.3999999999996</v>
      </c>
      <c r="BR73" s="100">
        <v>5</v>
      </c>
      <c r="BS73" s="100">
        <v>2795.9999999999995</v>
      </c>
      <c r="BT73" s="100">
        <v>5</v>
      </c>
      <c r="BU73" s="100">
        <v>2795.9999999999995</v>
      </c>
      <c r="BV73" s="100">
        <v>8</v>
      </c>
      <c r="BW73" s="100">
        <v>4473.5999999999995</v>
      </c>
      <c r="BX73" s="100">
        <v>5</v>
      </c>
      <c r="BY73" s="100">
        <v>2795.9999999999995</v>
      </c>
      <c r="BZ73" s="100">
        <v>6</v>
      </c>
      <c r="CA73" s="100">
        <v>3355.2</v>
      </c>
      <c r="CB73" s="100">
        <v>0.82620621983764031</v>
      </c>
      <c r="CC73" s="100">
        <v>462.01451813320841</v>
      </c>
      <c r="CD73" s="100">
        <v>6</v>
      </c>
      <c r="CE73" s="100">
        <v>3355.2</v>
      </c>
      <c r="CF73" s="100">
        <v>6.8750449709692045</v>
      </c>
      <c r="CG73" s="100">
        <v>3844.5251477659785</v>
      </c>
      <c r="CH73" s="100">
        <v>9.8680208318965033</v>
      </c>
      <c r="CI73" s="100">
        <v>5518.1972491965244</v>
      </c>
      <c r="CJ73" s="100">
        <v>10</v>
      </c>
      <c r="CK73" s="100">
        <v>5591.9999999999991</v>
      </c>
      <c r="CL73" s="100">
        <v>6.3160327169740986</v>
      </c>
      <c r="CM73" s="100">
        <v>3531.9254953319155</v>
      </c>
      <c r="CN73" s="100">
        <v>5.0590165549351935</v>
      </c>
      <c r="CO73" s="100">
        <v>2829.00205751976</v>
      </c>
      <c r="CP73" s="100">
        <v>6.9858294753139063</v>
      </c>
      <c r="CQ73" s="100">
        <v>3906.4758425955361</v>
      </c>
      <c r="CR73" s="100">
        <v>7.8628649118713314</v>
      </c>
      <c r="CS73" s="100">
        <v>4396.9140587184484</v>
      </c>
      <c r="CT73" s="100">
        <v>7</v>
      </c>
      <c r="CU73" s="100">
        <v>3914.3999999999996</v>
      </c>
    </row>
    <row r="74" spans="2:99">
      <c r="C74" s="99" t="s">
        <v>240</v>
      </c>
      <c r="D74" s="100">
        <v>7</v>
      </c>
      <c r="E74" s="100">
        <v>2822.4</v>
      </c>
      <c r="F74" s="100">
        <v>4</v>
      </c>
      <c r="G74" s="100">
        <v>1612.8</v>
      </c>
      <c r="H74" s="100">
        <v>5</v>
      </c>
      <c r="I74" s="100">
        <v>2016</v>
      </c>
      <c r="J74" s="100">
        <v>5.2396271120312088</v>
      </c>
      <c r="K74" s="100">
        <v>2112.6176515709835</v>
      </c>
      <c r="L74" s="100">
        <v>8</v>
      </c>
      <c r="M74" s="100">
        <v>3225.6</v>
      </c>
      <c r="N74" s="100">
        <v>7</v>
      </c>
      <c r="O74" s="100">
        <v>2822.4</v>
      </c>
      <c r="P74" s="100">
        <v>9</v>
      </c>
      <c r="Q74" s="100">
        <v>3628.7999999999997</v>
      </c>
      <c r="R74" s="100">
        <v>5.2466431032491325</v>
      </c>
      <c r="S74" s="100">
        <v>2115.44649923005</v>
      </c>
      <c r="T74" s="100">
        <v>10</v>
      </c>
      <c r="U74" s="100">
        <v>4032</v>
      </c>
      <c r="V74" s="100">
        <v>8</v>
      </c>
      <c r="W74" s="100">
        <v>3225.6</v>
      </c>
      <c r="X74" s="100">
        <v>3.8724300248449652</v>
      </c>
      <c r="Y74" s="100">
        <v>1561.3637860174899</v>
      </c>
      <c r="Z74" s="100">
        <v>7</v>
      </c>
      <c r="AA74" s="100">
        <v>2822.4</v>
      </c>
      <c r="AB74" s="100">
        <v>8</v>
      </c>
      <c r="AC74" s="100">
        <v>3225.6</v>
      </c>
      <c r="AD74" s="100">
        <v>8</v>
      </c>
      <c r="AE74" s="100">
        <v>3225.6</v>
      </c>
      <c r="AF74" s="100">
        <v>4.3692484824239139</v>
      </c>
      <c r="AG74" s="100">
        <v>1761.680988113322</v>
      </c>
      <c r="AH74" s="100">
        <v>6.3833813137552527E-4</v>
      </c>
      <c r="AI74" s="100">
        <v>0.25737793457061175</v>
      </c>
      <c r="AJ74" s="100">
        <v>5.7794536767714062</v>
      </c>
      <c r="AK74" s="100">
        <v>2330.2757224742309</v>
      </c>
      <c r="AL74" s="100">
        <v>7.0010236483367843E-4</v>
      </c>
      <c r="AM74" s="100">
        <v>0.28228127350093912</v>
      </c>
      <c r="AN74" s="100">
        <v>5.4137157105151248</v>
      </c>
      <c r="AO74" s="100">
        <v>2182.8101744796982</v>
      </c>
      <c r="AP74" s="100">
        <v>9.0437115539708159</v>
      </c>
      <c r="AQ74" s="100">
        <v>3646.424498561033</v>
      </c>
      <c r="AR74" s="100">
        <v>9</v>
      </c>
      <c r="AS74" s="100">
        <v>3628.7999999999997</v>
      </c>
      <c r="AT74" s="100">
        <v>5</v>
      </c>
      <c r="AU74" s="100">
        <v>2016</v>
      </c>
      <c r="AV74" s="100">
        <v>5.9911542434139529</v>
      </c>
      <c r="AW74" s="100">
        <v>2415.6333909445057</v>
      </c>
      <c r="AX74" s="100">
        <v>3.954329707293935</v>
      </c>
      <c r="AY74" s="100">
        <v>1594.3857379809144</v>
      </c>
      <c r="AZ74" s="100">
        <v>10.664806026058256</v>
      </c>
      <c r="BA74" s="100">
        <v>4300.0497897066889</v>
      </c>
      <c r="BB74" s="100">
        <v>8</v>
      </c>
      <c r="BC74" s="100">
        <v>3225.6</v>
      </c>
      <c r="BD74" s="100">
        <v>2.1727702870117653</v>
      </c>
      <c r="BE74" s="100">
        <v>876.06097972314376</v>
      </c>
      <c r="BF74" s="100">
        <v>9.5625218202036937</v>
      </c>
      <c r="BG74" s="100">
        <v>3855.608797906129</v>
      </c>
      <c r="BH74" s="100">
        <v>1.1470853066546935</v>
      </c>
      <c r="BI74" s="100">
        <v>462.50479564317243</v>
      </c>
      <c r="BJ74" s="100">
        <v>6.5134799866315642</v>
      </c>
      <c r="BK74" s="100">
        <v>2626.2351306098467</v>
      </c>
      <c r="BL74" s="100">
        <v>5.9424295699697467</v>
      </c>
      <c r="BM74" s="100">
        <v>2395.9876026118018</v>
      </c>
      <c r="BN74" s="100">
        <v>5</v>
      </c>
      <c r="BO74" s="100">
        <v>2016</v>
      </c>
      <c r="BP74" s="100">
        <v>7</v>
      </c>
      <c r="BQ74" s="100">
        <v>2822.4</v>
      </c>
      <c r="BR74" s="100">
        <v>5</v>
      </c>
      <c r="BS74" s="100">
        <v>2016</v>
      </c>
      <c r="BT74" s="100">
        <v>5</v>
      </c>
      <c r="BU74" s="100">
        <v>2016</v>
      </c>
      <c r="BV74" s="100">
        <v>9</v>
      </c>
      <c r="BW74" s="100">
        <v>3628.7999999999997</v>
      </c>
      <c r="BX74" s="100">
        <v>4</v>
      </c>
      <c r="BY74" s="100">
        <v>1612.8</v>
      </c>
      <c r="BZ74" s="100">
        <v>6</v>
      </c>
      <c r="CA74" s="100">
        <v>2419.1999999999998</v>
      </c>
      <c r="CB74" s="100">
        <v>0.91576401936990126</v>
      </c>
      <c r="CC74" s="100">
        <v>369.23605260994418</v>
      </c>
      <c r="CD74" s="100">
        <v>6</v>
      </c>
      <c r="CE74" s="100">
        <v>2419.1999999999998</v>
      </c>
      <c r="CF74" s="100">
        <v>6.8750449709692045</v>
      </c>
      <c r="CG74" s="100">
        <v>2772.0181322947833</v>
      </c>
      <c r="CH74" s="100">
        <v>8.8812187487068535</v>
      </c>
      <c r="CI74" s="100">
        <v>3580.9073994786031</v>
      </c>
      <c r="CJ74" s="100">
        <v>10</v>
      </c>
      <c r="CK74" s="100">
        <v>4032</v>
      </c>
      <c r="CL74" s="100">
        <v>7.105536806595862</v>
      </c>
      <c r="CM74" s="100">
        <v>2864.9524404194512</v>
      </c>
      <c r="CN74" s="100">
        <v>5.0590165549351935</v>
      </c>
      <c r="CO74" s="100">
        <v>2039.7954749498699</v>
      </c>
      <c r="CP74" s="100">
        <v>6.9858294753139063</v>
      </c>
      <c r="CQ74" s="100">
        <v>2816.6864444465668</v>
      </c>
      <c r="CR74" s="100">
        <v>8.7365165687459232</v>
      </c>
      <c r="CS74" s="100">
        <v>3522.5634805183563</v>
      </c>
      <c r="CT74" s="100">
        <v>6</v>
      </c>
      <c r="CU74" s="100">
        <v>2419.1999999999998</v>
      </c>
    </row>
    <row r="75" spans="2:99">
      <c r="C75" s="99" t="s">
        <v>241</v>
      </c>
      <c r="D75" s="100">
        <v>8</v>
      </c>
      <c r="E75" s="100">
        <v>5145.5999999999995</v>
      </c>
      <c r="F75" s="100">
        <v>5</v>
      </c>
      <c r="G75" s="100">
        <v>3215.9999999999995</v>
      </c>
      <c r="H75" s="100">
        <v>6</v>
      </c>
      <c r="I75" s="100">
        <v>3859.2</v>
      </c>
      <c r="J75" s="100">
        <v>6.4259613432675851</v>
      </c>
      <c r="K75" s="100">
        <v>4133.1783359897099</v>
      </c>
      <c r="L75" s="100">
        <v>7</v>
      </c>
      <c r="M75" s="100">
        <v>4502.3999999999996</v>
      </c>
      <c r="N75" s="100">
        <v>6</v>
      </c>
      <c r="O75" s="100">
        <v>3859.2</v>
      </c>
      <c r="P75" s="100">
        <v>9</v>
      </c>
      <c r="Q75" s="100">
        <v>5788.7999999999993</v>
      </c>
      <c r="R75" s="100">
        <v>5.2466431032491325</v>
      </c>
      <c r="S75" s="100">
        <v>3374.6408440098417</v>
      </c>
      <c r="T75" s="100">
        <v>9</v>
      </c>
      <c r="U75" s="100">
        <v>5788.7999999999993</v>
      </c>
      <c r="V75" s="100">
        <v>9</v>
      </c>
      <c r="W75" s="100">
        <v>5788.7999999999993</v>
      </c>
      <c r="X75" s="100">
        <v>3.8724300248449652</v>
      </c>
      <c r="Y75" s="100">
        <v>2490.7469919802816</v>
      </c>
      <c r="Z75" s="100">
        <v>8</v>
      </c>
      <c r="AA75" s="100">
        <v>5145.5999999999995</v>
      </c>
      <c r="AB75" s="100">
        <v>8</v>
      </c>
      <c r="AC75" s="100">
        <v>5145.5999999999995</v>
      </c>
      <c r="AD75" s="100">
        <v>8</v>
      </c>
      <c r="AE75" s="100">
        <v>5145.5999999999995</v>
      </c>
      <c r="AF75" s="100">
        <v>4.3692484824239139</v>
      </c>
      <c r="AG75" s="100">
        <v>2810.3006238950611</v>
      </c>
      <c r="AH75" s="100">
        <v>6.3510920379518409E-4</v>
      </c>
      <c r="AI75" s="100">
        <v>0.40850223988106238</v>
      </c>
      <c r="AJ75" s="100">
        <v>4.8162113973095053</v>
      </c>
      <c r="AK75" s="100">
        <v>3097.7871707494737</v>
      </c>
      <c r="AL75" s="100">
        <v>7.0010182207485856E-4</v>
      </c>
      <c r="AM75" s="100">
        <v>0.45030549195854896</v>
      </c>
      <c r="AN75" s="100">
        <v>4.7588415513292324</v>
      </c>
      <c r="AO75" s="100">
        <v>3060.8868858149617</v>
      </c>
      <c r="AP75" s="100">
        <v>8.8697596283090121</v>
      </c>
      <c r="AQ75" s="100">
        <v>5705.0293929283562</v>
      </c>
      <c r="AR75" s="100">
        <v>9</v>
      </c>
      <c r="AS75" s="100">
        <v>5788.7999999999993</v>
      </c>
      <c r="AT75" s="100">
        <v>5</v>
      </c>
      <c r="AU75" s="100">
        <v>3215.9999999999995</v>
      </c>
      <c r="AV75" s="100">
        <v>5.9911542434139529</v>
      </c>
      <c r="AW75" s="100">
        <v>3853.5104093638543</v>
      </c>
      <c r="AX75" s="100">
        <v>4.0841655362964158</v>
      </c>
      <c r="AY75" s="100">
        <v>2626.9352729458542</v>
      </c>
      <c r="AZ75" s="100">
        <v>9.6648060260582564</v>
      </c>
      <c r="BA75" s="100">
        <v>6216.4032359606699</v>
      </c>
      <c r="BB75" s="100">
        <v>7</v>
      </c>
      <c r="BC75" s="100">
        <v>4502.3999999999996</v>
      </c>
      <c r="BD75" s="100">
        <v>2.4831660422991604</v>
      </c>
      <c r="BE75" s="100">
        <v>1597.1723984068199</v>
      </c>
      <c r="BF75" s="100">
        <v>9.5625218202036937</v>
      </c>
      <c r="BG75" s="100">
        <v>6150.6140347550154</v>
      </c>
      <c r="BH75" s="100">
        <v>1.1470853066546935</v>
      </c>
      <c r="BI75" s="100">
        <v>737.8052692402988</v>
      </c>
      <c r="BJ75" s="100">
        <v>5.6418499832894549</v>
      </c>
      <c r="BK75" s="100">
        <v>3628.8379092517771</v>
      </c>
      <c r="BL75" s="100">
        <v>5.9424295699697467</v>
      </c>
      <c r="BM75" s="100">
        <v>3822.1706994045408</v>
      </c>
      <c r="BN75" s="100">
        <v>6</v>
      </c>
      <c r="BO75" s="100">
        <v>3859.2</v>
      </c>
      <c r="BP75" s="100">
        <v>7</v>
      </c>
      <c r="BQ75" s="100">
        <v>4502.3999999999996</v>
      </c>
      <c r="BR75" s="100">
        <v>5</v>
      </c>
      <c r="BS75" s="100">
        <v>3215.9999999999995</v>
      </c>
      <c r="BT75" s="100">
        <v>5</v>
      </c>
      <c r="BU75" s="100">
        <v>3215.9999999999995</v>
      </c>
      <c r="BV75" s="100">
        <v>7</v>
      </c>
      <c r="BW75" s="100">
        <v>4502.3999999999996</v>
      </c>
      <c r="BX75" s="100">
        <v>5</v>
      </c>
      <c r="BY75" s="100">
        <v>3215.9999999999995</v>
      </c>
      <c r="BZ75" s="100">
        <v>6</v>
      </c>
      <c r="CA75" s="100">
        <v>3859.2</v>
      </c>
      <c r="CB75" s="100">
        <v>0.82620621983764031</v>
      </c>
      <c r="CC75" s="100">
        <v>531.41584059957017</v>
      </c>
      <c r="CD75" s="100">
        <v>6</v>
      </c>
      <c r="CE75" s="100">
        <v>3859.2</v>
      </c>
      <c r="CF75" s="100">
        <v>6.8750449709692045</v>
      </c>
      <c r="CG75" s="100">
        <v>4422.0289253273922</v>
      </c>
      <c r="CH75" s="100">
        <v>8.8812187487068535</v>
      </c>
      <c r="CI75" s="100">
        <v>5712.3998991682474</v>
      </c>
      <c r="CJ75" s="100">
        <v>10</v>
      </c>
      <c r="CK75" s="100">
        <v>6431.9999999999991</v>
      </c>
      <c r="CL75" s="100">
        <v>7.105536806595862</v>
      </c>
      <c r="CM75" s="100">
        <v>4570.2812740024583</v>
      </c>
      <c r="CN75" s="100">
        <v>5.0590165549351935</v>
      </c>
      <c r="CO75" s="100">
        <v>3253.9594481343161</v>
      </c>
      <c r="CP75" s="100">
        <v>6.9858294753139063</v>
      </c>
      <c r="CQ75" s="100">
        <v>4493.2855185219041</v>
      </c>
      <c r="CR75" s="100">
        <v>7.8628649118713314</v>
      </c>
      <c r="CS75" s="100">
        <v>5057.3947113156401</v>
      </c>
      <c r="CT75" s="100">
        <v>7</v>
      </c>
      <c r="CU75" s="100">
        <v>4502.3999999999996</v>
      </c>
    </row>
    <row r="76" spans="2:99">
      <c r="C76" s="99" t="s">
        <v>242</v>
      </c>
      <c r="D76" s="100">
        <v>7</v>
      </c>
      <c r="E76" s="100">
        <v>5451.5999999999995</v>
      </c>
      <c r="F76" s="100">
        <v>4</v>
      </c>
      <c r="G76" s="100">
        <v>3115.2</v>
      </c>
      <c r="H76" s="100">
        <v>5</v>
      </c>
      <c r="I76" s="100">
        <v>3894</v>
      </c>
      <c r="J76" s="100">
        <v>6.389476670569687</v>
      </c>
      <c r="K76" s="100">
        <v>4976.1244310396723</v>
      </c>
      <c r="L76" s="100">
        <v>8</v>
      </c>
      <c r="M76" s="100">
        <v>6230.4</v>
      </c>
      <c r="N76" s="100">
        <v>7</v>
      </c>
      <c r="O76" s="100">
        <v>5451.5999999999995</v>
      </c>
      <c r="P76" s="100">
        <v>9</v>
      </c>
      <c r="Q76" s="100">
        <v>7009.2</v>
      </c>
      <c r="R76" s="100">
        <v>5.2466431032491325</v>
      </c>
      <c r="S76" s="100">
        <v>4086.0856488104241</v>
      </c>
      <c r="T76" s="100">
        <v>9</v>
      </c>
      <c r="U76" s="100">
        <v>7009.2</v>
      </c>
      <c r="V76" s="100">
        <v>9</v>
      </c>
      <c r="W76" s="100">
        <v>7009.2</v>
      </c>
      <c r="X76" s="100">
        <v>3.8724300248449652</v>
      </c>
      <c r="Y76" s="100">
        <v>3015.8485033492589</v>
      </c>
      <c r="Z76" s="100">
        <v>8</v>
      </c>
      <c r="AA76" s="100">
        <v>6230.4</v>
      </c>
      <c r="AB76" s="100">
        <v>8</v>
      </c>
      <c r="AC76" s="100">
        <v>6230.4</v>
      </c>
      <c r="AD76" s="100">
        <v>7</v>
      </c>
      <c r="AE76" s="100">
        <v>5451.5999999999995</v>
      </c>
      <c r="AF76" s="100">
        <v>4.3692484824239139</v>
      </c>
      <c r="AG76" s="100">
        <v>3402.7707181117439</v>
      </c>
      <c r="AH76" s="100">
        <v>6.3833813137552527E-4</v>
      </c>
      <c r="AI76" s="100">
        <v>0.49713773671525907</v>
      </c>
      <c r="AJ76" s="100">
        <v>4.8162113973095053</v>
      </c>
      <c r="AK76" s="100">
        <v>3750.8654362246425</v>
      </c>
      <c r="AL76" s="100">
        <v>6.1258946746218991E-4</v>
      </c>
      <c r="AM76" s="100">
        <v>0.4770846772595535</v>
      </c>
      <c r="AN76" s="100">
        <v>5.3176853660835439</v>
      </c>
      <c r="AO76" s="100">
        <v>4141.4133631058639</v>
      </c>
      <c r="AP76" s="100">
        <v>8.8697596283090121</v>
      </c>
      <c r="AQ76" s="100">
        <v>6907.7687985270586</v>
      </c>
      <c r="AR76" s="100">
        <v>8</v>
      </c>
      <c r="AS76" s="100">
        <v>6230.4</v>
      </c>
      <c r="AT76" s="100">
        <v>5</v>
      </c>
      <c r="AU76" s="100">
        <v>3894</v>
      </c>
      <c r="AV76" s="100">
        <v>5.9911542434139529</v>
      </c>
      <c r="AW76" s="100">
        <v>4665.9109247707866</v>
      </c>
      <c r="AX76" s="100">
        <v>3.9869735148905892</v>
      </c>
      <c r="AY76" s="100">
        <v>3105.0549733967905</v>
      </c>
      <c r="AZ76" s="100">
        <v>9.6648060260582564</v>
      </c>
      <c r="BA76" s="100">
        <v>7526.9509330941701</v>
      </c>
      <c r="BB76" s="100">
        <v>7</v>
      </c>
      <c r="BC76" s="100">
        <v>5451.5999999999995</v>
      </c>
      <c r="BD76" s="100">
        <v>2.1727702870117653</v>
      </c>
      <c r="BE76" s="100">
        <v>1692.1534995247628</v>
      </c>
      <c r="BF76" s="100">
        <v>8.4262025049293126</v>
      </c>
      <c r="BG76" s="100">
        <v>6562.3265108389478</v>
      </c>
      <c r="BH76" s="100">
        <v>1.1470853066546935</v>
      </c>
      <c r="BI76" s="100">
        <v>893.35003682267529</v>
      </c>
      <c r="BJ76" s="100">
        <v>6.5134799866315642</v>
      </c>
      <c r="BK76" s="100">
        <v>5072.6982135886619</v>
      </c>
      <c r="BL76" s="100">
        <v>5.9424295699697467</v>
      </c>
      <c r="BM76" s="100">
        <v>4627.9641490924387</v>
      </c>
      <c r="BN76" s="100">
        <v>5</v>
      </c>
      <c r="BO76" s="100">
        <v>3894</v>
      </c>
      <c r="BP76" s="100">
        <v>7</v>
      </c>
      <c r="BQ76" s="100">
        <v>5451.5999999999995</v>
      </c>
      <c r="BR76" s="100">
        <v>5</v>
      </c>
      <c r="BS76" s="100">
        <v>3894</v>
      </c>
      <c r="BT76" s="100">
        <v>5</v>
      </c>
      <c r="BU76" s="100">
        <v>3894</v>
      </c>
      <c r="BV76" s="100">
        <v>8</v>
      </c>
      <c r="BW76" s="100">
        <v>6230.4</v>
      </c>
      <c r="BX76" s="100">
        <v>5</v>
      </c>
      <c r="BY76" s="100">
        <v>3894</v>
      </c>
      <c r="BZ76" s="100">
        <v>7</v>
      </c>
      <c r="CA76" s="100">
        <v>5451.5999999999995</v>
      </c>
      <c r="CB76" s="100">
        <v>0.82620621983764031</v>
      </c>
      <c r="CC76" s="100">
        <v>643.4494040095542</v>
      </c>
      <c r="CD76" s="100">
        <v>5</v>
      </c>
      <c r="CE76" s="100">
        <v>3894</v>
      </c>
      <c r="CF76" s="100">
        <v>6.8750449709692045</v>
      </c>
      <c r="CG76" s="100">
        <v>5354.2850233908166</v>
      </c>
      <c r="CH76" s="100">
        <v>8.8812187487068535</v>
      </c>
      <c r="CI76" s="100">
        <v>6916.6931614928972</v>
      </c>
      <c r="CJ76" s="100">
        <v>10</v>
      </c>
      <c r="CK76" s="100">
        <v>7788</v>
      </c>
      <c r="CL76" s="100">
        <v>6.3160327169740986</v>
      </c>
      <c r="CM76" s="100">
        <v>4918.9262799794278</v>
      </c>
      <c r="CN76" s="100">
        <v>5.0590165549351935</v>
      </c>
      <c r="CO76" s="100">
        <v>3939.9620929835287</v>
      </c>
      <c r="CP76" s="100">
        <v>6.9858294753139063</v>
      </c>
      <c r="CQ76" s="100">
        <v>5440.5639953744703</v>
      </c>
      <c r="CR76" s="100">
        <v>6.9892132549967396</v>
      </c>
      <c r="CS76" s="100">
        <v>5443.1992829914607</v>
      </c>
      <c r="CT76" s="100">
        <v>6</v>
      </c>
      <c r="CU76" s="100">
        <v>4672.7999999999993</v>
      </c>
    </row>
    <row r="77" spans="2:99">
      <c r="C77" s="99" t="s">
        <v>243</v>
      </c>
      <c r="D77" s="100">
        <v>8</v>
      </c>
      <c r="E77" s="100">
        <v>2227.1999999999998</v>
      </c>
      <c r="F77" s="100">
        <v>4</v>
      </c>
      <c r="G77" s="100">
        <v>1113.5999999999999</v>
      </c>
      <c r="H77" s="100">
        <v>5</v>
      </c>
      <c r="I77" s="100">
        <v>1392</v>
      </c>
      <c r="J77" s="100">
        <v>5.9881452708928089</v>
      </c>
      <c r="K77" s="100">
        <v>1667.0996434165579</v>
      </c>
      <c r="L77" s="100">
        <v>9</v>
      </c>
      <c r="M77" s="100">
        <v>2505.6</v>
      </c>
      <c r="N77" s="100">
        <v>6</v>
      </c>
      <c r="O77" s="100">
        <v>1670.3999999999999</v>
      </c>
      <c r="P77" s="100">
        <v>9</v>
      </c>
      <c r="Q77" s="100">
        <v>2505.6</v>
      </c>
      <c r="R77" s="100">
        <v>5.2466431032491325</v>
      </c>
      <c r="S77" s="100">
        <v>1460.6654399445583</v>
      </c>
      <c r="T77" s="100">
        <v>10</v>
      </c>
      <c r="U77" s="100">
        <v>2784</v>
      </c>
      <c r="V77" s="100">
        <v>9</v>
      </c>
      <c r="W77" s="100">
        <v>2505.6</v>
      </c>
      <c r="X77" s="100">
        <v>4.3027000276055167</v>
      </c>
      <c r="Y77" s="100">
        <v>1197.8716876853757</v>
      </c>
      <c r="Z77" s="100">
        <v>8</v>
      </c>
      <c r="AA77" s="100">
        <v>2227.1999999999998</v>
      </c>
      <c r="AB77" s="100">
        <v>8</v>
      </c>
      <c r="AC77" s="100">
        <v>2227.1999999999998</v>
      </c>
      <c r="AD77" s="100">
        <v>8</v>
      </c>
      <c r="AE77" s="100">
        <v>2227.1999999999998</v>
      </c>
      <c r="AF77" s="100">
        <v>4.3692484824239139</v>
      </c>
      <c r="AG77" s="100">
        <v>1216.3987775068176</v>
      </c>
      <c r="AH77" s="100">
        <v>6.3833813137552527E-4</v>
      </c>
      <c r="AI77" s="100">
        <v>0.17771333577494622</v>
      </c>
      <c r="AJ77" s="100">
        <v>5.7794536767714062</v>
      </c>
      <c r="AK77" s="100">
        <v>1608.9999036131594</v>
      </c>
      <c r="AL77" s="100">
        <v>7.0010209345426849E-4</v>
      </c>
      <c r="AM77" s="100">
        <v>0.19490842281766832</v>
      </c>
      <c r="AN77" s="100">
        <v>5.3176853660835439</v>
      </c>
      <c r="AO77" s="100">
        <v>1480.4436059176585</v>
      </c>
      <c r="AP77" s="100">
        <v>9.0437115539708159</v>
      </c>
      <c r="AQ77" s="100">
        <v>2517.7692966254749</v>
      </c>
      <c r="AR77" s="100">
        <v>9</v>
      </c>
      <c r="AS77" s="100">
        <v>2505.6</v>
      </c>
      <c r="AT77" s="100">
        <v>5</v>
      </c>
      <c r="AU77" s="100">
        <v>1392</v>
      </c>
      <c r="AV77" s="100">
        <v>5.2422599629872089</v>
      </c>
      <c r="AW77" s="100">
        <v>1459.4451736956389</v>
      </c>
      <c r="AX77" s="100">
        <v>4.0841655362964158</v>
      </c>
      <c r="AY77" s="100">
        <v>1137.0316853049221</v>
      </c>
      <c r="AZ77" s="100">
        <v>9.6648060260582564</v>
      </c>
      <c r="BA77" s="100">
        <v>2690.6819976546185</v>
      </c>
      <c r="BB77" s="100">
        <v>8</v>
      </c>
      <c r="BC77" s="100">
        <v>2227.1999999999998</v>
      </c>
      <c r="BD77" s="100">
        <v>2.4831660422991604</v>
      </c>
      <c r="BE77" s="100">
        <v>691.31342617608618</v>
      </c>
      <c r="BF77" s="100">
        <v>9.5625218202036937</v>
      </c>
      <c r="BG77" s="100">
        <v>2662.2060747447081</v>
      </c>
      <c r="BH77" s="100">
        <v>1.1395173483177035</v>
      </c>
      <c r="BI77" s="100">
        <v>317.2416297716486</v>
      </c>
      <c r="BJ77" s="100">
        <v>6.5134799866315642</v>
      </c>
      <c r="BK77" s="100">
        <v>1813.3528282782274</v>
      </c>
      <c r="BL77" s="100">
        <v>5.9424295699697467</v>
      </c>
      <c r="BM77" s="100">
        <v>1654.3723922795773</v>
      </c>
      <c r="BN77" s="100">
        <v>6</v>
      </c>
      <c r="BO77" s="100">
        <v>1670.3999999999999</v>
      </c>
      <c r="BP77" s="100">
        <v>7</v>
      </c>
      <c r="BQ77" s="100">
        <v>1948.7999999999997</v>
      </c>
      <c r="BR77" s="100">
        <v>5</v>
      </c>
      <c r="BS77" s="100">
        <v>1392</v>
      </c>
      <c r="BT77" s="100">
        <v>6</v>
      </c>
      <c r="BU77" s="100">
        <v>1670.3999999999999</v>
      </c>
      <c r="BV77" s="100">
        <v>9</v>
      </c>
      <c r="BW77" s="100">
        <v>2505.6</v>
      </c>
      <c r="BX77" s="100">
        <v>5</v>
      </c>
      <c r="BY77" s="100">
        <v>1392</v>
      </c>
      <c r="BZ77" s="100">
        <v>7</v>
      </c>
      <c r="CA77" s="100">
        <v>1948.7999999999997</v>
      </c>
      <c r="CB77" s="100">
        <v>0.82775899091820127</v>
      </c>
      <c r="CC77" s="100">
        <v>230.4481030716272</v>
      </c>
      <c r="CD77" s="100">
        <v>7</v>
      </c>
      <c r="CE77" s="100">
        <v>1948.7999999999997</v>
      </c>
      <c r="CF77" s="100">
        <v>6.8750449709692045</v>
      </c>
      <c r="CG77" s="100">
        <v>1914.0125199178265</v>
      </c>
      <c r="CH77" s="100">
        <v>9.8680208318965033</v>
      </c>
      <c r="CI77" s="100">
        <v>2747.2569995999861</v>
      </c>
      <c r="CJ77" s="100">
        <v>10</v>
      </c>
      <c r="CK77" s="100">
        <v>2784</v>
      </c>
      <c r="CL77" s="100">
        <v>7.105536806595862</v>
      </c>
      <c r="CM77" s="100">
        <v>1978.1814469562878</v>
      </c>
      <c r="CN77" s="100">
        <v>5.0590165549351935</v>
      </c>
      <c r="CO77" s="100">
        <v>1408.4302088939578</v>
      </c>
      <c r="CP77" s="100">
        <v>6.9858294753139063</v>
      </c>
      <c r="CQ77" s="100">
        <v>1944.8549259273914</v>
      </c>
      <c r="CR77" s="100">
        <v>7.8628649118713314</v>
      </c>
      <c r="CS77" s="100">
        <v>2189.0215914649784</v>
      </c>
      <c r="CT77" s="100">
        <v>6</v>
      </c>
      <c r="CU77" s="100">
        <v>1670.3999999999999</v>
      </c>
    </row>
    <row r="78" spans="2:99">
      <c r="C78" s="99" t="s">
        <v>244</v>
      </c>
      <c r="D78" s="100">
        <v>8</v>
      </c>
      <c r="E78" s="100">
        <v>4416</v>
      </c>
      <c r="F78" s="100">
        <v>4</v>
      </c>
      <c r="G78" s="100">
        <v>2208</v>
      </c>
      <c r="H78" s="100">
        <v>6</v>
      </c>
      <c r="I78" s="100">
        <v>3312</v>
      </c>
      <c r="J78" s="100">
        <v>5.6774431844059841</v>
      </c>
      <c r="K78" s="100">
        <v>3133.948637792103</v>
      </c>
      <c r="L78" s="100">
        <v>8</v>
      </c>
      <c r="M78" s="100">
        <v>4416</v>
      </c>
      <c r="N78" s="100">
        <v>6</v>
      </c>
      <c r="O78" s="100">
        <v>3312</v>
      </c>
      <c r="P78" s="100">
        <v>9</v>
      </c>
      <c r="Q78" s="100">
        <v>4968</v>
      </c>
      <c r="R78" s="100">
        <v>5.9961635465704379</v>
      </c>
      <c r="S78" s="100">
        <v>3309.8822777068817</v>
      </c>
      <c r="T78" s="100">
        <v>9</v>
      </c>
      <c r="U78" s="100">
        <v>4968</v>
      </c>
      <c r="V78" s="100">
        <v>8</v>
      </c>
      <c r="W78" s="100">
        <v>4416</v>
      </c>
      <c r="X78" s="100">
        <v>3.4421600220844137</v>
      </c>
      <c r="Y78" s="100">
        <v>1900.0723321905964</v>
      </c>
      <c r="Z78" s="100">
        <v>8</v>
      </c>
      <c r="AA78" s="100">
        <v>4416</v>
      </c>
      <c r="AB78" s="100">
        <v>8</v>
      </c>
      <c r="AC78" s="100">
        <v>4416</v>
      </c>
      <c r="AD78" s="100">
        <v>8</v>
      </c>
      <c r="AE78" s="100">
        <v>4416</v>
      </c>
      <c r="AF78" s="100">
        <v>4.3692484824239139</v>
      </c>
      <c r="AG78" s="100">
        <v>2411.8251622980006</v>
      </c>
      <c r="AH78" s="100">
        <v>7.1490147021712478E-4</v>
      </c>
      <c r="AI78" s="100">
        <v>0.39462561155985287</v>
      </c>
      <c r="AJ78" s="100">
        <v>4.8162113973095053</v>
      </c>
      <c r="AK78" s="100">
        <v>2658.548691314847</v>
      </c>
      <c r="AL78" s="100">
        <v>7.0010209345426849E-4</v>
      </c>
      <c r="AM78" s="100">
        <v>0.38645635558675623</v>
      </c>
      <c r="AN78" s="100">
        <v>5.4137157105151248</v>
      </c>
      <c r="AO78" s="100">
        <v>2988.3710722043488</v>
      </c>
      <c r="AP78" s="100">
        <v>8.8697596283090121</v>
      </c>
      <c r="AQ78" s="100">
        <v>4896.107314826575</v>
      </c>
      <c r="AR78" s="100">
        <v>9</v>
      </c>
      <c r="AS78" s="100">
        <v>4968</v>
      </c>
      <c r="AT78" s="100">
        <v>4</v>
      </c>
      <c r="AU78" s="100">
        <v>2208</v>
      </c>
      <c r="AV78" s="100">
        <v>5.2422599629872089</v>
      </c>
      <c r="AW78" s="100">
        <v>2893.7274995689395</v>
      </c>
      <c r="AX78" s="100">
        <v>4.7843682178687068</v>
      </c>
      <c r="AY78" s="100">
        <v>2640.9712562635264</v>
      </c>
      <c r="AZ78" s="100">
        <v>9.4986045195436919</v>
      </c>
      <c r="BA78" s="100">
        <v>5243.2296947881177</v>
      </c>
      <c r="BB78" s="100">
        <v>8</v>
      </c>
      <c r="BC78" s="100">
        <v>4416</v>
      </c>
      <c r="BD78" s="100">
        <v>2.1727702870117653</v>
      </c>
      <c r="BE78" s="100">
        <v>1199.3691984304944</v>
      </c>
      <c r="BF78" s="100">
        <v>9.3964338158872582</v>
      </c>
      <c r="BG78" s="100">
        <v>5186.8314663697665</v>
      </c>
      <c r="BH78" s="100">
        <v>1.1470853066546935</v>
      </c>
      <c r="BI78" s="100">
        <v>633.19108927339084</v>
      </c>
      <c r="BJ78" s="100">
        <v>5.6418499832894549</v>
      </c>
      <c r="BK78" s="100">
        <v>3114.3011907757791</v>
      </c>
      <c r="BL78" s="100">
        <v>5.2821596177508852</v>
      </c>
      <c r="BM78" s="100">
        <v>2915.7521089984884</v>
      </c>
      <c r="BN78" s="100">
        <v>5</v>
      </c>
      <c r="BO78" s="100">
        <v>2760</v>
      </c>
      <c r="BP78" s="100">
        <v>7</v>
      </c>
      <c r="BQ78" s="100">
        <v>3864</v>
      </c>
      <c r="BR78" s="100">
        <v>4</v>
      </c>
      <c r="BS78" s="100">
        <v>2208</v>
      </c>
      <c r="BT78" s="100">
        <v>5</v>
      </c>
      <c r="BU78" s="100">
        <v>2760</v>
      </c>
      <c r="BV78" s="100">
        <v>8</v>
      </c>
      <c r="BW78" s="100">
        <v>4416</v>
      </c>
      <c r="BX78" s="100">
        <v>5</v>
      </c>
      <c r="BY78" s="100">
        <v>2760</v>
      </c>
      <c r="BZ78" s="100">
        <v>7</v>
      </c>
      <c r="CA78" s="100">
        <v>3864</v>
      </c>
      <c r="CB78" s="100">
        <v>0.91576401936990126</v>
      </c>
      <c r="CC78" s="100">
        <v>505.50173869218548</v>
      </c>
      <c r="CD78" s="100">
        <v>6</v>
      </c>
      <c r="CE78" s="100">
        <v>3312</v>
      </c>
      <c r="CF78" s="100">
        <v>6.8750449709692045</v>
      </c>
      <c r="CG78" s="100">
        <v>3795.0248239750008</v>
      </c>
      <c r="CH78" s="100">
        <v>8.8812187487068535</v>
      </c>
      <c r="CI78" s="100">
        <v>4902.432749286183</v>
      </c>
      <c r="CJ78" s="100">
        <v>9</v>
      </c>
      <c r="CK78" s="100">
        <v>4968</v>
      </c>
      <c r="CL78" s="100">
        <v>6.3160327169740986</v>
      </c>
      <c r="CM78" s="100">
        <v>3486.4500597697024</v>
      </c>
      <c r="CN78" s="100">
        <v>5.0590165549351935</v>
      </c>
      <c r="CO78" s="100">
        <v>2792.5771383242268</v>
      </c>
      <c r="CP78" s="100">
        <v>5.8215245627615886</v>
      </c>
      <c r="CQ78" s="100">
        <v>3213.481558644397</v>
      </c>
      <c r="CR78" s="100">
        <v>8.7365165687459232</v>
      </c>
      <c r="CS78" s="100">
        <v>4822.5571459477496</v>
      </c>
      <c r="CT78" s="100">
        <v>6</v>
      </c>
      <c r="CU78" s="100">
        <v>3312</v>
      </c>
    </row>
    <row r="79" spans="2:99">
      <c r="C79" s="99" t="s">
        <v>245</v>
      </c>
      <c r="D79" s="100">
        <v>8</v>
      </c>
      <c r="E79" s="100">
        <v>6057.5999999999995</v>
      </c>
      <c r="F79" s="100">
        <v>4</v>
      </c>
      <c r="G79" s="100">
        <v>3028.7999999999997</v>
      </c>
      <c r="H79" s="100">
        <v>5</v>
      </c>
      <c r="I79" s="100">
        <v>3785.9999999999995</v>
      </c>
      <c r="J79" s="100">
        <v>5.640958511708086</v>
      </c>
      <c r="K79" s="100">
        <v>4271.3337850653625</v>
      </c>
      <c r="L79" s="100">
        <v>8</v>
      </c>
      <c r="M79" s="100">
        <v>6057.5999999999995</v>
      </c>
      <c r="N79" s="100">
        <v>7</v>
      </c>
      <c r="O79" s="100">
        <v>5300.4</v>
      </c>
      <c r="P79" s="100">
        <v>9</v>
      </c>
      <c r="Q79" s="100">
        <v>6814.7999999999993</v>
      </c>
      <c r="R79" s="100">
        <v>5.2466431032491325</v>
      </c>
      <c r="S79" s="100">
        <v>3972.758157780243</v>
      </c>
      <c r="T79" s="100">
        <v>9</v>
      </c>
      <c r="U79" s="100">
        <v>6814.7999999999993</v>
      </c>
      <c r="V79" s="100">
        <v>8</v>
      </c>
      <c r="W79" s="100">
        <v>6057.5999999999995</v>
      </c>
      <c r="X79" s="100">
        <v>3.4421600220844137</v>
      </c>
      <c r="Y79" s="100">
        <v>2606.4035687223177</v>
      </c>
      <c r="Z79" s="100">
        <v>8</v>
      </c>
      <c r="AA79" s="100">
        <v>6057.5999999999995</v>
      </c>
      <c r="AB79" s="100">
        <v>8</v>
      </c>
      <c r="AC79" s="100">
        <v>6057.5999999999995</v>
      </c>
      <c r="AD79" s="100">
        <v>7</v>
      </c>
      <c r="AE79" s="100">
        <v>5300.4</v>
      </c>
      <c r="AF79" s="100">
        <v>3.6410404020199287</v>
      </c>
      <c r="AG79" s="100">
        <v>2756.9957924094897</v>
      </c>
      <c r="AH79" s="100">
        <v>7.116725426367836E-4</v>
      </c>
      <c r="AI79" s="100">
        <v>0.53887844928457251</v>
      </c>
      <c r="AJ79" s="100">
        <v>4.8162113973095053</v>
      </c>
      <c r="AK79" s="100">
        <v>3646.8352700427572</v>
      </c>
      <c r="AL79" s="100">
        <v>7.0010236483367843E-4</v>
      </c>
      <c r="AM79" s="100">
        <v>0.53011751065206125</v>
      </c>
      <c r="AN79" s="100">
        <v>5.4137157105151248</v>
      </c>
      <c r="AO79" s="100">
        <v>4099.2655360020517</v>
      </c>
      <c r="AP79" s="100">
        <v>8.8697596283090121</v>
      </c>
      <c r="AQ79" s="100">
        <v>6716.1819905555831</v>
      </c>
      <c r="AR79" s="100">
        <v>9</v>
      </c>
      <c r="AS79" s="100">
        <v>6814.7999999999993</v>
      </c>
      <c r="AT79" s="100">
        <v>5</v>
      </c>
      <c r="AU79" s="100">
        <v>3785.9999999999995</v>
      </c>
      <c r="AV79" s="100">
        <v>5.9911542434139529</v>
      </c>
      <c r="AW79" s="100">
        <v>4536.5019931130446</v>
      </c>
      <c r="AX79" s="100">
        <v>4.0841655362964158</v>
      </c>
      <c r="AY79" s="100">
        <v>3092.5301440836456</v>
      </c>
      <c r="AZ79" s="100">
        <v>8.6648060260582564</v>
      </c>
      <c r="BA79" s="100">
        <v>6560.9911229313111</v>
      </c>
      <c r="BB79" s="100">
        <v>7</v>
      </c>
      <c r="BC79" s="100">
        <v>5300.4</v>
      </c>
      <c r="BD79" s="100">
        <v>2.1727702870117653</v>
      </c>
      <c r="BE79" s="100">
        <v>1645.2216613253086</v>
      </c>
      <c r="BF79" s="100">
        <v>8.592290509245748</v>
      </c>
      <c r="BG79" s="100">
        <v>6506.0823736008797</v>
      </c>
      <c r="BH79" s="100">
        <v>1.1395173483177035</v>
      </c>
      <c r="BI79" s="100">
        <v>862.842536146165</v>
      </c>
      <c r="BJ79" s="100">
        <v>5.5134799866315642</v>
      </c>
      <c r="BK79" s="100">
        <v>4174.80704587742</v>
      </c>
      <c r="BL79" s="100">
        <v>5.2821596177508852</v>
      </c>
      <c r="BM79" s="100">
        <v>3999.6512625609698</v>
      </c>
      <c r="BN79" s="100">
        <v>5</v>
      </c>
      <c r="BO79" s="100">
        <v>3785.9999999999995</v>
      </c>
      <c r="BP79" s="100">
        <v>7</v>
      </c>
      <c r="BQ79" s="100">
        <v>5300.4</v>
      </c>
      <c r="BR79" s="100">
        <v>4</v>
      </c>
      <c r="BS79" s="100">
        <v>3028.7999999999997</v>
      </c>
      <c r="BT79" s="100">
        <v>5</v>
      </c>
      <c r="BU79" s="100">
        <v>3785.9999999999995</v>
      </c>
      <c r="BV79" s="100">
        <v>7</v>
      </c>
      <c r="BW79" s="100">
        <v>5300.4</v>
      </c>
      <c r="BX79" s="100">
        <v>4</v>
      </c>
      <c r="BY79" s="100">
        <v>3028.7999999999997</v>
      </c>
      <c r="BZ79" s="100">
        <v>6</v>
      </c>
      <c r="CA79" s="100">
        <v>4543.2</v>
      </c>
      <c r="CB79" s="100">
        <v>0.73820119138594043</v>
      </c>
      <c r="CC79" s="100">
        <v>558.965942117434</v>
      </c>
      <c r="CD79" s="100">
        <v>5</v>
      </c>
      <c r="CE79" s="100">
        <v>3785.9999999999995</v>
      </c>
      <c r="CF79" s="100">
        <v>6.8750449709692045</v>
      </c>
      <c r="CG79" s="100">
        <v>5205.7840520178815</v>
      </c>
      <c r="CH79" s="100">
        <v>9.8680208318965033</v>
      </c>
      <c r="CI79" s="100">
        <v>7472.0653739120316</v>
      </c>
      <c r="CJ79" s="100">
        <v>9</v>
      </c>
      <c r="CK79" s="100">
        <v>6814.7999999999993</v>
      </c>
      <c r="CL79" s="100">
        <v>7.105536806595862</v>
      </c>
      <c r="CM79" s="100">
        <v>5380.312469954386</v>
      </c>
      <c r="CN79" s="100">
        <v>5.7817332056402213</v>
      </c>
      <c r="CO79" s="100">
        <v>4377.9283833107747</v>
      </c>
      <c r="CP79" s="100">
        <v>5.9858294753139063</v>
      </c>
      <c r="CQ79" s="100">
        <v>4532.470078707689</v>
      </c>
      <c r="CR79" s="100">
        <v>7.8628649118713314</v>
      </c>
      <c r="CS79" s="100">
        <v>5953.7613112689714</v>
      </c>
      <c r="CT79" s="100">
        <v>6</v>
      </c>
      <c r="CU79" s="100">
        <v>4543.2</v>
      </c>
    </row>
    <row r="80" spans="2:99">
      <c r="C80" s="99" t="s">
        <v>246</v>
      </c>
      <c r="D80" s="100">
        <v>8</v>
      </c>
      <c r="E80" s="100">
        <v>6441.5999999999995</v>
      </c>
      <c r="F80" s="100">
        <v>4</v>
      </c>
      <c r="G80" s="100">
        <v>3220.7999999999997</v>
      </c>
      <c r="H80" s="100">
        <v>6</v>
      </c>
      <c r="I80" s="100">
        <v>4831.2</v>
      </c>
      <c r="J80" s="100">
        <v>5.2396271120312088</v>
      </c>
      <c r="K80" s="100">
        <v>4218.9477506075291</v>
      </c>
      <c r="L80" s="100">
        <v>7</v>
      </c>
      <c r="M80" s="100">
        <v>5636.4</v>
      </c>
      <c r="N80" s="100">
        <v>7</v>
      </c>
      <c r="O80" s="100">
        <v>5636.4</v>
      </c>
      <c r="P80" s="100">
        <v>9</v>
      </c>
      <c r="Q80" s="100">
        <v>7246.7999999999993</v>
      </c>
      <c r="R80" s="100">
        <v>5.2466431032491325</v>
      </c>
      <c r="S80" s="100">
        <v>4224.5970267362009</v>
      </c>
      <c r="T80" s="100">
        <v>9</v>
      </c>
      <c r="U80" s="100">
        <v>7246.7999999999993</v>
      </c>
      <c r="V80" s="100">
        <v>8</v>
      </c>
      <c r="W80" s="100">
        <v>6441.5999999999995</v>
      </c>
      <c r="X80" s="100">
        <v>3.8724300248449652</v>
      </c>
      <c r="Y80" s="100">
        <v>3118.0806560051656</v>
      </c>
      <c r="Z80" s="100">
        <v>8</v>
      </c>
      <c r="AA80" s="100">
        <v>6441.5999999999995</v>
      </c>
      <c r="AB80" s="100">
        <v>7</v>
      </c>
      <c r="AC80" s="100">
        <v>5636.4</v>
      </c>
      <c r="AD80" s="100">
        <v>8</v>
      </c>
      <c r="AE80" s="100">
        <v>6441.5999999999995</v>
      </c>
      <c r="AF80" s="100">
        <v>4.3692484824239139</v>
      </c>
      <c r="AG80" s="100">
        <v>3518.1188780477351</v>
      </c>
      <c r="AH80" s="100">
        <v>6.3510920379518409E-4</v>
      </c>
      <c r="AI80" s="100">
        <v>0.51138993089588214</v>
      </c>
      <c r="AJ80" s="100">
        <v>5.7794536767714062</v>
      </c>
      <c r="AK80" s="100">
        <v>4653.6161005363356</v>
      </c>
      <c r="AL80" s="100">
        <v>7.0010209345426849E-4</v>
      </c>
      <c r="AM80" s="100">
        <v>0.56372220564937692</v>
      </c>
      <c r="AN80" s="100">
        <v>5.3176853660835439</v>
      </c>
      <c r="AO80" s="100">
        <v>4281.8002567704689</v>
      </c>
      <c r="AP80" s="100">
        <v>8.8697596283090121</v>
      </c>
      <c r="AQ80" s="100">
        <v>7141.9304527144159</v>
      </c>
      <c r="AR80" s="100">
        <v>8</v>
      </c>
      <c r="AS80" s="100">
        <v>6441.5999999999995</v>
      </c>
      <c r="AT80" s="100">
        <v>5</v>
      </c>
      <c r="AU80" s="100">
        <v>4025.9999999999995</v>
      </c>
      <c r="AV80" s="100">
        <v>5.2422599629872089</v>
      </c>
      <c r="AW80" s="100">
        <v>4221.0677221973001</v>
      </c>
      <c r="AX80" s="100">
        <v>4.0841655362964158</v>
      </c>
      <c r="AY80" s="100">
        <v>3288.5700898258738</v>
      </c>
      <c r="AZ80" s="100">
        <v>9.6648060260582564</v>
      </c>
      <c r="BA80" s="100">
        <v>7782.1018121821071</v>
      </c>
      <c r="BB80" s="100">
        <v>8</v>
      </c>
      <c r="BC80" s="100">
        <v>6441.5999999999995</v>
      </c>
      <c r="BD80" s="100">
        <v>2.1727702870117653</v>
      </c>
      <c r="BE80" s="100">
        <v>1749.5146351018734</v>
      </c>
      <c r="BF80" s="100">
        <v>9.3964338158872582</v>
      </c>
      <c r="BG80" s="100">
        <v>7566.0085085524197</v>
      </c>
      <c r="BH80" s="100">
        <v>1.1470853066546935</v>
      </c>
      <c r="BI80" s="100">
        <v>923.63308891835914</v>
      </c>
      <c r="BJ80" s="100">
        <v>5.6418499832894549</v>
      </c>
      <c r="BK80" s="100">
        <v>4542.8176065446687</v>
      </c>
      <c r="BL80" s="100">
        <v>5.2821596177508852</v>
      </c>
      <c r="BM80" s="100">
        <v>4253.1949242130122</v>
      </c>
      <c r="BN80" s="100">
        <v>6</v>
      </c>
      <c r="BO80" s="100">
        <v>4831.2</v>
      </c>
      <c r="BP80" s="100">
        <v>7</v>
      </c>
      <c r="BQ80" s="100">
        <v>5636.4</v>
      </c>
      <c r="BR80" s="100">
        <v>5</v>
      </c>
      <c r="BS80" s="100">
        <v>4025.9999999999995</v>
      </c>
      <c r="BT80" s="100">
        <v>5</v>
      </c>
      <c r="BU80" s="100">
        <v>4025.9999999999995</v>
      </c>
      <c r="BV80" s="100">
        <v>8</v>
      </c>
      <c r="BW80" s="100">
        <v>6441.5999999999995</v>
      </c>
      <c r="BX80" s="100">
        <v>4</v>
      </c>
      <c r="BY80" s="100">
        <v>3220.7999999999997</v>
      </c>
      <c r="BZ80" s="100">
        <v>6</v>
      </c>
      <c r="CA80" s="100">
        <v>4831.2</v>
      </c>
      <c r="CB80" s="100">
        <v>0.82465344875707947</v>
      </c>
      <c r="CC80" s="100">
        <v>664.01095693920036</v>
      </c>
      <c r="CD80" s="100">
        <v>5</v>
      </c>
      <c r="CE80" s="100">
        <v>4025.9999999999995</v>
      </c>
      <c r="CF80" s="100">
        <v>6.8750449709692045</v>
      </c>
      <c r="CG80" s="100">
        <v>5535.7862106244029</v>
      </c>
      <c r="CH80" s="100">
        <v>9.8680208318965033</v>
      </c>
      <c r="CI80" s="100">
        <v>7945.7303738430637</v>
      </c>
      <c r="CJ80" s="100">
        <v>10</v>
      </c>
      <c r="CK80" s="100">
        <v>8051.9999999999991</v>
      </c>
      <c r="CL80" s="100">
        <v>6.3160327169740986</v>
      </c>
      <c r="CM80" s="100">
        <v>5085.6695437075441</v>
      </c>
      <c r="CN80" s="100">
        <v>5.0590165549351935</v>
      </c>
      <c r="CO80" s="100">
        <v>4073.5201300338176</v>
      </c>
      <c r="CP80" s="100">
        <v>5.9858294753139063</v>
      </c>
      <c r="CQ80" s="100">
        <v>4819.7898935227568</v>
      </c>
      <c r="CR80" s="100">
        <v>7.8628649118713314</v>
      </c>
      <c r="CS80" s="100">
        <v>6331.1788270387951</v>
      </c>
      <c r="CT80" s="100">
        <v>6</v>
      </c>
      <c r="CU80" s="100">
        <v>4831.2</v>
      </c>
    </row>
    <row r="81" spans="2:99">
      <c r="C81" s="99" t="s">
        <v>247</v>
      </c>
      <c r="D81" s="100">
        <v>8</v>
      </c>
      <c r="E81" s="100">
        <v>6028.8</v>
      </c>
      <c r="F81" s="100">
        <v>5</v>
      </c>
      <c r="G81" s="100">
        <v>3768</v>
      </c>
      <c r="H81" s="100">
        <v>6</v>
      </c>
      <c r="I81" s="100">
        <v>4521.6000000000004</v>
      </c>
      <c r="J81" s="100">
        <v>5.6774431844059841</v>
      </c>
      <c r="K81" s="100">
        <v>4278.5211837683501</v>
      </c>
      <c r="L81" s="100">
        <v>8</v>
      </c>
      <c r="M81" s="100">
        <v>6028.8</v>
      </c>
      <c r="N81" s="100">
        <v>7</v>
      </c>
      <c r="O81" s="100">
        <v>5275.2</v>
      </c>
      <c r="P81" s="100">
        <v>9</v>
      </c>
      <c r="Q81" s="100">
        <v>6782.4000000000005</v>
      </c>
      <c r="R81" s="100">
        <v>5.2466431032491325</v>
      </c>
      <c r="S81" s="100">
        <v>3953.8702426085465</v>
      </c>
      <c r="T81" s="100">
        <v>9</v>
      </c>
      <c r="U81" s="100">
        <v>6782.4000000000005</v>
      </c>
      <c r="V81" s="100">
        <v>8</v>
      </c>
      <c r="W81" s="100">
        <v>6028.8</v>
      </c>
      <c r="X81" s="100">
        <v>3.4421600220844137</v>
      </c>
      <c r="Y81" s="100">
        <v>2594.0117926428143</v>
      </c>
      <c r="Z81" s="100">
        <v>7</v>
      </c>
      <c r="AA81" s="100">
        <v>5275.2</v>
      </c>
      <c r="AB81" s="100">
        <v>8</v>
      </c>
      <c r="AC81" s="100">
        <v>6028.8</v>
      </c>
      <c r="AD81" s="100">
        <v>8</v>
      </c>
      <c r="AE81" s="100">
        <v>6028.8</v>
      </c>
      <c r="AF81" s="100">
        <v>4.3692484824239139</v>
      </c>
      <c r="AG81" s="100">
        <v>3292.6656563546617</v>
      </c>
      <c r="AH81" s="100">
        <v>7.116725426367836E-4</v>
      </c>
      <c r="AI81" s="100">
        <v>0.53631642813108016</v>
      </c>
      <c r="AJ81" s="100">
        <v>5.7794536767714062</v>
      </c>
      <c r="AK81" s="100">
        <v>4355.3962908149315</v>
      </c>
      <c r="AL81" s="100">
        <v>7.0010209345426849E-4</v>
      </c>
      <c r="AM81" s="100">
        <v>0.52759693762713678</v>
      </c>
      <c r="AN81" s="100">
        <v>5.3176853660835439</v>
      </c>
      <c r="AO81" s="100">
        <v>4007.407691880559</v>
      </c>
      <c r="AP81" s="100">
        <v>7.869759628309013</v>
      </c>
      <c r="AQ81" s="100">
        <v>5930.6508558936721</v>
      </c>
      <c r="AR81" s="100">
        <v>9</v>
      </c>
      <c r="AS81" s="100">
        <v>6782.4000000000005</v>
      </c>
      <c r="AT81" s="100">
        <v>5</v>
      </c>
      <c r="AU81" s="100">
        <v>3768</v>
      </c>
      <c r="AV81" s="100">
        <v>5.2422599629872089</v>
      </c>
      <c r="AW81" s="100">
        <v>3950.5671081071605</v>
      </c>
      <c r="AX81" s="100">
        <v>4.0841655362964158</v>
      </c>
      <c r="AY81" s="100">
        <v>3077.8271481529791</v>
      </c>
      <c r="AZ81" s="100">
        <v>10.664806026058256</v>
      </c>
      <c r="BA81" s="100">
        <v>8036.9978212375026</v>
      </c>
      <c r="BB81" s="100">
        <v>7</v>
      </c>
      <c r="BC81" s="100">
        <v>5275.2</v>
      </c>
      <c r="BD81" s="100">
        <v>1.8623745317243703</v>
      </c>
      <c r="BE81" s="100">
        <v>1403.4854471074855</v>
      </c>
      <c r="BF81" s="100">
        <v>9.5625218202036937</v>
      </c>
      <c r="BG81" s="100">
        <v>7206.3164437055038</v>
      </c>
      <c r="BH81" s="100">
        <v>0.99186507237486898</v>
      </c>
      <c r="BI81" s="100">
        <v>747.46951854170129</v>
      </c>
      <c r="BJ81" s="100">
        <v>6.5134799866315642</v>
      </c>
      <c r="BK81" s="100">
        <v>4908.5585179255468</v>
      </c>
      <c r="BL81" s="100">
        <v>5.9424295699697467</v>
      </c>
      <c r="BM81" s="100">
        <v>4478.2149239292012</v>
      </c>
      <c r="BN81" s="100">
        <v>6</v>
      </c>
      <c r="BO81" s="100">
        <v>4521.6000000000004</v>
      </c>
      <c r="BP81" s="100">
        <v>7</v>
      </c>
      <c r="BQ81" s="100">
        <v>5275.2</v>
      </c>
      <c r="BR81" s="100">
        <v>4</v>
      </c>
      <c r="BS81" s="100">
        <v>3014.4</v>
      </c>
      <c r="BT81" s="100">
        <v>5</v>
      </c>
      <c r="BU81" s="100">
        <v>3768</v>
      </c>
      <c r="BV81" s="100">
        <v>7</v>
      </c>
      <c r="BW81" s="100">
        <v>5275.2</v>
      </c>
      <c r="BX81" s="100">
        <v>4</v>
      </c>
      <c r="BY81" s="100">
        <v>3014.4</v>
      </c>
      <c r="BZ81" s="100">
        <v>6</v>
      </c>
      <c r="CA81" s="100">
        <v>4521.6000000000004</v>
      </c>
      <c r="CB81" s="100">
        <v>0.82620621983764031</v>
      </c>
      <c r="CC81" s="100">
        <v>622.62900726964574</v>
      </c>
      <c r="CD81" s="100">
        <v>6</v>
      </c>
      <c r="CE81" s="100">
        <v>4521.6000000000004</v>
      </c>
      <c r="CF81" s="100">
        <v>5.8928956894021747</v>
      </c>
      <c r="CG81" s="100">
        <v>4440.8861915334792</v>
      </c>
      <c r="CH81" s="100">
        <v>9.8680208318965033</v>
      </c>
      <c r="CI81" s="100">
        <v>7436.5404989172048</v>
      </c>
      <c r="CJ81" s="100">
        <v>9</v>
      </c>
      <c r="CK81" s="100">
        <v>6782.4000000000005</v>
      </c>
      <c r="CL81" s="100">
        <v>6.3160327169740986</v>
      </c>
      <c r="CM81" s="100">
        <v>4759.7622555116805</v>
      </c>
      <c r="CN81" s="100">
        <v>4.3362999042301658</v>
      </c>
      <c r="CO81" s="100">
        <v>3267.835607827853</v>
      </c>
      <c r="CP81" s="100">
        <v>5.9858294753139063</v>
      </c>
      <c r="CQ81" s="100">
        <v>4510.9210925965599</v>
      </c>
      <c r="CR81" s="100">
        <v>7.8628649118713314</v>
      </c>
      <c r="CS81" s="100">
        <v>5925.4549975862355</v>
      </c>
      <c r="CT81" s="100">
        <v>6</v>
      </c>
      <c r="CU81" s="100">
        <v>4521.6000000000004</v>
      </c>
    </row>
    <row r="82" spans="2:99">
      <c r="C82" s="99" t="s">
        <v>248</v>
      </c>
      <c r="D82" s="100">
        <v>7</v>
      </c>
      <c r="E82" s="100">
        <v>3561.5999999999995</v>
      </c>
      <c r="F82" s="100">
        <v>4</v>
      </c>
      <c r="G82" s="100">
        <v>2035.1999999999996</v>
      </c>
      <c r="H82" s="100">
        <v>5</v>
      </c>
      <c r="I82" s="100">
        <v>2543.9999999999995</v>
      </c>
      <c r="J82" s="100">
        <v>6.4259613432675851</v>
      </c>
      <c r="K82" s="100">
        <v>3269.5291314545466</v>
      </c>
      <c r="L82" s="100">
        <v>9</v>
      </c>
      <c r="M82" s="100">
        <v>4579.1999999999989</v>
      </c>
      <c r="N82" s="100">
        <v>7</v>
      </c>
      <c r="O82" s="100">
        <v>3561.5999999999995</v>
      </c>
      <c r="P82" s="100">
        <v>9</v>
      </c>
      <c r="Q82" s="100">
        <v>4579.1999999999989</v>
      </c>
      <c r="R82" s="100">
        <v>5.2466431032491325</v>
      </c>
      <c r="S82" s="100">
        <v>2669.4920109331579</v>
      </c>
      <c r="T82" s="100">
        <v>9</v>
      </c>
      <c r="U82" s="100">
        <v>4579.1999999999989</v>
      </c>
      <c r="V82" s="100">
        <v>8</v>
      </c>
      <c r="W82" s="100">
        <v>4070.3999999999992</v>
      </c>
      <c r="X82" s="100">
        <v>3.4421600220844137</v>
      </c>
      <c r="Y82" s="100">
        <v>1751.3710192365493</v>
      </c>
      <c r="Z82" s="100">
        <v>7</v>
      </c>
      <c r="AA82" s="100">
        <v>3561.5999999999995</v>
      </c>
      <c r="AB82" s="100">
        <v>9</v>
      </c>
      <c r="AC82" s="100">
        <v>4579.1999999999989</v>
      </c>
      <c r="AD82" s="100">
        <v>8</v>
      </c>
      <c r="AE82" s="100">
        <v>4070.3999999999992</v>
      </c>
      <c r="AF82" s="100">
        <v>4.3692484824239139</v>
      </c>
      <c r="AG82" s="100">
        <v>2223.0736278572872</v>
      </c>
      <c r="AH82" s="100">
        <v>6.3510920379518409E-4</v>
      </c>
      <c r="AI82" s="100">
        <v>0.32314356289098961</v>
      </c>
      <c r="AJ82" s="100">
        <v>4.8162113973095053</v>
      </c>
      <c r="AK82" s="100">
        <v>2450.488358951076</v>
      </c>
      <c r="AL82" s="100">
        <v>6.125900102210099E-4</v>
      </c>
      <c r="AM82" s="100">
        <v>0.31168579720044975</v>
      </c>
      <c r="AN82" s="100">
        <v>5.3176853660835439</v>
      </c>
      <c r="AO82" s="100">
        <v>2705.6383142633067</v>
      </c>
      <c r="AP82" s="100">
        <v>9.0437115539708159</v>
      </c>
      <c r="AQ82" s="100">
        <v>4601.4404386603501</v>
      </c>
      <c r="AR82" s="100">
        <v>9</v>
      </c>
      <c r="AS82" s="100">
        <v>4579.1999999999989</v>
      </c>
      <c r="AT82" s="100">
        <v>5</v>
      </c>
      <c r="AU82" s="100">
        <v>2543.9999999999995</v>
      </c>
      <c r="AV82" s="100">
        <v>5.2422599629872089</v>
      </c>
      <c r="AW82" s="100">
        <v>2667.2618691678913</v>
      </c>
      <c r="AX82" s="100">
        <v>4.8815602392745339</v>
      </c>
      <c r="AY82" s="100">
        <v>2483.7378497428822</v>
      </c>
      <c r="AZ82" s="100">
        <v>9.6648060260582564</v>
      </c>
      <c r="BA82" s="100">
        <v>4917.4533060584399</v>
      </c>
      <c r="BB82" s="100">
        <v>8</v>
      </c>
      <c r="BC82" s="100">
        <v>4070.3999999999992</v>
      </c>
      <c r="BD82" s="100">
        <v>2.4831660422991604</v>
      </c>
      <c r="BE82" s="100">
        <v>1263.4348823218124</v>
      </c>
      <c r="BF82" s="100">
        <v>9.5625218202036937</v>
      </c>
      <c r="BG82" s="100">
        <v>4865.4111021196386</v>
      </c>
      <c r="BH82" s="100">
        <v>1.1395173483177035</v>
      </c>
      <c r="BI82" s="100">
        <v>579.78642682404745</v>
      </c>
      <c r="BJ82" s="100">
        <v>6.5134799866315642</v>
      </c>
      <c r="BK82" s="100">
        <v>3314.058617198139</v>
      </c>
      <c r="BL82" s="100">
        <v>5.9424295699697467</v>
      </c>
      <c r="BM82" s="100">
        <v>3023.5081652006065</v>
      </c>
      <c r="BN82" s="100">
        <v>6</v>
      </c>
      <c r="BO82" s="100">
        <v>3052.7999999999993</v>
      </c>
      <c r="BP82" s="100">
        <v>7</v>
      </c>
      <c r="BQ82" s="100">
        <v>3561.5999999999995</v>
      </c>
      <c r="BR82" s="100">
        <v>5</v>
      </c>
      <c r="BS82" s="100">
        <v>2543.9999999999995</v>
      </c>
      <c r="BT82" s="100">
        <v>5</v>
      </c>
      <c r="BU82" s="100">
        <v>2543.9999999999995</v>
      </c>
      <c r="BV82" s="100">
        <v>8</v>
      </c>
      <c r="BW82" s="100">
        <v>4070.3999999999992</v>
      </c>
      <c r="BX82" s="100">
        <v>5</v>
      </c>
      <c r="BY82" s="100">
        <v>2543.9999999999995</v>
      </c>
      <c r="BZ82" s="100">
        <v>7</v>
      </c>
      <c r="CA82" s="100">
        <v>3561.5999999999995</v>
      </c>
      <c r="CB82" s="100">
        <v>0.91421124828934031</v>
      </c>
      <c r="CC82" s="100">
        <v>465.15068312961625</v>
      </c>
      <c r="CD82" s="100">
        <v>6</v>
      </c>
      <c r="CE82" s="100">
        <v>3052.7999999999993</v>
      </c>
      <c r="CF82" s="100">
        <v>6.8750449709692045</v>
      </c>
      <c r="CG82" s="100">
        <v>3498.0228812291307</v>
      </c>
      <c r="CH82" s="100">
        <v>9.8680208318965033</v>
      </c>
      <c r="CI82" s="100">
        <v>5020.8489992689401</v>
      </c>
      <c r="CJ82" s="100">
        <v>10</v>
      </c>
      <c r="CK82" s="100">
        <v>5087.9999999999991</v>
      </c>
      <c r="CL82" s="100">
        <v>6.3160327169740986</v>
      </c>
      <c r="CM82" s="100">
        <v>3213.5974463964208</v>
      </c>
      <c r="CN82" s="100">
        <v>5.7817332056402213</v>
      </c>
      <c r="CO82" s="100">
        <v>2941.7458550297442</v>
      </c>
      <c r="CP82" s="100">
        <v>6.8215245627615886</v>
      </c>
      <c r="CQ82" s="100">
        <v>3470.7916975330954</v>
      </c>
      <c r="CR82" s="100">
        <v>8.7365165687459232</v>
      </c>
      <c r="CS82" s="100">
        <v>4445.139630177925</v>
      </c>
      <c r="CT82" s="100">
        <v>6</v>
      </c>
      <c r="CU82" s="100">
        <v>3052.7999999999993</v>
      </c>
    </row>
    <row r="83" spans="2:99">
      <c r="C83" s="99" t="s">
        <v>249</v>
      </c>
      <c r="D83" s="100">
        <v>7</v>
      </c>
      <c r="E83" s="100">
        <v>6022.8</v>
      </c>
      <c r="F83" s="100">
        <v>5</v>
      </c>
      <c r="G83" s="100">
        <v>4302</v>
      </c>
      <c r="H83" s="100">
        <v>5</v>
      </c>
      <c r="I83" s="100">
        <v>4302</v>
      </c>
      <c r="J83" s="100">
        <v>6.389476670569687</v>
      </c>
      <c r="K83" s="100">
        <v>5497.5057273581588</v>
      </c>
      <c r="L83" s="100">
        <v>8</v>
      </c>
      <c r="M83" s="100">
        <v>6883.2</v>
      </c>
      <c r="N83" s="100">
        <v>6</v>
      </c>
      <c r="O83" s="100">
        <v>5162.3999999999996</v>
      </c>
      <c r="P83" s="100">
        <v>8</v>
      </c>
      <c r="Q83" s="100">
        <v>6883.2</v>
      </c>
      <c r="R83" s="100">
        <v>5.9961635465704379</v>
      </c>
      <c r="S83" s="100">
        <v>5159.0991154692047</v>
      </c>
      <c r="T83" s="100">
        <v>8</v>
      </c>
      <c r="U83" s="100">
        <v>6883.2</v>
      </c>
      <c r="V83" s="100">
        <v>9</v>
      </c>
      <c r="W83" s="100">
        <v>7743.5999999999995</v>
      </c>
      <c r="X83" s="100">
        <v>3.4421600220844137</v>
      </c>
      <c r="Y83" s="100">
        <v>2961.6344830014295</v>
      </c>
      <c r="Z83" s="100">
        <v>8</v>
      </c>
      <c r="AA83" s="100">
        <v>6883.2</v>
      </c>
      <c r="AB83" s="100">
        <v>8</v>
      </c>
      <c r="AC83" s="100">
        <v>6883.2</v>
      </c>
      <c r="AD83" s="100">
        <v>7</v>
      </c>
      <c r="AE83" s="100">
        <v>6022.8</v>
      </c>
      <c r="AF83" s="100">
        <v>4.3692484824239139</v>
      </c>
      <c r="AG83" s="100">
        <v>3759.3013942775356</v>
      </c>
      <c r="AH83" s="100">
        <v>7.116725426367836E-4</v>
      </c>
      <c r="AI83" s="100">
        <v>0.61232305568468859</v>
      </c>
      <c r="AJ83" s="100">
        <v>4.8162113973095053</v>
      </c>
      <c r="AK83" s="100">
        <v>4143.8682862450987</v>
      </c>
      <c r="AL83" s="100">
        <v>7.0010182207485856E-4</v>
      </c>
      <c r="AM83" s="100">
        <v>0.6023676077132083</v>
      </c>
      <c r="AN83" s="100">
        <v>4.8548718957608124</v>
      </c>
      <c r="AO83" s="100">
        <v>4177.131779112603</v>
      </c>
      <c r="AP83" s="100">
        <v>7.869759628309013</v>
      </c>
      <c r="AQ83" s="100">
        <v>6771.1411841970748</v>
      </c>
      <c r="AR83" s="100">
        <v>9</v>
      </c>
      <c r="AS83" s="100">
        <v>7743.5999999999995</v>
      </c>
      <c r="AT83" s="100">
        <v>4</v>
      </c>
      <c r="AU83" s="100">
        <v>3441.6</v>
      </c>
      <c r="AV83" s="100">
        <v>5.9911542434139529</v>
      </c>
      <c r="AW83" s="100">
        <v>5154.7891110333649</v>
      </c>
      <c r="AX83" s="100">
        <v>4.0841655362964158</v>
      </c>
      <c r="AY83" s="100">
        <v>3514.0160274294362</v>
      </c>
      <c r="AZ83" s="100">
        <v>9.6648060260582564</v>
      </c>
      <c r="BA83" s="100">
        <v>8315.5991048205233</v>
      </c>
      <c r="BB83" s="100">
        <v>8</v>
      </c>
      <c r="BC83" s="100">
        <v>6883.2</v>
      </c>
      <c r="BD83" s="100">
        <v>2.1727702870117653</v>
      </c>
      <c r="BE83" s="100">
        <v>1869.4515549449229</v>
      </c>
      <c r="BF83" s="100">
        <v>9.5625218202036937</v>
      </c>
      <c r="BG83" s="100">
        <v>8227.5937741032576</v>
      </c>
      <c r="BH83" s="100">
        <v>0.99186507237486898</v>
      </c>
      <c r="BI83" s="100">
        <v>853.40070827133729</v>
      </c>
      <c r="BJ83" s="100">
        <v>6.5134799866315642</v>
      </c>
      <c r="BK83" s="100">
        <v>5604.1981804977977</v>
      </c>
      <c r="BL83" s="100">
        <v>5.9424295699697467</v>
      </c>
      <c r="BM83" s="100">
        <v>5112.8664020019696</v>
      </c>
      <c r="BN83" s="100">
        <v>5</v>
      </c>
      <c r="BO83" s="100">
        <v>4302</v>
      </c>
      <c r="BP83" s="100">
        <v>7</v>
      </c>
      <c r="BQ83" s="100">
        <v>6022.8</v>
      </c>
      <c r="BR83" s="100">
        <v>5</v>
      </c>
      <c r="BS83" s="100">
        <v>4302</v>
      </c>
      <c r="BT83" s="100">
        <v>5</v>
      </c>
      <c r="BU83" s="100">
        <v>4302</v>
      </c>
      <c r="BV83" s="100">
        <v>7</v>
      </c>
      <c r="BW83" s="100">
        <v>6022.8</v>
      </c>
      <c r="BX83" s="100">
        <v>5</v>
      </c>
      <c r="BY83" s="100">
        <v>4302</v>
      </c>
      <c r="BZ83" s="100">
        <v>6</v>
      </c>
      <c r="CA83" s="100">
        <v>5162.3999999999996</v>
      </c>
      <c r="CB83" s="100">
        <v>0.91731679045046222</v>
      </c>
      <c r="CC83" s="100">
        <v>789.25936650357767</v>
      </c>
      <c r="CD83" s="100">
        <v>6</v>
      </c>
      <c r="CE83" s="100">
        <v>5162.3999999999996</v>
      </c>
      <c r="CF83" s="100">
        <v>6.8750449709692045</v>
      </c>
      <c r="CG83" s="100">
        <v>5915.2886930219038</v>
      </c>
      <c r="CH83" s="100">
        <v>7.8944166655172028</v>
      </c>
      <c r="CI83" s="100">
        <v>6792.3560990110009</v>
      </c>
      <c r="CJ83" s="100">
        <v>10</v>
      </c>
      <c r="CK83" s="100">
        <v>8604</v>
      </c>
      <c r="CL83" s="100">
        <v>6.3160327169740986</v>
      </c>
      <c r="CM83" s="100">
        <v>5434.3145496845145</v>
      </c>
      <c r="CN83" s="100">
        <v>5.0590165549351935</v>
      </c>
      <c r="CO83" s="100">
        <v>4352.7778438662408</v>
      </c>
      <c r="CP83" s="100">
        <v>5.8215245627615886</v>
      </c>
      <c r="CQ83" s="100">
        <v>5008.8397338000705</v>
      </c>
      <c r="CR83" s="100">
        <v>7.8628649118713314</v>
      </c>
      <c r="CS83" s="100">
        <v>6765.2089701740933</v>
      </c>
      <c r="CT83" s="100">
        <v>6</v>
      </c>
      <c r="CU83" s="100">
        <v>5162.3999999999996</v>
      </c>
    </row>
    <row r="84" spans="2:99">
      <c r="C84" s="99" t="s">
        <v>250</v>
      </c>
      <c r="D84" s="100">
        <v>7</v>
      </c>
      <c r="E84" s="100">
        <v>5468.4</v>
      </c>
      <c r="F84" s="100">
        <v>4</v>
      </c>
      <c r="G84" s="100">
        <v>3124.7999999999997</v>
      </c>
      <c r="H84" s="100">
        <v>5</v>
      </c>
      <c r="I84" s="100">
        <v>3905.9999999999995</v>
      </c>
      <c r="J84" s="100">
        <v>6.462446015965484</v>
      </c>
      <c r="K84" s="100">
        <v>5048.462827672236</v>
      </c>
      <c r="L84" s="100">
        <v>8</v>
      </c>
      <c r="M84" s="100">
        <v>6249.5999999999995</v>
      </c>
      <c r="N84" s="100">
        <v>7</v>
      </c>
      <c r="O84" s="100">
        <v>5468.4</v>
      </c>
      <c r="P84" s="100">
        <v>9</v>
      </c>
      <c r="Q84" s="100">
        <v>7030.7999999999993</v>
      </c>
      <c r="R84" s="100">
        <v>5.2466431032491325</v>
      </c>
      <c r="S84" s="100">
        <v>4098.6775922582219</v>
      </c>
      <c r="T84" s="100">
        <v>8</v>
      </c>
      <c r="U84" s="100">
        <v>6249.5999999999995</v>
      </c>
      <c r="V84" s="100">
        <v>8</v>
      </c>
      <c r="W84" s="100">
        <v>6249.5999999999995</v>
      </c>
      <c r="X84" s="100">
        <v>3.4421600220844137</v>
      </c>
      <c r="Y84" s="100">
        <v>2689.0154092523439</v>
      </c>
      <c r="Z84" s="100">
        <v>8</v>
      </c>
      <c r="AA84" s="100">
        <v>6249.5999999999995</v>
      </c>
      <c r="AB84" s="100">
        <v>8</v>
      </c>
      <c r="AC84" s="100">
        <v>6249.5999999999995</v>
      </c>
      <c r="AD84" s="100">
        <v>7</v>
      </c>
      <c r="AE84" s="100">
        <v>5468.4</v>
      </c>
      <c r="AF84" s="100">
        <v>4.3692484824239139</v>
      </c>
      <c r="AG84" s="100">
        <v>3413.2569144695613</v>
      </c>
      <c r="AH84" s="100">
        <v>7.116725426367836E-4</v>
      </c>
      <c r="AI84" s="100">
        <v>0.55595859030785533</v>
      </c>
      <c r="AJ84" s="100">
        <v>4.8162113973095053</v>
      </c>
      <c r="AK84" s="100">
        <v>3762.424343578185</v>
      </c>
      <c r="AL84" s="100">
        <v>6.1258973884159996E-4</v>
      </c>
      <c r="AM84" s="100">
        <v>0.47855510398305784</v>
      </c>
      <c r="AN84" s="100">
        <v>5.3176853660835439</v>
      </c>
      <c r="AO84" s="100">
        <v>4154.175807984464</v>
      </c>
      <c r="AP84" s="100">
        <v>8.0437115539708159</v>
      </c>
      <c r="AQ84" s="100">
        <v>6283.7474659620011</v>
      </c>
      <c r="AR84" s="100">
        <v>8</v>
      </c>
      <c r="AS84" s="100">
        <v>6249.5999999999995</v>
      </c>
      <c r="AT84" s="100">
        <v>5</v>
      </c>
      <c r="AU84" s="100">
        <v>3905.9999999999995</v>
      </c>
      <c r="AV84" s="100">
        <v>5.2422599629872089</v>
      </c>
      <c r="AW84" s="100">
        <v>4095.2534830856071</v>
      </c>
      <c r="AX84" s="100">
        <v>3.9869735148905892</v>
      </c>
      <c r="AY84" s="100">
        <v>3114.6237098325278</v>
      </c>
      <c r="AZ84" s="100">
        <v>10.664806026058256</v>
      </c>
      <c r="BA84" s="100">
        <v>8331.3464675567084</v>
      </c>
      <c r="BB84" s="100">
        <v>7</v>
      </c>
      <c r="BC84" s="100">
        <v>5468.4</v>
      </c>
      <c r="BD84" s="100">
        <v>2.1727702870117653</v>
      </c>
      <c r="BE84" s="100">
        <v>1697.368148213591</v>
      </c>
      <c r="BF84" s="100">
        <v>8.592290509245748</v>
      </c>
      <c r="BG84" s="100">
        <v>6712.297345822778</v>
      </c>
      <c r="BH84" s="100">
        <v>1.1470853066546935</v>
      </c>
      <c r="BI84" s="100">
        <v>896.10304155864651</v>
      </c>
      <c r="BJ84" s="100">
        <v>6.5134799866315642</v>
      </c>
      <c r="BK84" s="100">
        <v>5088.3305655565773</v>
      </c>
      <c r="BL84" s="100">
        <v>5.9424295699697467</v>
      </c>
      <c r="BM84" s="100">
        <v>4642.2259800603661</v>
      </c>
      <c r="BN84" s="100">
        <v>6</v>
      </c>
      <c r="BO84" s="100">
        <v>4687.2</v>
      </c>
      <c r="BP84" s="100">
        <v>7</v>
      </c>
      <c r="BQ84" s="100">
        <v>5468.4</v>
      </c>
      <c r="BR84" s="100">
        <v>5</v>
      </c>
      <c r="BS84" s="100">
        <v>3905.9999999999995</v>
      </c>
      <c r="BT84" s="100">
        <v>5</v>
      </c>
      <c r="BU84" s="100">
        <v>3905.9999999999995</v>
      </c>
      <c r="BV84" s="100">
        <v>8</v>
      </c>
      <c r="BW84" s="100">
        <v>6249.5999999999995</v>
      </c>
      <c r="BX84" s="100">
        <v>5</v>
      </c>
      <c r="BY84" s="100">
        <v>3905.9999999999995</v>
      </c>
      <c r="BZ84" s="100">
        <v>7</v>
      </c>
      <c r="CA84" s="100">
        <v>5468.4</v>
      </c>
      <c r="CB84" s="100">
        <v>0.82465344875707947</v>
      </c>
      <c r="CC84" s="100">
        <v>644.21927416903043</v>
      </c>
      <c r="CD84" s="100">
        <v>6</v>
      </c>
      <c r="CE84" s="100">
        <v>4687.2</v>
      </c>
      <c r="CF84" s="100">
        <v>5.8928956894021747</v>
      </c>
      <c r="CG84" s="100">
        <v>4603.5301125609785</v>
      </c>
      <c r="CH84" s="100">
        <v>8.8812187487068535</v>
      </c>
      <c r="CI84" s="100">
        <v>6938.0080864897936</v>
      </c>
      <c r="CJ84" s="100">
        <v>10</v>
      </c>
      <c r="CK84" s="100">
        <v>7811.9999999999991</v>
      </c>
      <c r="CL84" s="100">
        <v>6.3160327169740986</v>
      </c>
      <c r="CM84" s="100">
        <v>4934.0847585001657</v>
      </c>
      <c r="CN84" s="100">
        <v>5.0590165549351935</v>
      </c>
      <c r="CO84" s="100">
        <v>3952.1037327153726</v>
      </c>
      <c r="CP84" s="100">
        <v>6.9858294753139063</v>
      </c>
      <c r="CQ84" s="100">
        <v>5457.3299861152227</v>
      </c>
      <c r="CR84" s="100">
        <v>8.7365165687459232</v>
      </c>
      <c r="CS84" s="100">
        <v>6824.9667435043148</v>
      </c>
      <c r="CT84" s="100">
        <v>6</v>
      </c>
      <c r="CU84" s="100">
        <v>4687.2</v>
      </c>
    </row>
    <row r="85" spans="2:99">
      <c r="C85" s="99" t="s">
        <v>251</v>
      </c>
      <c r="D85" s="100">
        <v>8</v>
      </c>
      <c r="E85" s="100">
        <v>1200</v>
      </c>
      <c r="F85" s="100">
        <v>5</v>
      </c>
      <c r="G85" s="100">
        <v>750</v>
      </c>
      <c r="H85" s="100">
        <v>6</v>
      </c>
      <c r="I85" s="100">
        <v>900</v>
      </c>
      <c r="J85" s="100">
        <v>6.7366634297544108</v>
      </c>
      <c r="K85" s="100">
        <v>1010.4995144631616</v>
      </c>
      <c r="L85" s="100">
        <v>8</v>
      </c>
      <c r="M85" s="100">
        <v>1200</v>
      </c>
      <c r="N85" s="100">
        <v>6</v>
      </c>
      <c r="O85" s="100">
        <v>900</v>
      </c>
      <c r="P85" s="100">
        <v>10</v>
      </c>
      <c r="Q85" s="100">
        <v>1500</v>
      </c>
      <c r="R85" s="100">
        <v>5.9961635465704379</v>
      </c>
      <c r="S85" s="100">
        <v>899.42453198556564</v>
      </c>
      <c r="T85" s="100">
        <v>10</v>
      </c>
      <c r="U85" s="100">
        <v>1500</v>
      </c>
      <c r="V85" s="100">
        <v>10</v>
      </c>
      <c r="W85" s="100">
        <v>1500</v>
      </c>
      <c r="X85" s="100">
        <v>3.8724300248449652</v>
      </c>
      <c r="Y85" s="100">
        <v>580.86450372674483</v>
      </c>
      <c r="Z85" s="100">
        <v>8</v>
      </c>
      <c r="AA85" s="100">
        <v>1200</v>
      </c>
      <c r="AB85" s="100">
        <v>8</v>
      </c>
      <c r="AC85" s="100">
        <v>1200</v>
      </c>
      <c r="AD85" s="100">
        <v>9</v>
      </c>
      <c r="AE85" s="100">
        <v>1350</v>
      </c>
      <c r="AF85" s="100">
        <v>4.3692484824239139</v>
      </c>
      <c r="AG85" s="100">
        <v>655.38727236358704</v>
      </c>
      <c r="AH85" s="100">
        <v>7.116725426367836E-4</v>
      </c>
      <c r="AI85" s="100">
        <v>0.10675088139551754</v>
      </c>
      <c r="AJ85" s="100">
        <v>5.7794536767714062</v>
      </c>
      <c r="AK85" s="100">
        <v>866.91805151571089</v>
      </c>
      <c r="AL85" s="100">
        <v>6.1258973884159996E-4</v>
      </c>
      <c r="AM85" s="100">
        <v>9.1888460826239998E-2</v>
      </c>
      <c r="AN85" s="100">
        <v>5.4137157105151248</v>
      </c>
      <c r="AO85" s="100">
        <v>812.05735657726871</v>
      </c>
      <c r="AP85" s="100">
        <v>10.043711553970816</v>
      </c>
      <c r="AQ85" s="100">
        <v>1506.5567330956223</v>
      </c>
      <c r="AR85" s="100">
        <v>9</v>
      </c>
      <c r="AS85" s="100">
        <v>1350</v>
      </c>
      <c r="AT85" s="100">
        <v>5</v>
      </c>
      <c r="AU85" s="100">
        <v>750</v>
      </c>
      <c r="AV85" s="100">
        <v>5.9911542434139529</v>
      </c>
      <c r="AW85" s="100">
        <v>898.67313651209292</v>
      </c>
      <c r="AX85" s="100">
        <v>4.0841655362964158</v>
      </c>
      <c r="AY85" s="100">
        <v>612.62483044446242</v>
      </c>
      <c r="AZ85" s="100">
        <v>10.664806026058256</v>
      </c>
      <c r="BA85" s="100">
        <v>1599.7209039087384</v>
      </c>
      <c r="BB85" s="100">
        <v>8</v>
      </c>
      <c r="BC85" s="100">
        <v>1200</v>
      </c>
      <c r="BD85" s="100">
        <v>2.4831660422991604</v>
      </c>
      <c r="BE85" s="100">
        <v>372.47490634487406</v>
      </c>
      <c r="BF85" s="100">
        <v>8.592290509245748</v>
      </c>
      <c r="BG85" s="100">
        <v>1288.8435763868622</v>
      </c>
      <c r="BH85" s="100">
        <v>1.1546532649916836</v>
      </c>
      <c r="BI85" s="100">
        <v>173.19798974875255</v>
      </c>
      <c r="BJ85" s="100">
        <v>6.6418499832894549</v>
      </c>
      <c r="BK85" s="100">
        <v>996.2774974934182</v>
      </c>
      <c r="BL85" s="100">
        <v>6.6026995221886065</v>
      </c>
      <c r="BM85" s="100">
        <v>990.40492832829102</v>
      </c>
      <c r="BN85" s="100">
        <v>6</v>
      </c>
      <c r="BO85" s="100">
        <v>900</v>
      </c>
      <c r="BP85" s="100">
        <v>7</v>
      </c>
      <c r="BQ85" s="100">
        <v>1050</v>
      </c>
      <c r="BR85" s="100">
        <v>5</v>
      </c>
      <c r="BS85" s="100">
        <v>750</v>
      </c>
      <c r="BT85" s="100">
        <v>6</v>
      </c>
      <c r="BU85" s="100">
        <v>900</v>
      </c>
      <c r="BV85" s="100">
        <v>8</v>
      </c>
      <c r="BW85" s="100">
        <v>1200</v>
      </c>
      <c r="BX85" s="100">
        <v>5</v>
      </c>
      <c r="BY85" s="100">
        <v>750</v>
      </c>
      <c r="BZ85" s="100">
        <v>6</v>
      </c>
      <c r="CA85" s="100">
        <v>900</v>
      </c>
      <c r="CB85" s="100">
        <v>0.91576401936990126</v>
      </c>
      <c r="CC85" s="100">
        <v>137.36460290548519</v>
      </c>
      <c r="CD85" s="100">
        <v>7</v>
      </c>
      <c r="CE85" s="100">
        <v>1050</v>
      </c>
      <c r="CF85" s="100">
        <v>6.8750449709692045</v>
      </c>
      <c r="CG85" s="100">
        <v>1031.2567456453808</v>
      </c>
      <c r="CH85" s="100">
        <v>9.8680208318965033</v>
      </c>
      <c r="CI85" s="100">
        <v>1480.2031247844754</v>
      </c>
      <c r="CJ85" s="100">
        <v>10</v>
      </c>
      <c r="CK85" s="100">
        <v>1500</v>
      </c>
      <c r="CL85" s="100">
        <v>7.105536806595862</v>
      </c>
      <c r="CM85" s="100">
        <v>1065.8305209893792</v>
      </c>
      <c r="CN85" s="100">
        <v>5.0590165549351935</v>
      </c>
      <c r="CO85" s="100">
        <v>758.85248324027907</v>
      </c>
      <c r="CP85" s="100">
        <v>6.9858294753139063</v>
      </c>
      <c r="CQ85" s="100">
        <v>1047.874421297086</v>
      </c>
      <c r="CR85" s="100">
        <v>8.7365165687459232</v>
      </c>
      <c r="CS85" s="100">
        <v>1310.4774853118886</v>
      </c>
      <c r="CT85" s="100">
        <v>6</v>
      </c>
      <c r="CU85" s="100">
        <v>900</v>
      </c>
    </row>
    <row r="86" spans="2:99">
      <c r="C86" s="99" t="s">
        <v>252</v>
      </c>
      <c r="D86" s="100">
        <v>8</v>
      </c>
      <c r="E86" s="100">
        <v>4320</v>
      </c>
      <c r="F86" s="100">
        <v>4</v>
      </c>
      <c r="G86" s="100">
        <v>2160</v>
      </c>
      <c r="H86" s="100">
        <v>6</v>
      </c>
      <c r="I86" s="100">
        <v>3240</v>
      </c>
      <c r="J86" s="100">
        <v>6.498930688663382</v>
      </c>
      <c r="K86" s="100">
        <v>3509.4225718782263</v>
      </c>
      <c r="L86" s="100">
        <v>9</v>
      </c>
      <c r="M86" s="100">
        <v>4860</v>
      </c>
      <c r="N86" s="100">
        <v>7</v>
      </c>
      <c r="O86" s="100">
        <v>3780</v>
      </c>
      <c r="P86" s="100">
        <v>9</v>
      </c>
      <c r="Q86" s="100">
        <v>4860</v>
      </c>
      <c r="R86" s="100">
        <v>5.2466431032491325</v>
      </c>
      <c r="S86" s="100">
        <v>2833.1872757545316</v>
      </c>
      <c r="T86" s="100">
        <v>8</v>
      </c>
      <c r="U86" s="100">
        <v>4320</v>
      </c>
      <c r="V86" s="100">
        <v>9</v>
      </c>
      <c r="W86" s="100">
        <v>4860</v>
      </c>
      <c r="X86" s="100">
        <v>3.8724300248449652</v>
      </c>
      <c r="Y86" s="100">
        <v>2091.1122134162811</v>
      </c>
      <c r="Z86" s="100">
        <v>8</v>
      </c>
      <c r="AA86" s="100">
        <v>4320</v>
      </c>
      <c r="AB86" s="100">
        <v>8</v>
      </c>
      <c r="AC86" s="100">
        <v>4320</v>
      </c>
      <c r="AD86" s="100">
        <v>7</v>
      </c>
      <c r="AE86" s="100">
        <v>3780</v>
      </c>
      <c r="AF86" s="100">
        <v>4.3692484824239139</v>
      </c>
      <c r="AG86" s="100">
        <v>2359.3941805089135</v>
      </c>
      <c r="AH86" s="100">
        <v>7.1490147021712478E-4</v>
      </c>
      <c r="AI86" s="100">
        <v>0.38604679391724739</v>
      </c>
      <c r="AJ86" s="100">
        <v>4.8162113973095053</v>
      </c>
      <c r="AK86" s="100">
        <v>2600.7541545471327</v>
      </c>
      <c r="AL86" s="100">
        <v>7.0010209345426849E-4</v>
      </c>
      <c r="AM86" s="100">
        <v>0.37805513046530498</v>
      </c>
      <c r="AN86" s="100">
        <v>4.8548718957608124</v>
      </c>
      <c r="AO86" s="100">
        <v>2621.6308237108387</v>
      </c>
      <c r="AP86" s="100">
        <v>8.8697596283090121</v>
      </c>
      <c r="AQ86" s="100">
        <v>4789.6701992868666</v>
      </c>
      <c r="AR86" s="100">
        <v>10</v>
      </c>
      <c r="AS86" s="100">
        <v>5400</v>
      </c>
      <c r="AT86" s="100">
        <v>4</v>
      </c>
      <c r="AU86" s="100">
        <v>2160</v>
      </c>
      <c r="AV86" s="100">
        <v>5.9911542434139529</v>
      </c>
      <c r="AW86" s="100">
        <v>3235.2232914435344</v>
      </c>
      <c r="AX86" s="100">
        <v>4.0841655362964158</v>
      </c>
      <c r="AY86" s="100">
        <v>2205.4493896000645</v>
      </c>
      <c r="AZ86" s="100">
        <v>8.6648060260582564</v>
      </c>
      <c r="BA86" s="100">
        <v>4678.9952540714585</v>
      </c>
      <c r="BB86" s="100">
        <v>7</v>
      </c>
      <c r="BC86" s="100">
        <v>3780</v>
      </c>
      <c r="BD86" s="100">
        <v>1.8623745317243703</v>
      </c>
      <c r="BE86" s="100">
        <v>1005.68224713116</v>
      </c>
      <c r="BF86" s="100">
        <v>9.5625218202036937</v>
      </c>
      <c r="BG86" s="100">
        <v>5163.7617829099945</v>
      </c>
      <c r="BH86" s="100">
        <v>0.99186507237486898</v>
      </c>
      <c r="BI86" s="100">
        <v>535.60713908242928</v>
      </c>
      <c r="BJ86" s="100">
        <v>6.6418499832894549</v>
      </c>
      <c r="BK86" s="100">
        <v>3586.5989909763057</v>
      </c>
      <c r="BL86" s="100">
        <v>5.9424295699697467</v>
      </c>
      <c r="BM86" s="100">
        <v>3208.9119677836634</v>
      </c>
      <c r="BN86" s="100">
        <v>5</v>
      </c>
      <c r="BO86" s="100">
        <v>2700</v>
      </c>
      <c r="BP86" s="100">
        <v>7</v>
      </c>
      <c r="BQ86" s="100">
        <v>3780</v>
      </c>
      <c r="BR86" s="100">
        <v>5</v>
      </c>
      <c r="BS86" s="100">
        <v>2700</v>
      </c>
      <c r="BT86" s="100">
        <v>5</v>
      </c>
      <c r="BU86" s="100">
        <v>2700</v>
      </c>
      <c r="BV86" s="100">
        <v>8</v>
      </c>
      <c r="BW86" s="100">
        <v>4320</v>
      </c>
      <c r="BX86" s="100">
        <v>5</v>
      </c>
      <c r="BY86" s="100">
        <v>2700</v>
      </c>
      <c r="BZ86" s="100">
        <v>7</v>
      </c>
      <c r="CA86" s="100">
        <v>3780</v>
      </c>
      <c r="CB86" s="100">
        <v>0.91576401936990126</v>
      </c>
      <c r="CC86" s="100">
        <v>494.51257045974666</v>
      </c>
      <c r="CD86" s="100">
        <v>6</v>
      </c>
      <c r="CE86" s="100">
        <v>3240</v>
      </c>
      <c r="CF86" s="100">
        <v>6.8750449709692045</v>
      </c>
      <c r="CG86" s="100">
        <v>3712.5242843233705</v>
      </c>
      <c r="CH86" s="100">
        <v>8.8812187487068535</v>
      </c>
      <c r="CI86" s="100">
        <v>4795.8581243017006</v>
      </c>
      <c r="CJ86" s="100">
        <v>9</v>
      </c>
      <c r="CK86" s="100">
        <v>4860</v>
      </c>
      <c r="CL86" s="100">
        <v>6.3160327169740986</v>
      </c>
      <c r="CM86" s="100">
        <v>3410.6576671660132</v>
      </c>
      <c r="CN86" s="100">
        <v>5.0590165549351935</v>
      </c>
      <c r="CO86" s="100">
        <v>2731.8689396650043</v>
      </c>
      <c r="CP86" s="100">
        <v>6.9858294753139063</v>
      </c>
      <c r="CQ86" s="100">
        <v>3772.3479166695092</v>
      </c>
      <c r="CR86" s="100">
        <v>8.7365165687459232</v>
      </c>
      <c r="CS86" s="100">
        <v>4717.7189471227985</v>
      </c>
      <c r="CT86" s="100">
        <v>6</v>
      </c>
      <c r="CU86" s="100">
        <v>3240</v>
      </c>
    </row>
    <row r="87" spans="2:99">
      <c r="B87" s="99" t="s">
        <v>131</v>
      </c>
      <c r="C87" s="99" t="s">
        <v>253</v>
      </c>
      <c r="D87" s="100">
        <v>6.1009015722845188</v>
      </c>
      <c r="E87" s="100">
        <v>6552.3682886335728</v>
      </c>
      <c r="F87" s="100">
        <v>0.45999593482461254</v>
      </c>
      <c r="G87" s="100">
        <v>494.03563400163387</v>
      </c>
      <c r="H87" s="100">
        <v>7.331665905853872</v>
      </c>
      <c r="I87" s="100">
        <v>7874.2091828870589</v>
      </c>
      <c r="J87" s="100">
        <v>5</v>
      </c>
      <c r="K87" s="100">
        <v>5370</v>
      </c>
      <c r="L87" s="100">
        <v>4.5906153043405613</v>
      </c>
      <c r="M87" s="100">
        <v>4930.3208368617625</v>
      </c>
      <c r="N87" s="100">
        <v>5.224576548328284</v>
      </c>
      <c r="O87" s="100">
        <v>5611.1952129045767</v>
      </c>
      <c r="P87" s="100">
        <v>8</v>
      </c>
      <c r="Q87" s="100">
        <v>8592</v>
      </c>
      <c r="R87" s="100">
        <v>2.3730404245242798</v>
      </c>
      <c r="S87" s="100">
        <v>2548.6454159390764</v>
      </c>
      <c r="T87" s="100">
        <v>4.0254074167279033</v>
      </c>
      <c r="U87" s="100">
        <v>4323.2875655657681</v>
      </c>
      <c r="V87" s="100">
        <v>5.4144283570306788</v>
      </c>
      <c r="W87" s="100">
        <v>5815.0960554509493</v>
      </c>
      <c r="X87" s="100">
        <v>5.099940511600237</v>
      </c>
      <c r="Y87" s="100">
        <v>5477.3361094586544</v>
      </c>
      <c r="Z87" s="100">
        <v>5</v>
      </c>
      <c r="AA87" s="100">
        <v>5370</v>
      </c>
      <c r="AB87" s="100">
        <v>4</v>
      </c>
      <c r="AC87" s="100">
        <v>4296</v>
      </c>
      <c r="AD87" s="100">
        <v>2.9988789603574673</v>
      </c>
      <c r="AE87" s="100">
        <v>3220.79600342392</v>
      </c>
      <c r="AF87" s="100">
        <v>7</v>
      </c>
      <c r="AG87" s="100">
        <v>7518</v>
      </c>
      <c r="AH87" s="100">
        <v>6</v>
      </c>
      <c r="AI87" s="100">
        <v>6444</v>
      </c>
      <c r="AJ87" s="100">
        <v>4</v>
      </c>
      <c r="AK87" s="100">
        <v>4296</v>
      </c>
      <c r="AL87" s="100">
        <v>3.0014359753391227</v>
      </c>
      <c r="AM87" s="100">
        <v>3223.5422375142175</v>
      </c>
      <c r="AN87" s="100">
        <v>6</v>
      </c>
      <c r="AO87" s="100">
        <v>6444</v>
      </c>
      <c r="AP87" s="100">
        <v>4.195975009736661</v>
      </c>
      <c r="AQ87" s="100">
        <v>4506.4771604571743</v>
      </c>
      <c r="AR87" s="100">
        <v>8</v>
      </c>
      <c r="AS87" s="100">
        <v>8592</v>
      </c>
      <c r="AT87" s="100">
        <v>4.762996765755708</v>
      </c>
      <c r="AU87" s="100">
        <v>5115.4585264216303</v>
      </c>
      <c r="AV87" s="100">
        <v>8.621941879847725</v>
      </c>
      <c r="AW87" s="100">
        <v>9259.9655789564567</v>
      </c>
      <c r="AX87" s="100">
        <v>3.7778692152763456</v>
      </c>
      <c r="AY87" s="100">
        <v>4057.4315372067949</v>
      </c>
      <c r="AZ87" s="100">
        <v>5.1565770791641583</v>
      </c>
      <c r="BA87" s="100">
        <v>5538.1637830223062</v>
      </c>
      <c r="BB87" s="100">
        <v>2.4686009557515138</v>
      </c>
      <c r="BC87" s="100">
        <v>2651.277426477126</v>
      </c>
      <c r="BD87" s="100">
        <v>5.8558416426679463</v>
      </c>
      <c r="BE87" s="100">
        <v>6289.1739242253743</v>
      </c>
      <c r="BF87" s="100">
        <v>2.2143641492514683</v>
      </c>
      <c r="BG87" s="100">
        <v>2378.227096296077</v>
      </c>
      <c r="BH87" s="100">
        <v>7.5538218087815716</v>
      </c>
      <c r="BI87" s="100">
        <v>8112.8046226314082</v>
      </c>
      <c r="BJ87" s="100">
        <v>6.7864216278938585</v>
      </c>
      <c r="BK87" s="100">
        <v>7288.6168283580037</v>
      </c>
      <c r="BL87" s="100">
        <v>5.1875025199009626</v>
      </c>
      <c r="BM87" s="100">
        <v>5571.3777063736334</v>
      </c>
      <c r="BN87" s="100">
        <v>4.8226231227689809</v>
      </c>
      <c r="BO87" s="100">
        <v>5179.4972338538855</v>
      </c>
      <c r="BP87" s="100">
        <v>6.9260364084489368</v>
      </c>
      <c r="BQ87" s="100">
        <v>7438.5631026741585</v>
      </c>
      <c r="BR87" s="100">
        <v>4.7540218309012348</v>
      </c>
      <c r="BS87" s="100">
        <v>5105.8194463879263</v>
      </c>
      <c r="BT87" s="100">
        <v>6.8264443668769053</v>
      </c>
      <c r="BU87" s="100">
        <v>7331.6012500257966</v>
      </c>
      <c r="BV87" s="100">
        <v>2.443832662309176</v>
      </c>
      <c r="BW87" s="100">
        <v>2624.6762793200551</v>
      </c>
      <c r="BX87" s="100">
        <v>2.7894987071517607</v>
      </c>
      <c r="BY87" s="100">
        <v>2995.921611480991</v>
      </c>
      <c r="BZ87" s="100">
        <v>3.6686871659180098</v>
      </c>
      <c r="CA87" s="100">
        <v>3940.1700161959425</v>
      </c>
      <c r="CB87" s="100">
        <v>5.2592669900302047</v>
      </c>
      <c r="CC87" s="100">
        <v>5648.4527472924401</v>
      </c>
      <c r="CD87" s="100">
        <v>7.7661511848111822</v>
      </c>
      <c r="CE87" s="100">
        <v>8340.846372487209</v>
      </c>
      <c r="CF87" s="100">
        <v>7.7418203054213439</v>
      </c>
      <c r="CG87" s="100">
        <v>8314.7150080225238</v>
      </c>
      <c r="CH87" s="100">
        <v>7.3142857142857167</v>
      </c>
      <c r="CI87" s="100">
        <v>7855.5428571428602</v>
      </c>
      <c r="CJ87" s="100">
        <v>5.4187284553952368</v>
      </c>
      <c r="CK87" s="100">
        <v>5819.714361094484</v>
      </c>
      <c r="CL87" s="100">
        <v>6.0827284997064561</v>
      </c>
      <c r="CM87" s="100">
        <v>6532.8504086847342</v>
      </c>
      <c r="CN87" s="100">
        <v>4.4534865720616308</v>
      </c>
      <c r="CO87" s="100">
        <v>4783.0445783941914</v>
      </c>
      <c r="CP87" s="100">
        <v>6.1151241754538326</v>
      </c>
      <c r="CQ87" s="100">
        <v>6567.6433644374165</v>
      </c>
      <c r="CR87" s="100">
        <v>7.9474111269756733</v>
      </c>
      <c r="CS87" s="100">
        <v>8535.5195503718733</v>
      </c>
      <c r="CT87" s="100">
        <v>5.111965618640844</v>
      </c>
      <c r="CU87" s="100">
        <v>5490.2510744202664</v>
      </c>
    </row>
    <row r="88" spans="2:99">
      <c r="C88" s="99" t="s">
        <v>254</v>
      </c>
      <c r="D88" s="100">
        <v>5.1009015722845188</v>
      </c>
      <c r="E88" s="100">
        <v>5062.1347203351561</v>
      </c>
      <c r="F88" s="100">
        <v>0.45999593482461254</v>
      </c>
      <c r="G88" s="100">
        <v>456.49996571994546</v>
      </c>
      <c r="H88" s="100">
        <v>7.331665905853872</v>
      </c>
      <c r="I88" s="100">
        <v>7275.9452449693827</v>
      </c>
      <c r="J88" s="100">
        <v>5</v>
      </c>
      <c r="K88" s="100">
        <v>4962</v>
      </c>
      <c r="L88" s="100">
        <v>4.5906153043405613</v>
      </c>
      <c r="M88" s="100">
        <v>4555.7266280275726</v>
      </c>
      <c r="N88" s="100">
        <v>5.224576548328284</v>
      </c>
      <c r="O88" s="100">
        <v>5184.8697665609889</v>
      </c>
      <c r="P88" s="100">
        <v>7</v>
      </c>
      <c r="Q88" s="100">
        <v>6946.8</v>
      </c>
      <c r="R88" s="100">
        <v>2.3755870340931611</v>
      </c>
      <c r="S88" s="100">
        <v>2357.5325726340529</v>
      </c>
      <c r="T88" s="100">
        <v>4.8168804888763193</v>
      </c>
      <c r="U88" s="100">
        <v>4780.2721971608589</v>
      </c>
      <c r="V88" s="100">
        <v>5.3040081756786277</v>
      </c>
      <c r="W88" s="100">
        <v>5263.6977135434699</v>
      </c>
      <c r="X88" s="100">
        <v>5.099940511600237</v>
      </c>
      <c r="Y88" s="100">
        <v>5061.180963712075</v>
      </c>
      <c r="Z88" s="100">
        <v>5</v>
      </c>
      <c r="AA88" s="100">
        <v>4962</v>
      </c>
      <c r="AB88" s="100">
        <v>5</v>
      </c>
      <c r="AC88" s="100">
        <v>4962</v>
      </c>
      <c r="AD88" s="100">
        <v>3.4986921204170449</v>
      </c>
      <c r="AE88" s="100">
        <v>3472.1020603018751</v>
      </c>
      <c r="AF88" s="100">
        <v>7</v>
      </c>
      <c r="AG88" s="100">
        <v>6946.8</v>
      </c>
      <c r="AH88" s="100">
        <v>7</v>
      </c>
      <c r="AI88" s="100">
        <v>6946.8</v>
      </c>
      <c r="AJ88" s="100">
        <v>5</v>
      </c>
      <c r="AK88" s="100">
        <v>4962</v>
      </c>
      <c r="AL88" s="100">
        <v>2.9852567778736345</v>
      </c>
      <c r="AM88" s="100">
        <v>2962.5688263617949</v>
      </c>
      <c r="AN88" s="100">
        <v>6</v>
      </c>
      <c r="AO88" s="100">
        <v>5954.4</v>
      </c>
      <c r="AP88" s="100">
        <v>4.195975009736661</v>
      </c>
      <c r="AQ88" s="100">
        <v>4164.0855996626624</v>
      </c>
      <c r="AR88" s="100">
        <v>8</v>
      </c>
      <c r="AS88" s="100">
        <v>7939.2</v>
      </c>
      <c r="AT88" s="100">
        <v>4.2084912190636592</v>
      </c>
      <c r="AU88" s="100">
        <v>4176.5066857987749</v>
      </c>
      <c r="AV88" s="100">
        <v>8.621941879847725</v>
      </c>
      <c r="AW88" s="100">
        <v>8556.4151215608817</v>
      </c>
      <c r="AX88" s="100">
        <v>3.7778692152763456</v>
      </c>
      <c r="AY88" s="100">
        <v>3749.1574092402452</v>
      </c>
      <c r="AZ88" s="100">
        <v>4.1880767235189342</v>
      </c>
      <c r="BA88" s="100">
        <v>4156.2473404201901</v>
      </c>
      <c r="BB88" s="100">
        <v>2.8009421811612505</v>
      </c>
      <c r="BC88" s="100">
        <v>2779.6550205844251</v>
      </c>
      <c r="BD88" s="100">
        <v>6.5304242096650587</v>
      </c>
      <c r="BE88" s="100">
        <v>6480.7929856716037</v>
      </c>
      <c r="BF88" s="100">
        <v>2.7309918454907574</v>
      </c>
      <c r="BG88" s="100">
        <v>2710.2363074650275</v>
      </c>
      <c r="BH88" s="100">
        <v>7.7034905047434412</v>
      </c>
      <c r="BI88" s="100">
        <v>7644.9439769073906</v>
      </c>
      <c r="BJ88" s="100">
        <v>6.7509915201126969</v>
      </c>
      <c r="BK88" s="100">
        <v>6699.6839845598406</v>
      </c>
      <c r="BL88" s="100">
        <v>5.8562736512987055</v>
      </c>
      <c r="BM88" s="100">
        <v>5811.7659715488353</v>
      </c>
      <c r="BN88" s="100">
        <v>4.2117570248912362</v>
      </c>
      <c r="BO88" s="100">
        <v>4179.747671502063</v>
      </c>
      <c r="BP88" s="100">
        <v>6.9260364084489368</v>
      </c>
      <c r="BQ88" s="100">
        <v>6873.398531744725</v>
      </c>
      <c r="BR88" s="100">
        <v>4.7540218309012348</v>
      </c>
      <c r="BS88" s="100">
        <v>4717.8912649863851</v>
      </c>
      <c r="BT88" s="100">
        <v>5.973138821017292</v>
      </c>
      <c r="BU88" s="100">
        <v>5927.7429659775607</v>
      </c>
      <c r="BV88" s="100">
        <v>2.443832662309176</v>
      </c>
      <c r="BW88" s="100">
        <v>2425.2595340756261</v>
      </c>
      <c r="BX88" s="100">
        <v>2.2547332220195853</v>
      </c>
      <c r="BY88" s="100">
        <v>2237.5972495322362</v>
      </c>
      <c r="BZ88" s="100">
        <v>3.575002559076613</v>
      </c>
      <c r="CA88" s="100">
        <v>3547.8325396276305</v>
      </c>
      <c r="CB88" s="100">
        <v>5.262837371311341</v>
      </c>
      <c r="CC88" s="100">
        <v>5222.8398072893751</v>
      </c>
      <c r="CD88" s="100">
        <v>8.736204447019448</v>
      </c>
      <c r="CE88" s="100">
        <v>8669.8092932221007</v>
      </c>
      <c r="CF88" s="100">
        <v>9.6378677467769656</v>
      </c>
      <c r="CG88" s="100">
        <v>9564.6199519014608</v>
      </c>
      <c r="CH88" s="100">
        <v>7.3142857142857167</v>
      </c>
      <c r="CI88" s="100">
        <v>7258.6971428571451</v>
      </c>
      <c r="CJ88" s="100">
        <v>5.4187284553952368</v>
      </c>
      <c r="CK88" s="100">
        <v>5377.5461191342329</v>
      </c>
      <c r="CL88" s="100">
        <v>6.0681617119425493</v>
      </c>
      <c r="CM88" s="100">
        <v>6022.043682931786</v>
      </c>
      <c r="CN88" s="100">
        <v>4.4192746427156218</v>
      </c>
      <c r="CO88" s="100">
        <v>4385.688155430983</v>
      </c>
      <c r="CP88" s="100">
        <v>6.2688134268382125</v>
      </c>
      <c r="CQ88" s="100">
        <v>6221.170444794242</v>
      </c>
      <c r="CR88" s="100">
        <v>8.9408375178476334</v>
      </c>
      <c r="CS88" s="100">
        <v>8872.8871527119918</v>
      </c>
      <c r="CT88" s="100">
        <v>5.111965618640844</v>
      </c>
      <c r="CU88" s="100">
        <v>5073.1146799391736</v>
      </c>
    </row>
    <row r="89" spans="2:99">
      <c r="C89" s="99" t="s">
        <v>255</v>
      </c>
      <c r="D89" s="100">
        <v>5.05246913580247</v>
      </c>
      <c r="E89" s="100">
        <v>5365.7222222222235</v>
      </c>
      <c r="F89" s="100">
        <v>0.55043641606405669</v>
      </c>
      <c r="G89" s="100">
        <v>584.56347386002824</v>
      </c>
      <c r="H89" s="100">
        <v>7.331665905853872</v>
      </c>
      <c r="I89" s="100">
        <v>7786.2291920168118</v>
      </c>
      <c r="J89" s="100">
        <v>5</v>
      </c>
      <c r="K89" s="100">
        <v>5310</v>
      </c>
      <c r="L89" s="100">
        <v>4.5906153043405613</v>
      </c>
      <c r="M89" s="100">
        <v>4875.2334532096766</v>
      </c>
      <c r="N89" s="100">
        <v>4.3538137902735707</v>
      </c>
      <c r="O89" s="100">
        <v>4623.7502452705321</v>
      </c>
      <c r="P89" s="100">
        <v>8</v>
      </c>
      <c r="Q89" s="100">
        <v>8496</v>
      </c>
      <c r="R89" s="100">
        <v>2.3213099342282777</v>
      </c>
      <c r="S89" s="100">
        <v>2465.2311501504309</v>
      </c>
      <c r="T89" s="100">
        <v>3.974839926685398</v>
      </c>
      <c r="U89" s="100">
        <v>4221.2800021398925</v>
      </c>
      <c r="V89" s="100">
        <v>4.6408471757696255</v>
      </c>
      <c r="W89" s="100">
        <v>4928.579700667342</v>
      </c>
      <c r="X89" s="100">
        <v>6.099940511600237</v>
      </c>
      <c r="Y89" s="100">
        <v>6478.1368233194517</v>
      </c>
      <c r="Z89" s="100">
        <v>6</v>
      </c>
      <c r="AA89" s="100">
        <v>6372</v>
      </c>
      <c r="AB89" s="100">
        <v>5</v>
      </c>
      <c r="AC89" s="100">
        <v>5310</v>
      </c>
      <c r="AD89" s="100">
        <v>2.9988789603574673</v>
      </c>
      <c r="AE89" s="100">
        <v>3184.8094558996304</v>
      </c>
      <c r="AF89" s="100">
        <v>7</v>
      </c>
      <c r="AG89" s="100">
        <v>7434</v>
      </c>
      <c r="AH89" s="100">
        <v>6</v>
      </c>
      <c r="AI89" s="100">
        <v>6372</v>
      </c>
      <c r="AJ89" s="100">
        <v>4</v>
      </c>
      <c r="AK89" s="100">
        <v>4248</v>
      </c>
      <c r="AL89" s="100">
        <v>2.9852567778736345</v>
      </c>
      <c r="AM89" s="100">
        <v>3170.3426981017997</v>
      </c>
      <c r="AN89" s="100">
        <v>6</v>
      </c>
      <c r="AO89" s="100">
        <v>6372</v>
      </c>
      <c r="AP89" s="100">
        <v>4.195975009736661</v>
      </c>
      <c r="AQ89" s="100">
        <v>4456.125460340334</v>
      </c>
      <c r="AR89" s="100">
        <v>8</v>
      </c>
      <c r="AS89" s="100">
        <v>8496</v>
      </c>
      <c r="AT89" s="100">
        <v>4.1880566945499513</v>
      </c>
      <c r="AU89" s="100">
        <v>4447.7162096120483</v>
      </c>
      <c r="AV89" s="100">
        <v>8.621941879847725</v>
      </c>
      <c r="AW89" s="100">
        <v>9156.5022763982834</v>
      </c>
      <c r="AX89" s="100">
        <v>3.0222953722210764</v>
      </c>
      <c r="AY89" s="100">
        <v>3209.6776852987832</v>
      </c>
      <c r="AZ89" s="100">
        <v>4.1880767235189342</v>
      </c>
      <c r="BA89" s="100">
        <v>4447.7374803771081</v>
      </c>
      <c r="BB89" s="100">
        <v>2.8009421811612505</v>
      </c>
      <c r="BC89" s="100">
        <v>2974.600596393248</v>
      </c>
      <c r="BD89" s="100">
        <v>5.8558416426679463</v>
      </c>
      <c r="BE89" s="100">
        <v>6218.9038245133588</v>
      </c>
      <c r="BF89" s="100">
        <v>2.1897219218690829</v>
      </c>
      <c r="BG89" s="100">
        <v>2325.484681024966</v>
      </c>
      <c r="BH89" s="100">
        <v>7.7034905047434412</v>
      </c>
      <c r="BI89" s="100">
        <v>8181.1069160375346</v>
      </c>
      <c r="BJ89" s="100">
        <v>6.7509915201126969</v>
      </c>
      <c r="BK89" s="100">
        <v>7169.5529943596839</v>
      </c>
      <c r="BL89" s="100">
        <v>5.094838888961017</v>
      </c>
      <c r="BM89" s="100">
        <v>5410.7189000766002</v>
      </c>
      <c r="BN89" s="100">
        <v>4.0595954250455266</v>
      </c>
      <c r="BO89" s="100">
        <v>4311.2903413983495</v>
      </c>
      <c r="BP89" s="100">
        <v>5.9260364084489368</v>
      </c>
      <c r="BQ89" s="100">
        <v>6293.4506657727707</v>
      </c>
      <c r="BR89" s="100">
        <v>4.7540218309012348</v>
      </c>
      <c r="BS89" s="100">
        <v>5048.7711844171117</v>
      </c>
      <c r="BT89" s="100">
        <v>5.973138821017292</v>
      </c>
      <c r="BU89" s="100">
        <v>6343.473427920364</v>
      </c>
      <c r="BV89" s="100">
        <v>2.425046680709285</v>
      </c>
      <c r="BW89" s="100">
        <v>2575.3995749132605</v>
      </c>
      <c r="BX89" s="100">
        <v>2.5644996601407204</v>
      </c>
      <c r="BY89" s="100">
        <v>2723.4986390694448</v>
      </c>
      <c r="BZ89" s="100">
        <v>3.6729961909105011</v>
      </c>
      <c r="CA89" s="100">
        <v>3900.7219547469522</v>
      </c>
      <c r="CB89" s="100">
        <v>4.6503761376331463</v>
      </c>
      <c r="CC89" s="100">
        <v>4938.6994581664012</v>
      </c>
      <c r="CD89" s="100">
        <v>7.7661511848111822</v>
      </c>
      <c r="CE89" s="100">
        <v>8247.6525582694758</v>
      </c>
      <c r="CF89" s="100">
        <v>8.6996959348490854</v>
      </c>
      <c r="CG89" s="100">
        <v>9239.0770828097284</v>
      </c>
      <c r="CH89" s="100">
        <v>8.2285714285714313</v>
      </c>
      <c r="CI89" s="100">
        <v>8738.7428571428609</v>
      </c>
      <c r="CJ89" s="100">
        <v>5.4187284553952368</v>
      </c>
      <c r="CK89" s="100">
        <v>5754.6896196297412</v>
      </c>
      <c r="CL89" s="100">
        <v>6.0833881370989173</v>
      </c>
      <c r="CM89" s="100">
        <v>6460.5582015990503</v>
      </c>
      <c r="CN89" s="100">
        <v>4.4534865720616308</v>
      </c>
      <c r="CO89" s="100">
        <v>4729.6027395294523</v>
      </c>
      <c r="CP89" s="100">
        <v>6.2656404993826236</v>
      </c>
      <c r="CQ89" s="100">
        <v>6654.1102103443463</v>
      </c>
      <c r="CR89" s="100">
        <v>7.9474111269756733</v>
      </c>
      <c r="CS89" s="100">
        <v>8440.1506168481646</v>
      </c>
      <c r="CT89" s="100">
        <v>4.5406235187763722</v>
      </c>
      <c r="CU89" s="100">
        <v>4822.1421769405069</v>
      </c>
    </row>
    <row r="90" spans="2:99">
      <c r="C90" s="99" t="s">
        <v>256</v>
      </c>
      <c r="D90" s="100">
        <v>5.05246913580247</v>
      </c>
      <c r="E90" s="100">
        <v>5602.1777777777788</v>
      </c>
      <c r="F90" s="100">
        <v>0.45999593482461254</v>
      </c>
      <c r="G90" s="100">
        <v>510.04349253353035</v>
      </c>
      <c r="H90" s="100">
        <v>7.331665905853872</v>
      </c>
      <c r="I90" s="100">
        <v>8129.351156410773</v>
      </c>
      <c r="J90" s="100">
        <v>4</v>
      </c>
      <c r="K90" s="100">
        <v>4435.2</v>
      </c>
      <c r="L90" s="100">
        <v>3.6724922434724494</v>
      </c>
      <c r="M90" s="100">
        <v>4072.0593995622517</v>
      </c>
      <c r="N90" s="100">
        <v>5.224576548328284</v>
      </c>
      <c r="O90" s="100">
        <v>5793.0104767864013</v>
      </c>
      <c r="P90" s="100">
        <v>7</v>
      </c>
      <c r="Q90" s="100">
        <v>7761.5999999999995</v>
      </c>
      <c r="R90" s="100">
        <v>2.3213099342282777</v>
      </c>
      <c r="S90" s="100">
        <v>2573.8684550723142</v>
      </c>
      <c r="T90" s="100">
        <v>3.974839926685398</v>
      </c>
      <c r="U90" s="100">
        <v>4407.3025107087688</v>
      </c>
      <c r="V90" s="100">
        <v>5.3040081756786277</v>
      </c>
      <c r="W90" s="100">
        <v>5881.0842651924622</v>
      </c>
      <c r="X90" s="100">
        <v>5.099940511600237</v>
      </c>
      <c r="Y90" s="100">
        <v>5654.8140392623427</v>
      </c>
      <c r="Z90" s="100">
        <v>6</v>
      </c>
      <c r="AA90" s="100">
        <v>6652.7999999999993</v>
      </c>
      <c r="AB90" s="100">
        <v>5</v>
      </c>
      <c r="AC90" s="100">
        <v>5544</v>
      </c>
      <c r="AD90" s="100">
        <v>3.4986921204170449</v>
      </c>
      <c r="AE90" s="100">
        <v>3879.3498231184194</v>
      </c>
      <c r="AF90" s="100">
        <v>8</v>
      </c>
      <c r="AG90" s="100">
        <v>8870.4</v>
      </c>
      <c r="AH90" s="100">
        <v>6</v>
      </c>
      <c r="AI90" s="100">
        <v>6652.7999999999993</v>
      </c>
      <c r="AJ90" s="100">
        <v>5</v>
      </c>
      <c r="AK90" s="100">
        <v>5544</v>
      </c>
      <c r="AL90" s="100">
        <v>2.9852567778736345</v>
      </c>
      <c r="AM90" s="100">
        <v>3310.0527153062858</v>
      </c>
      <c r="AN90" s="100">
        <v>5</v>
      </c>
      <c r="AO90" s="100">
        <v>5544</v>
      </c>
      <c r="AP90" s="100">
        <v>4.8953041780261053</v>
      </c>
      <c r="AQ90" s="100">
        <v>5427.913272595345</v>
      </c>
      <c r="AR90" s="100">
        <v>8</v>
      </c>
      <c r="AS90" s="100">
        <v>8870.4</v>
      </c>
      <c r="AT90" s="100">
        <v>4.762996765755708</v>
      </c>
      <c r="AU90" s="100">
        <v>5281.2108138699286</v>
      </c>
      <c r="AV90" s="100">
        <v>7.621941879847725</v>
      </c>
      <c r="AW90" s="100">
        <v>8451.2091563751565</v>
      </c>
      <c r="AX90" s="100">
        <v>3.0222953722210764</v>
      </c>
      <c r="AY90" s="100">
        <v>3351.1211087187294</v>
      </c>
      <c r="AZ90" s="100">
        <v>4.1880767235189342</v>
      </c>
      <c r="BA90" s="100">
        <v>4643.7394710377939</v>
      </c>
      <c r="BB90" s="100">
        <v>2.8009421811612505</v>
      </c>
      <c r="BC90" s="100">
        <v>3105.6846904715944</v>
      </c>
      <c r="BD90" s="100">
        <v>6.5304242096650587</v>
      </c>
      <c r="BE90" s="100">
        <v>7240.9343636766171</v>
      </c>
      <c r="BF90" s="100">
        <v>2.2143641492514683</v>
      </c>
      <c r="BG90" s="100">
        <v>2455.2869686900281</v>
      </c>
      <c r="BH90" s="100">
        <v>7.7034905047434412</v>
      </c>
      <c r="BI90" s="100">
        <v>8541.6302716595274</v>
      </c>
      <c r="BJ90" s="100">
        <v>5.9248858697038065</v>
      </c>
      <c r="BK90" s="100">
        <v>6569.5134523275801</v>
      </c>
      <c r="BL90" s="100">
        <v>5.8562736512987055</v>
      </c>
      <c r="BM90" s="100">
        <v>6493.4362245600041</v>
      </c>
      <c r="BN90" s="100">
        <v>4.7026121369011991</v>
      </c>
      <c r="BO90" s="100">
        <v>5214.2563373960493</v>
      </c>
      <c r="BP90" s="100">
        <v>6.9260364084489368</v>
      </c>
      <c r="BQ90" s="100">
        <v>7679.5891696881808</v>
      </c>
      <c r="BR90" s="100">
        <v>5.5463588027181077</v>
      </c>
      <c r="BS90" s="100">
        <v>6149.8026404538377</v>
      </c>
      <c r="BT90" s="100">
        <v>5.973138821017292</v>
      </c>
      <c r="BU90" s="100">
        <v>6623.0163247439732</v>
      </c>
      <c r="BV90" s="100">
        <v>1.9963952893671006</v>
      </c>
      <c r="BW90" s="100">
        <v>2213.6030968502409</v>
      </c>
      <c r="BX90" s="100">
        <v>2.2547332220195853</v>
      </c>
      <c r="BY90" s="100">
        <v>2500.0481965753161</v>
      </c>
      <c r="BZ90" s="100">
        <v>3.6686871659180098</v>
      </c>
      <c r="CA90" s="100">
        <v>4067.840329569889</v>
      </c>
      <c r="CB90" s="100">
        <v>5.1809229211409153</v>
      </c>
      <c r="CC90" s="100">
        <v>5744.6073349610469</v>
      </c>
      <c r="CD90" s="100">
        <v>7.8333586356608693</v>
      </c>
      <c r="CE90" s="100">
        <v>8685.6280552207718</v>
      </c>
      <c r="CF90" s="100">
        <v>8.6996959348490854</v>
      </c>
      <c r="CG90" s="100">
        <v>9646.2228525606661</v>
      </c>
      <c r="CH90" s="100">
        <v>7.3142857142857167</v>
      </c>
      <c r="CI90" s="100">
        <v>8110.0800000000027</v>
      </c>
      <c r="CJ90" s="100">
        <v>6.1928325204516996</v>
      </c>
      <c r="CK90" s="100">
        <v>6866.612698676844</v>
      </c>
      <c r="CL90" s="100">
        <v>5.0681617119425493</v>
      </c>
      <c r="CM90" s="100">
        <v>5619.5777062018988</v>
      </c>
      <c r="CN90" s="100">
        <v>4.4192746427156218</v>
      </c>
      <c r="CO90" s="100">
        <v>4900.0917238430811</v>
      </c>
      <c r="CP90" s="100">
        <v>6.2656404993826236</v>
      </c>
      <c r="CQ90" s="100">
        <v>6947.3421857154526</v>
      </c>
      <c r="CR90" s="100">
        <v>7.9474111269756733</v>
      </c>
      <c r="CS90" s="100">
        <v>8812.0894575906259</v>
      </c>
      <c r="CT90" s="100">
        <v>5.1699544207542445</v>
      </c>
      <c r="CU90" s="100">
        <v>5732.4454617323063</v>
      </c>
    </row>
    <row r="91" spans="2:99">
      <c r="C91" s="99" t="s">
        <v>257</v>
      </c>
      <c r="D91" s="100">
        <v>5.1009015722845188</v>
      </c>
      <c r="E91" s="100">
        <v>5796.6645467441267</v>
      </c>
      <c r="F91" s="100">
        <v>0.45999593482461254</v>
      </c>
      <c r="G91" s="100">
        <v>522.7393803346896</v>
      </c>
      <c r="H91" s="100">
        <v>7.331665905853872</v>
      </c>
      <c r="I91" s="100">
        <v>8331.7051354123396</v>
      </c>
      <c r="J91" s="100">
        <v>4</v>
      </c>
      <c r="K91" s="100">
        <v>4545.5999999999995</v>
      </c>
      <c r="L91" s="100">
        <v>4.5906153043405613</v>
      </c>
      <c r="M91" s="100">
        <v>5216.7752318526136</v>
      </c>
      <c r="N91" s="100">
        <v>4.3538137902735707</v>
      </c>
      <c r="O91" s="100">
        <v>4947.6739912668854</v>
      </c>
      <c r="P91" s="100">
        <v>7</v>
      </c>
      <c r="Q91" s="100">
        <v>7954.7999999999993</v>
      </c>
      <c r="R91" s="100">
        <v>2.3781336436620424</v>
      </c>
      <c r="S91" s="100">
        <v>2702.5110726575444</v>
      </c>
      <c r="T91" s="100">
        <v>4.7612562498295645</v>
      </c>
      <c r="U91" s="100">
        <v>5410.6916023063168</v>
      </c>
      <c r="V91" s="100">
        <v>4.6408471757696255</v>
      </c>
      <c r="W91" s="100">
        <v>5273.8587305446017</v>
      </c>
      <c r="X91" s="100">
        <v>5.099940511600237</v>
      </c>
      <c r="Y91" s="100">
        <v>5795.5723973825088</v>
      </c>
      <c r="Z91" s="100">
        <v>5</v>
      </c>
      <c r="AA91" s="100">
        <v>5681.9999999999991</v>
      </c>
      <c r="AB91" s="100">
        <v>5</v>
      </c>
      <c r="AC91" s="100">
        <v>5681.9999999999991</v>
      </c>
      <c r="AD91" s="100">
        <v>2.9988789603574673</v>
      </c>
      <c r="AE91" s="100">
        <v>3407.9260505502252</v>
      </c>
      <c r="AF91" s="100">
        <v>7</v>
      </c>
      <c r="AG91" s="100">
        <v>7954.7999999999993</v>
      </c>
      <c r="AH91" s="100">
        <v>6</v>
      </c>
      <c r="AI91" s="100">
        <v>6818.4</v>
      </c>
      <c r="AJ91" s="100">
        <v>5</v>
      </c>
      <c r="AK91" s="100">
        <v>5681.9999999999991</v>
      </c>
      <c r="AL91" s="100">
        <v>2.5957725466699464</v>
      </c>
      <c r="AM91" s="100">
        <v>2949.8359220357265</v>
      </c>
      <c r="AN91" s="100">
        <v>6</v>
      </c>
      <c r="AO91" s="100">
        <v>6818.4</v>
      </c>
      <c r="AP91" s="100">
        <v>4.8953041780261053</v>
      </c>
      <c r="AQ91" s="100">
        <v>5563.0236679088657</v>
      </c>
      <c r="AR91" s="100">
        <v>9</v>
      </c>
      <c r="AS91" s="100">
        <v>10227.599999999999</v>
      </c>
      <c r="AT91" s="100">
        <v>4.2084912190636592</v>
      </c>
      <c r="AU91" s="100">
        <v>4782.529421343942</v>
      </c>
      <c r="AV91" s="100">
        <v>8.621941879847725</v>
      </c>
      <c r="AW91" s="100">
        <v>9797.9747522589532</v>
      </c>
      <c r="AX91" s="100">
        <v>3.7778692152763456</v>
      </c>
      <c r="AY91" s="100">
        <v>4293.1705762400388</v>
      </c>
      <c r="AZ91" s="100">
        <v>4.1880767235189342</v>
      </c>
      <c r="BA91" s="100">
        <v>4759.3303886069161</v>
      </c>
      <c r="BB91" s="100">
        <v>2.8009421811612505</v>
      </c>
      <c r="BC91" s="100">
        <v>3182.9906946716446</v>
      </c>
      <c r="BD91" s="100">
        <v>5.8558416426679463</v>
      </c>
      <c r="BE91" s="100">
        <v>6654.5784427278531</v>
      </c>
      <c r="BF91" s="100">
        <v>2.7309918454907574</v>
      </c>
      <c r="BG91" s="100">
        <v>3103.4991332156965</v>
      </c>
      <c r="BH91" s="100">
        <v>8.5046517563544768</v>
      </c>
      <c r="BI91" s="100">
        <v>9664.6862559212259</v>
      </c>
      <c r="BJ91" s="100">
        <v>6.7509915201126969</v>
      </c>
      <c r="BK91" s="100">
        <v>7671.826763456068</v>
      </c>
      <c r="BL91" s="100">
        <v>5.094838888961017</v>
      </c>
      <c r="BM91" s="100">
        <v>5789.7749134152991</v>
      </c>
      <c r="BN91" s="100">
        <v>4.8226231227689809</v>
      </c>
      <c r="BO91" s="100">
        <v>5480.428916714669</v>
      </c>
      <c r="BP91" s="100">
        <v>6.0803758098570935</v>
      </c>
      <c r="BQ91" s="100">
        <v>6909.7390703216006</v>
      </c>
      <c r="BR91" s="100">
        <v>4.7540218309012348</v>
      </c>
      <c r="BS91" s="100">
        <v>5402.4704086361626</v>
      </c>
      <c r="BT91" s="100">
        <v>5.1198332751576787</v>
      </c>
      <c r="BU91" s="100">
        <v>5818.178533889185</v>
      </c>
      <c r="BV91" s="100">
        <v>2.425046680709285</v>
      </c>
      <c r="BW91" s="100">
        <v>2755.8230479580311</v>
      </c>
      <c r="BX91" s="100">
        <v>2.269127914548192</v>
      </c>
      <c r="BY91" s="100">
        <v>2578.6369620925652</v>
      </c>
      <c r="BZ91" s="100">
        <v>3.0525420909350736</v>
      </c>
      <c r="CA91" s="100">
        <v>3468.9088321386171</v>
      </c>
      <c r="CB91" s="100">
        <v>4.2017438042958029</v>
      </c>
      <c r="CC91" s="100">
        <v>4774.8616592017497</v>
      </c>
      <c r="CD91" s="100">
        <v>7.6035214599189604</v>
      </c>
      <c r="CE91" s="100">
        <v>8640.6417870519053</v>
      </c>
      <c r="CF91" s="100">
        <v>8.6799921173492276</v>
      </c>
      <c r="CG91" s="100">
        <v>9863.9430421556608</v>
      </c>
      <c r="CH91" s="100">
        <v>7.3142857142857167</v>
      </c>
      <c r="CI91" s="100">
        <v>8311.9542857142878</v>
      </c>
      <c r="CJ91" s="100">
        <v>5.4187284553952368</v>
      </c>
      <c r="CK91" s="100">
        <v>6157.8430167111464</v>
      </c>
      <c r="CL91" s="100">
        <v>6.0609057006254723</v>
      </c>
      <c r="CM91" s="100">
        <v>6887.6132381907855</v>
      </c>
      <c r="CN91" s="100">
        <v>4.4192746427156218</v>
      </c>
      <c r="CO91" s="100">
        <v>5022.0637039820322</v>
      </c>
      <c r="CP91" s="100">
        <v>6.1182971029094215</v>
      </c>
      <c r="CQ91" s="100">
        <v>6952.832827746266</v>
      </c>
      <c r="CR91" s="100">
        <v>7.9474111269756733</v>
      </c>
      <c r="CS91" s="100">
        <v>9031.4380046951537</v>
      </c>
      <c r="CT91" s="100">
        <v>4.5309587184241398</v>
      </c>
      <c r="CU91" s="100">
        <v>5148.9814876171922</v>
      </c>
    </row>
    <row r="92" spans="2:99">
      <c r="C92" s="99" t="s">
        <v>258</v>
      </c>
      <c r="D92" s="100">
        <v>5.1006409635441914</v>
      </c>
      <c r="E92" s="100">
        <v>4002.983028189481</v>
      </c>
      <c r="F92" s="100">
        <v>0.45999593482461254</v>
      </c>
      <c r="G92" s="100">
        <v>361.00480965035592</v>
      </c>
      <c r="H92" s="100">
        <v>7.3869435568295172</v>
      </c>
      <c r="I92" s="100">
        <v>5797.2733033998047</v>
      </c>
      <c r="J92" s="100">
        <v>4</v>
      </c>
      <c r="K92" s="100">
        <v>3139.2</v>
      </c>
      <c r="L92" s="100">
        <v>4.5906153043405613</v>
      </c>
      <c r="M92" s="100">
        <v>3602.7148908464724</v>
      </c>
      <c r="N92" s="100">
        <v>5.224576548328284</v>
      </c>
      <c r="O92" s="100">
        <v>4100.2476751280374</v>
      </c>
      <c r="P92" s="100">
        <v>7</v>
      </c>
      <c r="Q92" s="100">
        <v>5493.5999999999995</v>
      </c>
      <c r="R92" s="100">
        <v>2.3781336436620424</v>
      </c>
      <c r="S92" s="100">
        <v>1866.3592835459708</v>
      </c>
      <c r="T92" s="100">
        <v>4.8118237398720689</v>
      </c>
      <c r="U92" s="100">
        <v>3776.3192710515996</v>
      </c>
      <c r="V92" s="100">
        <v>5.4144283570306788</v>
      </c>
      <c r="W92" s="100">
        <v>4249.2433745976768</v>
      </c>
      <c r="X92" s="100">
        <v>5.099940511600237</v>
      </c>
      <c r="Y92" s="100">
        <v>4002.433313503866</v>
      </c>
      <c r="Z92" s="100">
        <v>6</v>
      </c>
      <c r="AA92" s="100">
        <v>4708.7999999999993</v>
      </c>
      <c r="AB92" s="100">
        <v>5</v>
      </c>
      <c r="AC92" s="100">
        <v>3924</v>
      </c>
      <c r="AD92" s="100">
        <v>3.4986921204170449</v>
      </c>
      <c r="AE92" s="100">
        <v>2745.7735761032968</v>
      </c>
      <c r="AF92" s="100">
        <v>8</v>
      </c>
      <c r="AG92" s="100">
        <v>6278.4</v>
      </c>
      <c r="AH92" s="100">
        <v>7</v>
      </c>
      <c r="AI92" s="100">
        <v>5493.5999999999995</v>
      </c>
      <c r="AJ92" s="100">
        <v>4</v>
      </c>
      <c r="AK92" s="100">
        <v>3139.2</v>
      </c>
      <c r="AL92" s="100">
        <v>2.5795933492044578</v>
      </c>
      <c r="AM92" s="100">
        <v>2024.4648604556585</v>
      </c>
      <c r="AN92" s="100">
        <v>6</v>
      </c>
      <c r="AO92" s="100">
        <v>4708.7999999999993</v>
      </c>
      <c r="AP92" s="100">
        <v>4.195975009736661</v>
      </c>
      <c r="AQ92" s="100">
        <v>3293.0011876413314</v>
      </c>
      <c r="AR92" s="100">
        <v>8</v>
      </c>
      <c r="AS92" s="100">
        <v>6278.4</v>
      </c>
      <c r="AT92" s="100">
        <v>4.7834312902694158</v>
      </c>
      <c r="AU92" s="100">
        <v>3754.0368766034371</v>
      </c>
      <c r="AV92" s="100">
        <v>9.621941879847725</v>
      </c>
      <c r="AW92" s="100">
        <v>7551.2999873044937</v>
      </c>
      <c r="AX92" s="100">
        <v>3.0222953722210764</v>
      </c>
      <c r="AY92" s="100">
        <v>2371.8974081191004</v>
      </c>
      <c r="AZ92" s="100">
        <v>5.1565770791641583</v>
      </c>
      <c r="BA92" s="100">
        <v>4046.881691728031</v>
      </c>
      <c r="BB92" s="100">
        <v>2.4543797179631781</v>
      </c>
      <c r="BC92" s="100">
        <v>1926.197202657502</v>
      </c>
      <c r="BD92" s="100">
        <v>6.5304242096650587</v>
      </c>
      <c r="BE92" s="100">
        <v>5125.0769197451382</v>
      </c>
      <c r="BF92" s="100">
        <v>2.2143641492514683</v>
      </c>
      <c r="BG92" s="100">
        <v>1737.8329843325523</v>
      </c>
      <c r="BH92" s="100">
        <v>8.6543204523163482</v>
      </c>
      <c r="BI92" s="100">
        <v>6791.9106909778693</v>
      </c>
      <c r="BJ92" s="100">
        <v>6.7864216278938585</v>
      </c>
      <c r="BK92" s="100">
        <v>5325.9836935711</v>
      </c>
      <c r="BL92" s="100">
        <v>5.1875025199009626</v>
      </c>
      <c r="BM92" s="100">
        <v>4071.1519776182754</v>
      </c>
      <c r="BN92" s="100">
        <v>4.2117570248912362</v>
      </c>
      <c r="BO92" s="100">
        <v>3305.3869131346419</v>
      </c>
      <c r="BP92" s="100">
        <v>6.9260364084489368</v>
      </c>
      <c r="BQ92" s="100">
        <v>5435.5533733507255</v>
      </c>
      <c r="BR92" s="100">
        <v>5.5463588027181077</v>
      </c>
      <c r="BS92" s="100">
        <v>4352.7823883731708</v>
      </c>
      <c r="BT92" s="100">
        <v>5.973138821017292</v>
      </c>
      <c r="BU92" s="100">
        <v>4687.7193467343704</v>
      </c>
      <c r="BV92" s="100">
        <v>1.9963952893671006</v>
      </c>
      <c r="BW92" s="100">
        <v>1566.7710230953005</v>
      </c>
      <c r="BX92" s="100">
        <v>2.5644996601407204</v>
      </c>
      <c r="BY92" s="100">
        <v>2012.6193332784374</v>
      </c>
      <c r="BZ92" s="100">
        <v>3.6686871659180098</v>
      </c>
      <c r="CA92" s="100">
        <v>2879.185687812454</v>
      </c>
      <c r="CB92" s="100">
        <v>4.7251498252412993</v>
      </c>
      <c r="CC92" s="100">
        <v>3708.2975828493713</v>
      </c>
      <c r="CD92" s="100">
        <v>7.7661511848111822</v>
      </c>
      <c r="CE92" s="100">
        <v>6094.8754498398157</v>
      </c>
      <c r="CF92" s="100">
        <v>8.6799921173492276</v>
      </c>
      <c r="CG92" s="100">
        <v>6812.0578136956738</v>
      </c>
      <c r="CH92" s="100">
        <v>8.2285714285714313</v>
      </c>
      <c r="CI92" s="100">
        <v>6457.782857142859</v>
      </c>
      <c r="CJ92" s="100">
        <v>6.1928325204516996</v>
      </c>
      <c r="CK92" s="100">
        <v>4860.1349620504934</v>
      </c>
      <c r="CL92" s="100">
        <v>6.0833881370989173</v>
      </c>
      <c r="CM92" s="100">
        <v>4774.2430099952298</v>
      </c>
      <c r="CN92" s="100">
        <v>5.1159064989312171</v>
      </c>
      <c r="CO92" s="100">
        <v>4014.9634203612191</v>
      </c>
      <c r="CP92" s="100">
        <v>6.2656404993826236</v>
      </c>
      <c r="CQ92" s="100">
        <v>4917.274663915483</v>
      </c>
      <c r="CR92" s="100">
        <v>7.9474111269756733</v>
      </c>
      <c r="CS92" s="100">
        <v>6237.1282524505077</v>
      </c>
      <c r="CT92" s="100">
        <v>5.111965618640844</v>
      </c>
      <c r="CU92" s="100">
        <v>4011.8706175093339</v>
      </c>
    </row>
    <row r="93" spans="2:99">
      <c r="C93" s="99" t="s">
        <v>259</v>
      </c>
      <c r="D93" s="100">
        <v>6.05246913580247</v>
      </c>
      <c r="E93" s="100">
        <v>4197.9925925925936</v>
      </c>
      <c r="F93" s="100">
        <v>0.45999593482461254</v>
      </c>
      <c r="G93" s="100">
        <v>319.05318039435127</v>
      </c>
      <c r="H93" s="100">
        <v>8.3316659058538711</v>
      </c>
      <c r="I93" s="100">
        <v>5778.8434723002456</v>
      </c>
      <c r="J93" s="100">
        <v>5</v>
      </c>
      <c r="K93" s="100">
        <v>3468</v>
      </c>
      <c r="L93" s="100">
        <v>4.5906153043405613</v>
      </c>
      <c r="M93" s="100">
        <v>3184.0507750906136</v>
      </c>
      <c r="N93" s="100">
        <v>5.224576548328284</v>
      </c>
      <c r="O93" s="100">
        <v>3623.7662939204979</v>
      </c>
      <c r="P93" s="100">
        <v>8</v>
      </c>
      <c r="Q93" s="100">
        <v>5548.8</v>
      </c>
      <c r="R93" s="100">
        <v>2.323856543797159</v>
      </c>
      <c r="S93" s="100">
        <v>1611.8268987777096</v>
      </c>
      <c r="T93" s="100">
        <v>4.8118237398720689</v>
      </c>
      <c r="U93" s="100">
        <v>3337.4809459752669</v>
      </c>
      <c r="V93" s="100">
        <v>4.6408471757696255</v>
      </c>
      <c r="W93" s="100">
        <v>3218.8916011138122</v>
      </c>
      <c r="X93" s="100">
        <v>6.099940511600237</v>
      </c>
      <c r="Y93" s="100">
        <v>4230.918738845925</v>
      </c>
      <c r="Z93" s="100">
        <v>5</v>
      </c>
      <c r="AA93" s="100">
        <v>3468</v>
      </c>
      <c r="AB93" s="100">
        <v>5</v>
      </c>
      <c r="AC93" s="100">
        <v>3468</v>
      </c>
      <c r="AD93" s="100">
        <v>2.9988789603574673</v>
      </c>
      <c r="AE93" s="100">
        <v>2080.0224469039395</v>
      </c>
      <c r="AF93" s="100">
        <v>8</v>
      </c>
      <c r="AG93" s="100">
        <v>5548.8</v>
      </c>
      <c r="AH93" s="100">
        <v>7</v>
      </c>
      <c r="AI93" s="100">
        <v>4855.2</v>
      </c>
      <c r="AJ93" s="100">
        <v>5</v>
      </c>
      <c r="AK93" s="100">
        <v>3468</v>
      </c>
      <c r="AL93" s="100">
        <v>2.5957725466699464</v>
      </c>
      <c r="AM93" s="100">
        <v>1800.4278383702749</v>
      </c>
      <c r="AN93" s="100">
        <v>6</v>
      </c>
      <c r="AO93" s="100">
        <v>4161.6000000000004</v>
      </c>
      <c r="AP93" s="100">
        <v>4.8953041780261053</v>
      </c>
      <c r="AQ93" s="100">
        <v>3395.3829778789068</v>
      </c>
      <c r="AR93" s="100">
        <v>9</v>
      </c>
      <c r="AS93" s="100">
        <v>6242.4000000000005</v>
      </c>
      <c r="AT93" s="100">
        <v>4.7834312902694158</v>
      </c>
      <c r="AU93" s="100">
        <v>3317.7879429308668</v>
      </c>
      <c r="AV93" s="100">
        <v>8.621941879847725</v>
      </c>
      <c r="AW93" s="100">
        <v>5980.178887862382</v>
      </c>
      <c r="AX93" s="100">
        <v>3.7778692152763456</v>
      </c>
      <c r="AY93" s="100">
        <v>2620.3300877156735</v>
      </c>
      <c r="AZ93" s="100">
        <v>4.1880767235189342</v>
      </c>
      <c r="BA93" s="100">
        <v>2904.850015432733</v>
      </c>
      <c r="BB93" s="100">
        <v>2.7867209433729148</v>
      </c>
      <c r="BC93" s="100">
        <v>1932.8696463234537</v>
      </c>
      <c r="BD93" s="100">
        <v>6.5304242096650587</v>
      </c>
      <c r="BE93" s="100">
        <v>4529.5022318236852</v>
      </c>
      <c r="BF93" s="100">
        <v>2.7063496181083724</v>
      </c>
      <c r="BG93" s="100">
        <v>1877.1240951199673</v>
      </c>
      <c r="BH93" s="100">
        <v>7.7034905047434412</v>
      </c>
      <c r="BI93" s="100">
        <v>5343.1410140900507</v>
      </c>
      <c r="BJ93" s="100">
        <v>6.7864216278938585</v>
      </c>
      <c r="BK93" s="100">
        <v>4707.0620411071804</v>
      </c>
      <c r="BL93" s="100">
        <v>5.7707410945949329</v>
      </c>
      <c r="BM93" s="100">
        <v>4002.5860232110458</v>
      </c>
      <c r="BN93" s="100">
        <v>4.2117570248912362</v>
      </c>
      <c r="BO93" s="100">
        <v>2921.2746724645617</v>
      </c>
      <c r="BP93" s="100">
        <v>6.0803758098570935</v>
      </c>
      <c r="BQ93" s="100">
        <v>4217.3486617168801</v>
      </c>
      <c r="BR93" s="100">
        <v>5.5463588027181077</v>
      </c>
      <c r="BS93" s="100">
        <v>3846.9544655652794</v>
      </c>
      <c r="BT93" s="100">
        <v>5.973138821017292</v>
      </c>
      <c r="BU93" s="100">
        <v>4142.9690862575935</v>
      </c>
      <c r="BV93" s="100">
        <v>2.443832662309176</v>
      </c>
      <c r="BW93" s="100">
        <v>1695.0423345776444</v>
      </c>
      <c r="BX93" s="100">
        <v>2.8742660982618555</v>
      </c>
      <c r="BY93" s="100">
        <v>1993.590965754423</v>
      </c>
      <c r="BZ93" s="100">
        <v>3.6686871659180098</v>
      </c>
      <c r="CA93" s="100">
        <v>2544.6014182807317</v>
      </c>
      <c r="CB93" s="100">
        <v>5.262837371311341</v>
      </c>
      <c r="CC93" s="100">
        <v>3650.3040007415461</v>
      </c>
      <c r="CD93" s="100">
        <v>7.7661511848111822</v>
      </c>
      <c r="CE93" s="100">
        <v>5386.6024617850362</v>
      </c>
      <c r="CF93" s="100">
        <v>9.6575715642768252</v>
      </c>
      <c r="CG93" s="100">
        <v>6698.4916369824059</v>
      </c>
      <c r="CH93" s="100">
        <v>7.3142857142857167</v>
      </c>
      <c r="CI93" s="100">
        <v>5073.1885714285736</v>
      </c>
      <c r="CJ93" s="100">
        <v>5.4187284553952368</v>
      </c>
      <c r="CK93" s="100">
        <v>3758.4300566621364</v>
      </c>
      <c r="CL93" s="100">
        <v>6.0840477744913786</v>
      </c>
      <c r="CM93" s="100">
        <v>4219.8955363872201</v>
      </c>
      <c r="CN93" s="100">
        <v>5.1159064989312171</v>
      </c>
      <c r="CO93" s="100">
        <v>3548.3927476586923</v>
      </c>
      <c r="CP93" s="100">
        <v>6.2656404993826236</v>
      </c>
      <c r="CQ93" s="100">
        <v>4345.8482503717878</v>
      </c>
      <c r="CR93" s="100">
        <v>8.9408375178476334</v>
      </c>
      <c r="CS93" s="100">
        <v>6201.3649023791186</v>
      </c>
      <c r="CT93" s="100">
        <v>5.111965618640844</v>
      </c>
      <c r="CU93" s="100">
        <v>3545.6593530892897</v>
      </c>
    </row>
    <row r="94" spans="2:99">
      <c r="C94" s="99" t="s">
        <v>260</v>
      </c>
      <c r="D94" s="100">
        <v>6.1009015722845188</v>
      </c>
      <c r="E94" s="100">
        <v>7277.1553954209739</v>
      </c>
      <c r="F94" s="100">
        <v>0.45999593482461254</v>
      </c>
      <c r="G94" s="100">
        <v>548.68315105879776</v>
      </c>
      <c r="H94" s="100">
        <v>7.331665905853872</v>
      </c>
      <c r="I94" s="100">
        <v>8745.211092502499</v>
      </c>
      <c r="J94" s="100">
        <v>4</v>
      </c>
      <c r="K94" s="100">
        <v>4771.2</v>
      </c>
      <c r="L94" s="100">
        <v>4.5906153043405613</v>
      </c>
      <c r="M94" s="100">
        <v>5475.6859350174209</v>
      </c>
      <c r="N94" s="100">
        <v>4.3538137902735707</v>
      </c>
      <c r="O94" s="100">
        <v>5193.2290890383147</v>
      </c>
      <c r="P94" s="100">
        <v>7</v>
      </c>
      <c r="Q94" s="100">
        <v>8349.6</v>
      </c>
      <c r="R94" s="100">
        <v>2.3755870340931611</v>
      </c>
      <c r="S94" s="100">
        <v>2833.6002142663224</v>
      </c>
      <c r="T94" s="100">
        <v>3.974839926685398</v>
      </c>
      <c r="U94" s="100">
        <v>4741.1890645503427</v>
      </c>
      <c r="V94" s="100">
        <v>4.5304269944175752</v>
      </c>
      <c r="W94" s="100">
        <v>5403.8933189412837</v>
      </c>
      <c r="X94" s="100">
        <v>6.099940511600237</v>
      </c>
      <c r="Y94" s="100">
        <v>7276.0090422367621</v>
      </c>
      <c r="Z94" s="100">
        <v>5</v>
      </c>
      <c r="AA94" s="100">
        <v>5964</v>
      </c>
      <c r="AB94" s="100">
        <v>5</v>
      </c>
      <c r="AC94" s="100">
        <v>5964</v>
      </c>
      <c r="AD94" s="100">
        <v>2.9988789603574673</v>
      </c>
      <c r="AE94" s="100">
        <v>3577.0628239143866</v>
      </c>
      <c r="AF94" s="100">
        <v>7</v>
      </c>
      <c r="AG94" s="100">
        <v>8349.6</v>
      </c>
      <c r="AH94" s="100">
        <v>6</v>
      </c>
      <c r="AI94" s="100">
        <v>7156.7999999999993</v>
      </c>
      <c r="AJ94" s="100">
        <v>5</v>
      </c>
      <c r="AK94" s="100">
        <v>5964</v>
      </c>
      <c r="AL94" s="100">
        <v>2.5957725466699464</v>
      </c>
      <c r="AM94" s="100">
        <v>3096.2374936679121</v>
      </c>
      <c r="AN94" s="100">
        <v>6</v>
      </c>
      <c r="AO94" s="100">
        <v>7156.7999999999993</v>
      </c>
      <c r="AP94" s="100">
        <v>4.195975009736661</v>
      </c>
      <c r="AQ94" s="100">
        <v>5004.9589916138893</v>
      </c>
      <c r="AR94" s="100">
        <v>8</v>
      </c>
      <c r="AS94" s="100">
        <v>9542.4</v>
      </c>
      <c r="AT94" s="100">
        <v>4.7834312902694158</v>
      </c>
      <c r="AU94" s="100">
        <v>5705.6768430333586</v>
      </c>
      <c r="AV94" s="100">
        <v>7.4664564098857937</v>
      </c>
      <c r="AW94" s="100">
        <v>8905.989205711774</v>
      </c>
      <c r="AX94" s="100">
        <v>3.7778692152763456</v>
      </c>
      <c r="AY94" s="100">
        <v>4506.2423999816247</v>
      </c>
      <c r="AZ94" s="100">
        <v>5.1565770791641583</v>
      </c>
      <c r="BA94" s="100">
        <v>6150.7651400270079</v>
      </c>
      <c r="BB94" s="100">
        <v>2.7867209433729148</v>
      </c>
      <c r="BC94" s="100">
        <v>3324.0007412552127</v>
      </c>
      <c r="BD94" s="100">
        <v>5.8558416426679463</v>
      </c>
      <c r="BE94" s="100">
        <v>6984.847911374326</v>
      </c>
      <c r="BF94" s="100">
        <v>2.7063496181083724</v>
      </c>
      <c r="BG94" s="100">
        <v>3228.1338244796666</v>
      </c>
      <c r="BH94" s="100">
        <v>8.6543204523163482</v>
      </c>
      <c r="BI94" s="100">
        <v>10322.873435522939</v>
      </c>
      <c r="BJ94" s="100">
        <v>6.7509915201126969</v>
      </c>
      <c r="BK94" s="100">
        <v>8052.5826851904249</v>
      </c>
      <c r="BL94" s="100">
        <v>5.8562736512987055</v>
      </c>
      <c r="BM94" s="100">
        <v>6985.3632112690957</v>
      </c>
      <c r="BN94" s="100">
        <v>4.243907638869163</v>
      </c>
      <c r="BO94" s="100">
        <v>5062.1330316431377</v>
      </c>
      <c r="BP94" s="100">
        <v>5.9260364084489368</v>
      </c>
      <c r="BQ94" s="100">
        <v>7068.5762279978917</v>
      </c>
      <c r="BR94" s="100">
        <v>5.5463588027181077</v>
      </c>
      <c r="BS94" s="100">
        <v>6615.6967798821588</v>
      </c>
      <c r="BT94" s="100">
        <v>5.973138821017292</v>
      </c>
      <c r="BU94" s="100">
        <v>7124.7599857094256</v>
      </c>
      <c r="BV94" s="100">
        <v>1.9963952893671006</v>
      </c>
      <c r="BW94" s="100">
        <v>2381.3003011570777</v>
      </c>
      <c r="BX94" s="100">
        <v>2.2547332220195853</v>
      </c>
      <c r="BY94" s="100">
        <v>2689.4457872249614</v>
      </c>
      <c r="BZ94" s="100">
        <v>3.6686871659180098</v>
      </c>
      <c r="CA94" s="100">
        <v>4376.0100515070017</v>
      </c>
      <c r="CB94" s="100">
        <v>4.6539465189142826</v>
      </c>
      <c r="CC94" s="100">
        <v>5551.2274077609563</v>
      </c>
      <c r="CD94" s="100">
        <v>7.7661511848111822</v>
      </c>
      <c r="CE94" s="100">
        <v>9263.4651332427784</v>
      </c>
      <c r="CF94" s="100">
        <v>7.7418203054213439</v>
      </c>
      <c r="CG94" s="100">
        <v>9234.4432603065779</v>
      </c>
      <c r="CH94" s="100">
        <v>8.2285714285714313</v>
      </c>
      <c r="CI94" s="100">
        <v>9815.0400000000027</v>
      </c>
      <c r="CJ94" s="100">
        <v>5.4187284553952368</v>
      </c>
      <c r="CK94" s="100">
        <v>6463.4593015954379</v>
      </c>
      <c r="CL94" s="100">
        <v>5.0833881370989173</v>
      </c>
      <c r="CM94" s="100">
        <v>6063.4653699315886</v>
      </c>
      <c r="CN94" s="100">
        <v>4.4192746427156218</v>
      </c>
      <c r="CO94" s="100">
        <v>5271.3107938311932</v>
      </c>
      <c r="CP94" s="100">
        <v>6.2656404993826236</v>
      </c>
      <c r="CQ94" s="100">
        <v>7473.6559876635929</v>
      </c>
      <c r="CR94" s="100">
        <v>8.9408375178476334</v>
      </c>
      <c r="CS94" s="100">
        <v>10664.630991288657</v>
      </c>
      <c r="CT94" s="100">
        <v>5.1699544207542445</v>
      </c>
      <c r="CU94" s="100">
        <v>6166.7216330756628</v>
      </c>
    </row>
    <row r="95" spans="2:99">
      <c r="B95" s="99" t="s">
        <v>132</v>
      </c>
      <c r="C95" s="99" t="s">
        <v>261</v>
      </c>
      <c r="D95" s="100">
        <v>7.1738413597244675</v>
      </c>
      <c r="E95" s="100">
        <v>2358.7590390774049</v>
      </c>
      <c r="F95" s="100">
        <v>0.91442506348680241</v>
      </c>
      <c r="G95" s="100">
        <v>300.66296087446062</v>
      </c>
      <c r="H95" s="100">
        <v>11.386943556829516</v>
      </c>
      <c r="I95" s="100">
        <v>3744.0270414855449</v>
      </c>
      <c r="J95" s="100">
        <v>10</v>
      </c>
      <c r="K95" s="100">
        <v>3288</v>
      </c>
      <c r="L95" s="100">
        <v>8.2631075478130107</v>
      </c>
      <c r="M95" s="100">
        <v>2716.9097617209181</v>
      </c>
      <c r="N95" s="100">
        <v>7.8368648224924264</v>
      </c>
      <c r="O95" s="100">
        <v>2576.7611536355098</v>
      </c>
      <c r="P95" s="100">
        <v>6</v>
      </c>
      <c r="Q95" s="100">
        <v>1972.8000000000002</v>
      </c>
      <c r="R95" s="100">
        <v>3.9416096765770163</v>
      </c>
      <c r="S95" s="100">
        <v>1296.0012616585229</v>
      </c>
      <c r="T95" s="100">
        <v>9.5353784277413123</v>
      </c>
      <c r="U95" s="100">
        <v>3135.2324270413437</v>
      </c>
      <c r="V95" s="100">
        <v>10.257370001807296</v>
      </c>
      <c r="W95" s="100">
        <v>3372.6232565942387</v>
      </c>
      <c r="X95" s="100">
        <v>8.0999405116002361</v>
      </c>
      <c r="Y95" s="100">
        <v>2663.2604402141578</v>
      </c>
      <c r="Z95" s="100">
        <v>12</v>
      </c>
      <c r="AA95" s="100">
        <v>3945.6000000000004</v>
      </c>
      <c r="AB95" s="100">
        <v>7</v>
      </c>
      <c r="AC95" s="100">
        <v>2301.6</v>
      </c>
      <c r="AD95" s="100">
        <v>5.1325910309886691</v>
      </c>
      <c r="AE95" s="100">
        <v>1687.5959309890745</v>
      </c>
      <c r="AF95" s="100">
        <v>11</v>
      </c>
      <c r="AG95" s="100">
        <v>3616.8</v>
      </c>
      <c r="AH95" s="100">
        <v>11</v>
      </c>
      <c r="AI95" s="100">
        <v>3616.8</v>
      </c>
      <c r="AJ95" s="100">
        <v>7.0404478733988185</v>
      </c>
      <c r="AK95" s="100">
        <v>2314.8992607735318</v>
      </c>
      <c r="AL95" s="100">
        <v>4.6402688874813194</v>
      </c>
      <c r="AM95" s="100">
        <v>1525.7204102038579</v>
      </c>
      <c r="AN95" s="100">
        <v>12</v>
      </c>
      <c r="AO95" s="100">
        <v>3945.6000000000004</v>
      </c>
      <c r="AP95" s="100">
        <v>4.8953041780261053</v>
      </c>
      <c r="AQ95" s="100">
        <v>1609.5760137349835</v>
      </c>
      <c r="AR95" s="100">
        <v>12</v>
      </c>
      <c r="AS95" s="100">
        <v>3945.6000000000004</v>
      </c>
      <c r="AT95" s="100">
        <v>4.5995205696460477</v>
      </c>
      <c r="AU95" s="100">
        <v>1512.3223632996205</v>
      </c>
      <c r="AV95" s="100">
        <v>13.554854699619312</v>
      </c>
      <c r="AW95" s="100">
        <v>4456.8362252348297</v>
      </c>
      <c r="AX95" s="100">
        <v>9.8224599597184987</v>
      </c>
      <c r="AY95" s="100">
        <v>3229.6248347554424</v>
      </c>
      <c r="AZ95" s="100">
        <v>7.298570547741658</v>
      </c>
      <c r="BA95" s="100">
        <v>2399.7699960974574</v>
      </c>
      <c r="BB95" s="100">
        <v>3.1332834065709876</v>
      </c>
      <c r="BC95" s="100">
        <v>1030.2235840805408</v>
      </c>
      <c r="BD95" s="100">
        <v>6.8748100396833456</v>
      </c>
      <c r="BE95" s="100">
        <v>2260.4375410478842</v>
      </c>
      <c r="BF95" s="100">
        <v>4.4287282985029366</v>
      </c>
      <c r="BG95" s="100">
        <v>1456.1658645477655</v>
      </c>
      <c r="BH95" s="100">
        <v>8.9536578442400891</v>
      </c>
      <c r="BI95" s="100">
        <v>2943.9626991861414</v>
      </c>
      <c r="BJ95" s="100">
        <v>8.270986662906175</v>
      </c>
      <c r="BK95" s="100">
        <v>2719.5004147635505</v>
      </c>
      <c r="BL95" s="100">
        <v>9.6313576289243716</v>
      </c>
      <c r="BM95" s="100">
        <v>3166.7903883903336</v>
      </c>
      <c r="BN95" s="100">
        <v>6.4301671185567253</v>
      </c>
      <c r="BO95" s="100">
        <v>2114.2389485814515</v>
      </c>
      <c r="BP95" s="100">
        <v>10.080375809857093</v>
      </c>
      <c r="BQ95" s="100">
        <v>3314.4275662810123</v>
      </c>
      <c r="BR95" s="100">
        <v>7.9233697181687255</v>
      </c>
      <c r="BS95" s="100">
        <v>2605.2039633338773</v>
      </c>
      <c r="BT95" s="100">
        <v>11.09297209617497</v>
      </c>
      <c r="BU95" s="100">
        <v>3647.36922522233</v>
      </c>
      <c r="BV95" s="100">
        <v>3.8237167443351834</v>
      </c>
      <c r="BW95" s="100">
        <v>1257.2380655374084</v>
      </c>
      <c r="BX95" s="100">
        <v>3.8899335677969002</v>
      </c>
      <c r="BY95" s="100">
        <v>1279.0101570916208</v>
      </c>
      <c r="BZ95" s="100">
        <v>8.2886106612777013</v>
      </c>
      <c r="CA95" s="100">
        <v>2725.2951854281082</v>
      </c>
      <c r="CB95" s="100">
        <v>5.5081331699243563</v>
      </c>
      <c r="CC95" s="100">
        <v>1811.0741862711284</v>
      </c>
      <c r="CD95" s="100">
        <v>8.8988341719116697</v>
      </c>
      <c r="CE95" s="100">
        <v>2925.9366757245571</v>
      </c>
      <c r="CF95" s="100">
        <v>10.694262463703991</v>
      </c>
      <c r="CG95" s="100">
        <v>3516.2734980658724</v>
      </c>
      <c r="CH95" s="100">
        <v>8.2285714285714313</v>
      </c>
      <c r="CI95" s="100">
        <v>2705.5542857142868</v>
      </c>
      <c r="CJ95" s="100">
        <v>10.063352845734013</v>
      </c>
      <c r="CK95" s="100">
        <v>3308.8304156773434</v>
      </c>
      <c r="CL95" s="100">
        <v>7.5198625828615668</v>
      </c>
      <c r="CM95" s="100">
        <v>2472.5308172448831</v>
      </c>
      <c r="CN95" s="100">
        <v>6.6802298580924457</v>
      </c>
      <c r="CO95" s="100">
        <v>2196.4595773407964</v>
      </c>
      <c r="CP95" s="100">
        <v>9.4451625639380232</v>
      </c>
      <c r="CQ95" s="100">
        <v>3105.5694510228222</v>
      </c>
      <c r="CR95" s="100">
        <v>10.927690299591552</v>
      </c>
      <c r="CS95" s="100">
        <v>3593.0245705057023</v>
      </c>
      <c r="CT95" s="100">
        <v>6.3899570233010552</v>
      </c>
      <c r="CU95" s="100">
        <v>2101.0178692613872</v>
      </c>
    </row>
    <row r="96" spans="2:99">
      <c r="C96" s="99" t="s">
        <v>262</v>
      </c>
      <c r="D96" s="100">
        <v>7.1738413597244675</v>
      </c>
      <c r="E96" s="100">
        <v>4984.38497673656</v>
      </c>
      <c r="F96" s="100">
        <v>1.0048655447262467</v>
      </c>
      <c r="G96" s="100">
        <v>698.18058047579609</v>
      </c>
      <c r="H96" s="100">
        <v>9.3316659058538711</v>
      </c>
      <c r="I96" s="100">
        <v>6483.6414713872691</v>
      </c>
      <c r="J96" s="100">
        <v>10</v>
      </c>
      <c r="K96" s="100">
        <v>6948</v>
      </c>
      <c r="L96" s="100">
        <v>7.3449844869448988</v>
      </c>
      <c r="M96" s="100">
        <v>5103.2952215293153</v>
      </c>
      <c r="N96" s="100">
        <v>6.9661020644377123</v>
      </c>
      <c r="O96" s="100">
        <v>4840.0477143713224</v>
      </c>
      <c r="P96" s="100">
        <v>7</v>
      </c>
      <c r="Q96" s="100">
        <v>4863.5999999999995</v>
      </c>
      <c r="R96" s="100">
        <v>3.7463076875678598</v>
      </c>
      <c r="S96" s="100">
        <v>2602.9345813221489</v>
      </c>
      <c r="T96" s="100">
        <v>10.316738001881228</v>
      </c>
      <c r="U96" s="100">
        <v>7168.0695637070767</v>
      </c>
      <c r="V96" s="100">
        <v>8.7102076392851906</v>
      </c>
      <c r="W96" s="100">
        <v>6051.8522677753499</v>
      </c>
      <c r="X96" s="100">
        <v>8.0999405116002361</v>
      </c>
      <c r="Y96" s="100">
        <v>5627.8386674598432</v>
      </c>
      <c r="Z96" s="100">
        <v>11</v>
      </c>
      <c r="AA96" s="100">
        <v>7642.7999999999993</v>
      </c>
      <c r="AB96" s="100">
        <v>7</v>
      </c>
      <c r="AC96" s="100">
        <v>4863.5999999999995</v>
      </c>
      <c r="AD96" s="100">
        <v>5.113382540932542</v>
      </c>
      <c r="AE96" s="100">
        <v>3552.77818943993</v>
      </c>
      <c r="AF96" s="100">
        <v>10</v>
      </c>
      <c r="AG96" s="100">
        <v>6948</v>
      </c>
      <c r="AH96" s="100">
        <v>11</v>
      </c>
      <c r="AI96" s="100">
        <v>7642.7999999999993</v>
      </c>
      <c r="AJ96" s="100">
        <v>8</v>
      </c>
      <c r="AK96" s="100">
        <v>5558.4</v>
      </c>
      <c r="AL96" s="100">
        <v>4.2184262613466537</v>
      </c>
      <c r="AM96" s="100">
        <v>2930.9625663836546</v>
      </c>
      <c r="AN96" s="100">
        <v>12</v>
      </c>
      <c r="AO96" s="100">
        <v>8337.5999999999985</v>
      </c>
      <c r="AP96" s="100">
        <v>5.5946333463155478</v>
      </c>
      <c r="AQ96" s="100">
        <v>3887.1512490200425</v>
      </c>
      <c r="AR96" s="100">
        <v>11</v>
      </c>
      <c r="AS96" s="100">
        <v>7642.7999999999993</v>
      </c>
      <c r="AT96" s="100">
        <v>5.1744606408518026</v>
      </c>
      <c r="AU96" s="100">
        <v>3595.215253263832</v>
      </c>
      <c r="AV96" s="100">
        <v>12.710340169581245</v>
      </c>
      <c r="AW96" s="100">
        <v>8831.1443498250483</v>
      </c>
      <c r="AX96" s="100">
        <v>9.0668861166632304</v>
      </c>
      <c r="AY96" s="100">
        <v>6299.6724738576122</v>
      </c>
      <c r="AZ96" s="100">
        <v>6.3712935600386249</v>
      </c>
      <c r="BA96" s="100">
        <v>4426.774765514836</v>
      </c>
      <c r="BB96" s="100">
        <v>3.4656246319807242</v>
      </c>
      <c r="BC96" s="100">
        <v>2407.9159943002069</v>
      </c>
      <c r="BD96" s="100">
        <v>6.7600147630105827</v>
      </c>
      <c r="BE96" s="100">
        <v>4696.8582573397525</v>
      </c>
      <c r="BF96" s="100">
        <v>4.4287282985029366</v>
      </c>
      <c r="BG96" s="100">
        <v>3077.0804217998402</v>
      </c>
      <c r="BH96" s="100">
        <v>8.9536578442400891</v>
      </c>
      <c r="BI96" s="100">
        <v>6221.0014701780137</v>
      </c>
      <c r="BJ96" s="100">
        <v>9.3710821381786307</v>
      </c>
      <c r="BK96" s="100">
        <v>6511.0278696065125</v>
      </c>
      <c r="BL96" s="100">
        <v>9.0481190542304013</v>
      </c>
      <c r="BM96" s="100">
        <v>6286.6331188792828</v>
      </c>
      <c r="BN96" s="100">
        <v>5.7871504067010529</v>
      </c>
      <c r="BO96" s="100">
        <v>4020.9121025758914</v>
      </c>
      <c r="BP96" s="100">
        <v>9.9260364084489368</v>
      </c>
      <c r="BQ96" s="100">
        <v>6896.6100965903206</v>
      </c>
      <c r="BR96" s="100">
        <v>6.3386957745349806</v>
      </c>
      <c r="BS96" s="100">
        <v>4404.1258241469041</v>
      </c>
      <c r="BT96" s="100">
        <v>10.239666550315357</v>
      </c>
      <c r="BU96" s="100">
        <v>7114.5203191591099</v>
      </c>
      <c r="BV96" s="100">
        <v>3.7861447811354005</v>
      </c>
      <c r="BW96" s="100">
        <v>2630.6133939328761</v>
      </c>
      <c r="BX96" s="100">
        <v>3.8611441827396873</v>
      </c>
      <c r="BY96" s="100">
        <v>2682.7229781675346</v>
      </c>
      <c r="BZ96" s="100">
        <v>7.0046122114019314</v>
      </c>
      <c r="CA96" s="100">
        <v>4866.8045644820613</v>
      </c>
      <c r="CB96" s="100">
        <v>4.9522532195607543</v>
      </c>
      <c r="CC96" s="100">
        <v>3440.825536950812</v>
      </c>
      <c r="CD96" s="100">
        <v>7.9287809097034048</v>
      </c>
      <c r="CE96" s="100">
        <v>5508.9169760619252</v>
      </c>
      <c r="CF96" s="100">
        <v>10.694262463703991</v>
      </c>
      <c r="CG96" s="100">
        <v>7430.3735597815321</v>
      </c>
      <c r="CH96" s="100">
        <v>7.3142857142857167</v>
      </c>
      <c r="CI96" s="100">
        <v>5081.9657142857159</v>
      </c>
      <c r="CJ96" s="100">
        <v>9.2892487806775499</v>
      </c>
      <c r="CK96" s="100">
        <v>6454.1700528147612</v>
      </c>
      <c r="CL96" s="100">
        <v>7.1218114012509455</v>
      </c>
      <c r="CM96" s="100">
        <v>4948.2345615891563</v>
      </c>
      <c r="CN96" s="100">
        <v>5.9835980018768504</v>
      </c>
      <c r="CO96" s="100">
        <v>4157.4038917040352</v>
      </c>
      <c r="CP96" s="100">
        <v>9.2946462400092322</v>
      </c>
      <c r="CQ96" s="100">
        <v>6457.9202075584144</v>
      </c>
      <c r="CR96" s="100">
        <v>10.927690299591552</v>
      </c>
      <c r="CS96" s="100">
        <v>7592.5592201562094</v>
      </c>
      <c r="CT96" s="100">
        <v>5.7509613209709487</v>
      </c>
      <c r="CU96" s="100">
        <v>3995.767925810615</v>
      </c>
    </row>
    <row r="97" spans="2:99">
      <c r="C97" s="99" t="s">
        <v>263</v>
      </c>
      <c r="D97" s="100">
        <v>7.1738413597244675</v>
      </c>
      <c r="E97" s="100">
        <v>2815.0153495558807</v>
      </c>
      <c r="F97" s="100">
        <v>0.91331170225431779</v>
      </c>
      <c r="G97" s="100">
        <v>358.38351196459428</v>
      </c>
      <c r="H97" s="100">
        <v>10.331665905853871</v>
      </c>
      <c r="I97" s="100">
        <v>4054.1457014570587</v>
      </c>
      <c r="J97" s="100">
        <v>9</v>
      </c>
      <c r="K97" s="100">
        <v>3531.6</v>
      </c>
      <c r="L97" s="100">
        <v>8.2631075478130107</v>
      </c>
      <c r="M97" s="100">
        <v>3242.443401761825</v>
      </c>
      <c r="N97" s="100">
        <v>7.8368648224924264</v>
      </c>
      <c r="O97" s="100">
        <v>3075.185756346028</v>
      </c>
      <c r="P97" s="100">
        <v>6</v>
      </c>
      <c r="Q97" s="100">
        <v>2354.3999999999996</v>
      </c>
      <c r="R97" s="100">
        <v>3.7463076875678598</v>
      </c>
      <c r="S97" s="100">
        <v>1470.0511366016281</v>
      </c>
      <c r="T97" s="100">
        <v>10.321794750885477</v>
      </c>
      <c r="U97" s="100">
        <v>4050.272260247461</v>
      </c>
      <c r="V97" s="100">
        <v>8.7325203776644802</v>
      </c>
      <c r="W97" s="100">
        <v>3426.6409961955419</v>
      </c>
      <c r="X97" s="100">
        <v>7.099940511600237</v>
      </c>
      <c r="Y97" s="100">
        <v>2786.0166567519327</v>
      </c>
      <c r="Z97" s="100">
        <v>12</v>
      </c>
      <c r="AA97" s="100">
        <v>4708.7999999999993</v>
      </c>
      <c r="AB97" s="100">
        <v>7</v>
      </c>
      <c r="AC97" s="100">
        <v>2746.7999999999997</v>
      </c>
      <c r="AD97" s="100">
        <v>5.113382540932542</v>
      </c>
      <c r="AE97" s="100">
        <v>2006.4913090619293</v>
      </c>
      <c r="AF97" s="100">
        <v>11</v>
      </c>
      <c r="AG97" s="100">
        <v>4316.3999999999996</v>
      </c>
      <c r="AH97" s="100">
        <v>10</v>
      </c>
      <c r="AI97" s="100">
        <v>3924</v>
      </c>
      <c r="AJ97" s="100">
        <v>7</v>
      </c>
      <c r="AK97" s="100">
        <v>2746.7999999999997</v>
      </c>
      <c r="AL97" s="100">
        <v>4.6240896900158299</v>
      </c>
      <c r="AM97" s="100">
        <v>1814.4927943622115</v>
      </c>
      <c r="AN97" s="100">
        <v>11</v>
      </c>
      <c r="AO97" s="100">
        <v>4316.3999999999996</v>
      </c>
      <c r="AP97" s="100">
        <v>5.5946333463155478</v>
      </c>
      <c r="AQ97" s="100">
        <v>2195.3341250942208</v>
      </c>
      <c r="AR97" s="100">
        <v>12</v>
      </c>
      <c r="AS97" s="100">
        <v>4708.7999999999993</v>
      </c>
      <c r="AT97" s="100">
        <v>5.1744606408518026</v>
      </c>
      <c r="AU97" s="100">
        <v>2030.4583554702472</v>
      </c>
      <c r="AV97" s="100">
        <v>12.554854699619312</v>
      </c>
      <c r="AW97" s="100">
        <v>4926.5249841306177</v>
      </c>
      <c r="AX97" s="100">
        <v>8.3113122736079603</v>
      </c>
      <c r="AY97" s="100">
        <v>3261.3589361637632</v>
      </c>
      <c r="AZ97" s="100">
        <v>6.4042227718428748</v>
      </c>
      <c r="BA97" s="100">
        <v>2513.0170156711438</v>
      </c>
      <c r="BB97" s="100">
        <v>3.161725882147659</v>
      </c>
      <c r="BC97" s="100">
        <v>1240.6612361547413</v>
      </c>
      <c r="BD97" s="100">
        <v>6.7600147630105827</v>
      </c>
      <c r="BE97" s="100">
        <v>2652.6297930053524</v>
      </c>
      <c r="BF97" s="100">
        <v>4.4287282985029366</v>
      </c>
      <c r="BG97" s="100">
        <v>1737.8329843325523</v>
      </c>
      <c r="BH97" s="100">
        <v>8.0028278966671831</v>
      </c>
      <c r="BI97" s="100">
        <v>3140.3096666522024</v>
      </c>
      <c r="BJ97" s="100">
        <v>8.5449764877697394</v>
      </c>
      <c r="BK97" s="100">
        <v>3353.0487738008455</v>
      </c>
      <c r="BL97" s="100">
        <v>9.7204557227462303</v>
      </c>
      <c r="BM97" s="100">
        <v>3814.3068256056204</v>
      </c>
      <c r="BN97" s="100">
        <v>6.6460549429021496</v>
      </c>
      <c r="BO97" s="100">
        <v>2607.9119595948032</v>
      </c>
      <c r="BP97" s="100">
        <v>10.080375809857093</v>
      </c>
      <c r="BQ97" s="100">
        <v>3955.5394677879231</v>
      </c>
      <c r="BR97" s="100">
        <v>7.1310327463518526</v>
      </c>
      <c r="BS97" s="100">
        <v>2798.2172496684666</v>
      </c>
      <c r="BT97" s="100">
        <v>9.3863610044557433</v>
      </c>
      <c r="BU97" s="100">
        <v>3683.2080581484333</v>
      </c>
      <c r="BV97" s="100">
        <v>3.8237167443351834</v>
      </c>
      <c r="BW97" s="100">
        <v>1500.4264504771259</v>
      </c>
      <c r="BX97" s="100">
        <v>3.8755388752682935</v>
      </c>
      <c r="BY97" s="100">
        <v>1520.7614546552784</v>
      </c>
      <c r="BZ97" s="100">
        <v>8.3305869682092002</v>
      </c>
      <c r="CA97" s="100">
        <v>3268.9223263252898</v>
      </c>
      <c r="CB97" s="100">
        <v>4.9775863864165872</v>
      </c>
      <c r="CC97" s="100">
        <v>1953.2048980298687</v>
      </c>
      <c r="CD97" s="100">
        <v>7.7661511848111822</v>
      </c>
      <c r="CE97" s="100">
        <v>3047.4377249199079</v>
      </c>
      <c r="CF97" s="100">
        <v>10.694262463703991</v>
      </c>
      <c r="CG97" s="100">
        <v>4196.4285907574458</v>
      </c>
      <c r="CH97" s="100">
        <v>8.2285714285714313</v>
      </c>
      <c r="CI97" s="100">
        <v>3228.8914285714295</v>
      </c>
      <c r="CJ97" s="100">
        <v>8.5151447156210871</v>
      </c>
      <c r="CK97" s="100">
        <v>3341.3427864097143</v>
      </c>
      <c r="CL97" s="100">
        <v>7.1065849760945774</v>
      </c>
      <c r="CM97" s="100">
        <v>2788.6239446195118</v>
      </c>
      <c r="CN97" s="100">
        <v>5.915174143184835</v>
      </c>
      <c r="CO97" s="100">
        <v>2321.1143337857293</v>
      </c>
      <c r="CP97" s="100">
        <v>10.210316459176754</v>
      </c>
      <c r="CQ97" s="100">
        <v>4006.528178580958</v>
      </c>
      <c r="CR97" s="100">
        <v>10.927690299591552</v>
      </c>
      <c r="CS97" s="100">
        <v>4288.025673559725</v>
      </c>
      <c r="CT97" s="100">
        <v>5.7509613209709487</v>
      </c>
      <c r="CU97" s="100">
        <v>2256.6772223490002</v>
      </c>
    </row>
    <row r="98" spans="2:99">
      <c r="C98" s="99" t="s">
        <v>264</v>
      </c>
      <c r="D98" s="100">
        <v>7.1738413597244675</v>
      </c>
      <c r="E98" s="100">
        <v>3770.5710186711804</v>
      </c>
      <c r="F98" s="100">
        <v>0.91442506348680241</v>
      </c>
      <c r="G98" s="100">
        <v>480.62181336866337</v>
      </c>
      <c r="H98" s="100">
        <v>11.331665905853871</v>
      </c>
      <c r="I98" s="100">
        <v>5955.9236001167947</v>
      </c>
      <c r="J98" s="100">
        <v>9</v>
      </c>
      <c r="K98" s="100">
        <v>4730.4000000000005</v>
      </c>
      <c r="L98" s="100">
        <v>8.2631075478130107</v>
      </c>
      <c r="M98" s="100">
        <v>4343.0893271305185</v>
      </c>
      <c r="N98" s="100">
        <v>6.9661020644377123</v>
      </c>
      <c r="O98" s="100">
        <v>3661.3832450684617</v>
      </c>
      <c r="P98" s="100">
        <v>6</v>
      </c>
      <c r="Q98" s="100">
        <v>3153.6000000000004</v>
      </c>
      <c r="R98" s="100">
        <v>3.7463076875678598</v>
      </c>
      <c r="S98" s="100">
        <v>1969.0593205856671</v>
      </c>
      <c r="T98" s="100">
        <v>10.321794750885477</v>
      </c>
      <c r="U98" s="100">
        <v>5425.135321065407</v>
      </c>
      <c r="V98" s="100">
        <v>10.279682740186585</v>
      </c>
      <c r="W98" s="100">
        <v>5403.0012482420698</v>
      </c>
      <c r="X98" s="100">
        <v>7.099940511600237</v>
      </c>
      <c r="Y98" s="100">
        <v>3731.7287328970847</v>
      </c>
      <c r="Z98" s="100">
        <v>11</v>
      </c>
      <c r="AA98" s="100">
        <v>5781.6</v>
      </c>
      <c r="AB98" s="100">
        <v>7</v>
      </c>
      <c r="AC98" s="100">
        <v>3679.2000000000003</v>
      </c>
      <c r="AD98" s="100">
        <v>5.113382540932542</v>
      </c>
      <c r="AE98" s="100">
        <v>2687.5938635141442</v>
      </c>
      <c r="AF98" s="100">
        <v>11</v>
      </c>
      <c r="AG98" s="100">
        <v>5781.6</v>
      </c>
      <c r="AH98" s="100">
        <v>11</v>
      </c>
      <c r="AI98" s="100">
        <v>5781.6</v>
      </c>
      <c r="AJ98" s="100">
        <v>7</v>
      </c>
      <c r="AK98" s="100">
        <v>3679.2000000000003</v>
      </c>
      <c r="AL98" s="100">
        <v>4.6402688874813194</v>
      </c>
      <c r="AM98" s="100">
        <v>2438.9253272601813</v>
      </c>
      <c r="AN98" s="100">
        <v>14</v>
      </c>
      <c r="AO98" s="100">
        <v>7358.4000000000005</v>
      </c>
      <c r="AP98" s="100">
        <v>5.5946333463155478</v>
      </c>
      <c r="AQ98" s="100">
        <v>2940.5392868234521</v>
      </c>
      <c r="AR98" s="100">
        <v>11</v>
      </c>
      <c r="AS98" s="100">
        <v>5781.6</v>
      </c>
      <c r="AT98" s="100">
        <v>5.1744606408518026</v>
      </c>
      <c r="AU98" s="100">
        <v>2719.6965128317074</v>
      </c>
      <c r="AV98" s="100">
        <v>13.554854699619312</v>
      </c>
      <c r="AW98" s="100">
        <v>7124.4316301199106</v>
      </c>
      <c r="AX98" s="100">
        <v>9.0668861166632304</v>
      </c>
      <c r="AY98" s="100">
        <v>4765.5553429181937</v>
      </c>
      <c r="AZ98" s="100">
        <v>6.330070192096434</v>
      </c>
      <c r="BA98" s="100">
        <v>3327.084892965886</v>
      </c>
      <c r="BB98" s="100">
        <v>3.1475046443593233</v>
      </c>
      <c r="BC98" s="100">
        <v>1654.3284410752603</v>
      </c>
      <c r="BD98" s="100">
        <v>7.5493926066804571</v>
      </c>
      <c r="BE98" s="100">
        <v>3967.9607540712486</v>
      </c>
      <c r="BF98" s="100">
        <v>4.4287282985029366</v>
      </c>
      <c r="BG98" s="100">
        <v>2327.7395936931434</v>
      </c>
      <c r="BH98" s="100">
        <v>8.1524965926290509</v>
      </c>
      <c r="BI98" s="100">
        <v>4284.9522090858291</v>
      </c>
      <c r="BJ98" s="100">
        <v>9.3710821381786307</v>
      </c>
      <c r="BK98" s="100">
        <v>4925.4407718266884</v>
      </c>
      <c r="BL98" s="100">
        <v>8.9590209604085409</v>
      </c>
      <c r="BM98" s="100">
        <v>4708.861416790729</v>
      </c>
      <c r="BN98" s="100">
        <v>6.6460549429021496</v>
      </c>
      <c r="BO98" s="100">
        <v>3493.1664779893699</v>
      </c>
      <c r="BP98" s="100">
        <v>10.080375809857093</v>
      </c>
      <c r="BQ98" s="100">
        <v>5298.2455256608882</v>
      </c>
      <c r="BR98" s="100">
        <v>7.1310327463518526</v>
      </c>
      <c r="BS98" s="100">
        <v>3748.0708114825338</v>
      </c>
      <c r="BT98" s="100">
        <v>9.3863610044557433</v>
      </c>
      <c r="BU98" s="100">
        <v>4933.4713439419393</v>
      </c>
      <c r="BV98" s="100">
        <v>3.3762793713931076</v>
      </c>
      <c r="BW98" s="100">
        <v>1774.5724376042174</v>
      </c>
      <c r="BX98" s="100">
        <v>3.5801671296757651</v>
      </c>
      <c r="BY98" s="100">
        <v>1881.7358433575823</v>
      </c>
      <c r="BZ98" s="100">
        <v>7.7144418932262644</v>
      </c>
      <c r="CA98" s="100">
        <v>4054.7106590797248</v>
      </c>
      <c r="CB98" s="100">
        <v>5.5081331699243563</v>
      </c>
      <c r="CC98" s="100">
        <v>2895.0747941122418</v>
      </c>
      <c r="CD98" s="100">
        <v>8.736204447019448</v>
      </c>
      <c r="CE98" s="100">
        <v>4591.7490573534224</v>
      </c>
      <c r="CF98" s="100">
        <v>10.694262463703991</v>
      </c>
      <c r="CG98" s="100">
        <v>5620.9043509228177</v>
      </c>
      <c r="CH98" s="100">
        <v>8.2285714285714313</v>
      </c>
      <c r="CI98" s="100">
        <v>4324.9371428571449</v>
      </c>
      <c r="CJ98" s="100">
        <v>8.5151447156210871</v>
      </c>
      <c r="CK98" s="100">
        <v>4475.5600625304432</v>
      </c>
      <c r="CL98" s="100">
        <v>7.5198625828615668</v>
      </c>
      <c r="CM98" s="100">
        <v>3952.4397735520397</v>
      </c>
      <c r="CN98" s="100">
        <v>5.2527542163152487</v>
      </c>
      <c r="CO98" s="100">
        <v>2760.8476160952951</v>
      </c>
      <c r="CP98" s="100">
        <v>10.360832783105545</v>
      </c>
      <c r="CQ98" s="100">
        <v>5445.6537108002749</v>
      </c>
      <c r="CR98" s="100">
        <v>10.927690299591552</v>
      </c>
      <c r="CS98" s="100">
        <v>5743.5940214653201</v>
      </c>
      <c r="CT98" s="100">
        <v>6.3899570233010552</v>
      </c>
      <c r="CU98" s="100">
        <v>3358.561411447035</v>
      </c>
    </row>
    <row r="99" spans="2:99">
      <c r="C99" s="99" t="s">
        <v>265</v>
      </c>
      <c r="D99" s="100">
        <v>5.1490068797638298</v>
      </c>
      <c r="E99" s="100">
        <v>21669.080552798099</v>
      </c>
      <c r="F99" s="100">
        <v>0.64199025853598535</v>
      </c>
      <c r="G99" s="100">
        <v>2701.7518040228406</v>
      </c>
      <c r="H99" s="100">
        <v>7.2763882548782259</v>
      </c>
      <c r="I99" s="100">
        <v>30621.952331829525</v>
      </c>
      <c r="J99" s="100">
        <v>7</v>
      </c>
      <c r="K99" s="100">
        <v>29458.799999999996</v>
      </c>
      <c r="L99" s="100">
        <v>5.5087383652086732</v>
      </c>
      <c r="M99" s="100">
        <v>23182.974536144178</v>
      </c>
      <c r="N99" s="100">
        <v>4.3538137902735707</v>
      </c>
      <c r="O99" s="100">
        <v>18322.589954987292</v>
      </c>
      <c r="P99" s="100">
        <v>4</v>
      </c>
      <c r="Q99" s="100">
        <v>16833.599999999999</v>
      </c>
      <c r="R99" s="100">
        <v>2.9137948681083357</v>
      </c>
      <c r="S99" s="100">
        <v>12262.414322947119</v>
      </c>
      <c r="T99" s="100">
        <v>7.814236511093025</v>
      </c>
      <c r="U99" s="100">
        <v>32885.432933283882</v>
      </c>
      <c r="V99" s="100">
        <v>6.3671513571227409</v>
      </c>
      <c r="W99" s="100">
        <v>26795.519771315339</v>
      </c>
      <c r="X99" s="100">
        <v>6.0832837596668634</v>
      </c>
      <c r="Y99" s="100">
        <v>25600.891374182025</v>
      </c>
      <c r="Z99" s="100">
        <v>8</v>
      </c>
      <c r="AA99" s="100">
        <v>33667.199999999997</v>
      </c>
      <c r="AB99" s="100">
        <v>5</v>
      </c>
      <c r="AC99" s="100">
        <v>21042</v>
      </c>
      <c r="AD99" s="100">
        <v>3.4986921204170449</v>
      </c>
      <c r="AE99" s="100">
        <v>14723.895919563091</v>
      </c>
      <c r="AF99" s="100">
        <v>8</v>
      </c>
      <c r="AG99" s="100">
        <v>33667.199999999997</v>
      </c>
      <c r="AH99" s="100">
        <v>8</v>
      </c>
      <c r="AI99" s="100">
        <v>33667.199999999997</v>
      </c>
      <c r="AJ99" s="100">
        <v>6</v>
      </c>
      <c r="AK99" s="100">
        <v>25250.399999999998</v>
      </c>
      <c r="AL99" s="100">
        <v>3.3909202065428117</v>
      </c>
      <c r="AM99" s="100">
        <v>14270.348597214768</v>
      </c>
      <c r="AN99" s="100">
        <v>9</v>
      </c>
      <c r="AO99" s="100">
        <v>37875.599999999999</v>
      </c>
      <c r="AP99" s="100">
        <v>3.4966458414472181</v>
      </c>
      <c r="AQ99" s="100">
        <v>14715.284359146472</v>
      </c>
      <c r="AR99" s="100">
        <v>9</v>
      </c>
      <c r="AS99" s="100">
        <v>37875.599999999999</v>
      </c>
      <c r="AT99" s="100">
        <v>4.0245804984402911</v>
      </c>
      <c r="AU99" s="100">
        <v>16937.04456963612</v>
      </c>
      <c r="AV99" s="100">
        <v>9.3993692296573812</v>
      </c>
      <c r="AW99" s="100">
        <v>39556.305466090118</v>
      </c>
      <c r="AX99" s="100">
        <v>6.0445907444421527</v>
      </c>
      <c r="AY99" s="100">
        <v>25438.055688910354</v>
      </c>
      <c r="AZ99" s="100">
        <v>5.2874172567047681</v>
      </c>
      <c r="BA99" s="100">
        <v>22251.566783116345</v>
      </c>
      <c r="BB99" s="100">
        <v>2.4686009557515138</v>
      </c>
      <c r="BC99" s="100">
        <v>10388.860262184669</v>
      </c>
      <c r="BD99" s="100">
        <v>5.2960543523435959</v>
      </c>
      <c r="BE99" s="100">
        <v>22287.915136402786</v>
      </c>
      <c r="BF99" s="100">
        <v>2.8295607550202981</v>
      </c>
      <c r="BG99" s="100">
        <v>11907.923481427422</v>
      </c>
      <c r="BH99" s="100">
        <v>6.9023292531324048</v>
      </c>
      <c r="BI99" s="100">
        <v>29047.762428882408</v>
      </c>
      <c r="BJ99" s="100">
        <v>6.8568559577392554</v>
      </c>
      <c r="BK99" s="100">
        <v>28856.39261254988</v>
      </c>
      <c r="BL99" s="100">
        <v>7.436151435733164</v>
      </c>
      <c r="BM99" s="100">
        <v>31294.299702139444</v>
      </c>
      <c r="BN99" s="100">
        <v>5.3240402151332331</v>
      </c>
      <c r="BO99" s="100">
        <v>22405.690841366697</v>
      </c>
      <c r="BP99" s="100">
        <v>7.7716970070407809</v>
      </c>
      <c r="BQ99" s="100">
        <v>32706.409684430419</v>
      </c>
      <c r="BR99" s="100">
        <v>5.5463588027181077</v>
      </c>
      <c r="BS99" s="100">
        <v>23341.296385358881</v>
      </c>
      <c r="BT99" s="100">
        <v>7.6797499127365176</v>
      </c>
      <c r="BU99" s="100">
        <v>32319.459532760357</v>
      </c>
      <c r="BV99" s="100">
        <v>2.425046680709285</v>
      </c>
      <c r="BW99" s="100">
        <v>10205.566451096955</v>
      </c>
      <c r="BX99" s="100">
        <v>2.6220784302551468</v>
      </c>
      <c r="BY99" s="100">
        <v>11034.75486588576</v>
      </c>
      <c r="BZ99" s="100">
        <v>6.2010979227362011</v>
      </c>
      <c r="CA99" s="100">
        <v>26096.700498043025</v>
      </c>
      <c r="CB99" s="100">
        <v>3.8658264856893827</v>
      </c>
      <c r="CC99" s="100">
        <v>16268.944182375197</v>
      </c>
      <c r="CD99" s="100">
        <v>5.8260446603946523</v>
      </c>
      <c r="CE99" s="100">
        <v>24518.326348804854</v>
      </c>
      <c r="CF99" s="100">
        <v>7.8009317579209148</v>
      </c>
      <c r="CG99" s="100">
        <v>32829.441210034376</v>
      </c>
      <c r="CH99" s="100">
        <v>5.4857142857142875</v>
      </c>
      <c r="CI99" s="100">
        <v>23086.080000000005</v>
      </c>
      <c r="CJ99" s="100">
        <v>6.1928325204516996</v>
      </c>
      <c r="CK99" s="100">
        <v>26061.916379068931</v>
      </c>
      <c r="CL99" s="100">
        <v>6.1065849760945774</v>
      </c>
      <c r="CM99" s="100">
        <v>25698.952213396416</v>
      </c>
      <c r="CN99" s="100">
        <v>4.487698501407638</v>
      </c>
      <c r="CO99" s="100">
        <v>18886.030373323902</v>
      </c>
      <c r="CP99" s="100">
        <v>6.5476355825066674</v>
      </c>
      <c r="CQ99" s="100">
        <v>27555.069585421057</v>
      </c>
      <c r="CR99" s="100">
        <v>7.9474111269756733</v>
      </c>
      <c r="CS99" s="100">
        <v>33445.884986764424</v>
      </c>
      <c r="CT99" s="100">
        <v>3.8339742139806323</v>
      </c>
      <c r="CU99" s="100">
        <v>16134.897082116091</v>
      </c>
    </row>
    <row r="100" spans="2:99">
      <c r="C100" s="99" t="s">
        <v>266</v>
      </c>
      <c r="D100" s="100">
        <v>7.1738413597244675</v>
      </c>
      <c r="E100" s="100">
        <v>2324.3246005507276</v>
      </c>
      <c r="F100" s="100">
        <v>0.91442506348680241</v>
      </c>
      <c r="G100" s="100">
        <v>296.27372056972399</v>
      </c>
      <c r="H100" s="100">
        <v>11.331665905853871</v>
      </c>
      <c r="I100" s="100">
        <v>3671.4597534966542</v>
      </c>
      <c r="J100" s="100">
        <v>8</v>
      </c>
      <c r="K100" s="100">
        <v>2592</v>
      </c>
      <c r="L100" s="100">
        <v>8.2631075478130107</v>
      </c>
      <c r="M100" s="100">
        <v>2677.2468454914156</v>
      </c>
      <c r="N100" s="100">
        <v>7.8368648224924264</v>
      </c>
      <c r="O100" s="100">
        <v>2539.144202487546</v>
      </c>
      <c r="P100" s="100">
        <v>6</v>
      </c>
      <c r="Q100" s="100">
        <v>1944</v>
      </c>
      <c r="R100" s="100">
        <v>3.922079477676101</v>
      </c>
      <c r="S100" s="100">
        <v>1270.7537507670568</v>
      </c>
      <c r="T100" s="100">
        <v>10.454933774232684</v>
      </c>
      <c r="U100" s="100">
        <v>3387.3985428513897</v>
      </c>
      <c r="V100" s="100">
        <v>10.308604780336944</v>
      </c>
      <c r="W100" s="100">
        <v>3339.9879488291699</v>
      </c>
      <c r="X100" s="100">
        <v>8.0999405116002361</v>
      </c>
      <c r="Y100" s="100">
        <v>2624.3807257584763</v>
      </c>
      <c r="Z100" s="100">
        <v>11</v>
      </c>
      <c r="AA100" s="100">
        <v>3564</v>
      </c>
      <c r="AB100" s="100">
        <v>7</v>
      </c>
      <c r="AC100" s="100">
        <v>2268</v>
      </c>
      <c r="AD100" s="100">
        <v>5.1325910309886691</v>
      </c>
      <c r="AE100" s="100">
        <v>1662.9594940403288</v>
      </c>
      <c r="AF100" s="100">
        <v>10</v>
      </c>
      <c r="AG100" s="100">
        <v>3240</v>
      </c>
      <c r="AH100" s="100">
        <v>11</v>
      </c>
      <c r="AI100" s="100">
        <v>3564</v>
      </c>
      <c r="AJ100" s="100">
        <v>7</v>
      </c>
      <c r="AK100" s="100">
        <v>2268</v>
      </c>
      <c r="AL100" s="100">
        <v>4.6240896900158299</v>
      </c>
      <c r="AM100" s="100">
        <v>1498.205059565129</v>
      </c>
      <c r="AN100" s="100">
        <v>12</v>
      </c>
      <c r="AO100" s="100">
        <v>3888</v>
      </c>
      <c r="AP100" s="100">
        <v>5.5946333463155478</v>
      </c>
      <c r="AQ100" s="100">
        <v>1812.6612042062375</v>
      </c>
      <c r="AR100" s="100">
        <v>12</v>
      </c>
      <c r="AS100" s="100">
        <v>3888</v>
      </c>
      <c r="AT100" s="100">
        <v>5.1744606408518026</v>
      </c>
      <c r="AU100" s="100">
        <v>1676.525247635984</v>
      </c>
      <c r="AV100" s="100">
        <v>12.554854699619312</v>
      </c>
      <c r="AW100" s="100">
        <v>4067.7729226766573</v>
      </c>
      <c r="AX100" s="100">
        <v>9.8224599597184987</v>
      </c>
      <c r="AY100" s="100">
        <v>3182.4770269487935</v>
      </c>
      <c r="AZ100" s="100">
        <v>7.298570547741658</v>
      </c>
      <c r="BA100" s="100">
        <v>2364.7368574682973</v>
      </c>
      <c r="BB100" s="100">
        <v>3.161725882147659</v>
      </c>
      <c r="BC100" s="100">
        <v>1024.3991858158415</v>
      </c>
      <c r="BD100" s="100">
        <v>6.7600147630105827</v>
      </c>
      <c r="BE100" s="100">
        <v>2190.2447832154289</v>
      </c>
      <c r="BF100" s="100">
        <v>3.9613850570284179</v>
      </c>
      <c r="BG100" s="100">
        <v>1283.4887584772075</v>
      </c>
      <c r="BH100" s="100">
        <v>9.1033265402019587</v>
      </c>
      <c r="BI100" s="100">
        <v>2949.4777990254347</v>
      </c>
      <c r="BJ100" s="100">
        <v>9.4060331245282516</v>
      </c>
      <c r="BK100" s="100">
        <v>3047.5547323471537</v>
      </c>
      <c r="BL100" s="100">
        <v>10.214596203618342</v>
      </c>
      <c r="BM100" s="100">
        <v>3309.529169972343</v>
      </c>
      <c r="BN100" s="100">
        <v>6.6460549429021496</v>
      </c>
      <c r="BO100" s="100">
        <v>2153.3218015002963</v>
      </c>
      <c r="BP100" s="100">
        <v>9.9260364084489368</v>
      </c>
      <c r="BQ100" s="100">
        <v>3216.0357963374554</v>
      </c>
      <c r="BR100" s="100">
        <v>7.1310327463518526</v>
      </c>
      <c r="BS100" s="100">
        <v>2310.4546098180003</v>
      </c>
      <c r="BT100" s="100">
        <v>11.09297209617497</v>
      </c>
      <c r="BU100" s="100">
        <v>3594.1229591606902</v>
      </c>
      <c r="BV100" s="100">
        <v>3.8237167443351834</v>
      </c>
      <c r="BW100" s="100">
        <v>1238.8842251645995</v>
      </c>
      <c r="BX100" s="100">
        <v>4.1997000059180358</v>
      </c>
      <c r="BY100" s="100">
        <v>1360.7028019174436</v>
      </c>
      <c r="BZ100" s="100">
        <v>8.3305869682092002</v>
      </c>
      <c r="CA100" s="100">
        <v>2699.1101776997807</v>
      </c>
      <c r="CB100" s="100">
        <v>5.7862433922568375</v>
      </c>
      <c r="CC100" s="100">
        <v>1874.7428590912155</v>
      </c>
      <c r="CD100" s="100">
        <v>8.0914106345956256</v>
      </c>
      <c r="CE100" s="100">
        <v>2621.6170456089826</v>
      </c>
      <c r="CF100" s="100">
        <v>12.629717540059326</v>
      </c>
      <c r="CG100" s="100">
        <v>4092.0284829792217</v>
      </c>
      <c r="CH100" s="100">
        <v>7.3142857142857167</v>
      </c>
      <c r="CI100" s="100">
        <v>2369.8285714285721</v>
      </c>
      <c r="CJ100" s="100">
        <v>8.6855532297695905</v>
      </c>
      <c r="CK100" s="100">
        <v>2814.1192464453475</v>
      </c>
      <c r="CL100" s="100">
        <v>7.5631844647666968</v>
      </c>
      <c r="CM100" s="100">
        <v>2450.4717665844096</v>
      </c>
      <c r="CN100" s="100">
        <v>6.6118059994004295</v>
      </c>
      <c r="CO100" s="100">
        <v>2142.2251438057392</v>
      </c>
      <c r="CP100" s="100">
        <v>9.4451625639380232</v>
      </c>
      <c r="CQ100" s="100">
        <v>3060.2326707159195</v>
      </c>
      <c r="CR100" s="100">
        <v>11.92111669046351</v>
      </c>
      <c r="CS100" s="100">
        <v>3862.4418077101773</v>
      </c>
      <c r="CT100" s="100">
        <v>6.3899570233010552</v>
      </c>
      <c r="CU100" s="100">
        <v>2070.3460755495421</v>
      </c>
    </row>
    <row r="101" spans="2:99">
      <c r="C101" s="99" t="s">
        <v>267</v>
      </c>
      <c r="D101" s="100">
        <v>7.198675839685106</v>
      </c>
      <c r="E101" s="100">
        <v>5208.9618375961427</v>
      </c>
      <c r="F101" s="100">
        <v>0.82287122101487364</v>
      </c>
      <c r="G101" s="100">
        <v>595.42961552636257</v>
      </c>
      <c r="H101" s="100">
        <v>10.331665905853871</v>
      </c>
      <c r="I101" s="100">
        <v>7475.9934494758618</v>
      </c>
      <c r="J101" s="100">
        <v>9</v>
      </c>
      <c r="K101" s="100">
        <v>6512.4000000000005</v>
      </c>
      <c r="L101" s="100">
        <v>8.2631075478130107</v>
      </c>
      <c r="M101" s="100">
        <v>5979.1846215974947</v>
      </c>
      <c r="N101" s="100">
        <v>6.0953393063829981</v>
      </c>
      <c r="O101" s="100">
        <v>4410.5875220987373</v>
      </c>
      <c r="P101" s="100">
        <v>6</v>
      </c>
      <c r="Q101" s="100">
        <v>4341.6000000000004</v>
      </c>
      <c r="R101" s="100">
        <v>3.330051277838098</v>
      </c>
      <c r="S101" s="100">
        <v>2409.6251046436478</v>
      </c>
      <c r="T101" s="100">
        <v>9.4022394043941073</v>
      </c>
      <c r="U101" s="100">
        <v>6803.4604330195762</v>
      </c>
      <c r="V101" s="100">
        <v>9.4837888205462431</v>
      </c>
      <c r="W101" s="100">
        <v>6862.4695905472618</v>
      </c>
      <c r="X101" s="100">
        <v>7.099940511600237</v>
      </c>
      <c r="Y101" s="100">
        <v>5137.5169541939313</v>
      </c>
      <c r="Z101" s="100">
        <v>11</v>
      </c>
      <c r="AA101" s="100">
        <v>7959.6</v>
      </c>
      <c r="AB101" s="100">
        <v>7</v>
      </c>
      <c r="AC101" s="100">
        <v>5065.2</v>
      </c>
      <c r="AD101" s="100">
        <v>4.6327778709290905</v>
      </c>
      <c r="AE101" s="100">
        <v>3352.2780674042901</v>
      </c>
      <c r="AF101" s="100">
        <v>10</v>
      </c>
      <c r="AG101" s="100">
        <v>7236</v>
      </c>
      <c r="AH101" s="100">
        <v>11</v>
      </c>
      <c r="AI101" s="100">
        <v>7959.6</v>
      </c>
      <c r="AJ101" s="100">
        <v>7</v>
      </c>
      <c r="AK101" s="100">
        <v>5065.2</v>
      </c>
      <c r="AL101" s="100">
        <v>4.2184262613466537</v>
      </c>
      <c r="AM101" s="100">
        <v>3052.4532427104386</v>
      </c>
      <c r="AN101" s="100">
        <v>12</v>
      </c>
      <c r="AO101" s="100">
        <v>8683.2000000000007</v>
      </c>
      <c r="AP101" s="100">
        <v>5.5946333463155478</v>
      </c>
      <c r="AQ101" s="100">
        <v>4048.2766893939306</v>
      </c>
      <c r="AR101" s="100">
        <v>10</v>
      </c>
      <c r="AS101" s="100">
        <v>7236</v>
      </c>
      <c r="AT101" s="100">
        <v>5.1744606408518026</v>
      </c>
      <c r="AU101" s="100">
        <v>3744.2397197203645</v>
      </c>
      <c r="AV101" s="100">
        <v>12.710340169581245</v>
      </c>
      <c r="AW101" s="100">
        <v>9197.2021467089889</v>
      </c>
      <c r="AX101" s="100">
        <v>9.8224599597184987</v>
      </c>
      <c r="AY101" s="100">
        <v>7107.5320268523055</v>
      </c>
      <c r="AZ101" s="100">
        <v>7.339793915683849</v>
      </c>
      <c r="BA101" s="100">
        <v>5311.0748773888336</v>
      </c>
      <c r="BB101" s="100">
        <v>3.1475046443593233</v>
      </c>
      <c r="BC101" s="100">
        <v>2277.5343606584065</v>
      </c>
      <c r="BD101" s="100">
        <v>6.8748100396833456</v>
      </c>
      <c r="BE101" s="100">
        <v>4974.6125447148688</v>
      </c>
      <c r="BF101" s="100">
        <v>4.4533705258853216</v>
      </c>
      <c r="BG101" s="100">
        <v>3222.4589125306188</v>
      </c>
      <c r="BH101" s="100">
        <v>8.9536578442400891</v>
      </c>
      <c r="BI101" s="100">
        <v>6478.8668160921288</v>
      </c>
      <c r="BJ101" s="100">
        <v>8.5450297234843546</v>
      </c>
      <c r="BK101" s="100">
        <v>6183.1835079132788</v>
      </c>
      <c r="BL101" s="100">
        <v>9.5422595351025112</v>
      </c>
      <c r="BM101" s="100">
        <v>6904.7789996001775</v>
      </c>
      <c r="BN101" s="100">
        <v>6.0030382310464763</v>
      </c>
      <c r="BO101" s="100">
        <v>4343.7984639852302</v>
      </c>
      <c r="BP101" s="100">
        <v>10.926036408448937</v>
      </c>
      <c r="BQ101" s="100">
        <v>7906.0799451536504</v>
      </c>
      <c r="BR101" s="100">
        <v>7.1310327463518526</v>
      </c>
      <c r="BS101" s="100">
        <v>5160.0152952602011</v>
      </c>
      <c r="BT101" s="100">
        <v>9.3863610044557433</v>
      </c>
      <c r="BU101" s="100">
        <v>6791.9708228241761</v>
      </c>
      <c r="BV101" s="100">
        <v>3.3574933897932167</v>
      </c>
      <c r="BW101" s="100">
        <v>2429.4822168543715</v>
      </c>
      <c r="BX101" s="100">
        <v>3.6173722174614302</v>
      </c>
      <c r="BY101" s="100">
        <v>2617.5305365550912</v>
      </c>
      <c r="BZ101" s="100">
        <v>7.6207572863848672</v>
      </c>
      <c r="CA101" s="100">
        <v>5514.3799724280898</v>
      </c>
      <c r="CB101" s="100">
        <v>5.1773525398597799</v>
      </c>
      <c r="CC101" s="100">
        <v>3746.3322978425367</v>
      </c>
      <c r="CD101" s="100">
        <v>7.7661511848111822</v>
      </c>
      <c r="CE101" s="100">
        <v>5619.586997329372</v>
      </c>
      <c r="CF101" s="100">
        <v>11.652138093131729</v>
      </c>
      <c r="CG101" s="100">
        <v>8431.4871241901201</v>
      </c>
      <c r="CH101" s="100">
        <v>7.3142857142857167</v>
      </c>
      <c r="CI101" s="100">
        <v>5292.6171428571452</v>
      </c>
      <c r="CJ101" s="100">
        <v>9.4407230154762214</v>
      </c>
      <c r="CK101" s="100">
        <v>6831.3071739985944</v>
      </c>
      <c r="CL101" s="100">
        <v>8.1218114012509446</v>
      </c>
      <c r="CM101" s="100">
        <v>5876.9427299451836</v>
      </c>
      <c r="CN101" s="100">
        <v>5.9835980018768504</v>
      </c>
      <c r="CO101" s="100">
        <v>4329.7315141580893</v>
      </c>
      <c r="CP101" s="100">
        <v>8.5294923447705013</v>
      </c>
      <c r="CQ101" s="100">
        <v>6171.9406606759349</v>
      </c>
      <c r="CR101" s="100">
        <v>10.927690299591552</v>
      </c>
      <c r="CS101" s="100">
        <v>7907.2767007844468</v>
      </c>
      <c r="CT101" s="100">
        <v>6.3899570233010552</v>
      </c>
      <c r="CU101" s="100">
        <v>4623.7729020606439</v>
      </c>
    </row>
    <row r="102" spans="2:99">
      <c r="C102" s="99" t="s">
        <v>268</v>
      </c>
      <c r="D102" s="100">
        <v>7.1738413597244675</v>
      </c>
      <c r="E102" s="100">
        <v>3813.614066829527</v>
      </c>
      <c r="F102" s="100">
        <v>0.91331170225431779</v>
      </c>
      <c r="G102" s="100">
        <v>485.51650091839537</v>
      </c>
      <c r="H102" s="100">
        <v>10.331665905853871</v>
      </c>
      <c r="I102" s="100">
        <v>5492.3135955519183</v>
      </c>
      <c r="J102" s="100">
        <v>9</v>
      </c>
      <c r="K102" s="100">
        <v>4784.4000000000005</v>
      </c>
      <c r="L102" s="100">
        <v>7.3449844869448988</v>
      </c>
      <c r="M102" s="100">
        <v>3904.5937532599082</v>
      </c>
      <c r="N102" s="100">
        <v>6.9661020644377123</v>
      </c>
      <c r="O102" s="100">
        <v>3703.179857455088</v>
      </c>
      <c r="P102" s="100">
        <v>6</v>
      </c>
      <c r="Q102" s="100">
        <v>3189.6000000000004</v>
      </c>
      <c r="R102" s="100">
        <v>3.922079477676101</v>
      </c>
      <c r="S102" s="100">
        <v>2084.9774503326153</v>
      </c>
      <c r="T102" s="100">
        <v>9.4022394043941073</v>
      </c>
      <c r="U102" s="100">
        <v>4998.2304673759081</v>
      </c>
      <c r="V102" s="100">
        <v>10.279682740186585</v>
      </c>
      <c r="W102" s="100">
        <v>5464.6793446831889</v>
      </c>
      <c r="X102" s="100">
        <v>7.099940511600237</v>
      </c>
      <c r="Y102" s="100">
        <v>3774.3283759666861</v>
      </c>
      <c r="Z102" s="100">
        <v>12</v>
      </c>
      <c r="AA102" s="100">
        <v>6379.2000000000007</v>
      </c>
      <c r="AB102" s="100">
        <v>6</v>
      </c>
      <c r="AC102" s="100">
        <v>3189.6000000000004</v>
      </c>
      <c r="AD102" s="100">
        <v>5.6324041910482476</v>
      </c>
      <c r="AE102" s="100">
        <v>2994.1860679612487</v>
      </c>
      <c r="AF102" s="100">
        <v>10</v>
      </c>
      <c r="AG102" s="100">
        <v>5316</v>
      </c>
      <c r="AH102" s="100">
        <v>11</v>
      </c>
      <c r="AI102" s="100">
        <v>5847.6</v>
      </c>
      <c r="AJ102" s="100">
        <v>7</v>
      </c>
      <c r="AK102" s="100">
        <v>3721.2000000000003</v>
      </c>
      <c r="AL102" s="100">
        <v>4.2022470638811651</v>
      </c>
      <c r="AM102" s="100">
        <v>2233.9145391592274</v>
      </c>
      <c r="AN102" s="100">
        <v>13</v>
      </c>
      <c r="AO102" s="100">
        <v>6910.8</v>
      </c>
      <c r="AP102" s="100">
        <v>5.5946333463155478</v>
      </c>
      <c r="AQ102" s="100">
        <v>2974.1070869013452</v>
      </c>
      <c r="AR102" s="100">
        <v>11</v>
      </c>
      <c r="AS102" s="100">
        <v>5847.6</v>
      </c>
      <c r="AT102" s="100">
        <v>5.1744606408518026</v>
      </c>
      <c r="AU102" s="100">
        <v>2750.7432766768184</v>
      </c>
      <c r="AV102" s="100">
        <v>12.399369229657381</v>
      </c>
      <c r="AW102" s="100">
        <v>6591.5046824858646</v>
      </c>
      <c r="AX102" s="100">
        <v>9.8224599597184987</v>
      </c>
      <c r="AY102" s="100">
        <v>5221.6197145863543</v>
      </c>
      <c r="AZ102" s="100">
        <v>7.3466644770075478</v>
      </c>
      <c r="BA102" s="100">
        <v>3905.4868359772126</v>
      </c>
      <c r="BB102" s="100">
        <v>3.161725882147659</v>
      </c>
      <c r="BC102" s="100">
        <v>1680.7734789496956</v>
      </c>
      <c r="BD102" s="100">
        <v>7.4345973300076942</v>
      </c>
      <c r="BE102" s="100">
        <v>3952.2319406320903</v>
      </c>
      <c r="BF102" s="100">
        <v>4.4533705258853216</v>
      </c>
      <c r="BG102" s="100">
        <v>2367.4117715606371</v>
      </c>
      <c r="BH102" s="100">
        <v>8.0028278966671831</v>
      </c>
      <c r="BI102" s="100">
        <v>4254.3033098682745</v>
      </c>
      <c r="BJ102" s="100">
        <v>8.2722279327583337</v>
      </c>
      <c r="BK102" s="100">
        <v>4397.5163690543304</v>
      </c>
      <c r="BL102" s="100">
        <v>8.0680400221899529</v>
      </c>
      <c r="BM102" s="100">
        <v>4288.9700757961791</v>
      </c>
      <c r="BN102" s="100">
        <v>6.4301671185567253</v>
      </c>
      <c r="BO102" s="100">
        <v>3418.2768402247552</v>
      </c>
      <c r="BP102" s="100">
        <v>10.080375809857093</v>
      </c>
      <c r="BQ102" s="100">
        <v>5358.727780520031</v>
      </c>
      <c r="BR102" s="100">
        <v>7.1310327463518526</v>
      </c>
      <c r="BS102" s="100">
        <v>3790.8570079606452</v>
      </c>
      <c r="BT102" s="100">
        <v>10.239666550315357</v>
      </c>
      <c r="BU102" s="100">
        <v>5443.4067381476443</v>
      </c>
      <c r="BV102" s="100">
        <v>3.3387074081933257</v>
      </c>
      <c r="BW102" s="100">
        <v>1774.8568581955719</v>
      </c>
      <c r="BX102" s="100">
        <v>3.5657724371471584</v>
      </c>
      <c r="BY102" s="100">
        <v>1895.5646275874294</v>
      </c>
      <c r="BZ102" s="100">
        <v>7.6724655862947646</v>
      </c>
      <c r="CA102" s="100">
        <v>4078.6827056742968</v>
      </c>
      <c r="CB102" s="100">
        <v>4.9775863864165872</v>
      </c>
      <c r="CC102" s="100">
        <v>2646.0849230190579</v>
      </c>
      <c r="CD102" s="100">
        <v>7.9287809097034048</v>
      </c>
      <c r="CE102" s="100">
        <v>4214.9399315983301</v>
      </c>
      <c r="CF102" s="100">
        <v>11.671841910631588</v>
      </c>
      <c r="CG102" s="100">
        <v>6204.7511596917529</v>
      </c>
      <c r="CH102" s="100">
        <v>8.2285714285714313</v>
      </c>
      <c r="CI102" s="100">
        <v>4374.3085714285735</v>
      </c>
      <c r="CJ102" s="100">
        <v>9.2892487806775499</v>
      </c>
      <c r="CK102" s="100">
        <v>4938.1646518081861</v>
      </c>
      <c r="CL102" s="100">
        <v>7.1218114012509455</v>
      </c>
      <c r="CM102" s="100">
        <v>3785.9549409050028</v>
      </c>
      <c r="CN102" s="100">
        <v>5.9493860725308423</v>
      </c>
      <c r="CO102" s="100">
        <v>3162.6936361573958</v>
      </c>
      <c r="CP102" s="100">
        <v>9.4451625639380232</v>
      </c>
      <c r="CQ102" s="100">
        <v>5021.0484189894532</v>
      </c>
      <c r="CR102" s="100">
        <v>11.92111669046351</v>
      </c>
      <c r="CS102" s="100">
        <v>6337.265632650402</v>
      </c>
      <c r="CT102" s="100">
        <v>6.3899570233010552</v>
      </c>
      <c r="CU102" s="100">
        <v>3396.9011535868412</v>
      </c>
    </row>
    <row r="103" spans="2:99">
      <c r="C103" s="99" t="s">
        <v>269</v>
      </c>
      <c r="D103" s="100">
        <v>7.1738413597244675</v>
      </c>
      <c r="E103" s="100">
        <v>4226.8273291496562</v>
      </c>
      <c r="F103" s="100">
        <v>1.0037521834937619</v>
      </c>
      <c r="G103" s="100">
        <v>591.41078651452449</v>
      </c>
      <c r="H103" s="100">
        <v>9.3316659058538711</v>
      </c>
      <c r="I103" s="100">
        <v>5498.2175517290998</v>
      </c>
      <c r="J103" s="100">
        <v>10</v>
      </c>
      <c r="K103" s="100">
        <v>5891.9999999999991</v>
      </c>
      <c r="L103" s="100">
        <v>8.2631075478130107</v>
      </c>
      <c r="M103" s="100">
        <v>4868.6229671714254</v>
      </c>
      <c r="N103" s="100">
        <v>6.9661020644377123</v>
      </c>
      <c r="O103" s="100">
        <v>4104.4273363666998</v>
      </c>
      <c r="P103" s="100">
        <v>6</v>
      </c>
      <c r="Q103" s="100">
        <v>3535.2</v>
      </c>
      <c r="R103" s="100">
        <v>3.330051277838098</v>
      </c>
      <c r="S103" s="100">
        <v>1962.0662129022071</v>
      </c>
      <c r="T103" s="100">
        <v>10.321794750885477</v>
      </c>
      <c r="U103" s="100">
        <v>6081.6014672217225</v>
      </c>
      <c r="V103" s="100">
        <v>11.085370858901584</v>
      </c>
      <c r="W103" s="100">
        <v>6531.5005100648123</v>
      </c>
      <c r="X103" s="100">
        <v>7.099940511600237</v>
      </c>
      <c r="Y103" s="100">
        <v>4183.2849494348593</v>
      </c>
      <c r="Z103" s="100">
        <v>11</v>
      </c>
      <c r="AA103" s="100">
        <v>6481.1999999999989</v>
      </c>
      <c r="AB103" s="100">
        <v>6</v>
      </c>
      <c r="AC103" s="100">
        <v>3535.2</v>
      </c>
      <c r="AD103" s="100">
        <v>5.1325910309886691</v>
      </c>
      <c r="AE103" s="100">
        <v>3024.1226354585233</v>
      </c>
      <c r="AF103" s="100">
        <v>11</v>
      </c>
      <c r="AG103" s="100">
        <v>6481.1999999999989</v>
      </c>
      <c r="AH103" s="100">
        <v>11</v>
      </c>
      <c r="AI103" s="100">
        <v>6481.1999999999989</v>
      </c>
      <c r="AJ103" s="100">
        <v>8</v>
      </c>
      <c r="AK103" s="100">
        <v>4713.5999999999995</v>
      </c>
      <c r="AL103" s="100">
        <v>4.6402688874813194</v>
      </c>
      <c r="AM103" s="100">
        <v>2734.046428503993</v>
      </c>
      <c r="AN103" s="100">
        <v>12</v>
      </c>
      <c r="AO103" s="100">
        <v>7070.4</v>
      </c>
      <c r="AP103" s="100">
        <v>6.293962514604992</v>
      </c>
      <c r="AQ103" s="100">
        <v>3708.4027136052609</v>
      </c>
      <c r="AR103" s="100">
        <v>12</v>
      </c>
      <c r="AS103" s="100">
        <v>7070.4</v>
      </c>
      <c r="AT103" s="100">
        <v>5.7494007120575592</v>
      </c>
      <c r="AU103" s="100">
        <v>3387.5468995443134</v>
      </c>
      <c r="AV103" s="100">
        <v>12.710340169581245</v>
      </c>
      <c r="AW103" s="100">
        <v>7488.9324279172688</v>
      </c>
      <c r="AX103" s="100">
        <v>8.3113122736079603</v>
      </c>
      <c r="AY103" s="100">
        <v>4897.0251916098096</v>
      </c>
      <c r="AZ103" s="100">
        <v>6.3712935600386249</v>
      </c>
      <c r="BA103" s="100">
        <v>3753.9661655747573</v>
      </c>
      <c r="BB103" s="100">
        <v>3.161725882147659</v>
      </c>
      <c r="BC103" s="100">
        <v>1862.8888897614004</v>
      </c>
      <c r="BD103" s="100">
        <v>6.8748100396833456</v>
      </c>
      <c r="BE103" s="100">
        <v>4050.6380753814269</v>
      </c>
      <c r="BF103" s="100">
        <v>3.9367428296460325</v>
      </c>
      <c r="BG103" s="100">
        <v>2319.5288752274419</v>
      </c>
      <c r="BH103" s="100">
        <v>8.0028278966671831</v>
      </c>
      <c r="BI103" s="100">
        <v>4715.266196716304</v>
      </c>
      <c r="BJ103" s="100">
        <v>9.335652030397469</v>
      </c>
      <c r="BK103" s="100">
        <v>5500.566176310188</v>
      </c>
      <c r="BL103" s="100">
        <v>8.9590209604085409</v>
      </c>
      <c r="BM103" s="100">
        <v>5278.6551498727113</v>
      </c>
      <c r="BN103" s="100">
        <v>7.4589911981475252</v>
      </c>
      <c r="BO103" s="100">
        <v>4394.8376139485217</v>
      </c>
      <c r="BP103" s="100">
        <v>10.926036408448937</v>
      </c>
      <c r="BQ103" s="100">
        <v>6437.620651858113</v>
      </c>
      <c r="BR103" s="100">
        <v>7.1310327463518526</v>
      </c>
      <c r="BS103" s="100">
        <v>4201.6044941505106</v>
      </c>
      <c r="BT103" s="100">
        <v>9.3863610044557433</v>
      </c>
      <c r="BU103" s="100">
        <v>5530.4439038253231</v>
      </c>
      <c r="BV103" s="100">
        <v>3.3574933897932167</v>
      </c>
      <c r="BW103" s="100">
        <v>1978.2351052661629</v>
      </c>
      <c r="BX103" s="100">
        <v>3.8755388752682935</v>
      </c>
      <c r="BY103" s="100">
        <v>2283.4675053080782</v>
      </c>
      <c r="BZ103" s="100">
        <v>7.6207572863848672</v>
      </c>
      <c r="CA103" s="100">
        <v>4490.1501931379635</v>
      </c>
      <c r="CB103" s="100">
        <v>5.1773525398597799</v>
      </c>
      <c r="CC103" s="100">
        <v>3050.4961164853821</v>
      </c>
      <c r="CD103" s="100">
        <v>7.9287809097034048</v>
      </c>
      <c r="CE103" s="100">
        <v>4671.6377119972458</v>
      </c>
      <c r="CF103" s="100">
        <v>11.671841910631588</v>
      </c>
      <c r="CG103" s="100">
        <v>6877.0492537441314</v>
      </c>
      <c r="CH103" s="100">
        <v>7.3142857142857167</v>
      </c>
      <c r="CI103" s="100">
        <v>4309.5771428571434</v>
      </c>
      <c r="CJ103" s="100">
        <v>8.5151447156210871</v>
      </c>
      <c r="CK103" s="100">
        <v>5017.123266443944</v>
      </c>
      <c r="CL103" s="100">
        <v>8.5631844647666977</v>
      </c>
      <c r="CM103" s="100">
        <v>5045.4282866405374</v>
      </c>
      <c r="CN103" s="100">
        <v>5.2527542163152487</v>
      </c>
      <c r="CO103" s="100">
        <v>3094.922784252944</v>
      </c>
      <c r="CP103" s="100">
        <v>9.4451625639380232</v>
      </c>
      <c r="CQ103" s="100">
        <v>5565.089782672283</v>
      </c>
      <c r="CR103" s="100">
        <v>11.92111669046351</v>
      </c>
      <c r="CS103" s="100">
        <v>7023.9219540210988</v>
      </c>
      <c r="CT103" s="100">
        <v>5.7509613209709487</v>
      </c>
      <c r="CU103" s="100">
        <v>3388.4664103160826</v>
      </c>
    </row>
    <row r="104" spans="2:99">
      <c r="C104" s="99" t="s">
        <v>270</v>
      </c>
      <c r="D104" s="100">
        <v>6.1738413597244675</v>
      </c>
      <c r="E104" s="100">
        <v>3904.3372758897531</v>
      </c>
      <c r="F104" s="100">
        <v>1.0048655447262467</v>
      </c>
      <c r="G104" s="100">
        <v>635.47697048487839</v>
      </c>
      <c r="H104" s="100">
        <v>10.331665905853871</v>
      </c>
      <c r="I104" s="100">
        <v>6533.7455188619879</v>
      </c>
      <c r="J104" s="100">
        <v>9</v>
      </c>
      <c r="K104" s="100">
        <v>5691.5999999999995</v>
      </c>
      <c r="L104" s="100">
        <v>8.2631075478130107</v>
      </c>
      <c r="M104" s="100">
        <v>5225.5892132369481</v>
      </c>
      <c r="N104" s="100">
        <v>6.9661020644377123</v>
      </c>
      <c r="O104" s="100">
        <v>4405.3629455504088</v>
      </c>
      <c r="P104" s="100">
        <v>7</v>
      </c>
      <c r="Q104" s="100">
        <v>4426.8</v>
      </c>
      <c r="R104" s="100">
        <v>3.330051277838098</v>
      </c>
      <c r="S104" s="100">
        <v>2105.9244281048132</v>
      </c>
      <c r="T104" s="100">
        <v>9.5303216787370619</v>
      </c>
      <c r="U104" s="100">
        <v>6026.9754296333176</v>
      </c>
      <c r="V104" s="100">
        <v>11.050336988562155</v>
      </c>
      <c r="W104" s="100">
        <v>6988.2331115667066</v>
      </c>
      <c r="X104" s="100">
        <v>7.099940511600237</v>
      </c>
      <c r="Y104" s="100">
        <v>4490.0023795359893</v>
      </c>
      <c r="Z104" s="100">
        <v>11</v>
      </c>
      <c r="AA104" s="100">
        <v>6956.4</v>
      </c>
      <c r="AB104" s="100">
        <v>6</v>
      </c>
      <c r="AC104" s="100">
        <v>3794.3999999999996</v>
      </c>
      <c r="AD104" s="100">
        <v>5.1325910309886691</v>
      </c>
      <c r="AE104" s="100">
        <v>3245.8505679972341</v>
      </c>
      <c r="AF104" s="100">
        <v>9</v>
      </c>
      <c r="AG104" s="100">
        <v>5691.5999999999995</v>
      </c>
      <c r="AH104" s="100">
        <v>11</v>
      </c>
      <c r="AI104" s="100">
        <v>6956.4</v>
      </c>
      <c r="AJ104" s="100">
        <v>7</v>
      </c>
      <c r="AK104" s="100">
        <v>4426.8</v>
      </c>
      <c r="AL104" s="100">
        <v>5.0297531186850071</v>
      </c>
      <c r="AM104" s="100">
        <v>3180.8158722563985</v>
      </c>
      <c r="AN104" s="100">
        <v>12</v>
      </c>
      <c r="AO104" s="100">
        <v>7588.7999999999993</v>
      </c>
      <c r="AP104" s="100">
        <v>5.5946333463155478</v>
      </c>
      <c r="AQ104" s="100">
        <v>3538.0461282099523</v>
      </c>
      <c r="AR104" s="100">
        <v>11</v>
      </c>
      <c r="AS104" s="100">
        <v>6956.4</v>
      </c>
      <c r="AT104" s="100">
        <v>4.5995205696460477</v>
      </c>
      <c r="AU104" s="100">
        <v>2908.7368082441603</v>
      </c>
      <c r="AV104" s="100">
        <v>13.554854699619312</v>
      </c>
      <c r="AW104" s="100">
        <v>8572.0901120392537</v>
      </c>
      <c r="AX104" s="100">
        <v>8.3113122736079603</v>
      </c>
      <c r="AY104" s="100">
        <v>5256.0738818296741</v>
      </c>
      <c r="AZ104" s="100">
        <v>7.339793915683849</v>
      </c>
      <c r="BA104" s="100">
        <v>4641.685672278466</v>
      </c>
      <c r="BB104" s="100">
        <v>3.4656246319807242</v>
      </c>
      <c r="BC104" s="100">
        <v>2191.6610172646101</v>
      </c>
      <c r="BD104" s="100">
        <v>6.8748100396833456</v>
      </c>
      <c r="BE104" s="100">
        <v>4347.6298690957474</v>
      </c>
      <c r="BF104" s="100">
        <v>4.4287282985029366</v>
      </c>
      <c r="BG104" s="100">
        <v>2800.7277759732569</v>
      </c>
      <c r="BH104" s="100">
        <v>8.1524965926290509</v>
      </c>
      <c r="BI104" s="100">
        <v>5155.6388451786115</v>
      </c>
      <c r="BJ104" s="100">
        <v>9.37060301674709</v>
      </c>
      <c r="BK104" s="100">
        <v>5925.9693477908595</v>
      </c>
      <c r="BL104" s="100">
        <v>8.7403766907057836</v>
      </c>
      <c r="BM104" s="100">
        <v>5527.4142192023373</v>
      </c>
      <c r="BN104" s="100">
        <v>5.7871504067010529</v>
      </c>
      <c r="BO104" s="100">
        <v>3659.7939171977455</v>
      </c>
      <c r="BP104" s="100">
        <v>11.080375809857093</v>
      </c>
      <c r="BQ104" s="100">
        <v>7007.2296621536252</v>
      </c>
      <c r="BR104" s="100">
        <v>7.1310327463518526</v>
      </c>
      <c r="BS104" s="100">
        <v>4509.6651087929113</v>
      </c>
      <c r="BT104" s="100">
        <v>9.3863610044557433</v>
      </c>
      <c r="BU104" s="100">
        <v>5935.9346992178116</v>
      </c>
      <c r="BV104" s="100">
        <v>3.3387074081933257</v>
      </c>
      <c r="BW104" s="100">
        <v>2111.398564941459</v>
      </c>
      <c r="BX104" s="100">
        <v>3.5801671296757651</v>
      </c>
      <c r="BY104" s="100">
        <v>2264.097692806954</v>
      </c>
      <c r="BZ104" s="100">
        <v>7.0046122114019314</v>
      </c>
      <c r="CA104" s="100">
        <v>4429.7167624905815</v>
      </c>
      <c r="CB104" s="100">
        <v>4.9775863864165872</v>
      </c>
      <c r="CC104" s="100">
        <v>3147.8256307698498</v>
      </c>
      <c r="CD104" s="100">
        <v>7.9287809097034048</v>
      </c>
      <c r="CE104" s="100">
        <v>5014.161047296433</v>
      </c>
      <c r="CF104" s="100">
        <v>11.652138093131729</v>
      </c>
      <c r="CG104" s="100">
        <v>7368.8121300965049</v>
      </c>
      <c r="CH104" s="100">
        <v>7.3142857142857167</v>
      </c>
      <c r="CI104" s="100">
        <v>4625.5542857142873</v>
      </c>
      <c r="CJ104" s="100">
        <v>9.2892487806775499</v>
      </c>
      <c r="CK104" s="100">
        <v>5874.5209289004824</v>
      </c>
      <c r="CL104" s="100">
        <v>7.1065849760945774</v>
      </c>
      <c r="CM104" s="100">
        <v>4494.2043388822103</v>
      </c>
      <c r="CN104" s="100">
        <v>5.286966145661256</v>
      </c>
      <c r="CO104" s="100">
        <v>3343.4773905161783</v>
      </c>
      <c r="CP104" s="100">
        <v>9.4451625639380232</v>
      </c>
      <c r="CQ104" s="100">
        <v>5973.1208054344061</v>
      </c>
      <c r="CR104" s="100">
        <v>10.927690299591552</v>
      </c>
      <c r="CS104" s="100">
        <v>6910.6713454616975</v>
      </c>
      <c r="CT104" s="100">
        <v>5.7509613209709487</v>
      </c>
      <c r="CU104" s="100">
        <v>3636.907939382028</v>
      </c>
    </row>
    <row r="105" spans="2:99">
      <c r="C105" s="99" t="s">
        <v>271</v>
      </c>
      <c r="D105" s="100">
        <v>7.1738413597244675</v>
      </c>
      <c r="E105" s="100">
        <v>3994.3948690945831</v>
      </c>
      <c r="F105" s="100">
        <v>0.91442506348680241</v>
      </c>
      <c r="G105" s="100">
        <v>509.15187534945153</v>
      </c>
      <c r="H105" s="100">
        <v>10.331665905853871</v>
      </c>
      <c r="I105" s="100">
        <v>5752.6715763794346</v>
      </c>
      <c r="J105" s="100">
        <v>8</v>
      </c>
      <c r="K105" s="100">
        <v>4454.3999999999996</v>
      </c>
      <c r="L105" s="100">
        <v>8.2631075478130107</v>
      </c>
      <c r="M105" s="100">
        <v>4600.8982826222837</v>
      </c>
      <c r="N105" s="100">
        <v>6.9661020644377123</v>
      </c>
      <c r="O105" s="100">
        <v>3878.7256294789181</v>
      </c>
      <c r="P105" s="100">
        <v>6</v>
      </c>
      <c r="Q105" s="100">
        <v>3340.7999999999997</v>
      </c>
      <c r="R105" s="100">
        <v>3.922079477676101</v>
      </c>
      <c r="S105" s="100">
        <v>2183.8138531700529</v>
      </c>
      <c r="T105" s="100">
        <v>9.4797541886945567</v>
      </c>
      <c r="U105" s="100">
        <v>5278.327132265129</v>
      </c>
      <c r="V105" s="100">
        <v>9.5031746260400478</v>
      </c>
      <c r="W105" s="100">
        <v>5291.3676317790978</v>
      </c>
      <c r="X105" s="100">
        <v>7.0832837596668634</v>
      </c>
      <c r="Y105" s="100">
        <v>3943.9723973825094</v>
      </c>
      <c r="Z105" s="100">
        <v>12</v>
      </c>
      <c r="AA105" s="100">
        <v>6681.5999999999995</v>
      </c>
      <c r="AB105" s="100">
        <v>6</v>
      </c>
      <c r="AC105" s="100">
        <v>3340.7999999999997</v>
      </c>
      <c r="AD105" s="100">
        <v>4.6327778709290905</v>
      </c>
      <c r="AE105" s="100">
        <v>2579.5307185333172</v>
      </c>
      <c r="AF105" s="100">
        <v>11</v>
      </c>
      <c r="AG105" s="100">
        <v>6124.7999999999993</v>
      </c>
      <c r="AH105" s="100">
        <v>10</v>
      </c>
      <c r="AI105" s="100">
        <v>5568</v>
      </c>
      <c r="AJ105" s="100">
        <v>8</v>
      </c>
      <c r="AK105" s="100">
        <v>4454.3999999999996</v>
      </c>
      <c r="AL105" s="100">
        <v>4.6240896900158299</v>
      </c>
      <c r="AM105" s="100">
        <v>2574.6931394008138</v>
      </c>
      <c r="AN105" s="100">
        <v>12</v>
      </c>
      <c r="AO105" s="100">
        <v>6681.5999999999995</v>
      </c>
      <c r="AP105" s="100">
        <v>5.5946333463155478</v>
      </c>
      <c r="AQ105" s="100">
        <v>3115.0918472284966</v>
      </c>
      <c r="AR105" s="100">
        <v>11</v>
      </c>
      <c r="AS105" s="100">
        <v>6124.7999999999993</v>
      </c>
      <c r="AT105" s="100">
        <v>5.1744606408518026</v>
      </c>
      <c r="AU105" s="100">
        <v>2881.1396848262834</v>
      </c>
      <c r="AV105" s="100">
        <v>13.710340169581245</v>
      </c>
      <c r="AW105" s="100">
        <v>7633.9174064228373</v>
      </c>
      <c r="AX105" s="100">
        <v>9.0668861166632304</v>
      </c>
      <c r="AY105" s="100">
        <v>5048.442189758086</v>
      </c>
      <c r="AZ105" s="100">
        <v>7.2244179679952163</v>
      </c>
      <c r="BA105" s="100">
        <v>4022.5559245797363</v>
      </c>
      <c r="BB105" s="100">
        <v>3.4798458697690604</v>
      </c>
      <c r="BC105" s="100">
        <v>1937.5781802874126</v>
      </c>
      <c r="BD105" s="100">
        <v>6.8748100396833456</v>
      </c>
      <c r="BE105" s="100">
        <v>3827.8942300956865</v>
      </c>
      <c r="BF105" s="100">
        <v>3.9367428296460325</v>
      </c>
      <c r="BG105" s="100">
        <v>2191.9784075469106</v>
      </c>
      <c r="BH105" s="100">
        <v>8.0028278966671831</v>
      </c>
      <c r="BI105" s="100">
        <v>4455.9745728642874</v>
      </c>
      <c r="BJ105" s="100">
        <v>8.2610565040889128</v>
      </c>
      <c r="BK105" s="100">
        <v>4599.7562614767066</v>
      </c>
      <c r="BL105" s="100">
        <v>9.6313576289243716</v>
      </c>
      <c r="BM105" s="100">
        <v>5362.73992778509</v>
      </c>
      <c r="BN105" s="100">
        <v>6.6460549429021496</v>
      </c>
      <c r="BO105" s="100">
        <v>3700.5233922079165</v>
      </c>
      <c r="BP105" s="100">
        <v>10.080375809857093</v>
      </c>
      <c r="BQ105" s="100">
        <v>5612.7532509284292</v>
      </c>
      <c r="BR105" s="100">
        <v>7.9233697181687255</v>
      </c>
      <c r="BS105" s="100">
        <v>4411.7322590763461</v>
      </c>
      <c r="BT105" s="100">
        <v>10.239666550315357</v>
      </c>
      <c r="BU105" s="100">
        <v>5701.4463352155908</v>
      </c>
      <c r="BV105" s="100">
        <v>2.8912700352512508</v>
      </c>
      <c r="BW105" s="100">
        <v>1609.8591556278964</v>
      </c>
      <c r="BX105" s="100">
        <v>3.5657724371471584</v>
      </c>
      <c r="BY105" s="100">
        <v>1985.4220930035376</v>
      </c>
      <c r="BZ105" s="100">
        <v>8.9467320431921351</v>
      </c>
      <c r="CA105" s="100">
        <v>4981.5404016493803</v>
      </c>
      <c r="CB105" s="100">
        <v>4.9775863864165872</v>
      </c>
      <c r="CC105" s="100">
        <v>2771.5200999567555</v>
      </c>
      <c r="CD105" s="100">
        <v>8.8988341719116697</v>
      </c>
      <c r="CE105" s="100">
        <v>4954.870866920417</v>
      </c>
      <c r="CF105" s="100">
        <v>9.7363868342762494</v>
      </c>
      <c r="CG105" s="100">
        <v>5421.2201893250149</v>
      </c>
      <c r="CH105" s="100">
        <v>8.2285714285714313</v>
      </c>
      <c r="CI105" s="100">
        <v>4581.6685714285722</v>
      </c>
      <c r="CJ105" s="100">
        <v>9.2892487806775499</v>
      </c>
      <c r="CK105" s="100">
        <v>5172.2537210812598</v>
      </c>
      <c r="CL105" s="100">
        <v>7</v>
      </c>
      <c r="CM105" s="100">
        <v>3897.5999999999995</v>
      </c>
      <c r="CN105" s="100">
        <v>5.9493860725308423</v>
      </c>
      <c r="CO105" s="100">
        <v>3312.6181651851725</v>
      </c>
      <c r="CP105" s="100">
        <v>10.360832783105545</v>
      </c>
      <c r="CQ105" s="100">
        <v>5768.9116936331675</v>
      </c>
      <c r="CR105" s="100">
        <v>10.927690299591552</v>
      </c>
      <c r="CS105" s="100">
        <v>6084.5379588125752</v>
      </c>
      <c r="CT105" s="100">
        <v>5.7509613209709487</v>
      </c>
      <c r="CU105" s="100">
        <v>3202.135263516624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273.72791311126201</v>
      </c>
      <c r="E109" s="100">
        <f>SUM(L$6:L$19)+SUM(N$6:N$19)+SUM(P$6:P$19)+SUM(R$6:R$19)</f>
        <v>429.789356263711</v>
      </c>
      <c r="F109" s="100">
        <f>SUM(T$6:T$19)+SUM(V$6:V$19)+SUM(X$6:X$19)+SUM(Z$6:Z$19)</f>
        <v>220.35351810237762</v>
      </c>
      <c r="G109" s="100">
        <f>SUM(AB$6:AB$19)+SUM(AD$6:AD$19)+SUM(AF$6:AF$19)+SUM(AH$6:AH$19)</f>
        <v>274.52779444132477</v>
      </c>
      <c r="H109" s="100">
        <f>SUM(AJ$6:AJ$19)+SUM(AL$6:AL$19)+SUM(AN$6:AN$19)+SUM(AP$6:AP$19)</f>
        <v>122.42031469890479</v>
      </c>
      <c r="I109" s="100">
        <f>SUM(AR$6:AR$19)+SUM(AT$6:AT$19)+SUM(AV$6:AV$19)+SUM(AX$6:AX$19)</f>
        <v>274.16712096630744</v>
      </c>
      <c r="J109" s="100">
        <f>SUM(AZ$6:AZ$19)+SUM(BB$6:BB$19)+SUM(BD$6:BD$19)+SUM(BF$6:BF$19)</f>
        <v>372.41048074479028</v>
      </c>
      <c r="K109" s="100">
        <f>SUM(BH$6:BH$19)+SUM(BJ$6:BJ$19)+SUM(BL$6:BL$19)+SUM(BN$6:BN$19)</f>
        <v>277.29920600993768</v>
      </c>
      <c r="L109" s="100">
        <f>SUM(BP$6:BP$19)+SUM(BR$6:BR$19)+SUM(BT$6:BT$19)+SUM(BV$6:BV$19)</f>
        <v>242.11123807129411</v>
      </c>
      <c r="M109" s="100">
        <f>SUM(BX$6:BX$19)+SUM(BZ$6:BZ$19)+SUM(CB$6:CB$19)+SUM(CD$6:CD$19)</f>
        <v>364.32015268708864</v>
      </c>
      <c r="N109" s="100">
        <f>SUM(CF$6:CF$19)+SUM(CH$6:CH$19)+SUM(CJ$6:CJ$19)+SUM(CL$6:CL$19)</f>
        <v>348.90491125406515</v>
      </c>
      <c r="O109" s="100">
        <f>SUM(CN$6:CN$19)+SUM(CP$6:CP$19)+SUM(CR$6:CR$19)+SUM(CT$6:CT$19)</f>
        <v>279.57167598533567</v>
      </c>
    </row>
    <row r="110" spans="2:99">
      <c r="C110" s="99" t="s">
        <v>127</v>
      </c>
      <c r="D110" s="100">
        <f>SUM(D$20:D$36)+SUM(F$20:F$36)+SUM(H$20:H$36)+SUM(J$20:J$36)</f>
        <v>360.12768258184462</v>
      </c>
      <c r="E110" s="100">
        <f>SUM(L$20:L$36)+SUM(N$20:N$36)+SUM(P$20:P$36)+SUM(R$20:R$36)</f>
        <v>534.89939523122928</v>
      </c>
      <c r="F110" s="100">
        <f>SUM(T$20:T$36)+SUM(V$20:V$36)+SUM(X$20:X$36)+SUM(Z$20:Z$36)</f>
        <v>306.73720715631299</v>
      </c>
      <c r="G110" s="100">
        <f>SUM(AB$20:AB$36)+SUM(AD$20:AD$36)+SUM(AF$20:AF$36)+SUM(AH$20:AH$36)</f>
        <v>330.1527990190454</v>
      </c>
      <c r="H110" s="100">
        <f>SUM(AJ$20:AJ$36)+SUM(AL$20:AL$36)+SUM(AN$20:AN$36)+SUM(AP$20:AP$36)</f>
        <v>219.766814438517</v>
      </c>
      <c r="I110" s="100">
        <f>SUM(AR$20:AR$36)+SUM(AT$20:AT$36)+SUM(AV$20:AV$36)+SUM(AX$20:AX$36)</f>
        <v>475.61183071527785</v>
      </c>
      <c r="J110" s="100">
        <f>SUM(AZ$20:AZ$36)+SUM(BB$20:BB$36)+SUM(BD$20:BD$36)+SUM(BF$20:BF$36)</f>
        <v>481.82608223302032</v>
      </c>
      <c r="K110" s="100">
        <f>SUM(BH$20:BH$36)+SUM(BJ$20:BJ$36)+SUM(BL$20:BL$36)+SUM(BN$20:BN$36)</f>
        <v>362.99577105216321</v>
      </c>
      <c r="L110" s="100">
        <f>SUM(BP$20:BP$36)+SUM(BR$20:BR$36)+SUM(BT$20:BT$36)+SUM(BV$20:BV$36)</f>
        <v>325.7045676876233</v>
      </c>
      <c r="M110" s="100">
        <f>SUM(BX$20:BX$36)+SUM(BZ$20:BZ$36)+SUM(CB$20:CB$36)+SUM(CD$20:CD$36)</f>
        <v>516.84676891771642</v>
      </c>
      <c r="N110" s="100">
        <f>SUM(CF$20:CF$36)+SUM(CH$20:CH$36)+SUM(CJ$20:CJ$36)+SUM(CL$20:CL$36)</f>
        <v>494.58638452503169</v>
      </c>
      <c r="O110" s="100">
        <f>SUM(CN$20:CN$36)+SUM(CP$20:CP$36)+SUM(CR$20:CR$36)+SUM(CT$20:CT$36)</f>
        <v>402.28126447039654</v>
      </c>
    </row>
    <row r="111" spans="2:99">
      <c r="C111" s="99" t="s">
        <v>128</v>
      </c>
      <c r="D111" s="100">
        <f>SUM(D$37:D$48)+SUM(F$37:F$48)+SUM(H$37:H$48)+SUM(J$37:J$48)</f>
        <v>479.0032327299279</v>
      </c>
      <c r="E111" s="100">
        <f>SUM(L$37:L$48)+SUM(N$37:N$48)+SUM(P$37:P$48)+SUM(R$37:R$48)</f>
        <v>715.67550059797622</v>
      </c>
      <c r="F111" s="100">
        <f>SUM(T$37:T$48)+SUM(V$37:V$48)+SUM(X$37:X$48)+SUM(Z$37:Z$48)</f>
        <v>483.54029349264476</v>
      </c>
      <c r="G111" s="100">
        <f>SUM(AB$37:AB$48)+SUM(AD$37:AD$48)+SUM(AF$37:AF$48)+SUM(AH$37:AH$48)</f>
        <v>398.6565421677879</v>
      </c>
      <c r="H111" s="100">
        <f>SUM(AJ$37:AJ$48)+SUM(AL$37:AL$48)+SUM(AN$37:AN$48)+SUM(AP$37:AP$48)</f>
        <v>254.88874215878531</v>
      </c>
      <c r="I111" s="100">
        <f>SUM(AR$37:AR$48)+SUM(AT$37:AT$48)+SUM(AV$37:AV$48)+SUM(AX$37:AX$48)</f>
        <v>563.56601604578714</v>
      </c>
      <c r="J111" s="100">
        <f>SUM(AZ$37:AZ$48)+SUM(BB$37:BB$48)+SUM(BD$37:BD$48)+SUM(BF$37:BF$48)</f>
        <v>591.88293576818842</v>
      </c>
      <c r="K111" s="100">
        <f>SUM(BH$37:BH$48)+SUM(BJ$37:BJ$48)+SUM(BL$37:BL$48)+SUM(BN$37:BN$48)</f>
        <v>394.60148051609156</v>
      </c>
      <c r="L111" s="100">
        <f>SUM(BP$37:BP$48)+SUM(BR$37:BR$48)+SUM(BT$37:BT$48)+SUM(BV$37:BV$48)</f>
        <v>428.03167356286792</v>
      </c>
      <c r="M111" s="100">
        <f>SUM(BX$37:BX$48)+SUM(BZ$37:BZ$48)+SUM(CB$37:CB$48)+SUM(CD$37:CD$48)</f>
        <v>764.99644597621364</v>
      </c>
      <c r="N111" s="100">
        <f>SUM(CF$37:CF$48)+SUM(CH$37:CH$48)+SUM(CJ$37:CJ$48)+SUM(CL$37:CL$48)</f>
        <v>452.3000429856661</v>
      </c>
      <c r="O111" s="100">
        <f>SUM(CN$37:CN$48)+SUM(CP$37:CP$48)+SUM(CR$37:CR$48)+SUM(CT$37:CT$48)</f>
        <v>505.92302832804012</v>
      </c>
    </row>
    <row r="112" spans="2:99">
      <c r="C112" s="99" t="s">
        <v>129</v>
      </c>
      <c r="D112" s="100">
        <f>SUM(D$49:D$70)+SUM(F$49:F$70)+SUM(H$49:H$70)+SUM(J$49:J$70)</f>
        <v>456.43064985750209</v>
      </c>
      <c r="E112" s="100">
        <f>SUM(L$49:L$70)+SUM(N$49:N$70)+SUM(P$49:P$70)+SUM(R$49:R$70)</f>
        <v>731.11360792444771</v>
      </c>
      <c r="F112" s="100">
        <f>SUM(T$49:T$70)+SUM(V$49:V$70)+SUM(X$49:X$70)+SUM(Z$49:Z$70)</f>
        <v>521.39319700636793</v>
      </c>
      <c r="G112" s="100">
        <f>SUM(AB$49:AB$70)+SUM(AD$49:AD$70)+SUM(AF$49:AF$70)+SUM(AH$49:AH$70)</f>
        <v>479.99726507478385</v>
      </c>
      <c r="H112" s="100">
        <f>SUM(AJ$49:AJ$70)+SUM(AL$49:AL$70)+SUM(AN$49:AN$70)+SUM(AP$49:AP$70)</f>
        <v>254.9154912007667</v>
      </c>
      <c r="I112" s="100">
        <f>SUM(AR$49:AR$70)+SUM(AT$49:AT$70)+SUM(AV$49:AV$70)+SUM(AX$49:AX$70)</f>
        <v>478.49022862980462</v>
      </c>
      <c r="J112" s="100">
        <f>SUM(AZ$49:AZ$70)+SUM(BB$49:BB$70)+SUM(BD$49:BD$70)+SUM(BF$49:BF$70)</f>
        <v>513.82457281559437</v>
      </c>
      <c r="K112" s="100">
        <f>SUM(BH$49:BH$70)+SUM(BJ$49:BJ$70)+SUM(BL$49:BL$70)+SUM(BN$49:BN$70)</f>
        <v>465.16598530592637</v>
      </c>
      <c r="L112" s="100">
        <f>SUM(BP$49:BP$70)+SUM(BR$49:BR$70)+SUM(BT$49:BT$70)+SUM(BV$49:BV$70)</f>
        <v>454.04195955373802</v>
      </c>
      <c r="M112" s="100">
        <f>SUM(BX$49:BX$70)+SUM(BZ$49:BZ$70)+SUM(CB$49:CB$70)+SUM(CD$49:CD$70)</f>
        <v>706.13747264097549</v>
      </c>
      <c r="N112" s="100">
        <f>SUM(CF$49:CF$70)+SUM(CH$49:CH$70)+SUM(CJ$49:CJ$70)+SUM(CL$49:CL$70)</f>
        <v>570.24008535823737</v>
      </c>
      <c r="O112" s="100">
        <f>SUM(CN$49:CN$70)+SUM(CP$49:CP$70)+SUM(CR$49:CR$70)+SUM(CT$49:CT$70)</f>
        <v>501.4974388741889</v>
      </c>
    </row>
    <row r="113" spans="2:15">
      <c r="C113" s="99" t="s">
        <v>130</v>
      </c>
      <c r="D113" s="100">
        <f>SUM(D$71:D$86)+SUM(F$71:F$86)+SUM(H$71:H$86)+SUM(J$71:J$86)</f>
        <v>381.07004456733586</v>
      </c>
      <c r="E113" s="100">
        <f>SUM(L$71:L$86)+SUM(N$71:N$86)+SUM(P$71:P$86)+SUM(R$71:R$86)</f>
        <v>465.69389186859269</v>
      </c>
      <c r="F113" s="100">
        <f>SUM(T$71:T$86)+SUM(V$71:V$86)+SUM(X$71:X$86)+SUM(Z$71:Z$86)</f>
        <v>462.80753038371671</v>
      </c>
      <c r="G113" s="100">
        <f>SUM(AB$71:AB$86)+SUM(AD$71:AD$86)+SUM(AF$71:AF$86)+SUM(AH$71:AH$86)</f>
        <v>322.1906346003268</v>
      </c>
      <c r="H113" s="100">
        <f>SUM(AJ$71:AJ$86)+SUM(AL$71:AL$86)+SUM(AN$71:AN$86)+SUM(AP$71:AP$86)</f>
        <v>307.65852361514533</v>
      </c>
      <c r="I113" s="100">
        <f>SUM(AR$71:AR$86)+SUM(AT$71:AT$86)+SUM(AV$71:AV$86)+SUM(AX$71:AX$86)</f>
        <v>376.53663938825957</v>
      </c>
      <c r="J113" s="100">
        <f>SUM(AZ$71:AZ$86)+SUM(BB$71:BB$86)+SUM(BD$71:BD$86)+SUM(BF$71:BF$86)</f>
        <v>461.62127863062949</v>
      </c>
      <c r="K113" s="100">
        <f>SUM(BH$71:BH$86)+SUM(BJ$71:BJ$86)+SUM(BL$71:BL$86)+SUM(BN$71:BN$86)</f>
        <v>300.4321993186494</v>
      </c>
      <c r="L113" s="100">
        <f>SUM(BP$71:BP$86)+SUM(BR$71:BR$86)+SUM(BT$71:BT$86)+SUM(BV$71:BV$86)</f>
        <v>398</v>
      </c>
      <c r="M113" s="100">
        <f>SUM(BX$71:BX$86)+SUM(BZ$71:BZ$86)+SUM(CB$71:CB$86)+SUM(CD$71:CD$86)</f>
        <v>288.66864128614412</v>
      </c>
      <c r="N113" s="100">
        <f>SUM(CF$71:CF$86)+SUM(CH$71:CH$86)+SUM(CJ$71:CJ$86)+SUM(CL$71:CL$86)</f>
        <v>520.8106877097058</v>
      </c>
      <c r="O113" s="100">
        <f>SUM(CN$71:CN$86)+SUM(CP$71:CP$86)+SUM(CR$71:CR$86)+SUM(CT$71:CT$86)</f>
        <v>419.2723702775175</v>
      </c>
    </row>
    <row r="114" spans="2:15">
      <c r="C114" s="99" t="s">
        <v>131</v>
      </c>
      <c r="D114" s="100">
        <f>SUM(D$87:D$94)+SUM(F$87:F$94)+SUM(H$87:H$94)+SUM(J$87:J$94)</f>
        <v>143.14066751773265</v>
      </c>
      <c r="E114" s="100">
        <f>SUM(L$87:L$94)+SUM(N$87:N$94)+SUM(P$87:P$94)+SUM(R$87:R$94)</f>
        <v>152.8380816786069</v>
      </c>
      <c r="F114" s="100">
        <f>SUM(T$87:T$94)+SUM(V$87:V$94)+SUM(X$87:X$94)+SUM(Z$87:Z$94)</f>
        <v>161.84107709518108</v>
      </c>
      <c r="G114" s="100">
        <f>SUM(AB$87:AB$94)+SUM(AD$87:AD$94)+SUM(AF$87:AF$94)+SUM(AH$87:AH$94)</f>
        <v>174.49047116303848</v>
      </c>
      <c r="H114" s="100">
        <f>SUM(AJ$87:AJ$94)+SUM(AL$87:AL$94)+SUM(AN$87:AN$94)+SUM(AP$87:AP$94)</f>
        <v>141.98990488093594</v>
      </c>
      <c r="I114" s="100">
        <f>SUM(AR$87:AR$94)+SUM(AT$87:AT$94)+SUM(AV$87:AV$94)+SUM(AX$87:AX$94)</f>
        <v>198.25760829686178</v>
      </c>
      <c r="J114" s="100">
        <f>SUM(AZ$87:AZ$94)+SUM(BB$87:BB$94)+SUM(BD$87:BD$94)+SUM(BF$87:BF$94)</f>
        <v>127.36286684634642</v>
      </c>
      <c r="K114" s="100">
        <f>SUM(BH$87:BH$94)+SUM(BJ$87:BJ$94)+SUM(BL$87:BL$94)+SUM(BN$87:BN$94)</f>
        <v>196.66007070982124</v>
      </c>
      <c r="L114" s="100">
        <f>SUM(BP$87:BP$94)+SUM(BR$87:BR$94)+SUM(BT$87:BT$94)+SUM(BV$87:BV$94)</f>
        <v>158.8743803894709</v>
      </c>
      <c r="M114" s="100">
        <f>SUM(BX$87:BX$94)+SUM(BZ$87:BZ$94)+SUM(CB$87:CB$94)+SUM(CD$87:CD$94)</f>
        <v>150.67098978334775</v>
      </c>
      <c r="N114" s="100">
        <f>SUM(CF$87:CF$94)+SUM(CH$87:CH$94)+SUM(CJ$87:CJ$94)+SUM(CL$87:CL$94)</f>
        <v>222.30780446671596</v>
      </c>
      <c r="O114" s="100">
        <f>SUM(CN$87:CN$94)+SUM(CP$87:CP$94)+SUM(CR$87:CR$94)+SUM(CT$87:CT$94)</f>
        <v>193.06524365665641</v>
      </c>
    </row>
    <row r="115" spans="2:15">
      <c r="C115" s="99" t="s">
        <v>132</v>
      </c>
      <c r="D115" s="100">
        <f>SUM(D$95:D$105)+SUM(F$95:F$105)+SUM(H$95:H$105)+SUM(J$95:J$105)</f>
        <v>295.52324833231467</v>
      </c>
      <c r="E115" s="100">
        <f>SUM(L$95:L$105)+SUM(N$95:N$105)+SUM(P$95:P$105)+SUM(R$95:R$105)</f>
        <v>267.91064754629417</v>
      </c>
      <c r="F115" s="100">
        <f>SUM(T$95:T$105)+SUM(V$95:V$105)+SUM(X$95:X$105)+SUM(Z$95:Z$105)</f>
        <v>415.02514869820021</v>
      </c>
      <c r="G115" s="100">
        <f>SUM(AB$95:AB$105)+SUM(AD$95:AD$105)+SUM(AF$95:AF$105)+SUM(AH$95:AH$105)</f>
        <v>353.26716380007576</v>
      </c>
      <c r="H115" s="100">
        <f>SUM(AJ$95:AJ$105)+SUM(AL$95:AL$105)+SUM(AN$95:AN$105)+SUM(AP$95:AP$105)</f>
        <v>318.33627582229525</v>
      </c>
      <c r="I115" s="100">
        <f>SUM(AR$95:AR$105)+SUM(AT$95:AT$105)+SUM(AV$95:AV$105)+SUM(AX$95:AX$105)</f>
        <v>414.07764522561854</v>
      </c>
      <c r="J115" s="100">
        <f>SUM(AZ$95:AZ$105)+SUM(BB$95:BB$105)+SUM(BD$95:BD$105)+SUM(BF$95:BF$105)</f>
        <v>230.21595381804372</v>
      </c>
      <c r="K115" s="100">
        <f>SUM(BH$95:BH$105)+SUM(BJ$95:BJ$105)+SUM(BL$95:BL$105)+SUM(BN$95:BN$105)</f>
        <v>356.54420012420189</v>
      </c>
      <c r="L115" s="100">
        <f>SUM(BP$95:BP$105)+SUM(BR$95:BR$105)+SUM(BT$95:BT$105)+SUM(BV$95:BV$105)</f>
        <v>333.46591221381152</v>
      </c>
      <c r="M115" s="100">
        <f>SUM(BX$95:BX$105)+SUM(BZ$95:BZ$105)+SUM(CB$95:CB$105)+SUM(CD$95:CD$105)</f>
        <v>268.55284048408339</v>
      </c>
      <c r="N115" s="100">
        <f>SUM(CF$95:CF$105)+SUM(CH$95:CH$105)+SUM(CJ$95:CJ$105)+SUM(CL$95:CL$105)</f>
        <v>380.72822010289718</v>
      </c>
      <c r="O115" s="100">
        <f>SUM(CN$95:CN$105)+SUM(CP$95:CP$105)+SUM(CR$95:CR$105)+SUM(CT$95:CT$105)</f>
        <v>350.62607947240457</v>
      </c>
    </row>
    <row r="116" spans="2:15">
      <c r="C116" s="99" t="s">
        <v>278</v>
      </c>
      <c r="D116" s="100">
        <f t="shared" ref="D116:O116" si="0">SUM(D$109:D$115)</f>
        <v>2389.0234386979196</v>
      </c>
      <c r="E116" s="100">
        <f t="shared" si="0"/>
        <v>3297.920481110858</v>
      </c>
      <c r="F116" s="100">
        <f t="shared" si="0"/>
        <v>2571.697971934801</v>
      </c>
      <c r="G116" s="100">
        <f t="shared" si="0"/>
        <v>2333.2826702663829</v>
      </c>
      <c r="H116" s="100">
        <f t="shared" si="0"/>
        <v>1619.9760668153501</v>
      </c>
      <c r="I116" s="100">
        <f t="shared" si="0"/>
        <v>2780.7070892679171</v>
      </c>
      <c r="J116" s="100">
        <f t="shared" si="0"/>
        <v>2779.1441708566131</v>
      </c>
      <c r="K116" s="100">
        <f t="shared" si="0"/>
        <v>2353.6989130367915</v>
      </c>
      <c r="L116" s="100">
        <f t="shared" si="0"/>
        <v>2340.2297314788057</v>
      </c>
      <c r="M116" s="100">
        <f t="shared" si="0"/>
        <v>3060.1933117755698</v>
      </c>
      <c r="N116" s="100">
        <f t="shared" si="0"/>
        <v>2989.8781364023189</v>
      </c>
      <c r="O116" s="100">
        <f t="shared" si="0"/>
        <v>2652.2371010645397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1478130.7308008149</v>
      </c>
      <c r="E120" s="100">
        <f>E109*pricing!E33*2000</f>
        <v>2320862.5238240398</v>
      </c>
      <c r="F120" s="100">
        <f>F109*pricing!F33*2000</f>
        <v>1189908.9977528392</v>
      </c>
      <c r="G120" s="100">
        <f>G109*pricing!G33*2000</f>
        <v>1482450.0899831539</v>
      </c>
      <c r="H120" s="100">
        <f>H109*pricing!H33*2000</f>
        <v>661069.69937408587</v>
      </c>
      <c r="I120" s="100">
        <f>I109*pricing!I33*2000</f>
        <v>1480502.4532180603</v>
      </c>
      <c r="J120" s="100">
        <f>J109*pricing!J33*2000</f>
        <v>2011016.5960218676</v>
      </c>
      <c r="K120" s="100">
        <f>K109*pricing!K33*2000</f>
        <v>1497415.7124536633</v>
      </c>
      <c r="L120" s="100">
        <f>L109*pricing!L33*2000</f>
        <v>1307400.6855849882</v>
      </c>
      <c r="M120" s="100">
        <f>M109*pricing!M33*2000</f>
        <v>1967328.8245102789</v>
      </c>
      <c r="N120" s="100">
        <f>N109*pricing!N33*2000</f>
        <v>1884086.5207719519</v>
      </c>
      <c r="O120" s="100">
        <f>O109*pricing!O33*2000</f>
        <v>1509687.0503208127</v>
      </c>
    </row>
    <row r="121" spans="2:15">
      <c r="C121" s="99" t="s">
        <v>127</v>
      </c>
      <c r="D121" s="100">
        <f>D110*pricing!D34*2000</f>
        <v>1728612.8763928541</v>
      </c>
      <c r="E121" s="100">
        <f>E110*pricing!E34*2000</f>
        <v>2567517.0971099003</v>
      </c>
      <c r="F121" s="100">
        <f>F110*pricing!F34*2000</f>
        <v>1472338.5943503024</v>
      </c>
      <c r="G121" s="100">
        <f>G110*pricing!G34*2000</f>
        <v>1584733.4352914179</v>
      </c>
      <c r="H121" s="100">
        <f>H110*pricing!H34*2000</f>
        <v>1054880.7093048815</v>
      </c>
      <c r="I121" s="100">
        <f>I110*pricing!I34*2000</f>
        <v>2282936.7874333332</v>
      </c>
      <c r="J121" s="100">
        <f>J110*pricing!J34*2000</f>
        <v>2312765.1947184973</v>
      </c>
      <c r="K121" s="100">
        <f>K110*pricing!K34*2000</f>
        <v>1742379.7010503833</v>
      </c>
      <c r="L121" s="100">
        <f>L110*pricing!L34*2000</f>
        <v>1563381.9249005916</v>
      </c>
      <c r="M121" s="100">
        <f>M110*pricing!M34*2000</f>
        <v>2480864.4908050387</v>
      </c>
      <c r="N121" s="100">
        <f>N110*pricing!N34*2000</f>
        <v>2374014.6457201522</v>
      </c>
      <c r="O121" s="100">
        <f>O110*pricing!O34*2000</f>
        <v>1930950.0694579033</v>
      </c>
    </row>
    <row r="122" spans="2:15">
      <c r="C122" s="99" t="s">
        <v>128</v>
      </c>
      <c r="D122" s="100">
        <f>D111*pricing!D35*2000</f>
        <v>2203414.8705576682</v>
      </c>
      <c r="E122" s="100">
        <f>E111*pricing!E35*2000</f>
        <v>3292107.3027506904</v>
      </c>
      <c r="F122" s="100">
        <f>F111*pricing!F35*2000</f>
        <v>2224285.3500661659</v>
      </c>
      <c r="G122" s="100">
        <f>G111*pricing!G35*2000</f>
        <v>1833820.0939718243</v>
      </c>
      <c r="H122" s="100">
        <f>H111*pricing!H35*2000</f>
        <v>1172488.2139304122</v>
      </c>
      <c r="I122" s="100">
        <f>I111*pricing!I35*2000</f>
        <v>2592403.6738106208</v>
      </c>
      <c r="J122" s="100">
        <f>J111*pricing!J35*2000</f>
        <v>2722661.5045336667</v>
      </c>
      <c r="K122" s="100">
        <f>K111*pricing!K35*2000</f>
        <v>1815166.8103740211</v>
      </c>
      <c r="L122" s="100">
        <f>L111*pricing!L35*2000</f>
        <v>1968945.6983891923</v>
      </c>
      <c r="M122" s="100">
        <f>M111*pricing!M35*2000</f>
        <v>3518983.6514905822</v>
      </c>
      <c r="N122" s="100">
        <f>N111*pricing!N35*2000</f>
        <v>2080580.197734064</v>
      </c>
      <c r="O122" s="100">
        <f>O111*pricing!O35*2000</f>
        <v>2327245.9303089846</v>
      </c>
    </row>
    <row r="123" spans="2:15">
      <c r="C123" s="99" t="s">
        <v>129</v>
      </c>
      <c r="D123" s="100">
        <f>D112*pricing!D36*2000</f>
        <v>2282153.2492875103</v>
      </c>
      <c r="E123" s="100">
        <f>E112*pricing!E36*2000</f>
        <v>3655568.0396222388</v>
      </c>
      <c r="F123" s="100">
        <f>F112*pricing!F36*2000</f>
        <v>2606965.9850318395</v>
      </c>
      <c r="G123" s="100">
        <f>G112*pricing!G36*2000</f>
        <v>2399986.3253739197</v>
      </c>
      <c r="H123" s="100">
        <f>H112*pricing!H36*2000</f>
        <v>1274577.4560038336</v>
      </c>
      <c r="I123" s="100">
        <f>I112*pricing!I36*2000</f>
        <v>2392451.1431490234</v>
      </c>
      <c r="J123" s="100">
        <f>J112*pricing!J36*2000</f>
        <v>2569122.8640779718</v>
      </c>
      <c r="K123" s="100">
        <f>K112*pricing!K36*2000</f>
        <v>2325829.9265296319</v>
      </c>
      <c r="L123" s="100">
        <f>L112*pricing!L36*2000</f>
        <v>2270209.7977686897</v>
      </c>
      <c r="M123" s="100">
        <f>M112*pricing!M36*2000</f>
        <v>3530687.3632048774</v>
      </c>
      <c r="N123" s="100">
        <f>N112*pricing!N36*2000</f>
        <v>2851200.4267911869</v>
      </c>
      <c r="O123" s="100">
        <f>O112*pricing!O36*2000</f>
        <v>2507487.1943709445</v>
      </c>
    </row>
    <row r="124" spans="2:15">
      <c r="C124" s="99" t="s">
        <v>130</v>
      </c>
      <c r="D124" s="100">
        <f>D113*pricing!D37*2000</f>
        <v>1981564.2317501465</v>
      </c>
      <c r="E124" s="100">
        <f>E113*pricing!E37*2000</f>
        <v>2421608.2377166823</v>
      </c>
      <c r="F124" s="100">
        <f>F113*pricing!F37*2000</f>
        <v>2406599.1579953269</v>
      </c>
      <c r="G124" s="100">
        <f>G113*pricing!G37*2000</f>
        <v>1675391.2999216993</v>
      </c>
      <c r="H124" s="100">
        <f>H113*pricing!H37*2000</f>
        <v>1599824.3227987557</v>
      </c>
      <c r="I124" s="100">
        <f>I113*pricing!I37*2000</f>
        <v>1957990.5248189499</v>
      </c>
      <c r="J124" s="100">
        <f>J113*pricing!J37*2000</f>
        <v>2400430.6488792738</v>
      </c>
      <c r="K124" s="100">
        <f>K113*pricing!K37*2000</f>
        <v>1562247.4364569769</v>
      </c>
      <c r="L124" s="100">
        <f>L113*pricing!L37*2000</f>
        <v>2069600</v>
      </c>
      <c r="M124" s="100">
        <f>M113*pricing!M37*2000</f>
        <v>1501076.9346879495</v>
      </c>
      <c r="N124" s="100">
        <f>N113*pricing!N37*2000</f>
        <v>2708215.5760904704</v>
      </c>
      <c r="O124" s="100">
        <f>O113*pricing!O37*2000</f>
        <v>2180216.3254430913</v>
      </c>
    </row>
    <row r="125" spans="2:15">
      <c r="C125" s="99" t="s">
        <v>131</v>
      </c>
      <c r="D125" s="100">
        <f>D114*pricing!D38*2000</f>
        <v>801587.73809930275</v>
      </c>
      <c r="E125" s="100">
        <f>E114*pricing!E38*2000</f>
        <v>855893.25740019849</v>
      </c>
      <c r="F125" s="100">
        <f>F114*pricing!F38*2000</f>
        <v>906310.03173301392</v>
      </c>
      <c r="G125" s="100">
        <f>G114*pricing!G38*2000</f>
        <v>977146.63851301547</v>
      </c>
      <c r="H125" s="100">
        <f>H114*pricing!H38*2000</f>
        <v>795143.46733324125</v>
      </c>
      <c r="I125" s="100">
        <f>I114*pricing!I38*2000</f>
        <v>1110242.6064624258</v>
      </c>
      <c r="J125" s="100">
        <f>J114*pricing!J38*2000</f>
        <v>713232.05433953996</v>
      </c>
      <c r="K125" s="100">
        <f>K114*pricing!K38*2000</f>
        <v>1101296.3959749988</v>
      </c>
      <c r="L125" s="100">
        <f>L114*pricing!L38*2000</f>
        <v>889696.53018103703</v>
      </c>
      <c r="M125" s="100">
        <f>M114*pricing!M38*2000</f>
        <v>843757.54278674733</v>
      </c>
      <c r="N125" s="100">
        <f>N114*pricing!N38*2000</f>
        <v>1244923.7050136095</v>
      </c>
      <c r="O125" s="100">
        <f>O114*pricing!O38*2000</f>
        <v>1081165.3644772756</v>
      </c>
    </row>
    <row r="126" spans="2:15">
      <c r="C126" s="99" t="s">
        <v>132</v>
      </c>
      <c r="D126" s="100">
        <f>D115*pricing!D39*2000</f>
        <v>1536720.8913280363</v>
      </c>
      <c r="E126" s="100">
        <f>E115*pricing!E39*2000</f>
        <v>1393135.3672407297</v>
      </c>
      <c r="F126" s="100">
        <f>F115*pricing!F39*2000</f>
        <v>2158130.7732306411</v>
      </c>
      <c r="G126" s="100">
        <f>G115*pricing!G39*2000</f>
        <v>1836989.2517603938</v>
      </c>
      <c r="H126" s="100">
        <f>H115*pricing!H39*2000</f>
        <v>1655348.6342759354</v>
      </c>
      <c r="I126" s="100">
        <f>I115*pricing!I39*2000</f>
        <v>2153203.7551732166</v>
      </c>
      <c r="J126" s="100">
        <f>J115*pricing!J39*2000</f>
        <v>1197122.9598538273</v>
      </c>
      <c r="K126" s="100">
        <f>K115*pricing!K39*2000</f>
        <v>1854029.8406458499</v>
      </c>
      <c r="L126" s="100">
        <f>L115*pricing!L39*2000</f>
        <v>1734022.74351182</v>
      </c>
      <c r="M126" s="100">
        <f>M115*pricing!M39*2000</f>
        <v>1396474.7705172338</v>
      </c>
      <c r="N126" s="100">
        <f>N115*pricing!N39*2000</f>
        <v>1979786.7445350655</v>
      </c>
      <c r="O126" s="100">
        <f>O115*pricing!O39*2000</f>
        <v>1823255.6132565038</v>
      </c>
    </row>
    <row r="127" spans="2:15">
      <c r="C127" s="99" t="s">
        <v>278</v>
      </c>
      <c r="D127" s="100">
        <f>SUM(D$120:D$126)</f>
        <v>12012184.588216335</v>
      </c>
      <c r="E127" s="100">
        <f t="shared" ref="E127:O127" si="1">SUM(E$120:E$126)</f>
        <v>16506691.825664479</v>
      </c>
      <c r="F127" s="100">
        <f t="shared" si="1"/>
        <v>12964538.890160128</v>
      </c>
      <c r="G127" s="100">
        <f t="shared" si="1"/>
        <v>11790517.134815425</v>
      </c>
      <c r="H127" s="100">
        <f t="shared" si="1"/>
        <v>8213332.5030211462</v>
      </c>
      <c r="I127" s="100">
        <f t="shared" si="1"/>
        <v>13969730.94406563</v>
      </c>
      <c r="J127" s="100">
        <f t="shared" si="1"/>
        <v>13926351.822424646</v>
      </c>
      <c r="K127" s="100">
        <f t="shared" si="1"/>
        <v>11898365.823485525</v>
      </c>
      <c r="L127" s="100">
        <f t="shared" si="1"/>
        <v>11803257.380336318</v>
      </c>
      <c r="M127" s="100">
        <f t="shared" si="1"/>
        <v>15239173.578002708</v>
      </c>
      <c r="N127" s="100">
        <f t="shared" si="1"/>
        <v>15122807.8166565</v>
      </c>
      <c r="O127" s="100">
        <f t="shared" si="1"/>
        <v>13360007.547635514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139252.09357666978</v>
      </c>
      <c r="E131" s="106">
        <f>SUM(M$6:M$19)+SUM(O$6:O$19)+SUM(Q$6:Q$19)+SUM(S$6:S$19)</f>
        <v>217010.0791693182</v>
      </c>
      <c r="F131" s="106">
        <f>SUM(U$6:U$19)+SUM(W$6:W$19)+SUM(Y$6:Y$19)+SUM(AA$6:AA$19)</f>
        <v>111398.07011718382</v>
      </c>
      <c r="G131" s="106">
        <f>SUM(AC$6:AC$19)+SUM(AE$6:AE$19)+SUM(AG$6:AG$19)+SUM(AI$6:AI$19)</f>
        <v>138864.48765188747</v>
      </c>
      <c r="H131" s="106">
        <f>SUM(AK$6:AK$19)+SUM(AM$6:AM$19)+SUM(AO$6:AO$19)+SUM(AQ$6:AQ$19)</f>
        <v>61745.154512177884</v>
      </c>
      <c r="I131" s="106">
        <f>SUM(AS$6:AS$19)+SUM(AU$6:AU$19)+SUM(AW$6:AW$19)+SUM(AY$6:AY$19)</f>
        <v>137082.07878588524</v>
      </c>
      <c r="J131" s="106">
        <f>SUM(BA$6:BA$19)+SUM(BC$6:BC$19)+SUM(BE$6:BE$19)+SUM(BG$6:BG$19)</f>
        <v>187989.84196508743</v>
      </c>
      <c r="K131" s="106">
        <f>SUM(BI$6:BI$19)+SUM(BK$6:BK$19)+SUM(BM$6:BM$19)+SUM(BO$6:BO$19)</f>
        <v>140076.48931427638</v>
      </c>
      <c r="L131" s="106">
        <f>SUM(BQ$6:BQ$19)+SUM(BS$6:BS$19)+SUM(BU$6:BU$19)+SUM(BW$6:BW$19)</f>
        <v>121810.80065146858</v>
      </c>
      <c r="M131" s="106">
        <f>SUM(BY$6:BY$19)+SUM(CA$6:CA$19)+SUM(CC$6:CC$19)+SUM(CE$6:CE$19)</f>
        <v>185083.74403703766</v>
      </c>
      <c r="N131" s="106">
        <f>SUM(CG$6:CG$19)+SUM(CI$6:CI$19)+SUM(CK$6:CK$19)+SUM(CM$6:CM$19)</f>
        <v>175971.29264551133</v>
      </c>
      <c r="O131" s="106">
        <f>SUM(CO$6:CO$19)+SUM(CQ$6:CQ$19)+SUM(CS$6:CS$19)+SUM(CU$6:CU$19)</f>
        <v>140396.25007423258</v>
      </c>
    </row>
    <row r="132" spans="2:15">
      <c r="C132" s="105" t="s">
        <v>127</v>
      </c>
      <c r="D132" s="106">
        <f>SUM(E$20:E$36)+SUM(G$20:G$36)+SUM(I$20:I$36)+SUM(K$20:K$36)</f>
        <v>152929.47708073442</v>
      </c>
      <c r="E132" s="106">
        <f>SUM(M$20:M$36)+SUM(O$20:O$36)+SUM(Q$20:Q$36)+SUM(S$20:S$36)</f>
        <v>230224.40427405492</v>
      </c>
      <c r="F132" s="106">
        <f>SUM(U$20:U$36)+SUM(W$20:W$36)+SUM(Y$20:Y$36)+SUM(AA$20:AA$36)</f>
        <v>130601.23573953967</v>
      </c>
      <c r="G132" s="106">
        <f>SUM(AC$20:AC$36)+SUM(AE$20:AE$36)+SUM(AG$20:AG$36)+SUM(AI$20:AI$36)</f>
        <v>139758.78945513617</v>
      </c>
      <c r="H132" s="106">
        <f>SUM(AK$20:AK$36)+SUM(AM$20:AM$36)+SUM(AO$20:AO$36)+SUM(AQ$20:AQ$36)</f>
        <v>93700.799032237119</v>
      </c>
      <c r="I132" s="106">
        <f>SUM(AS$20:AS$36)+SUM(AU$20:AU$36)+SUM(AW$20:AW$36)+SUM(AY$20:AY$36)</f>
        <v>203955.92969652807</v>
      </c>
      <c r="J132" s="106">
        <f>SUM(BA$20:BA$36)+SUM(BC$20:BC$36)+SUM(BE$20:BE$36)+SUM(BG$20:BG$36)</f>
        <v>206215.3501752977</v>
      </c>
      <c r="K132" s="106">
        <f>SUM(BI$20:BI$36)+SUM(BK$20:BK$36)+SUM(BM$20:BM$36)+SUM(BO$20:BO$36)</f>
        <v>153779.82680617762</v>
      </c>
      <c r="L132" s="106">
        <f>SUM(BQ$20:BQ$36)+SUM(BS$20:BS$36)+SUM(BU$20:BU$36)+SUM(BW$20:BW$36)</f>
        <v>139262.32278087214</v>
      </c>
      <c r="M132" s="106">
        <f>SUM(BY$20:BY$36)+SUM(CA$20:CA$36)+SUM(CC$20:CC$36)+SUM(CE$20:CE$36)</f>
        <v>220797.9712213036</v>
      </c>
      <c r="N132" s="106">
        <f>SUM(CG$20:CG$36)+SUM(CI$20:CI$36)+SUM(CK$20:CK$36)+SUM(CM$20:CM$36)</f>
        <v>210945.92963456773</v>
      </c>
      <c r="O132" s="106">
        <f>SUM(CO$20:CO$36)+SUM(CQ$20:CQ$36)+SUM(CS$20:CS$36)+SUM(CU$20:CU$36)</f>
        <v>170880.66857717195</v>
      </c>
    </row>
    <row r="133" spans="2:15">
      <c r="C133" s="105" t="s">
        <v>128</v>
      </c>
      <c r="D133" s="106">
        <f>SUM(E$37:E$48)+SUM(G$37:G$48)+SUM(I$37:I$48)+SUM(K$37:K$48)</f>
        <v>502398.90290908213</v>
      </c>
      <c r="E133" s="106">
        <f>SUM(M$37:M$48)+SUM(O$37:O$48)+SUM(Q$37:Q$48)+SUM(S$37:S$48)</f>
        <v>749736.3887632197</v>
      </c>
      <c r="F133" s="106">
        <f>SUM(U$37:U$48)+SUM(W$37:W$48)+SUM(Y$37:Y$48)+SUM(AA$37:AA$48)</f>
        <v>507672.9615646649</v>
      </c>
      <c r="G133" s="106">
        <f>SUM(AC$37:AC$48)+SUM(AE$37:AE$48)+SUM(AG$37:AG$48)+SUM(AI$37:AI$48)</f>
        <v>415702.96425748576</v>
      </c>
      <c r="H133" s="106">
        <f>SUM(AK$37:AK$48)+SUM(AM$37:AM$48)+SUM(AO$37:AO$48)+SUM(AQ$37:AQ$48)</f>
        <v>267066.68227989518</v>
      </c>
      <c r="I133" s="106">
        <f>SUM(AS$37:AS$48)+SUM(AU$37:AU$48)+SUM(AW$37:AW$48)+SUM(AY$37:AY$48)</f>
        <v>591579.558375997</v>
      </c>
      <c r="J133" s="106">
        <f>SUM(BA$37:BA$48)+SUM(BC$37:BC$48)+SUM(BE$37:BE$48)+SUM(BG$37:BG$48)</f>
        <v>620512.27495671052</v>
      </c>
      <c r="K133" s="106">
        <f>SUM(BI$37:BI$48)+SUM(BK$37:BK$48)+SUM(BM$37:BM$48)+SUM(BO$37:BO$48)</f>
        <v>414236.45786201803</v>
      </c>
      <c r="L133" s="106">
        <f>SUM(BQ$37:BQ$48)+SUM(BS$37:BS$48)+SUM(BU$37:BU$48)+SUM(BW$37:BW$48)</f>
        <v>449309.66144953028</v>
      </c>
      <c r="M133" s="106">
        <f>SUM(BY$37:BY$48)+SUM(CA$37:CA$48)+SUM(CC$37:CC$48)+SUM(CE$37:CE$48)</f>
        <v>801188.44888348458</v>
      </c>
      <c r="N133" s="106">
        <f>SUM(CG$37:CG$48)+SUM(CI$37:CI$48)+SUM(CK$37:CK$48)+SUM(CM$37:CM$48)</f>
        <v>474510.94911343197</v>
      </c>
      <c r="O133" s="106">
        <f>SUM(CO$37:CO$48)+SUM(CQ$37:CQ$48)+SUM(CS$37:CS$48)+SUM(CU$37:CU$48)</f>
        <v>529311.34655254998</v>
      </c>
    </row>
    <row r="134" spans="2:15">
      <c r="C134" s="105" t="s">
        <v>129</v>
      </c>
      <c r="D134" s="106">
        <f>SUM(E$49:E$70)+SUM(G$49:G$70)+SUM(I$49:I$70)+SUM(K$49:K$70)</f>
        <v>393095.45938566257</v>
      </c>
      <c r="E134" s="106">
        <f>SUM(M$49:M$70)+SUM(O$49:O$70)+SUM(Q$49:Q$70)+SUM(S$49:S$70)</f>
        <v>606733.93890186551</v>
      </c>
      <c r="F134" s="106">
        <f>SUM(U$49:U$70)+SUM(W$49:W$70)+SUM(Y$49:Y$70)+SUM(AA$49:AA$70)</f>
        <v>449996.81371877372</v>
      </c>
      <c r="G134" s="106">
        <f>SUM(AC$49:AC$70)+SUM(AE$49:AE$70)+SUM(AG$49:AG$70)+SUM(AI$49:AI$70)</f>
        <v>415246.17805059423</v>
      </c>
      <c r="H134" s="106">
        <f>SUM(AK$49:AK$70)+SUM(AM$49:AM$70)+SUM(AO$49:AO$70)+SUM(AQ$49:AQ$70)</f>
        <v>236607.64485611644</v>
      </c>
      <c r="I134" s="106">
        <f>SUM(AS$49:AS$70)+SUM(AU$49:AU$70)+SUM(AW$49:AW$70)+SUM(AY$49:AY$70)</f>
        <v>404336.9270768413</v>
      </c>
      <c r="J134" s="106">
        <f>SUM(BA$49:BA$70)+SUM(BC$49:BC$70)+SUM(BE$49:BE$70)+SUM(BG$49:BG$70)</f>
        <v>433870.8539461937</v>
      </c>
      <c r="K134" s="106">
        <f>SUM(BI$49:BI$70)+SUM(BK$49:BK$70)+SUM(BM$49:BM$70)+SUM(BO$49:BO$70)</f>
        <v>399507.65771306341</v>
      </c>
      <c r="L134" s="106">
        <f>SUM(BQ$49:BQ$70)+SUM(BS$49:BS$70)+SUM(BU$49:BU$70)+SUM(BW$49:BW$70)</f>
        <v>398460.20371581917</v>
      </c>
      <c r="M134" s="106">
        <f>SUM(BY$49:BY$70)+SUM(CA$49:CA$70)+SUM(CC$49:CC$70)+SUM(CE$49:CE$70)</f>
        <v>577641.8206780646</v>
      </c>
      <c r="N134" s="106">
        <f>SUM(CG$49:CG$70)+SUM(CI$49:CI$70)+SUM(CK$49:CK$70)+SUM(CM$49:CM$70)</f>
        <v>490043.49845240812</v>
      </c>
      <c r="O134" s="106">
        <f>SUM(CO$49:CO$70)+SUM(CQ$49:CQ$70)+SUM(CS$49:CS$70)+SUM(CU$49:CU$70)</f>
        <v>436827.31977143156</v>
      </c>
    </row>
    <row r="135" spans="2:15">
      <c r="C135" s="105" t="s">
        <v>130</v>
      </c>
      <c r="D135" s="106">
        <f>SUM(E$71:E$86)+SUM(G$71:G$86)+SUM(I$71:I$86)+SUM(K$71:K$86)</f>
        <v>212882.4347274499</v>
      </c>
      <c r="E135" s="106">
        <f>SUM(M$71:M$86)+SUM(O$71:O$86)+SUM(Q$71:Q$86)+SUM(S$71:S$86)</f>
        <v>260221.70029469492</v>
      </c>
      <c r="F135" s="106">
        <f>SUM(U$71:U$86)+SUM(W$71:W$86)+SUM(Y$71:Y$86)+SUM(AA$71:AA$86)</f>
        <v>258257.21914498101</v>
      </c>
      <c r="G135" s="106">
        <f>SUM(AC$71:AC$86)+SUM(AE$71:AE$86)+SUM(AG$71:AG$86)+SUM(AI$71:AI$86)</f>
        <v>178699.09725062959</v>
      </c>
      <c r="H135" s="106">
        <f>SUM(AK$71:AK$86)+SUM(AM$71:AM$86)+SUM(AO$71:AO$86)+SUM(AQ$71:AQ$86)</f>
        <v>170787.52278571701</v>
      </c>
      <c r="I135" s="106">
        <f>SUM(AS$71:AS$86)+SUM(AU$71:AU$86)+SUM(AW$71:AW$86)+SUM(AY$71:AY$86)</f>
        <v>210303.45688076923</v>
      </c>
      <c r="J135" s="106">
        <f>SUM(BA$71:BA$86)+SUM(BC$71:BC$86)+SUM(BE$71:BE$86)+SUM(BG$71:BG$86)</f>
        <v>257549.30355470677</v>
      </c>
      <c r="K135" s="106">
        <f>SUM(BI$71:BI$86)+SUM(BK$71:BK$86)+SUM(BM$71:BM$86)+SUM(BO$71:BO$86)</f>
        <v>167770.55966760329</v>
      </c>
      <c r="L135" s="106">
        <f>SUM(BQ$71:BQ$86)+SUM(BS$71:BS$86)+SUM(BU$71:BU$86)+SUM(BW$71:BW$86)</f>
        <v>221347.19999999998</v>
      </c>
      <c r="M135" s="106">
        <f>SUM(BY$71:BY$86)+SUM(CA$71:CA$86)+SUM(CC$71:CC$86)+SUM(CE$71:CE$86)</f>
        <v>160701.05637559263</v>
      </c>
      <c r="N135" s="106">
        <f>SUM(CG$71:CG$86)+SUM(CI$71:CI$86)+SUM(CK$71:CK$86)+SUM(CM$71:CM$86)</f>
        <v>290672.24496735004</v>
      </c>
      <c r="O135" s="106">
        <f>SUM(CO$71:CO$86)+SUM(CQ$71:CQ$86)+SUM(CS$71:CS$86)+SUM(CU$71:CU$86)</f>
        <v>233628.63969431797</v>
      </c>
    </row>
    <row r="136" spans="2:15">
      <c r="C136" s="105" t="s">
        <v>131</v>
      </c>
      <c r="D136" s="106">
        <f>SUM(E$87:E$94)+SUM(G$87:G$94)+SUM(I$87:I$94)+SUM(K$87:K$94)</f>
        <v>143373.78943936812</v>
      </c>
      <c r="E136" s="106">
        <f>SUM(M$87:M$94)+SUM(O$87:O$94)+SUM(Q$87:Q$94)+SUM(S$87:S$94)</f>
        <v>153093.08496438802</v>
      </c>
      <c r="F136" s="106">
        <f>SUM(U$87:U$94)+SUM(W$87:W$94)+SUM(Y$87:Y$94)+SUM(AA$87:AA$94)</f>
        <v>162188.169347232</v>
      </c>
      <c r="G136" s="106">
        <f>SUM(AC$87:AC$94)+SUM(AE$87:AE$94)+SUM(AG$87:AG$94)+SUM(AI$87:AI$94)</f>
        <v>174358.24224021571</v>
      </c>
      <c r="H136" s="106">
        <f>SUM(AK$87:AK$94)+SUM(AM$87:AM$94)+SUM(AO$87:AO$94)+SUM(AQ$87:AQ$94)</f>
        <v>142811.64090991218</v>
      </c>
      <c r="I136" s="106">
        <f>SUM(AS$87:AS$94)+SUM(AU$87:AU$94)+SUM(AW$87:AW$94)+SUM(AY$87:AY$94)</f>
        <v>198587.88649856337</v>
      </c>
      <c r="J136" s="106">
        <f>SUM(BA$87:BA$94)+SUM(BC$87:BC$94)+SUM(BE$87:BE$94)+SUM(BG$87:BG$94)</f>
        <v>127864.62702386823</v>
      </c>
      <c r="K136" s="106">
        <f>SUM(BI$87:BI$94)+SUM(BK$87:BK$94)+SUM(BM$87:BM$94)+SUM(BO$87:BO$94)</f>
        <v>197878.10967285797</v>
      </c>
      <c r="L136" s="106">
        <f>SUM(BQ$87:BQ$94)+SUM(BS$87:BS$94)+SUM(BU$87:BU$94)+SUM(BW$87:BW$94)</f>
        <v>159393.74349517448</v>
      </c>
      <c r="M136" s="106">
        <f>SUM(BY$87:BY$94)+SUM(CA$87:CA$94)+SUM(CC$87:CC$94)+SUM(CE$87:CE$94)</f>
        <v>151025.44068426959</v>
      </c>
      <c r="N136" s="106">
        <f>SUM(CG$87:CG$94)+SUM(CI$87:CI$94)+SUM(CK$87:CK$94)+SUM(CM$87:CM$94)</f>
        <v>222633.27650934012</v>
      </c>
      <c r="O136" s="106">
        <f>SUM(CO$87:CO$94)+SUM(CQ$87:CQ$94)+SUM(CS$87:CS$94)+SUM(CU$87:CU$94)</f>
        <v>193521.43121067926</v>
      </c>
    </row>
    <row r="137" spans="2:15">
      <c r="C137" s="105" t="s">
        <v>132</v>
      </c>
      <c r="D137" s="106">
        <f>SUM(E$95:E$105)+SUM(G$95:G$105)+SUM(I$95:I$105)+SUM(K$95:K$105)</f>
        <v>229890.82264779037</v>
      </c>
      <c r="E137" s="106">
        <f>SUM(M$95:M$105)+SUM(O$95:O$105)+SUM(Q$95:Q$105)+SUM(S$95:S$105)</f>
        <v>202935.86467254773</v>
      </c>
      <c r="F137" s="106">
        <f>SUM(U$95:U$105)+SUM(W$95:W$105)+SUM(Y$95:Y$105)+SUM(AA$95:AA$105)</f>
        <v>323099.23330908245</v>
      </c>
      <c r="G137" s="106">
        <f>SUM(AC$95:AC$105)+SUM(AE$95:AE$105)+SUM(AG$95:AG$105)+SUM(AI$95:AI$105)</f>
        <v>276772.48276396311</v>
      </c>
      <c r="H137" s="106">
        <f>SUM(AK$95:AK$105)+SUM(AM$95:AM$105)+SUM(AO$95:AO$105)+SUM(AQ$95:AQ$105)</f>
        <v>249654.3479411586</v>
      </c>
      <c r="I137" s="106">
        <f>SUM(AS$95:AS$105)+SUM(AU$95:AU$105)+SUM(AW$95:AW$105)+SUM(AY$95:AY$105)</f>
        <v>323375.36835299124</v>
      </c>
      <c r="J137" s="106">
        <f>SUM(BA$95:BA$105)+SUM(BC$95:BC$105)+SUM(BE$95:BE$105)+SUM(BG$95:BG$105)</f>
        <v>180515.9341892848</v>
      </c>
      <c r="K137" s="106">
        <f>SUM(BI$95:BI$105)+SUM(BK$95:BK$105)+SUM(BM$95:BM$105)+SUM(BO$95:BO$105)</f>
        <v>285922.92420437658</v>
      </c>
      <c r="L137" s="106">
        <f>SUM(BQ$95:BQ$105)+SUM(BS$95:BS$105)+SUM(BU$95:BU$105)+SUM(BW$95:BW$105)</f>
        <v>262197.40929907316</v>
      </c>
      <c r="M137" s="106">
        <f>SUM(BY$95:BY$105)+SUM(CA$95:CA$105)+SUM(CC$95:CC$105)+SUM(CE$95:CE$105)</f>
        <v>209307.08991129411</v>
      </c>
      <c r="N137" s="106">
        <f>SUM(CG$95:CG$105)+SUM(CI$95:CI$105)+SUM(CK$95:CK$105)+SUM(CM$95:CM$105)</f>
        <v>295670.44446526997</v>
      </c>
      <c r="O137" s="106">
        <f>SUM(CO$95:CO$105)+SUM(CQ$95:CQ$105)+SUM(CS$95:CS$105)+SUM(CU$95:CU$105)</f>
        <v>268793.26471911767</v>
      </c>
    </row>
    <row r="138" spans="2:15">
      <c r="C138" s="105" t="s">
        <v>278</v>
      </c>
      <c r="D138" s="100">
        <f t="shared" ref="D138:O138" si="2">SUM(D$131:D$137)</f>
        <v>1773822.9797667572</v>
      </c>
      <c r="E138" s="100">
        <f t="shared" si="2"/>
        <v>2419955.4610400889</v>
      </c>
      <c r="F138" s="100">
        <f t="shared" si="2"/>
        <v>1943213.7029414577</v>
      </c>
      <c r="G138" s="100">
        <f t="shared" si="2"/>
        <v>1739402.2416699119</v>
      </c>
      <c r="H138" s="100">
        <f t="shared" si="2"/>
        <v>1222373.7923172144</v>
      </c>
      <c r="I138" s="100">
        <f t="shared" si="2"/>
        <v>2069221.2056675756</v>
      </c>
      <c r="J138" s="100">
        <f t="shared" si="2"/>
        <v>2014518.185811149</v>
      </c>
      <c r="K138" s="100">
        <f t="shared" si="2"/>
        <v>1759172.0252403731</v>
      </c>
      <c r="L138" s="100">
        <f t="shared" si="2"/>
        <v>1751781.3413919378</v>
      </c>
      <c r="M138" s="100">
        <f t="shared" si="2"/>
        <v>2305745.5717910468</v>
      </c>
      <c r="N138" s="100">
        <f t="shared" si="2"/>
        <v>2160447.6357878791</v>
      </c>
      <c r="O138" s="100">
        <f t="shared" si="2"/>
        <v>1973358.9205995009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Alex</cp:lastModifiedBy>
  <dcterms:created xsi:type="dcterms:W3CDTF">2003-07-09T21:14:27Z</dcterms:created>
  <dcterms:modified xsi:type="dcterms:W3CDTF">2015-01-12T21:25:04Z</dcterms:modified>
</cp:coreProperties>
</file>