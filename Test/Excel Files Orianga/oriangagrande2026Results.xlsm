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H38" i="20"/>
  <c r="H35" i="20"/>
  <c r="S42" i="20"/>
  <c r="H34" i="20"/>
  <c r="S39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S10" i="2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177" i="14"/>
  <c r="AX175" i="14"/>
  <c r="AX260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260" i="14"/>
  <c r="AV177" i="14"/>
  <c r="AV175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177" i="14"/>
  <c r="AT175" i="14"/>
  <c r="AS259" i="14"/>
  <c r="AT14" i="14"/>
  <c r="AS181" i="14"/>
  <c r="AS179" i="14"/>
  <c r="AS260" i="14"/>
  <c r="AS177" i="14"/>
  <c r="AS175" i="14"/>
  <c r="AR259" i="14"/>
  <c r="AS14" i="14"/>
  <c r="AR181" i="14"/>
  <c r="AR179" i="14"/>
  <c r="AR177" i="14"/>
  <c r="AR260" i="14"/>
  <c r="AR175" i="14"/>
  <c r="AQ259" i="14"/>
  <c r="AR14" i="14"/>
  <c r="AQ181" i="14"/>
  <c r="AQ179" i="14"/>
  <c r="AQ177" i="14"/>
  <c r="AQ175" i="14"/>
  <c r="AQ14" i="14"/>
  <c r="AP259" i="14"/>
  <c r="AP181" i="14"/>
  <c r="AP179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260" i="14"/>
  <c r="AN175" i="14"/>
  <c r="AN14" i="14"/>
  <c r="AM259" i="14"/>
  <c r="AM181" i="14"/>
  <c r="AM179" i="14"/>
  <c r="AM177" i="14"/>
  <c r="AM175" i="14"/>
  <c r="AM260" i="14"/>
  <c r="AM14" i="14"/>
  <c r="AL259" i="14"/>
  <c r="AL181" i="14"/>
  <c r="AL179" i="14"/>
  <c r="AL177" i="14"/>
  <c r="AL175" i="14"/>
  <c r="AL260" i="14"/>
  <c r="AK259" i="14"/>
  <c r="AL14" i="14"/>
  <c r="AK181" i="14"/>
  <c r="AK179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H260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260" i="14"/>
  <c r="AF177" i="14"/>
  <c r="AF175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260" i="14"/>
  <c r="AD177" i="14"/>
  <c r="AD175" i="14"/>
  <c r="AC259" i="14"/>
  <c r="AD14" i="14"/>
  <c r="AC181" i="14"/>
  <c r="AC179" i="14"/>
  <c r="AC177" i="14"/>
  <c r="AC175" i="14"/>
  <c r="AC14" i="14"/>
  <c r="AB259" i="14"/>
  <c r="AB181" i="14"/>
  <c r="AB179" i="14"/>
  <c r="AB260" i="14"/>
  <c r="AB177" i="14"/>
  <c r="AB175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Z260" i="14"/>
  <c r="Y259" i="14"/>
  <c r="Z14" i="14"/>
  <c r="Y181" i="14"/>
  <c r="Y179" i="14"/>
  <c r="Y260" i="14"/>
  <c r="Y177" i="14"/>
  <c r="Y175" i="14"/>
  <c r="X259" i="14"/>
  <c r="Y14" i="14"/>
  <c r="X181" i="14"/>
  <c r="X179" i="14"/>
  <c r="X260" i="14"/>
  <c r="X177" i="14"/>
  <c r="X175" i="14"/>
  <c r="X14" i="14"/>
  <c r="W259" i="14"/>
  <c r="W181" i="14"/>
  <c r="W179" i="14"/>
  <c r="W177" i="14"/>
  <c r="W175" i="14"/>
  <c r="V260" i="14"/>
  <c r="W14" i="14"/>
  <c r="V259" i="14"/>
  <c r="V181" i="14"/>
  <c r="V179" i="14"/>
  <c r="V177" i="14"/>
  <c r="V175" i="14"/>
  <c r="U259" i="14"/>
  <c r="V14" i="14"/>
  <c r="U181" i="14"/>
  <c r="U179" i="14"/>
  <c r="U177" i="14"/>
  <c r="U175" i="14"/>
  <c r="T260" i="14"/>
  <c r="U14" i="14"/>
  <c r="T259" i="14"/>
  <c r="T181" i="14"/>
  <c r="T179" i="14"/>
  <c r="T177" i="14"/>
  <c r="T175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260" i="14"/>
  <c r="P175" i="14"/>
  <c r="P14" i="14"/>
  <c r="O259" i="14"/>
  <c r="O181" i="14"/>
  <c r="O179" i="14"/>
  <c r="O177" i="14"/>
  <c r="O175" i="14"/>
  <c r="O14" i="14"/>
  <c r="N259" i="14"/>
  <c r="N181" i="14"/>
  <c r="N179" i="14"/>
  <c r="N177" i="14"/>
  <c r="N175" i="14"/>
  <c r="N260" i="14"/>
  <c r="M259" i="14"/>
  <c r="N14" i="14"/>
  <c r="M181" i="14"/>
  <c r="M179" i="14"/>
  <c r="M177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I259" i="14"/>
  <c r="J14" i="14"/>
  <c r="I181" i="14"/>
  <c r="I179" i="14"/>
  <c r="I260" i="14"/>
  <c r="I177" i="14"/>
  <c r="I175" i="14"/>
  <c r="H259" i="14"/>
  <c r="I14" i="14"/>
  <c r="H181" i="14"/>
  <c r="H179" i="14"/>
  <c r="H177" i="14"/>
  <c r="H260" i="14"/>
  <c r="H175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F260" i="14"/>
  <c r="E259" i="14"/>
  <c r="F14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260" i="15"/>
  <c r="AV177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260" i="15"/>
  <c r="AT177" i="15"/>
  <c r="AT175" i="15"/>
  <c r="AS259" i="15"/>
  <c r="AT14" i="15"/>
  <c r="AS181" i="15"/>
  <c r="AS179" i="15"/>
  <c r="AS177" i="15"/>
  <c r="AS175" i="15"/>
  <c r="AS14" i="15"/>
  <c r="AR259" i="15"/>
  <c r="AR181" i="15"/>
  <c r="AR179" i="15"/>
  <c r="AR260" i="15"/>
  <c r="AR177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P260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260" i="15"/>
  <c r="AN177" i="15"/>
  <c r="AN175" i="15"/>
  <c r="AN14" i="15"/>
  <c r="AM259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J260" i="15"/>
  <c r="AK14" i="15"/>
  <c r="AJ259" i="15"/>
  <c r="AJ181" i="15"/>
  <c r="AJ179" i="15"/>
  <c r="AJ177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260" i="15"/>
  <c r="AF175" i="15"/>
  <c r="AF14" i="15"/>
  <c r="AE259" i="15"/>
  <c r="AE181" i="15"/>
  <c r="AE179" i="15"/>
  <c r="AE177" i="15"/>
  <c r="AE175" i="15"/>
  <c r="AE14" i="15"/>
  <c r="AD259" i="15"/>
  <c r="AD181" i="15"/>
  <c r="AD179" i="15"/>
  <c r="AD177" i="15"/>
  <c r="AD175" i="15"/>
  <c r="AD260" i="15"/>
  <c r="AC259" i="15"/>
  <c r="AD14" i="15"/>
  <c r="AC181" i="15"/>
  <c r="AC179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260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V260" i="15"/>
  <c r="U259" i="15"/>
  <c r="V14" i="15"/>
  <c r="U181" i="15"/>
  <c r="U179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R260" i="15"/>
  <c r="Q259" i="15"/>
  <c r="R14" i="15"/>
  <c r="Q181" i="15"/>
  <c r="Q179" i="15"/>
  <c r="Q260" i="15"/>
  <c r="Q177" i="15"/>
  <c r="Q175" i="15"/>
  <c r="P259" i="15"/>
  <c r="Q14" i="15"/>
  <c r="P181" i="15"/>
  <c r="P179" i="15"/>
  <c r="P260" i="15"/>
  <c r="P177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260" i="15"/>
  <c r="N177" i="15"/>
  <c r="N175" i="15"/>
  <c r="M259" i="15"/>
  <c r="N14" i="15"/>
  <c r="M181" i="15"/>
  <c r="M179" i="15"/>
  <c r="M177" i="15"/>
  <c r="M175" i="15"/>
  <c r="M14" i="15"/>
  <c r="L259" i="15"/>
  <c r="L181" i="15"/>
  <c r="L179" i="15"/>
  <c r="L260" i="15"/>
  <c r="L177" i="15"/>
  <c r="L175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J260" i="15"/>
  <c r="I259" i="15"/>
  <c r="J14" i="15"/>
  <c r="I181" i="15"/>
  <c r="I179" i="15"/>
  <c r="I260" i="15"/>
  <c r="I177" i="15"/>
  <c r="I175" i="15"/>
  <c r="H259" i="15"/>
  <c r="I14" i="15"/>
  <c r="H181" i="15"/>
  <c r="H179" i="15"/>
  <c r="H260" i="15"/>
  <c r="H177" i="15"/>
  <c r="H175" i="15"/>
  <c r="H14" i="15"/>
  <c r="G259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175" i="15"/>
  <c r="D260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260" i="16"/>
  <c r="AV175" i="16"/>
  <c r="AV14" i="16"/>
  <c r="AU259" i="16"/>
  <c r="AU181" i="16"/>
  <c r="AU179" i="16"/>
  <c r="AU177" i="16"/>
  <c r="AU175" i="16"/>
  <c r="AU14" i="16"/>
  <c r="AT259" i="16"/>
  <c r="AT181" i="16"/>
  <c r="AT179" i="16"/>
  <c r="AT177" i="16"/>
  <c r="AT175" i="16"/>
  <c r="AT260" i="16"/>
  <c r="AS259" i="16"/>
  <c r="AT14" i="16"/>
  <c r="AS181" i="16"/>
  <c r="AS179" i="16"/>
  <c r="AS177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O259" i="16"/>
  <c r="AP14" i="16"/>
  <c r="AO181" i="16"/>
  <c r="AO179" i="16"/>
  <c r="AO260" i="16"/>
  <c r="AO177" i="16"/>
  <c r="AO175" i="16"/>
  <c r="AN259" i="16"/>
  <c r="AO14" i="16"/>
  <c r="AN181" i="16"/>
  <c r="AN179" i="16"/>
  <c r="AN177" i="16"/>
  <c r="AN260" i="16"/>
  <c r="AN175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L260" i="16"/>
  <c r="AK259" i="16"/>
  <c r="AL14" i="16"/>
  <c r="AK181" i="16"/>
  <c r="AK179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H260" i="16"/>
  <c r="AG259" i="16"/>
  <c r="AH14" i="16"/>
  <c r="AG181" i="16"/>
  <c r="AG179" i="16"/>
  <c r="AG260" i="16"/>
  <c r="AG177" i="16"/>
  <c r="AG175" i="16"/>
  <c r="AF259" i="16"/>
  <c r="AG14" i="16"/>
  <c r="AF181" i="16"/>
  <c r="AF179" i="16"/>
  <c r="AF260" i="16"/>
  <c r="AF177" i="16"/>
  <c r="AF175" i="16"/>
  <c r="AF14" i="16"/>
  <c r="AE259" i="16"/>
  <c r="AE181" i="16"/>
  <c r="AE179" i="16"/>
  <c r="AE177" i="16"/>
  <c r="AE175" i="16"/>
  <c r="AE260" i="16"/>
  <c r="AE14" i="16"/>
  <c r="AD259" i="16"/>
  <c r="AD181" i="16"/>
  <c r="AD179" i="16"/>
  <c r="AD260" i="16"/>
  <c r="AD177" i="16"/>
  <c r="AD175" i="16"/>
  <c r="AC259" i="16"/>
  <c r="AD14" i="16"/>
  <c r="AC181" i="16"/>
  <c r="AC179" i="16"/>
  <c r="AC177" i="16"/>
  <c r="AC175" i="16"/>
  <c r="AC14" i="16"/>
  <c r="AB259" i="16"/>
  <c r="AB181" i="16"/>
  <c r="AB179" i="16"/>
  <c r="AB260" i="16"/>
  <c r="AB177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260" i="16"/>
  <c r="Y259" i="16"/>
  <c r="Z14" i="16"/>
  <c r="Y181" i="16"/>
  <c r="Y179" i="16"/>
  <c r="Y260" i="16"/>
  <c r="Y177" i="16"/>
  <c r="Y175" i="16"/>
  <c r="X259" i="16"/>
  <c r="Y14" i="16"/>
  <c r="X181" i="16"/>
  <c r="X179" i="16"/>
  <c r="X260" i="16"/>
  <c r="X177" i="16"/>
  <c r="X175" i="16"/>
  <c r="X14" i="16"/>
  <c r="W259" i="16"/>
  <c r="W181" i="16"/>
  <c r="W179" i="16"/>
  <c r="W177" i="16"/>
  <c r="W175" i="16"/>
  <c r="V260" i="16"/>
  <c r="W14" i="16"/>
  <c r="V259" i="16"/>
  <c r="V181" i="16"/>
  <c r="V179" i="16"/>
  <c r="V177" i="16"/>
  <c r="V175" i="16"/>
  <c r="U259" i="16"/>
  <c r="V14" i="16"/>
  <c r="U181" i="16"/>
  <c r="U179" i="16"/>
  <c r="U177" i="16"/>
  <c r="U175" i="16"/>
  <c r="T260" i="16"/>
  <c r="U14" i="16"/>
  <c r="T259" i="16"/>
  <c r="T181" i="16"/>
  <c r="T179" i="16"/>
  <c r="T177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Q259" i="16"/>
  <c r="R14" i="16"/>
  <c r="Q181" i="16"/>
  <c r="Q179" i="16"/>
  <c r="Q260" i="16"/>
  <c r="Q177" i="16"/>
  <c r="Q175" i="16"/>
  <c r="P259" i="16"/>
  <c r="Q14" i="16"/>
  <c r="P181" i="16"/>
  <c r="P179" i="16"/>
  <c r="P177" i="16"/>
  <c r="P260" i="16"/>
  <c r="P175" i="16"/>
  <c r="P14" i="16"/>
  <c r="O259" i="16"/>
  <c r="O181" i="16"/>
  <c r="O179" i="16"/>
  <c r="O177" i="16"/>
  <c r="O175" i="16"/>
  <c r="O14" i="16"/>
  <c r="N259" i="16"/>
  <c r="N181" i="16"/>
  <c r="N179" i="16"/>
  <c r="N177" i="16"/>
  <c r="N175" i="16"/>
  <c r="N260" i="16"/>
  <c r="M259" i="16"/>
  <c r="N14" i="16"/>
  <c r="M181" i="16"/>
  <c r="M179" i="16"/>
  <c r="M177" i="16"/>
  <c r="M175" i="16"/>
  <c r="M14" i="16"/>
  <c r="L259" i="16"/>
  <c r="L181" i="16"/>
  <c r="L179" i="16"/>
  <c r="L177" i="16"/>
  <c r="L175" i="16"/>
  <c r="L260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I259" i="16"/>
  <c r="J14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F260" i="16"/>
  <c r="E259" i="16"/>
  <c r="F14" i="16"/>
  <c r="E181" i="16"/>
  <c r="E179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0" i="17"/>
  <c r="AX13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0" i="17"/>
  <c r="AV13" i="17"/>
  <c r="AV17" i="17"/>
  <c r="AV29" i="17"/>
  <c r="AU14" i="17"/>
  <c r="AU10" i="17"/>
  <c r="AU15" i="17"/>
  <c r="AU16" i="17"/>
  <c r="AU13" i="17"/>
  <c r="AU17" i="17"/>
  <c r="AU29" i="17"/>
  <c r="AT14" i="17"/>
  <c r="AT10" i="17"/>
  <c r="AT13" i="17"/>
  <c r="AT15" i="17"/>
  <c r="AT16" i="17"/>
  <c r="AT17" i="17"/>
  <c r="AT29" i="17"/>
  <c r="AS14" i="17"/>
  <c r="AS15" i="17"/>
  <c r="AS16" i="17"/>
  <c r="AS10" i="17"/>
  <c r="AS13" i="17"/>
  <c r="AS17" i="17"/>
  <c r="AS21" i="17"/>
  <c r="AS29" i="17"/>
  <c r="AR14" i="17"/>
  <c r="AR15" i="17"/>
  <c r="AR16" i="17"/>
  <c r="AR10" i="17"/>
  <c r="AR13" i="17"/>
  <c r="AR17" i="17"/>
  <c r="AR22" i="17"/>
  <c r="AR29" i="17"/>
  <c r="AQ14" i="17"/>
  <c r="AQ10" i="17"/>
  <c r="AQ13" i="17"/>
  <c r="AQ15" i="17"/>
  <c r="AQ16" i="17"/>
  <c r="AQ17" i="17"/>
  <c r="AQ29" i="17"/>
  <c r="AP16" i="17"/>
  <c r="AP21" i="17"/>
  <c r="AP22" i="17"/>
  <c r="AP29" i="17"/>
  <c r="AP55" i="17"/>
  <c r="AO14" i="17"/>
  <c r="AP15" i="17"/>
  <c r="AO15" i="17"/>
  <c r="AO16" i="17"/>
  <c r="AP17" i="17"/>
  <c r="AO10" i="17"/>
  <c r="AO13" i="17"/>
  <c r="AP14" i="17"/>
  <c r="AO17" i="17"/>
  <c r="AO29" i="17"/>
  <c r="AN14" i="17"/>
  <c r="AN10" i="17"/>
  <c r="AN13" i="17"/>
  <c r="AN15" i="17"/>
  <c r="AN16" i="17"/>
  <c r="AN17" i="17"/>
  <c r="AN29" i="17"/>
  <c r="AM14" i="17"/>
  <c r="AM15" i="17"/>
  <c r="AM16" i="17"/>
  <c r="AM10" i="17"/>
  <c r="AM13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2" i="17"/>
  <c r="AK29" i="17"/>
  <c r="AJ14" i="17"/>
  <c r="AJ10" i="17"/>
  <c r="AJ13" i="17"/>
  <c r="AK21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0" i="17"/>
  <c r="AH13" i="17"/>
  <c r="AH17" i="17"/>
  <c r="AH29" i="17"/>
  <c r="AG14" i="17"/>
  <c r="AG10" i="17"/>
  <c r="AG13" i="17"/>
  <c r="AG15" i="17"/>
  <c r="AG16" i="17"/>
  <c r="AG17" i="17"/>
  <c r="AG29" i="17"/>
  <c r="AF14" i="17"/>
  <c r="AF15" i="17"/>
  <c r="AF16" i="17"/>
  <c r="AF17" i="17"/>
  <c r="AF29" i="17"/>
  <c r="AE14" i="17"/>
  <c r="AE15" i="17"/>
  <c r="AE16" i="17"/>
  <c r="AE10" i="17"/>
  <c r="AE13" i="17"/>
  <c r="AE17" i="17"/>
  <c r="AE29" i="17"/>
  <c r="AD14" i="17"/>
  <c r="AD10" i="17"/>
  <c r="AD13" i="17"/>
  <c r="AD15" i="17"/>
  <c r="AD16" i="17"/>
  <c r="AD17" i="17"/>
  <c r="AD29" i="17"/>
  <c r="AD44" i="17"/>
  <c r="AC14" i="17"/>
  <c r="AC15" i="17"/>
  <c r="AC16" i="17"/>
  <c r="AC10" i="17"/>
  <c r="AC13" i="17"/>
  <c r="AC17" i="17"/>
  <c r="AC29" i="17"/>
  <c r="AB14" i="17"/>
  <c r="AB10" i="17"/>
  <c r="AB13" i="17"/>
  <c r="AB15" i="17"/>
  <c r="AB16" i="17"/>
  <c r="AB17" i="17"/>
  <c r="AB29" i="17"/>
  <c r="AA14" i="17"/>
  <c r="AA15" i="17"/>
  <c r="AA16" i="17"/>
  <c r="AA10" i="17"/>
  <c r="AA13" i="17"/>
  <c r="AA17" i="17"/>
  <c r="AA21" i="17"/>
  <c r="AA29" i="17"/>
  <c r="Z14" i="17"/>
  <c r="Z10" i="17"/>
  <c r="Z15" i="17"/>
  <c r="Z16" i="17"/>
  <c r="Z13" i="17"/>
  <c r="AA22" i="17"/>
  <c r="Z17" i="17"/>
  <c r="Z29" i="17"/>
  <c r="Y14" i="17"/>
  <c r="Y15" i="17"/>
  <c r="Y16" i="17"/>
  <c r="Y10" i="17"/>
  <c r="Y13" i="17"/>
  <c r="Y17" i="17"/>
  <c r="Y29" i="17"/>
  <c r="X14" i="17"/>
  <c r="X15" i="17"/>
  <c r="X10" i="17"/>
  <c r="X13" i="17"/>
  <c r="X16" i="17"/>
  <c r="X17" i="17"/>
  <c r="X29" i="17"/>
  <c r="W14" i="17"/>
  <c r="W15" i="17"/>
  <c r="W16" i="17"/>
  <c r="W10" i="17"/>
  <c r="W13" i="17"/>
  <c r="X22" i="17"/>
  <c r="W17" i="17"/>
  <c r="W29" i="17"/>
  <c r="V14" i="17"/>
  <c r="V15" i="17"/>
  <c r="V10" i="17"/>
  <c r="V13" i="17"/>
  <c r="V16" i="17"/>
  <c r="V17" i="17"/>
  <c r="V29" i="17"/>
  <c r="U14" i="17"/>
  <c r="U15" i="17"/>
  <c r="U16" i="17"/>
  <c r="U10" i="17"/>
  <c r="U13" i="17"/>
  <c r="U17" i="17"/>
  <c r="U29" i="17"/>
  <c r="T14" i="17"/>
  <c r="T15" i="17"/>
  <c r="T10" i="17"/>
  <c r="T13" i="17"/>
  <c r="T16" i="17"/>
  <c r="T17" i="17"/>
  <c r="T29" i="17"/>
  <c r="S14" i="17"/>
  <c r="S15" i="17"/>
  <c r="S16" i="17"/>
  <c r="S10" i="17"/>
  <c r="S13" i="17"/>
  <c r="S17" i="17"/>
  <c r="S22" i="17"/>
  <c r="S34" i="17"/>
  <c r="S40" i="17"/>
  <c r="S29" i="17"/>
  <c r="R14" i="17"/>
  <c r="R15" i="17"/>
  <c r="R10" i="17"/>
  <c r="R13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0" i="17"/>
  <c r="P13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0" i="17"/>
  <c r="G13" i="17"/>
  <c r="G17" i="17"/>
  <c r="G21" i="17"/>
  <c r="G22" i="17"/>
  <c r="G29" i="17"/>
  <c r="G55" i="17"/>
  <c r="F14" i="17"/>
  <c r="F15" i="17"/>
  <c r="F16" i="17"/>
  <c r="F10" i="17"/>
  <c r="F13" i="17"/>
  <c r="F17" i="17"/>
  <c r="F21" i="17"/>
  <c r="F29" i="17"/>
  <c r="E14" i="17"/>
  <c r="E15" i="17"/>
  <c r="E16" i="17"/>
  <c r="E10" i="17"/>
  <c r="E13" i="17"/>
  <c r="F22" i="17"/>
  <c r="E17" i="17"/>
  <c r="E29" i="17"/>
  <c r="D14" i="17"/>
  <c r="D15" i="17"/>
  <c r="D16" i="17"/>
  <c r="D10" i="17"/>
  <c r="D17" i="17"/>
  <c r="D22" i="17"/>
  <c r="D27" i="17"/>
  <c r="D29" i="17"/>
  <c r="AY14" i="18"/>
  <c r="AY15" i="18"/>
  <c r="AY16" i="18"/>
  <c r="AY10" i="18"/>
  <c r="AY13" i="18"/>
  <c r="AY17" i="18"/>
  <c r="AY29" i="18"/>
  <c r="AX14" i="18"/>
  <c r="AX15" i="18"/>
  <c r="AX16" i="18"/>
  <c r="AX10" i="18"/>
  <c r="AX13" i="18"/>
  <c r="AX17" i="18"/>
  <c r="AX21" i="18"/>
  <c r="AX29" i="18"/>
  <c r="AW14" i="18"/>
  <c r="AW15" i="18"/>
  <c r="AW16" i="18"/>
  <c r="AW10" i="18"/>
  <c r="AW13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2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T22" i="18"/>
  <c r="AT34" i="18"/>
  <c r="AT40" i="18"/>
  <c r="AS17" i="18"/>
  <c r="AS29" i="18"/>
  <c r="AR14" i="18"/>
  <c r="AR15" i="18"/>
  <c r="AR16" i="18"/>
  <c r="AR10" i="18"/>
  <c r="AR13" i="18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0" i="18"/>
  <c r="AP13" i="18"/>
  <c r="AP17" i="18"/>
  <c r="AP21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2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L22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1" i="18"/>
  <c r="AH29" i="18"/>
  <c r="AG15" i="18"/>
  <c r="AG16" i="18"/>
  <c r="AG21" i="18"/>
  <c r="AG22" i="18"/>
  <c r="AG29" i="18"/>
  <c r="AG55" i="18"/>
  <c r="AF14" i="18"/>
  <c r="AF15" i="18"/>
  <c r="AF16" i="18"/>
  <c r="AG17" i="18"/>
  <c r="AF10" i="18"/>
  <c r="AF13" i="18"/>
  <c r="AG14" i="18"/>
  <c r="AG10" i="18"/>
  <c r="AG13" i="18"/>
  <c r="AF17" i="18"/>
  <c r="AF21" i="18"/>
  <c r="AF29" i="18"/>
  <c r="AE14" i="18"/>
  <c r="AE15" i="18"/>
  <c r="AE16" i="18"/>
  <c r="AE10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2" i="18"/>
  <c r="AC29" i="18"/>
  <c r="AB14" i="18"/>
  <c r="AB15" i="18"/>
  <c r="AB16" i="18"/>
  <c r="AB10" i="18"/>
  <c r="AB13" i="18"/>
  <c r="AB17" i="18"/>
  <c r="AB21" i="18"/>
  <c r="AB29" i="18"/>
  <c r="AA14" i="18"/>
  <c r="AA15" i="18"/>
  <c r="AA16" i="18"/>
  <c r="AA10" i="18"/>
  <c r="AA13" i="18"/>
  <c r="AB22" i="18"/>
  <c r="AA17" i="18"/>
  <c r="AA29" i="18"/>
  <c r="Z21" i="18"/>
  <c r="Z22" i="18"/>
  <c r="Z29" i="18"/>
  <c r="Z55" i="18"/>
  <c r="Y16" i="18"/>
  <c r="Z17" i="18"/>
  <c r="Y21" i="18"/>
  <c r="Y22" i="18"/>
  <c r="Y29" i="18"/>
  <c r="Y44" i="18"/>
  <c r="Y45" i="18"/>
  <c r="Y51" i="18"/>
  <c r="Y55" i="18"/>
  <c r="Y61" i="18"/>
  <c r="X14" i="18"/>
  <c r="Y15" i="18"/>
  <c r="Z16" i="18"/>
  <c r="X15" i="18"/>
  <c r="X16" i="18"/>
  <c r="Y17" i="18"/>
  <c r="X10" i="18"/>
  <c r="X13" i="18"/>
  <c r="Y14" i="18"/>
  <c r="Z15" i="18"/>
  <c r="X17" i="18"/>
  <c r="X29" i="18"/>
  <c r="W16" i="18"/>
  <c r="W21" i="18"/>
  <c r="W22" i="18"/>
  <c r="W29" i="18"/>
  <c r="W34" i="18"/>
  <c r="W40" i="18"/>
  <c r="W45" i="18"/>
  <c r="W51" i="18"/>
  <c r="V14" i="18"/>
  <c r="W15" i="18"/>
  <c r="V15" i="18"/>
  <c r="V16" i="18"/>
  <c r="W17" i="18"/>
  <c r="V10" i="18"/>
  <c r="V13" i="18"/>
  <c r="W14" i="18"/>
  <c r="V17" i="18"/>
  <c r="V29" i="18"/>
  <c r="U14" i="18"/>
  <c r="U15" i="18"/>
  <c r="U16" i="18"/>
  <c r="U10" i="18"/>
  <c r="U13" i="18"/>
  <c r="U17" i="18"/>
  <c r="U29" i="18"/>
  <c r="T14" i="18"/>
  <c r="T15" i="18"/>
  <c r="T16" i="18"/>
  <c r="T10" i="18"/>
  <c r="T13" i="18"/>
  <c r="T17" i="18"/>
  <c r="T29" i="18"/>
  <c r="S14" i="18"/>
  <c r="S15" i="18"/>
  <c r="S16" i="18"/>
  <c r="S10" i="18"/>
  <c r="S13" i="18"/>
  <c r="S17" i="18"/>
  <c r="S29" i="18"/>
  <c r="R14" i="18"/>
  <c r="R15" i="18"/>
  <c r="R16" i="18"/>
  <c r="R10" i="18"/>
  <c r="R13" i="18"/>
  <c r="R17" i="18"/>
  <c r="R29" i="18"/>
  <c r="Q14" i="18"/>
  <c r="Q15" i="18"/>
  <c r="Q16" i="18"/>
  <c r="Q10" i="18"/>
  <c r="Q13" i="18"/>
  <c r="Q17" i="18"/>
  <c r="Q29" i="18"/>
  <c r="P14" i="18"/>
  <c r="P15" i="18"/>
  <c r="P16" i="18"/>
  <c r="P10" i="18"/>
  <c r="P13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7" i="18"/>
  <c r="N29" i="18"/>
  <c r="M14" i="18"/>
  <c r="M15" i="18"/>
  <c r="M16" i="18"/>
  <c r="M17" i="18"/>
  <c r="M29" i="18"/>
  <c r="L14" i="18"/>
  <c r="L10" i="18"/>
  <c r="L13" i="18"/>
  <c r="M22" i="18"/>
  <c r="L15" i="18"/>
  <c r="L16" i="18"/>
  <c r="L17" i="18"/>
  <c r="L21" i="18"/>
  <c r="L29" i="18"/>
  <c r="L44" i="18"/>
  <c r="K14" i="18"/>
  <c r="K10" i="18"/>
  <c r="K13" i="18"/>
  <c r="K15" i="18"/>
  <c r="K16" i="18"/>
  <c r="K17" i="18"/>
  <c r="K29" i="18"/>
  <c r="J14" i="18"/>
  <c r="J15" i="18"/>
  <c r="J16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9" i="18"/>
  <c r="D14" i="18"/>
  <c r="D15" i="18"/>
  <c r="D16" i="18"/>
  <c r="D17" i="18"/>
  <c r="AZ17" i="18"/>
  <c r="D21" i="18"/>
  <c r="D27" i="18"/>
  <c r="D30" i="18"/>
  <c r="D29" i="18"/>
  <c r="D33" i="18"/>
  <c r="D44" i="18"/>
  <c r="B21" i="17"/>
  <c r="AD21" i="17"/>
  <c r="B21" i="18"/>
  <c r="AT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D22" i="18"/>
  <c r="B22" i="17"/>
  <c r="Q22" i="17"/>
  <c r="AT23" i="18"/>
  <c r="AT33" i="18"/>
  <c r="AT55" i="18"/>
  <c r="AT44" i="18"/>
  <c r="M45" i="18"/>
  <c r="M51" i="18"/>
  <c r="M56" i="18"/>
  <c r="M62" i="18"/>
  <c r="M24" i="18"/>
  <c r="AB56" i="18"/>
  <c r="AB62" i="18"/>
  <c r="AB24" i="18"/>
  <c r="AB45" i="18"/>
  <c r="AB51" i="18"/>
  <c r="AJ21" i="18"/>
  <c r="AJ22" i="18"/>
  <c r="AS21" i="18"/>
  <c r="AS22" i="18"/>
  <c r="H22" i="17"/>
  <c r="H21" i="17"/>
  <c r="J21" i="17"/>
  <c r="J22" i="17"/>
  <c r="X56" i="17"/>
  <c r="X62" i="17"/>
  <c r="X24" i="17"/>
  <c r="X34" i="17"/>
  <c r="X40" i="17"/>
  <c r="X45" i="17"/>
  <c r="X51" i="17"/>
  <c r="AD50" i="17"/>
  <c r="AB34" i="18"/>
  <c r="AB40" i="18"/>
  <c r="AX23" i="18"/>
  <c r="AX33" i="18"/>
  <c r="AX55" i="18"/>
  <c r="AX44" i="18"/>
  <c r="X21" i="17"/>
  <c r="AD33" i="17"/>
  <c r="AD23" i="17"/>
  <c r="AD55" i="17"/>
  <c r="D50" i="18"/>
  <c r="D39" i="18"/>
  <c r="D55" i="18"/>
  <c r="D23" i="18"/>
  <c r="D10" i="18"/>
  <c r="E10" i="18"/>
  <c r="E13" i="18"/>
  <c r="F10" i="18"/>
  <c r="F13" i="18"/>
  <c r="G10" i="18"/>
  <c r="G13" i="18"/>
  <c r="H10" i="18"/>
  <c r="H13" i="18"/>
  <c r="I10" i="18"/>
  <c r="I13" i="18"/>
  <c r="J10" i="18"/>
  <c r="J13" i="18"/>
  <c r="M21" i="18"/>
  <c r="M10" i="18"/>
  <c r="M13" i="18"/>
  <c r="Q21" i="18"/>
  <c r="Q22" i="18"/>
  <c r="R21" i="18"/>
  <c r="R22" i="18"/>
  <c r="S22" i="18"/>
  <c r="T22" i="18"/>
  <c r="Z61" i="18"/>
  <c r="AB23" i="18"/>
  <c r="AB33" i="18"/>
  <c r="AB55" i="18"/>
  <c r="AB44" i="18"/>
  <c r="AH22" i="18"/>
  <c r="AG57" i="18"/>
  <c r="AG61" i="18"/>
  <c r="AL21" i="18"/>
  <c r="V22" i="17"/>
  <c r="V21" i="17"/>
  <c r="AS33" i="17"/>
  <c r="AS23" i="17"/>
  <c r="AS44" i="17"/>
  <c r="AS55" i="17"/>
  <c r="AW22" i="17"/>
  <c r="AW21" i="17"/>
  <c r="Q56" i="17"/>
  <c r="Q62" i="17"/>
  <c r="Q45" i="17"/>
  <c r="Q51" i="17"/>
  <c r="Q24" i="17"/>
  <c r="L50" i="18"/>
  <c r="L55" i="18"/>
  <c r="L33" i="18"/>
  <c r="L23" i="18"/>
  <c r="M34" i="18"/>
  <c r="M40" i="18"/>
  <c r="AC56" i="18"/>
  <c r="AC62" i="18"/>
  <c r="AC24" i="18"/>
  <c r="AC34" i="18"/>
  <c r="AC40" i="18"/>
  <c r="AC45" i="18"/>
  <c r="AC51" i="18"/>
  <c r="AK21" i="18"/>
  <c r="AK22" i="18"/>
  <c r="AL56" i="18"/>
  <c r="AL62" i="18"/>
  <c r="AL24" i="18"/>
  <c r="AL45" i="18"/>
  <c r="AL51" i="18"/>
  <c r="AM56" i="18"/>
  <c r="AM62" i="18"/>
  <c r="AM24" i="18"/>
  <c r="AM45" i="18"/>
  <c r="AM51" i="18"/>
  <c r="AM34" i="18"/>
  <c r="AM40" i="18"/>
  <c r="AR21" i="18"/>
  <c r="AR22" i="18"/>
  <c r="AT56" i="18"/>
  <c r="AT62" i="18"/>
  <c r="AT24" i="18"/>
  <c r="AT45" i="18"/>
  <c r="AT51" i="18"/>
  <c r="AU56" i="18"/>
  <c r="AU62" i="18"/>
  <c r="AU24" i="18"/>
  <c r="AU34" i="18"/>
  <c r="AU40" i="18"/>
  <c r="AU45" i="18"/>
  <c r="AU51" i="18"/>
  <c r="F23" i="17"/>
  <c r="F33" i="17"/>
  <c r="F55" i="17"/>
  <c r="F44" i="17"/>
  <c r="I21" i="17"/>
  <c r="I22" i="17"/>
  <c r="P22" i="17"/>
  <c r="P21" i="17"/>
  <c r="W21" i="17"/>
  <c r="W22" i="17"/>
  <c r="Z21" i="17"/>
  <c r="Z22" i="17"/>
  <c r="AA33" i="17"/>
  <c r="AA23" i="17"/>
  <c r="AA55" i="17"/>
  <c r="AA44" i="17"/>
  <c r="AK24" i="17"/>
  <c r="AK45" i="17"/>
  <c r="AK51" i="17"/>
  <c r="AK56" i="17"/>
  <c r="AK62" i="17"/>
  <c r="AK34" i="17"/>
  <c r="AK40" i="17"/>
  <c r="AV21" i="17"/>
  <c r="AV22" i="17"/>
  <c r="D45" i="18"/>
  <c r="D51" i="18"/>
  <c r="D56" i="18"/>
  <c r="D62" i="18"/>
  <c r="E27" i="18"/>
  <c r="L22" i="18"/>
  <c r="P22" i="18"/>
  <c r="U21" i="18"/>
  <c r="U22" i="18"/>
  <c r="V21" i="18"/>
  <c r="V22" i="18"/>
  <c r="W10" i="18"/>
  <c r="W13" i="18"/>
  <c r="Y10" i="18"/>
  <c r="Y13" i="18"/>
  <c r="Z14" i="18"/>
  <c r="Z10" i="18"/>
  <c r="Z13" i="18"/>
  <c r="AF23" i="18"/>
  <c r="AF33" i="18"/>
  <c r="AF55" i="18"/>
  <c r="AF44" i="18"/>
  <c r="AH23" i="18"/>
  <c r="AH33" i="18"/>
  <c r="AH55" i="18"/>
  <c r="AH44" i="18"/>
  <c r="AL34" i="18"/>
  <c r="AL40" i="18"/>
  <c r="AP23" i="18"/>
  <c r="AP33" i="18"/>
  <c r="AP55" i="18"/>
  <c r="AP44" i="18"/>
  <c r="D13" i="17"/>
  <c r="F56" i="17"/>
  <c r="F62" i="17"/>
  <c r="F24" i="17"/>
  <c r="F45" i="17"/>
  <c r="F51" i="17"/>
  <c r="G56" i="17"/>
  <c r="G62" i="17"/>
  <c r="G24" i="17"/>
  <c r="G34" i="17"/>
  <c r="G40" i="17"/>
  <c r="G45" i="17"/>
  <c r="G51" i="17"/>
  <c r="AC21" i="17"/>
  <c r="AC22" i="17"/>
  <c r="AR24" i="17"/>
  <c r="AR34" i="17"/>
  <c r="AR40" i="17"/>
  <c r="AR45" i="17"/>
  <c r="AR51" i="17"/>
  <c r="AR56" i="17"/>
  <c r="AR62" i="17"/>
  <c r="AY21" i="18"/>
  <c r="AM21" i="18"/>
  <c r="AI21" i="18"/>
  <c r="AU21" i="18"/>
  <c r="AQ21" i="18"/>
  <c r="AC21" i="18"/>
  <c r="T21" i="18"/>
  <c r="P21" i="18"/>
  <c r="D34" i="18"/>
  <c r="D40" i="18"/>
  <c r="D24" i="18"/>
  <c r="N10" i="18"/>
  <c r="N13" i="18"/>
  <c r="S21" i="18"/>
  <c r="W23" i="18"/>
  <c r="W33" i="18"/>
  <c r="W55" i="18"/>
  <c r="W44" i="18"/>
  <c r="Z56" i="18"/>
  <c r="Z62" i="18"/>
  <c r="Z24" i="18"/>
  <c r="Z45" i="18"/>
  <c r="Z51" i="18"/>
  <c r="Z34" i="18"/>
  <c r="Z40" i="18"/>
  <c r="AD21" i="18"/>
  <c r="AD22" i="18"/>
  <c r="AE21" i="18"/>
  <c r="AE22" i="18"/>
  <c r="AF22" i="18"/>
  <c r="AG56" i="18"/>
  <c r="AG62" i="18"/>
  <c r="AG24" i="18"/>
  <c r="AG34" i="18"/>
  <c r="AG40" i="18"/>
  <c r="AG45" i="18"/>
  <c r="AG51" i="18"/>
  <c r="AI22" i="18"/>
  <c r="AN21" i="18"/>
  <c r="AN22" i="18"/>
  <c r="AO21" i="18"/>
  <c r="AO22" i="18"/>
  <c r="AP22" i="18"/>
  <c r="AQ22" i="18"/>
  <c r="AV22" i="18"/>
  <c r="AV21" i="18"/>
  <c r="AW21" i="18"/>
  <c r="AW22" i="18"/>
  <c r="AX22" i="18"/>
  <c r="AY22" i="18"/>
  <c r="D30" i="17"/>
  <c r="E27" i="17"/>
  <c r="F34" i="17"/>
  <c r="F40" i="17"/>
  <c r="G57" i="17"/>
  <c r="G61" i="17"/>
  <c r="Q34" i="17"/>
  <c r="Q40" i="17"/>
  <c r="AA24" i="17"/>
  <c r="AA34" i="17"/>
  <c r="AA40" i="17"/>
  <c r="AA45" i="17"/>
  <c r="AA51" i="17"/>
  <c r="AA56" i="17"/>
  <c r="AA62" i="17"/>
  <c r="AK33" i="17"/>
  <c r="AK55" i="17"/>
  <c r="AK23" i="17"/>
  <c r="AK44" i="17"/>
  <c r="Z23" i="18"/>
  <c r="Z33" i="18"/>
  <c r="AG23" i="18"/>
  <c r="AG33" i="18"/>
  <c r="D56" i="17"/>
  <c r="D62" i="17"/>
  <c r="D24" i="17"/>
  <c r="G23" i="17"/>
  <c r="G33" i="17"/>
  <c r="U21" i="17"/>
  <c r="U22" i="17"/>
  <c r="Y56" i="18"/>
  <c r="Y62" i="18"/>
  <c r="Y24" i="18"/>
  <c r="D34" i="17"/>
  <c r="D40" i="17"/>
  <c r="D21" i="17"/>
  <c r="Y22" i="17"/>
  <c r="AE21" i="17"/>
  <c r="AE22" i="17"/>
  <c r="AH21" i="17"/>
  <c r="AJ22" i="17"/>
  <c r="AJ21" i="17"/>
  <c r="AO21" i="17"/>
  <c r="AO22" i="17"/>
  <c r="AP10" i="17"/>
  <c r="AP13" i="17"/>
  <c r="AR21" i="17"/>
  <c r="AS22" i="17"/>
  <c r="AX22" i="17"/>
  <c r="BA14" i="16"/>
  <c r="D259" i="16"/>
  <c r="AZ259" i="16"/>
  <c r="BA14" i="14"/>
  <c r="D259" i="14"/>
  <c r="AZ259" i="14"/>
  <c r="Y46" i="18"/>
  <c r="Y50" i="18"/>
  <c r="R22" i="17"/>
  <c r="R21" i="17"/>
  <c r="S56" i="17"/>
  <c r="S62" i="17"/>
  <c r="S24" i="17"/>
  <c r="S45" i="17"/>
  <c r="S51" i="17"/>
  <c r="AI21" i="17"/>
  <c r="AI22" i="17"/>
  <c r="W56" i="18"/>
  <c r="W62" i="18"/>
  <c r="W24" i="18"/>
  <c r="Y34" i="18"/>
  <c r="Y40" i="18"/>
  <c r="Y23" i="18"/>
  <c r="Y33" i="18"/>
  <c r="Z44" i="18"/>
  <c r="AG44" i="18"/>
  <c r="D45" i="17"/>
  <c r="D51" i="17"/>
  <c r="G44" i="17"/>
  <c r="AF22" i="17"/>
  <c r="AF21" i="17"/>
  <c r="AH22" i="17"/>
  <c r="AZ17" i="17"/>
  <c r="S21" i="17"/>
  <c r="T22" i="17"/>
  <c r="T21" i="17"/>
  <c r="AD22" i="17"/>
  <c r="AL22" i="17"/>
  <c r="AN22" i="17"/>
  <c r="AN21" i="17"/>
  <c r="AP57" i="17"/>
  <c r="AP61" i="17"/>
  <c r="AU21" i="17"/>
  <c r="AU22" i="17"/>
  <c r="J10" i="17"/>
  <c r="J13" i="17"/>
  <c r="K10" i="17"/>
  <c r="K13" i="17"/>
  <c r="L10" i="17"/>
  <c r="L13" i="17"/>
  <c r="M10" i="17"/>
  <c r="M13" i="17"/>
  <c r="N10" i="17"/>
  <c r="N13" i="17"/>
  <c r="Q21" i="17"/>
  <c r="Y21" i="17"/>
  <c r="AB22" i="17"/>
  <c r="AB21" i="17"/>
  <c r="AL21" i="17"/>
  <c r="AP33" i="17"/>
  <c r="AP23" i="17"/>
  <c r="AP44" i="17"/>
  <c r="AY22" i="17"/>
  <c r="AY21" i="17"/>
  <c r="S31" i="20"/>
  <c r="T32" i="20"/>
  <c r="S9" i="20"/>
  <c r="H9" i="20"/>
  <c r="AF10" i="17"/>
  <c r="AF13" i="17"/>
  <c r="AM22" i="17"/>
  <c r="AM21" i="17"/>
  <c r="AT22" i="17"/>
  <c r="AT21" i="17"/>
  <c r="AX21" i="17"/>
  <c r="R260" i="16"/>
  <c r="W260" i="16"/>
  <c r="AX260" i="16"/>
  <c r="G260" i="15"/>
  <c r="AZ260" i="15"/>
  <c r="AH260" i="15"/>
  <c r="AM260" i="15"/>
  <c r="R260" i="14"/>
  <c r="W260" i="14"/>
  <c r="AP24" i="17"/>
  <c r="AP34" i="17"/>
  <c r="AP40" i="17"/>
  <c r="AP45" i="17"/>
  <c r="AP51" i="17"/>
  <c r="AP56" i="17"/>
  <c r="AP62" i="17"/>
  <c r="BA14" i="15"/>
  <c r="D259" i="15"/>
  <c r="AZ259" i="15"/>
  <c r="J260" i="16"/>
  <c r="O260" i="16"/>
  <c r="AP260" i="16"/>
  <c r="AU260" i="16"/>
  <c r="Z260" i="15"/>
  <c r="AE260" i="15"/>
  <c r="J260" i="14"/>
  <c r="O260" i="14"/>
  <c r="AP260" i="14"/>
  <c r="H8" i="20"/>
  <c r="E260" i="16"/>
  <c r="AZ260" i="16"/>
  <c r="M260" i="16"/>
  <c r="U260" i="16"/>
  <c r="AC260" i="16"/>
  <c r="AK260" i="16"/>
  <c r="AS260" i="16"/>
  <c r="E260" i="15"/>
  <c r="M260" i="15"/>
  <c r="U260" i="15"/>
  <c r="AC260" i="15"/>
  <c r="AK260" i="15"/>
  <c r="AS260" i="15"/>
  <c r="E260" i="14"/>
  <c r="AZ260" i="14"/>
  <c r="M260" i="14"/>
  <c r="U260" i="14"/>
  <c r="AC260" i="14"/>
  <c r="AK260" i="14"/>
  <c r="S7" i="20"/>
  <c r="H7" i="20"/>
  <c r="S8" i="20"/>
  <c r="H10" i="20"/>
  <c r="AQ260" i="14"/>
  <c r="AT260" i="14"/>
  <c r="T43" i="20"/>
  <c r="AM33" i="17"/>
  <c r="AM23" i="17"/>
  <c r="AM44" i="17"/>
  <c r="AM55" i="17"/>
  <c r="AP50" i="17"/>
  <c r="AP46" i="17"/>
  <c r="AB33" i="17"/>
  <c r="AB44" i="17"/>
  <c r="AB55" i="17"/>
  <c r="AB23" i="17"/>
  <c r="O21" i="17"/>
  <c r="O22" i="17"/>
  <c r="G46" i="17"/>
  <c r="G50" i="17"/>
  <c r="AQ21" i="17"/>
  <c r="AQ22" i="17"/>
  <c r="Y56" i="17"/>
  <c r="Y62" i="17"/>
  <c r="Y45" i="17"/>
  <c r="Y51" i="17"/>
  <c r="Y34" i="17"/>
  <c r="Y40" i="17"/>
  <c r="Y24" i="17"/>
  <c r="AK39" i="17"/>
  <c r="AK35" i="17"/>
  <c r="AX56" i="18"/>
  <c r="AX62" i="18"/>
  <c r="AX24" i="18"/>
  <c r="AX45" i="18"/>
  <c r="AX51" i="18"/>
  <c r="AX34" i="18"/>
  <c r="AX40" i="18"/>
  <c r="AV56" i="18"/>
  <c r="AV62" i="18"/>
  <c r="AV24" i="18"/>
  <c r="AV45" i="18"/>
  <c r="AV51" i="18"/>
  <c r="AV34" i="18"/>
  <c r="AV40" i="18"/>
  <c r="AF56" i="18"/>
  <c r="AF62" i="18"/>
  <c r="AF24" i="18"/>
  <c r="AF45" i="18"/>
  <c r="AF51" i="18"/>
  <c r="AF34" i="18"/>
  <c r="AF40" i="18"/>
  <c r="AQ23" i="18"/>
  <c r="AQ33" i="18"/>
  <c r="AQ44" i="18"/>
  <c r="AQ55" i="18"/>
  <c r="AY23" i="18"/>
  <c r="AY33" i="18"/>
  <c r="AY44" i="18"/>
  <c r="AY55" i="18"/>
  <c r="AP50" i="18"/>
  <c r="V23" i="18"/>
  <c r="V33" i="18"/>
  <c r="V44" i="18"/>
  <c r="V55" i="18"/>
  <c r="AA50" i="17"/>
  <c r="AA46" i="17"/>
  <c r="Z24" i="17"/>
  <c r="Z56" i="17"/>
  <c r="Z62" i="17"/>
  <c r="Z45" i="17"/>
  <c r="Z51" i="17"/>
  <c r="Z34" i="17"/>
  <c r="Z40" i="17"/>
  <c r="F46" i="17"/>
  <c r="F50" i="17"/>
  <c r="AR23" i="18"/>
  <c r="AR33" i="18"/>
  <c r="AR55" i="18"/>
  <c r="AR44" i="18"/>
  <c r="AK56" i="18"/>
  <c r="AK62" i="18"/>
  <c r="AK24" i="18"/>
  <c r="AK34" i="18"/>
  <c r="AK40" i="18"/>
  <c r="AK45" i="18"/>
  <c r="AK51" i="18"/>
  <c r="L39" i="18"/>
  <c r="AW24" i="17"/>
  <c r="AW34" i="17"/>
  <c r="AW40" i="17"/>
  <c r="AW45" i="17"/>
  <c r="AW51" i="17"/>
  <c r="AW56" i="17"/>
  <c r="AW62" i="17"/>
  <c r="AS39" i="17"/>
  <c r="AB57" i="18"/>
  <c r="AB61" i="18"/>
  <c r="Z57" i="18"/>
  <c r="R23" i="18"/>
  <c r="R33" i="18"/>
  <c r="R55" i="18"/>
  <c r="R44" i="18"/>
  <c r="M55" i="18"/>
  <c r="M33" i="18"/>
  <c r="M23" i="18"/>
  <c r="M44" i="18"/>
  <c r="H22" i="18"/>
  <c r="H21" i="18"/>
  <c r="D35" i="18"/>
  <c r="AD39" i="17"/>
  <c r="AX39" i="18"/>
  <c r="AX35" i="18"/>
  <c r="H56" i="17"/>
  <c r="H62" i="17"/>
  <c r="H24" i="17"/>
  <c r="H45" i="17"/>
  <c r="H51" i="17"/>
  <c r="H34" i="17"/>
  <c r="H40" i="17"/>
  <c r="AJ23" i="18"/>
  <c r="AJ33" i="18"/>
  <c r="AJ55" i="18"/>
  <c r="AJ44" i="18"/>
  <c r="AT46" i="18"/>
  <c r="AT50" i="18"/>
  <c r="AX23" i="17"/>
  <c r="AX33" i="17"/>
  <c r="AX44" i="17"/>
  <c r="AX55" i="17"/>
  <c r="AM24" i="17"/>
  <c r="AM34" i="17"/>
  <c r="AM40" i="17"/>
  <c r="AM45" i="17"/>
  <c r="AM51" i="17"/>
  <c r="AM56" i="17"/>
  <c r="AM62" i="17"/>
  <c r="AB24" i="17"/>
  <c r="AB34" i="17"/>
  <c r="AB40" i="17"/>
  <c r="AB56" i="17"/>
  <c r="AB62" i="17"/>
  <c r="AB45" i="17"/>
  <c r="AB51" i="17"/>
  <c r="N21" i="17"/>
  <c r="N22" i="17"/>
  <c r="AN33" i="17"/>
  <c r="AN44" i="17"/>
  <c r="AN55" i="17"/>
  <c r="AN23" i="17"/>
  <c r="T23" i="17"/>
  <c r="T33" i="17"/>
  <c r="T44" i="17"/>
  <c r="T55" i="17"/>
  <c r="AH24" i="17"/>
  <c r="AH56" i="17"/>
  <c r="AH62" i="17"/>
  <c r="AH45" i="17"/>
  <c r="AH51" i="17"/>
  <c r="AH34" i="17"/>
  <c r="AH40" i="17"/>
  <c r="AI24" i="17"/>
  <c r="AI34" i="17"/>
  <c r="AI40" i="17"/>
  <c r="AI45" i="17"/>
  <c r="AI51" i="17"/>
  <c r="AI56" i="17"/>
  <c r="AI62" i="17"/>
  <c r="AO24" i="17"/>
  <c r="AO45" i="17"/>
  <c r="AO51" i="17"/>
  <c r="AO56" i="17"/>
  <c r="AO62" i="17"/>
  <c r="AO34" i="17"/>
  <c r="AO40" i="17"/>
  <c r="AH33" i="17"/>
  <c r="AH44" i="17"/>
  <c r="AH55" i="17"/>
  <c r="AH23" i="17"/>
  <c r="Y57" i="18"/>
  <c r="AG39" i="18"/>
  <c r="AG35" i="18"/>
  <c r="AW56" i="18"/>
  <c r="AW62" i="18"/>
  <c r="AW24" i="18"/>
  <c r="AW34" i="18"/>
  <c r="AW40" i="18"/>
  <c r="AW45" i="18"/>
  <c r="AW51" i="18"/>
  <c r="AN56" i="18"/>
  <c r="AN62" i="18"/>
  <c r="AN24" i="18"/>
  <c r="AN45" i="18"/>
  <c r="AN51" i="18"/>
  <c r="AN34" i="18"/>
  <c r="AN40" i="18"/>
  <c r="W46" i="18"/>
  <c r="W50" i="18"/>
  <c r="P23" i="18"/>
  <c r="P33" i="18"/>
  <c r="P44" i="18"/>
  <c r="P55" i="18"/>
  <c r="AU23" i="18"/>
  <c r="AU33" i="18"/>
  <c r="AU44" i="18"/>
  <c r="AU55" i="18"/>
  <c r="AC24" i="17"/>
  <c r="AC56" i="17"/>
  <c r="AC62" i="17"/>
  <c r="AC45" i="17"/>
  <c r="AC51" i="17"/>
  <c r="AC34" i="17"/>
  <c r="AC40" i="17"/>
  <c r="AA21" i="18"/>
  <c r="AA22" i="18"/>
  <c r="E30" i="18"/>
  <c r="F27" i="18"/>
  <c r="AA57" i="17"/>
  <c r="AA61" i="17"/>
  <c r="P56" i="17"/>
  <c r="P62" i="17"/>
  <c r="P24" i="17"/>
  <c r="P34" i="17"/>
  <c r="P40" i="17"/>
  <c r="P45" i="17"/>
  <c r="P51" i="17"/>
  <c r="AK23" i="18"/>
  <c r="AK33" i="18"/>
  <c r="AK44" i="18"/>
  <c r="AK55" i="18"/>
  <c r="AS57" i="17"/>
  <c r="AS61" i="17"/>
  <c r="V23" i="17"/>
  <c r="V33" i="17"/>
  <c r="V44" i="17"/>
  <c r="V55" i="17"/>
  <c r="AB39" i="18"/>
  <c r="AB35" i="18"/>
  <c r="T56" i="18"/>
  <c r="T62" i="18"/>
  <c r="T24" i="18"/>
  <c r="T34" i="18"/>
  <c r="T40" i="18"/>
  <c r="T45" i="18"/>
  <c r="T51" i="18"/>
  <c r="Q56" i="18"/>
  <c r="Q62" i="18"/>
  <c r="Q24" i="18"/>
  <c r="Q45" i="18"/>
  <c r="Q51" i="18"/>
  <c r="Q34" i="18"/>
  <c r="Q40" i="18"/>
  <c r="K22" i="18"/>
  <c r="K21" i="18"/>
  <c r="G22" i="18"/>
  <c r="G21" i="18"/>
  <c r="D57" i="18"/>
  <c r="D61" i="18"/>
  <c r="X23" i="17"/>
  <c r="X33" i="17"/>
  <c r="X44" i="17"/>
  <c r="X55" i="17"/>
  <c r="J34" i="17"/>
  <c r="J40" i="17"/>
  <c r="J45" i="17"/>
  <c r="J51" i="17"/>
  <c r="J56" i="17"/>
  <c r="J62" i="17"/>
  <c r="J24" i="17"/>
  <c r="AS56" i="18"/>
  <c r="AS62" i="18"/>
  <c r="AS24" i="18"/>
  <c r="AS34" i="18"/>
  <c r="AS40" i="18"/>
  <c r="AS45" i="18"/>
  <c r="AS51" i="18"/>
  <c r="AT57" i="18"/>
  <c r="AT61" i="18"/>
  <c r="AT33" i="17"/>
  <c r="AT44" i="17"/>
  <c r="AT55" i="17"/>
  <c r="AT23" i="17"/>
  <c r="AG21" i="17"/>
  <c r="AG22" i="17"/>
  <c r="AY23" i="17"/>
  <c r="AY33" i="17"/>
  <c r="AY55" i="17"/>
  <c r="AY44" i="17"/>
  <c r="AP35" i="17"/>
  <c r="AP39" i="17"/>
  <c r="Y23" i="17"/>
  <c r="Y33" i="17"/>
  <c r="Y55" i="17"/>
  <c r="Y44" i="17"/>
  <c r="M21" i="17"/>
  <c r="M22" i="17"/>
  <c r="AU33" i="17"/>
  <c r="AU23" i="17"/>
  <c r="AU44" i="17"/>
  <c r="AU55" i="17"/>
  <c r="AN24" i="17"/>
  <c r="AN45" i="17"/>
  <c r="AN51" i="17"/>
  <c r="AN34" i="17"/>
  <c r="AN40" i="17"/>
  <c r="AN56" i="17"/>
  <c r="AN62" i="17"/>
  <c r="T56" i="17"/>
  <c r="T62" i="17"/>
  <c r="T24" i="17"/>
  <c r="T34" i="17"/>
  <c r="T40" i="17"/>
  <c r="T45" i="17"/>
  <c r="T51" i="17"/>
  <c r="AF33" i="17"/>
  <c r="AF44" i="17"/>
  <c r="AF55" i="17"/>
  <c r="AF23" i="17"/>
  <c r="AG46" i="18"/>
  <c r="AG50" i="18"/>
  <c r="AI33" i="17"/>
  <c r="AI23" i="17"/>
  <c r="AI55" i="17"/>
  <c r="AI44" i="17"/>
  <c r="R23" i="17"/>
  <c r="R33" i="17"/>
  <c r="R44" i="17"/>
  <c r="R55" i="17"/>
  <c r="AS24" i="17"/>
  <c r="AS34" i="17"/>
  <c r="AS40" i="17"/>
  <c r="AS45" i="17"/>
  <c r="AS51" i="17"/>
  <c r="AS56" i="17"/>
  <c r="AS62" i="17"/>
  <c r="AO33" i="17"/>
  <c r="AO55" i="17"/>
  <c r="AO44" i="17"/>
  <c r="AO23" i="17"/>
  <c r="AE24" i="17"/>
  <c r="AE34" i="17"/>
  <c r="AE40" i="17"/>
  <c r="AE45" i="17"/>
  <c r="AE51" i="17"/>
  <c r="AE56" i="17"/>
  <c r="AE62" i="17"/>
  <c r="U56" i="17"/>
  <c r="U62" i="17"/>
  <c r="U34" i="17"/>
  <c r="U40" i="17"/>
  <c r="U24" i="17"/>
  <c r="U45" i="17"/>
  <c r="U51" i="17"/>
  <c r="AW23" i="18"/>
  <c r="AW33" i="18"/>
  <c r="AW44" i="18"/>
  <c r="AW55" i="18"/>
  <c r="AP56" i="18"/>
  <c r="AP62" i="18"/>
  <c r="AP24" i="18"/>
  <c r="AP45" i="18"/>
  <c r="AP51" i="18"/>
  <c r="AP34" i="18"/>
  <c r="AP40" i="18"/>
  <c r="AN23" i="18"/>
  <c r="AN33" i="18"/>
  <c r="AN55" i="18"/>
  <c r="AN44" i="18"/>
  <c r="AE23" i="18"/>
  <c r="AE33" i="18"/>
  <c r="AE44" i="18"/>
  <c r="AE55" i="18"/>
  <c r="W57" i="18"/>
  <c r="W61" i="18"/>
  <c r="O22" i="18"/>
  <c r="O21" i="18"/>
  <c r="T23" i="18"/>
  <c r="T33" i="18"/>
  <c r="T44" i="18"/>
  <c r="T55" i="18"/>
  <c r="AI23" i="18"/>
  <c r="AI33" i="18"/>
  <c r="AI44" i="18"/>
  <c r="AI55" i="18"/>
  <c r="AC33" i="17"/>
  <c r="AC55" i="17"/>
  <c r="AC44" i="17"/>
  <c r="AC23" i="17"/>
  <c r="E21" i="17"/>
  <c r="E22" i="17"/>
  <c r="AP39" i="18"/>
  <c r="AP35" i="18"/>
  <c r="AH61" i="18"/>
  <c r="AF57" i="18"/>
  <c r="AF61" i="18"/>
  <c r="X22" i="18"/>
  <c r="X21" i="18"/>
  <c r="U23" i="18"/>
  <c r="U33" i="18"/>
  <c r="U55" i="18"/>
  <c r="U44" i="18"/>
  <c r="AV24" i="17"/>
  <c r="AV34" i="17"/>
  <c r="AV40" i="17"/>
  <c r="AV45" i="17"/>
  <c r="AV51" i="17"/>
  <c r="AV56" i="17"/>
  <c r="AV62" i="17"/>
  <c r="W56" i="17"/>
  <c r="W62" i="17"/>
  <c r="W34" i="17"/>
  <c r="W40" i="17"/>
  <c r="W45" i="17"/>
  <c r="W51" i="17"/>
  <c r="W24" i="17"/>
  <c r="I34" i="17"/>
  <c r="I40" i="17"/>
  <c r="I24" i="17"/>
  <c r="I56" i="17"/>
  <c r="I62" i="17"/>
  <c r="I45" i="17"/>
  <c r="I51" i="17"/>
  <c r="F39" i="17"/>
  <c r="F35" i="17"/>
  <c r="AS50" i="17"/>
  <c r="V56" i="17"/>
  <c r="V62" i="17"/>
  <c r="V24" i="17"/>
  <c r="V34" i="17"/>
  <c r="V40" i="17"/>
  <c r="V45" i="17"/>
  <c r="V51" i="17"/>
  <c r="AH56" i="18"/>
  <c r="AH62" i="18"/>
  <c r="AH24" i="18"/>
  <c r="AH45" i="18"/>
  <c r="AH51" i="18"/>
  <c r="AH34" i="18"/>
  <c r="AH40" i="18"/>
  <c r="S56" i="18"/>
  <c r="S62" i="18"/>
  <c r="S24" i="18"/>
  <c r="S45" i="18"/>
  <c r="S51" i="18"/>
  <c r="S34" i="18"/>
  <c r="S40" i="18"/>
  <c r="Q23" i="18"/>
  <c r="Q33" i="18"/>
  <c r="Q55" i="18"/>
  <c r="Q44" i="18"/>
  <c r="J22" i="18"/>
  <c r="J21" i="18"/>
  <c r="F22" i="18"/>
  <c r="F21" i="18"/>
  <c r="AD57" i="17"/>
  <c r="AD61" i="17"/>
  <c r="AX46" i="18"/>
  <c r="AX50" i="18"/>
  <c r="J44" i="17"/>
  <c r="J55" i="17"/>
  <c r="J23" i="17"/>
  <c r="J33" i="17"/>
  <c r="AS23" i="18"/>
  <c r="AS33" i="18"/>
  <c r="AS55" i="18"/>
  <c r="AS44" i="18"/>
  <c r="AT39" i="18"/>
  <c r="AT35" i="18"/>
  <c r="K21" i="17"/>
  <c r="K22" i="17"/>
  <c r="AD24" i="17"/>
  <c r="AD34" i="17"/>
  <c r="AD40" i="17"/>
  <c r="AD56" i="17"/>
  <c r="AD62" i="17"/>
  <c r="AD45" i="17"/>
  <c r="Y39" i="18"/>
  <c r="Y35" i="18"/>
  <c r="AJ24" i="17"/>
  <c r="AJ34" i="17"/>
  <c r="AJ40" i="17"/>
  <c r="AJ45" i="17"/>
  <c r="AJ51" i="17"/>
  <c r="AJ56" i="17"/>
  <c r="AJ62" i="17"/>
  <c r="G39" i="17"/>
  <c r="G35" i="17"/>
  <c r="AO23" i="18"/>
  <c r="AO33" i="18"/>
  <c r="AO44" i="18"/>
  <c r="AO55" i="18"/>
  <c r="AD23" i="18"/>
  <c r="AD33" i="18"/>
  <c r="AD55" i="18"/>
  <c r="AD44" i="18"/>
  <c r="L45" i="18"/>
  <c r="L56" i="18"/>
  <c r="L62" i="18"/>
  <c r="L24" i="18"/>
  <c r="L34" i="18"/>
  <c r="L40" i="18"/>
  <c r="P23" i="17"/>
  <c r="P33" i="17"/>
  <c r="P44" i="17"/>
  <c r="P55" i="17"/>
  <c r="AU24" i="17"/>
  <c r="AU34" i="17"/>
  <c r="AU40" i="17"/>
  <c r="AU56" i="17"/>
  <c r="AU62" i="17"/>
  <c r="AU45" i="17"/>
  <c r="AU51" i="17"/>
  <c r="AX24" i="17"/>
  <c r="AX34" i="17"/>
  <c r="AX40" i="17"/>
  <c r="AX56" i="17"/>
  <c r="AX62" i="17"/>
  <c r="AX45" i="17"/>
  <c r="AX51" i="17"/>
  <c r="D23" i="17"/>
  <c r="D33" i="17"/>
  <c r="D55" i="17"/>
  <c r="D44" i="17"/>
  <c r="AK50" i="17"/>
  <c r="AK46" i="17"/>
  <c r="E30" i="17"/>
  <c r="F27" i="17"/>
  <c r="AQ56" i="18"/>
  <c r="AQ62" i="18"/>
  <c r="AQ24" i="18"/>
  <c r="AQ34" i="18"/>
  <c r="AQ40" i="18"/>
  <c r="AQ45" i="18"/>
  <c r="AQ51" i="18"/>
  <c r="AE56" i="18"/>
  <c r="AE62" i="18"/>
  <c r="AE24" i="18"/>
  <c r="AE34" i="18"/>
  <c r="AE40" i="18"/>
  <c r="AE45" i="18"/>
  <c r="AE51" i="18"/>
  <c r="S23" i="18"/>
  <c r="S33" i="18"/>
  <c r="S55" i="18"/>
  <c r="S44" i="18"/>
  <c r="AP57" i="18"/>
  <c r="AP61" i="18"/>
  <c r="AH50" i="18"/>
  <c r="AF46" i="18"/>
  <c r="AF50" i="18"/>
  <c r="U56" i="18"/>
  <c r="U62" i="18"/>
  <c r="U24" i="18"/>
  <c r="U45" i="18"/>
  <c r="U51" i="18"/>
  <c r="U34" i="18"/>
  <c r="U40" i="18"/>
  <c r="Z33" i="17"/>
  <c r="Z44" i="17"/>
  <c r="Z55" i="17"/>
  <c r="Z23" i="17"/>
  <c r="F57" i="17"/>
  <c r="F61" i="17"/>
  <c r="L57" i="18"/>
  <c r="L61" i="18"/>
  <c r="T11" i="20"/>
  <c r="T45" i="20"/>
  <c r="AT24" i="17"/>
  <c r="AT34" i="17"/>
  <c r="AT40" i="17"/>
  <c r="AT56" i="17"/>
  <c r="AT62" i="17"/>
  <c r="AT45" i="17"/>
  <c r="AT51" i="17"/>
  <c r="AY56" i="17"/>
  <c r="AY62" i="17"/>
  <c r="AY24" i="17"/>
  <c r="AY34" i="17"/>
  <c r="AY40" i="17"/>
  <c r="AY45" i="17"/>
  <c r="AY51" i="17"/>
  <c r="AL33" i="17"/>
  <c r="AL23" i="17"/>
  <c r="AL44" i="17"/>
  <c r="AL55" i="17"/>
  <c r="Q23" i="17"/>
  <c r="Q33" i="17"/>
  <c r="Q55" i="17"/>
  <c r="Q44" i="17"/>
  <c r="L21" i="17"/>
  <c r="L22" i="17"/>
  <c r="AL24" i="17"/>
  <c r="AL34" i="17"/>
  <c r="AL40" i="17"/>
  <c r="AL45" i="17"/>
  <c r="AL51" i="17"/>
  <c r="AL56" i="17"/>
  <c r="AL62" i="17"/>
  <c r="S23" i="17"/>
  <c r="S44" i="17"/>
  <c r="S33" i="17"/>
  <c r="S55" i="17"/>
  <c r="AF24" i="17"/>
  <c r="AF56" i="17"/>
  <c r="AF62" i="17"/>
  <c r="AF45" i="17"/>
  <c r="AF51" i="17"/>
  <c r="AF34" i="17"/>
  <c r="AF40" i="17"/>
  <c r="Z46" i="18"/>
  <c r="Z50" i="18"/>
  <c r="R56" i="17"/>
  <c r="R62" i="17"/>
  <c r="R24" i="17"/>
  <c r="R34" i="17"/>
  <c r="R40" i="17"/>
  <c r="R45" i="17"/>
  <c r="R51" i="17"/>
  <c r="AR33" i="17"/>
  <c r="AR23" i="17"/>
  <c r="AR55" i="17"/>
  <c r="AR44" i="17"/>
  <c r="AJ33" i="17"/>
  <c r="AJ44" i="17"/>
  <c r="AJ55" i="17"/>
  <c r="AJ23" i="17"/>
  <c r="AE33" i="17"/>
  <c r="AE23" i="17"/>
  <c r="AE44" i="17"/>
  <c r="AE55" i="17"/>
  <c r="U23" i="17"/>
  <c r="U44" i="17"/>
  <c r="U55" i="17"/>
  <c r="U33" i="17"/>
  <c r="Z39" i="18"/>
  <c r="Z35" i="18"/>
  <c r="AK57" i="17"/>
  <c r="AK61" i="17"/>
  <c r="AY56" i="18"/>
  <c r="AY62" i="18"/>
  <c r="AY24" i="18"/>
  <c r="AY45" i="18"/>
  <c r="AY51" i="18"/>
  <c r="AY34" i="18"/>
  <c r="AY40" i="18"/>
  <c r="AV23" i="18"/>
  <c r="AV33" i="18"/>
  <c r="AV55" i="18"/>
  <c r="AV44" i="18"/>
  <c r="AO56" i="18"/>
  <c r="AO62" i="18"/>
  <c r="AO24" i="18"/>
  <c r="AO34" i="18"/>
  <c r="AO40" i="18"/>
  <c r="AO45" i="18"/>
  <c r="AO51" i="18"/>
  <c r="AI56" i="18"/>
  <c r="AI62" i="18"/>
  <c r="AI24" i="18"/>
  <c r="AI45" i="18"/>
  <c r="AI51" i="18"/>
  <c r="AI34" i="18"/>
  <c r="AI40" i="18"/>
  <c r="AD56" i="18"/>
  <c r="AD62" i="18"/>
  <c r="AD24" i="18"/>
  <c r="AD45" i="18"/>
  <c r="AD51" i="18"/>
  <c r="AD34" i="18"/>
  <c r="AD40" i="18"/>
  <c r="W39" i="18"/>
  <c r="W35" i="18"/>
  <c r="AC23" i="18"/>
  <c r="AC33" i="18"/>
  <c r="AC44" i="18"/>
  <c r="AC55" i="18"/>
  <c r="AM23" i="18"/>
  <c r="AM33" i="18"/>
  <c r="AM44" i="18"/>
  <c r="AM55" i="18"/>
  <c r="AZ10" i="17"/>
  <c r="AH39" i="18"/>
  <c r="AH35" i="18"/>
  <c r="AF39" i="18"/>
  <c r="AF35" i="18"/>
  <c r="V56" i="18"/>
  <c r="V62" i="18"/>
  <c r="V24" i="18"/>
  <c r="V34" i="18"/>
  <c r="V40" i="18"/>
  <c r="V45" i="18"/>
  <c r="V51" i="18"/>
  <c r="P56" i="18"/>
  <c r="P62" i="18"/>
  <c r="P24" i="18"/>
  <c r="P34" i="18"/>
  <c r="P40" i="18"/>
  <c r="P45" i="18"/>
  <c r="P51" i="18"/>
  <c r="AV33" i="17"/>
  <c r="AV23" i="17"/>
  <c r="AV55" i="17"/>
  <c r="AV44" i="17"/>
  <c r="AA39" i="17"/>
  <c r="AA35" i="17"/>
  <c r="W23" i="17"/>
  <c r="W33" i="17"/>
  <c r="W55" i="17"/>
  <c r="W44" i="17"/>
  <c r="I44" i="17"/>
  <c r="I33" i="17"/>
  <c r="I55" i="17"/>
  <c r="I23" i="17"/>
  <c r="AR56" i="18"/>
  <c r="AR62" i="18"/>
  <c r="AR24" i="18"/>
  <c r="AR45" i="18"/>
  <c r="AR51" i="18"/>
  <c r="AR34" i="18"/>
  <c r="AR40" i="18"/>
  <c r="AW33" i="17"/>
  <c r="AW23" i="17"/>
  <c r="AW44" i="17"/>
  <c r="AW55" i="17"/>
  <c r="AL23" i="18"/>
  <c r="AL33" i="18"/>
  <c r="AL55" i="18"/>
  <c r="AL44" i="18"/>
  <c r="AB46" i="18"/>
  <c r="AB50" i="18"/>
  <c r="R56" i="18"/>
  <c r="R62" i="18"/>
  <c r="R24" i="18"/>
  <c r="R34" i="18"/>
  <c r="R40" i="18"/>
  <c r="R45" i="18"/>
  <c r="R51" i="18"/>
  <c r="N22" i="18"/>
  <c r="N21" i="18"/>
  <c r="I22" i="18"/>
  <c r="I21" i="18"/>
  <c r="AZ10" i="18"/>
  <c r="D13" i="18"/>
  <c r="AX57" i="18"/>
  <c r="AX61" i="18"/>
  <c r="H23" i="17"/>
  <c r="H33" i="17"/>
  <c r="H55" i="17"/>
  <c r="H44" i="17"/>
  <c r="AJ56" i="18"/>
  <c r="AJ62" i="18"/>
  <c r="AJ24" i="18"/>
  <c r="AJ45" i="18"/>
  <c r="AJ51" i="18"/>
  <c r="AJ34" i="18"/>
  <c r="AJ40" i="18"/>
  <c r="D46" i="18"/>
  <c r="E22" i="18"/>
  <c r="E21" i="18"/>
  <c r="N55" i="18"/>
  <c r="N23" i="18"/>
  <c r="N33" i="18"/>
  <c r="N44" i="18"/>
  <c r="AL46" i="18"/>
  <c r="AL50" i="18"/>
  <c r="AC46" i="18"/>
  <c r="AC50" i="18"/>
  <c r="AV39" i="18"/>
  <c r="AV35" i="18"/>
  <c r="U46" i="17"/>
  <c r="U50" i="17"/>
  <c r="AJ50" i="17"/>
  <c r="AJ46" i="17"/>
  <c r="S61" i="17"/>
  <c r="S57" i="17"/>
  <c r="L34" i="17"/>
  <c r="L40" i="17"/>
  <c r="L45" i="17"/>
  <c r="L51" i="17"/>
  <c r="L24" i="17"/>
  <c r="L56" i="17"/>
  <c r="L62" i="17"/>
  <c r="AD39" i="18"/>
  <c r="AD35" i="18"/>
  <c r="AS39" i="18"/>
  <c r="AS35" i="18"/>
  <c r="J55" i="18"/>
  <c r="J23" i="18"/>
  <c r="J44" i="18"/>
  <c r="J33" i="18"/>
  <c r="U39" i="18"/>
  <c r="U35" i="18"/>
  <c r="AI57" i="18"/>
  <c r="AI61" i="18"/>
  <c r="O23" i="18"/>
  <c r="O33" i="18"/>
  <c r="O55" i="18"/>
  <c r="O44" i="18"/>
  <c r="AE57" i="18"/>
  <c r="AE61" i="18"/>
  <c r="AN46" i="18"/>
  <c r="AN50" i="18"/>
  <c r="AW57" i="18"/>
  <c r="AW61" i="18"/>
  <c r="AO57" i="17"/>
  <c r="AO61" i="17"/>
  <c r="R39" i="17"/>
  <c r="R35" i="17"/>
  <c r="AU57" i="17"/>
  <c r="AU61" i="17"/>
  <c r="Y39" i="17"/>
  <c r="Y35" i="17"/>
  <c r="AG24" i="17"/>
  <c r="AG45" i="17"/>
  <c r="AG51" i="17"/>
  <c r="AG34" i="17"/>
  <c r="AG40" i="17"/>
  <c r="AG56" i="17"/>
  <c r="AG62" i="17"/>
  <c r="X57" i="17"/>
  <c r="X61" i="17"/>
  <c r="K55" i="18"/>
  <c r="K23" i="18"/>
  <c r="K33" i="18"/>
  <c r="K44" i="18"/>
  <c r="V57" i="17"/>
  <c r="V61" i="17"/>
  <c r="AK39" i="18"/>
  <c r="AK35" i="18"/>
  <c r="F30" i="18"/>
  <c r="G27" i="18"/>
  <c r="AU57" i="18"/>
  <c r="AU61" i="18"/>
  <c r="P57" i="18"/>
  <c r="P61" i="18"/>
  <c r="AH35" i="17"/>
  <c r="AH39" i="17"/>
  <c r="AN39" i="17"/>
  <c r="AN35" i="17"/>
  <c r="AX50" i="17"/>
  <c r="AX46" i="17"/>
  <c r="H45" i="18"/>
  <c r="H51" i="18"/>
  <c r="H56" i="18"/>
  <c r="H62" i="18"/>
  <c r="H24" i="18"/>
  <c r="H34" i="18"/>
  <c r="H40" i="18"/>
  <c r="V57" i="18"/>
  <c r="V61" i="18"/>
  <c r="AY39" i="18"/>
  <c r="AY35" i="18"/>
  <c r="AQ39" i="18"/>
  <c r="AQ35" i="18"/>
  <c r="AQ24" i="17"/>
  <c r="AQ34" i="17"/>
  <c r="AQ40" i="17"/>
  <c r="AQ56" i="17"/>
  <c r="AQ62" i="17"/>
  <c r="AQ45" i="17"/>
  <c r="AQ51" i="17"/>
  <c r="O34" i="17"/>
  <c r="O40" i="17"/>
  <c r="O45" i="17"/>
  <c r="O51" i="17"/>
  <c r="O24" i="17"/>
  <c r="O56" i="17"/>
  <c r="O62" i="17"/>
  <c r="AM57" i="17"/>
  <c r="AM61" i="17"/>
  <c r="N45" i="18"/>
  <c r="N51" i="18"/>
  <c r="N24" i="18"/>
  <c r="N56" i="18"/>
  <c r="N62" i="18"/>
  <c r="N34" i="18"/>
  <c r="N40" i="18"/>
  <c r="AL57" i="18"/>
  <c r="AL61" i="18"/>
  <c r="I57" i="17"/>
  <c r="I61" i="17"/>
  <c r="AV35" i="17"/>
  <c r="AV39" i="17"/>
  <c r="AC39" i="18"/>
  <c r="AC35" i="18"/>
  <c r="AE35" i="17"/>
  <c r="AE39" i="17"/>
  <c r="AJ35" i="17"/>
  <c r="AJ39" i="17"/>
  <c r="AR35" i="17"/>
  <c r="AR39" i="17"/>
  <c r="S39" i="17"/>
  <c r="S35" i="17"/>
  <c r="L44" i="17"/>
  <c r="L55" i="17"/>
  <c r="L23" i="17"/>
  <c r="L33" i="17"/>
  <c r="AL35" i="17"/>
  <c r="AL39" i="17"/>
  <c r="S46" i="18"/>
  <c r="S50" i="18"/>
  <c r="F30" i="17"/>
  <c r="G27" i="17"/>
  <c r="AZ21" i="17"/>
  <c r="L51" i="18"/>
  <c r="L46" i="18"/>
  <c r="J46" i="17"/>
  <c r="J50" i="17"/>
  <c r="J45" i="18"/>
  <c r="J51" i="18"/>
  <c r="J56" i="18"/>
  <c r="J62" i="18"/>
  <c r="J24" i="18"/>
  <c r="J34" i="18"/>
  <c r="J40" i="18"/>
  <c r="AC50" i="17"/>
  <c r="AC46" i="17"/>
  <c r="AI46" i="18"/>
  <c r="AI50" i="18"/>
  <c r="T46" i="18"/>
  <c r="T50" i="18"/>
  <c r="O24" i="18"/>
  <c r="O45" i="18"/>
  <c r="O51" i="18"/>
  <c r="O56" i="18"/>
  <c r="O62" i="18"/>
  <c r="O34" i="18"/>
  <c r="O40" i="18"/>
  <c r="AE46" i="18"/>
  <c r="AE50" i="18"/>
  <c r="AN57" i="18"/>
  <c r="AN61" i="18"/>
  <c r="AW46" i="18"/>
  <c r="AW50" i="18"/>
  <c r="AO39" i="17"/>
  <c r="AO35" i="17"/>
  <c r="AI39" i="17"/>
  <c r="AI35" i="17"/>
  <c r="AF57" i="17"/>
  <c r="AF61" i="17"/>
  <c r="AU50" i="17"/>
  <c r="AU46" i="17"/>
  <c r="M44" i="17"/>
  <c r="M55" i="17"/>
  <c r="M23" i="17"/>
  <c r="M33" i="17"/>
  <c r="AY61" i="17"/>
  <c r="AY57" i="17"/>
  <c r="AG33" i="17"/>
  <c r="AG23" i="17"/>
  <c r="AG44" i="17"/>
  <c r="AG55" i="17"/>
  <c r="AT39" i="17"/>
  <c r="AT35" i="17"/>
  <c r="X46" i="17"/>
  <c r="X50" i="17"/>
  <c r="K45" i="18"/>
  <c r="K51" i="18"/>
  <c r="K24" i="18"/>
  <c r="K56" i="18"/>
  <c r="K62" i="18"/>
  <c r="K34" i="18"/>
  <c r="K40" i="18"/>
  <c r="V46" i="17"/>
  <c r="V50" i="17"/>
  <c r="AU46" i="18"/>
  <c r="AU50" i="18"/>
  <c r="P46" i="18"/>
  <c r="P50" i="18"/>
  <c r="T57" i="17"/>
  <c r="T61" i="17"/>
  <c r="N34" i="17"/>
  <c r="N40" i="17"/>
  <c r="N45" i="17"/>
  <c r="N51" i="17"/>
  <c r="N24" i="17"/>
  <c r="N56" i="17"/>
  <c r="N62" i="17"/>
  <c r="AX39" i="17"/>
  <c r="AX35" i="17"/>
  <c r="AJ46" i="18"/>
  <c r="AJ50" i="18"/>
  <c r="M50" i="18"/>
  <c r="M46" i="18"/>
  <c r="R46" i="18"/>
  <c r="R50" i="18"/>
  <c r="AS35" i="17"/>
  <c r="AR57" i="18"/>
  <c r="AR61" i="18"/>
  <c r="V46" i="18"/>
  <c r="V50" i="18"/>
  <c r="AP46" i="18"/>
  <c r="AQ33" i="17"/>
  <c r="AQ23" i="17"/>
  <c r="AQ44" i="17"/>
  <c r="AQ55" i="17"/>
  <c r="O23" i="17"/>
  <c r="O44" i="17"/>
  <c r="O55" i="17"/>
  <c r="O33" i="17"/>
  <c r="AB35" i="17"/>
  <c r="AB39" i="17"/>
  <c r="AM50" i="17"/>
  <c r="AM46" i="17"/>
  <c r="H46" i="17"/>
  <c r="H50" i="17"/>
  <c r="I55" i="18"/>
  <c r="I23" i="18"/>
  <c r="I44" i="18"/>
  <c r="I33" i="18"/>
  <c r="AL39" i="18"/>
  <c r="AL35" i="18"/>
  <c r="I35" i="17"/>
  <c r="I39" i="17"/>
  <c r="W39" i="17"/>
  <c r="W35" i="17"/>
  <c r="AV50" i="17"/>
  <c r="AV46" i="17"/>
  <c r="AV46" i="18"/>
  <c r="AV50" i="18"/>
  <c r="U39" i="17"/>
  <c r="U35" i="17"/>
  <c r="AE57" i="17"/>
  <c r="AE61" i="17"/>
  <c r="AR50" i="17"/>
  <c r="AR46" i="17"/>
  <c r="S46" i="17"/>
  <c r="S50" i="17"/>
  <c r="Q46" i="17"/>
  <c r="Q50" i="17"/>
  <c r="AL57" i="17"/>
  <c r="AL61" i="17"/>
  <c r="Z35" i="17"/>
  <c r="Z39" i="17"/>
  <c r="AH46" i="18"/>
  <c r="S57" i="18"/>
  <c r="S61" i="18"/>
  <c r="D57" i="17"/>
  <c r="D61" i="17"/>
  <c r="P57" i="17"/>
  <c r="P61" i="17"/>
  <c r="AD46" i="18"/>
  <c r="AD50" i="18"/>
  <c r="AO57" i="18"/>
  <c r="AO61" i="18"/>
  <c r="AD51" i="17"/>
  <c r="AD46" i="17"/>
  <c r="K34" i="17"/>
  <c r="K40" i="17"/>
  <c r="K45" i="17"/>
  <c r="K51" i="17"/>
  <c r="K24" i="17"/>
  <c r="K56" i="17"/>
  <c r="K62" i="17"/>
  <c r="AS46" i="18"/>
  <c r="AS50" i="18"/>
  <c r="J35" i="17"/>
  <c r="J39" i="17"/>
  <c r="F55" i="18"/>
  <c r="F23" i="18"/>
  <c r="F44" i="18"/>
  <c r="F33" i="18"/>
  <c r="Q46" i="18"/>
  <c r="Q50" i="18"/>
  <c r="AS46" i="17"/>
  <c r="U46" i="18"/>
  <c r="U50" i="18"/>
  <c r="X23" i="18"/>
  <c r="X33" i="18"/>
  <c r="X55" i="18"/>
  <c r="X44" i="18"/>
  <c r="E56" i="17"/>
  <c r="E62" i="17"/>
  <c r="E24" i="17"/>
  <c r="E34" i="17"/>
  <c r="E40" i="17"/>
  <c r="E45" i="17"/>
  <c r="E51" i="17"/>
  <c r="AZ22" i="17"/>
  <c r="AC57" i="17"/>
  <c r="AC61" i="17"/>
  <c r="AI39" i="18"/>
  <c r="AI35" i="18"/>
  <c r="T39" i="18"/>
  <c r="T35" i="18"/>
  <c r="AE39" i="18"/>
  <c r="AE35" i="18"/>
  <c r="AN39" i="18"/>
  <c r="AN35" i="18"/>
  <c r="AW39" i="18"/>
  <c r="AW35" i="18"/>
  <c r="R57" i="17"/>
  <c r="R61" i="17"/>
  <c r="AI50" i="17"/>
  <c r="AI46" i="17"/>
  <c r="AF50" i="17"/>
  <c r="AF46" i="17"/>
  <c r="Y46" i="17"/>
  <c r="Y50" i="17"/>
  <c r="AY39" i="17"/>
  <c r="AY35" i="17"/>
  <c r="X39" i="17"/>
  <c r="X35" i="17"/>
  <c r="G55" i="18"/>
  <c r="G23" i="18"/>
  <c r="G44" i="18"/>
  <c r="G33" i="18"/>
  <c r="V39" i="17"/>
  <c r="V35" i="17"/>
  <c r="AK57" i="18"/>
  <c r="AK61" i="18"/>
  <c r="AA56" i="18"/>
  <c r="AA62" i="18"/>
  <c r="AA24" i="18"/>
  <c r="AA34" i="18"/>
  <c r="AA40" i="18"/>
  <c r="AA45" i="18"/>
  <c r="AA51" i="18"/>
  <c r="AU39" i="18"/>
  <c r="AU35" i="18"/>
  <c r="P39" i="18"/>
  <c r="P35" i="18"/>
  <c r="AH57" i="17"/>
  <c r="AH61" i="17"/>
  <c r="T46" i="17"/>
  <c r="T50" i="17"/>
  <c r="AN57" i="17"/>
  <c r="AN61" i="17"/>
  <c r="N44" i="17"/>
  <c r="N55" i="17"/>
  <c r="N23" i="17"/>
  <c r="N33" i="17"/>
  <c r="AJ57" i="18"/>
  <c r="AJ61" i="18"/>
  <c r="R57" i="18"/>
  <c r="R61" i="18"/>
  <c r="AR39" i="18"/>
  <c r="AR35" i="18"/>
  <c r="V39" i="18"/>
  <c r="V35" i="18"/>
  <c r="AY57" i="18"/>
  <c r="AY61" i="18"/>
  <c r="AQ57" i="18"/>
  <c r="AQ61" i="18"/>
  <c r="H39" i="17"/>
  <c r="H35" i="17"/>
  <c r="AW57" i="17"/>
  <c r="AW61" i="17"/>
  <c r="W46" i="17"/>
  <c r="W50" i="17"/>
  <c r="AM46" i="18"/>
  <c r="AM50" i="18"/>
  <c r="Q39" i="17"/>
  <c r="Q35" i="17"/>
  <c r="Z57" i="17"/>
  <c r="Z61" i="17"/>
  <c r="P39" i="17"/>
  <c r="P35" i="17"/>
  <c r="AO39" i="18"/>
  <c r="AO35" i="18"/>
  <c r="J61" i="17"/>
  <c r="J57" i="17"/>
  <c r="Q39" i="18"/>
  <c r="Q35" i="18"/>
  <c r="T57" i="18"/>
  <c r="T61" i="18"/>
  <c r="M34" i="17"/>
  <c r="M40" i="17"/>
  <c r="M45" i="17"/>
  <c r="M51" i="17"/>
  <c r="M24" i="17"/>
  <c r="M56" i="17"/>
  <c r="M62" i="17"/>
  <c r="AY46" i="17"/>
  <c r="AY50" i="17"/>
  <c r="AT50" i="17"/>
  <c r="AT46" i="17"/>
  <c r="AD35" i="17"/>
  <c r="M57" i="18"/>
  <c r="M61" i="18"/>
  <c r="AR46" i="18"/>
  <c r="AR50" i="18"/>
  <c r="AB50" i="17"/>
  <c r="AB46" i="17"/>
  <c r="AW50" i="17"/>
  <c r="AW46" i="17"/>
  <c r="W61" i="17"/>
  <c r="W57" i="17"/>
  <c r="AM39" i="18"/>
  <c r="AM35" i="18"/>
  <c r="Z46" i="17"/>
  <c r="Z50" i="17"/>
  <c r="D46" i="17"/>
  <c r="D50" i="17"/>
  <c r="H57" i="17"/>
  <c r="H61" i="17"/>
  <c r="I45" i="18"/>
  <c r="I51" i="18"/>
  <c r="I56" i="18"/>
  <c r="I62" i="18"/>
  <c r="I24" i="18"/>
  <c r="I34" i="18"/>
  <c r="I40" i="18"/>
  <c r="AW39" i="17"/>
  <c r="AW35" i="17"/>
  <c r="I46" i="17"/>
  <c r="I50" i="17"/>
  <c r="AV57" i="17"/>
  <c r="AV61" i="17"/>
  <c r="AM57" i="18"/>
  <c r="AM61" i="18"/>
  <c r="AC57" i="18"/>
  <c r="AC61" i="18"/>
  <c r="AV57" i="18"/>
  <c r="AV61" i="18"/>
  <c r="U61" i="17"/>
  <c r="U57" i="17"/>
  <c r="AE50" i="17"/>
  <c r="AE46" i="17"/>
  <c r="AJ57" i="17"/>
  <c r="AJ61" i="17"/>
  <c r="AR57" i="17"/>
  <c r="AR61" i="17"/>
  <c r="Q61" i="17"/>
  <c r="Q57" i="17"/>
  <c r="AL50" i="17"/>
  <c r="AL46" i="17"/>
  <c r="S39" i="18"/>
  <c r="S35" i="18"/>
  <c r="D39" i="17"/>
  <c r="D35" i="17"/>
  <c r="P46" i="17"/>
  <c r="P50" i="17"/>
  <c r="AD57" i="18"/>
  <c r="AD61" i="18"/>
  <c r="AO46" i="18"/>
  <c r="AO50" i="18"/>
  <c r="K44" i="17"/>
  <c r="K55" i="17"/>
  <c r="K23" i="17"/>
  <c r="K33" i="17"/>
  <c r="AS57" i="18"/>
  <c r="AS61" i="18"/>
  <c r="F45" i="18"/>
  <c r="F51" i="18"/>
  <c r="F56" i="18"/>
  <c r="F62" i="18"/>
  <c r="F24" i="18"/>
  <c r="F34" i="18"/>
  <c r="F40" i="18"/>
  <c r="Q57" i="18"/>
  <c r="Q61" i="18"/>
  <c r="U57" i="18"/>
  <c r="U61" i="18"/>
  <c r="X56" i="18"/>
  <c r="X62" i="18"/>
  <c r="X24" i="18"/>
  <c r="X45" i="18"/>
  <c r="X51" i="18"/>
  <c r="X34" i="18"/>
  <c r="X40" i="18"/>
  <c r="AH57" i="18"/>
  <c r="E23" i="17"/>
  <c r="AZ23" i="17"/>
  <c r="E33" i="17"/>
  <c r="E55" i="17"/>
  <c r="E44" i="17"/>
  <c r="AC39" i="17"/>
  <c r="AC35" i="17"/>
  <c r="AO50" i="17"/>
  <c r="AO46" i="17"/>
  <c r="R46" i="17"/>
  <c r="R50" i="17"/>
  <c r="AI57" i="17"/>
  <c r="AI61" i="17"/>
  <c r="AF39" i="17"/>
  <c r="AF35" i="17"/>
  <c r="AU39" i="17"/>
  <c r="AU35" i="17"/>
  <c r="Y61" i="17"/>
  <c r="Y57" i="17"/>
  <c r="AT57" i="17"/>
  <c r="AT61" i="17"/>
  <c r="G45" i="18"/>
  <c r="G51" i="18"/>
  <c r="G56" i="18"/>
  <c r="G62" i="18"/>
  <c r="G24" i="18"/>
  <c r="G34" i="18"/>
  <c r="G40" i="18"/>
  <c r="AK46" i="18"/>
  <c r="AK50" i="18"/>
  <c r="AA23" i="18"/>
  <c r="AA33" i="18"/>
  <c r="AA55" i="18"/>
  <c r="AA44" i="18"/>
  <c r="AH50" i="17"/>
  <c r="AH46" i="17"/>
  <c r="T39" i="17"/>
  <c r="T35" i="17"/>
  <c r="AN50" i="17"/>
  <c r="AN46" i="17"/>
  <c r="AX57" i="17"/>
  <c r="AX61" i="17"/>
  <c r="AJ39" i="18"/>
  <c r="AJ35" i="18"/>
  <c r="H55" i="18"/>
  <c r="H23" i="18"/>
  <c r="H44" i="18"/>
  <c r="H33" i="18"/>
  <c r="M35" i="18"/>
  <c r="M39" i="18"/>
  <c r="R39" i="18"/>
  <c r="R35" i="18"/>
  <c r="L35" i="18"/>
  <c r="AY46" i="18"/>
  <c r="AY50" i="18"/>
  <c r="AQ46" i="18"/>
  <c r="AQ50" i="18"/>
  <c r="AB57" i="17"/>
  <c r="AB61" i="17"/>
  <c r="AM35" i="17"/>
  <c r="AM39" i="17"/>
  <c r="H57" i="18"/>
  <c r="H61" i="18"/>
  <c r="K35" i="17"/>
  <c r="K39" i="17"/>
  <c r="X57" i="18"/>
  <c r="X61" i="18"/>
  <c r="I57" i="18"/>
  <c r="I61" i="18"/>
  <c r="O61" i="17"/>
  <c r="O57" i="17"/>
  <c r="AA39" i="18"/>
  <c r="AA35" i="18"/>
  <c r="G57" i="18"/>
  <c r="G61" i="18"/>
  <c r="AZ24" i="17"/>
  <c r="I35" i="18"/>
  <c r="I39" i="18"/>
  <c r="O46" i="17"/>
  <c r="O50" i="17"/>
  <c r="AG39" i="17"/>
  <c r="AG35" i="17"/>
  <c r="L61" i="17"/>
  <c r="L57" i="17"/>
  <c r="E57" i="17"/>
  <c r="E61" i="17"/>
  <c r="K61" i="17"/>
  <c r="K57" i="17"/>
  <c r="N61" i="17"/>
  <c r="N57" i="17"/>
  <c r="G35" i="18"/>
  <c r="G39" i="18"/>
  <c r="I46" i="18"/>
  <c r="I50" i="18"/>
  <c r="AQ39" i="17"/>
  <c r="AQ35" i="17"/>
  <c r="AG57" i="17"/>
  <c r="AG61" i="17"/>
  <c r="M61" i="17"/>
  <c r="M57" i="17"/>
  <c r="L46" i="17"/>
  <c r="L50" i="17"/>
  <c r="K57" i="18"/>
  <c r="K61" i="18"/>
  <c r="J57" i="18"/>
  <c r="J61" i="18"/>
  <c r="N57" i="18"/>
  <c r="N61" i="18"/>
  <c r="AA57" i="18"/>
  <c r="AA61" i="18"/>
  <c r="N35" i="17"/>
  <c r="N39" i="17"/>
  <c r="F35" i="18"/>
  <c r="F39" i="18"/>
  <c r="AQ50" i="17"/>
  <c r="AQ46" i="17"/>
  <c r="M35" i="17"/>
  <c r="M39" i="17"/>
  <c r="K35" i="18"/>
  <c r="K39" i="18"/>
  <c r="H35" i="18"/>
  <c r="H39" i="18"/>
  <c r="E46" i="17"/>
  <c r="E50" i="17"/>
  <c r="X39" i="18"/>
  <c r="X35" i="18"/>
  <c r="F46" i="18"/>
  <c r="F50" i="18"/>
  <c r="G30" i="17"/>
  <c r="H27" i="17"/>
  <c r="G30" i="18"/>
  <c r="H27" i="18"/>
  <c r="O35" i="18"/>
  <c r="O39" i="18"/>
  <c r="H46" i="18"/>
  <c r="H50" i="18"/>
  <c r="AA46" i="18"/>
  <c r="AA50" i="18"/>
  <c r="E39" i="17"/>
  <c r="E35" i="17"/>
  <c r="K46" i="17"/>
  <c r="K50" i="17"/>
  <c r="N46" i="17"/>
  <c r="N50" i="17"/>
  <c r="G46" i="18"/>
  <c r="G50" i="18"/>
  <c r="X46" i="18"/>
  <c r="X50" i="18"/>
  <c r="F57" i="18"/>
  <c r="F61" i="18"/>
  <c r="O35" i="17"/>
  <c r="O39" i="17"/>
  <c r="AQ57" i="17"/>
  <c r="AQ61" i="17"/>
  <c r="AG50" i="17"/>
  <c r="AG46" i="17"/>
  <c r="M46" i="17"/>
  <c r="M50" i="17"/>
  <c r="L35" i="17"/>
  <c r="L39" i="17"/>
  <c r="K46" i="18"/>
  <c r="K50" i="18"/>
  <c r="O46" i="18"/>
  <c r="O50" i="18"/>
  <c r="J35" i="18"/>
  <c r="J39" i="18"/>
  <c r="N50" i="18"/>
  <c r="N46" i="18"/>
  <c r="E55" i="18"/>
  <c r="E23" i="18"/>
  <c r="AZ23" i="18"/>
  <c r="E44" i="18"/>
  <c r="E33" i="18"/>
  <c r="AZ21" i="18"/>
  <c r="O57" i="18"/>
  <c r="O61" i="18"/>
  <c r="J46" i="18"/>
  <c r="J50" i="18"/>
  <c r="N35" i="18"/>
  <c r="N39" i="18"/>
  <c r="E45" i="18"/>
  <c r="E51" i="18"/>
  <c r="E56" i="18"/>
  <c r="E62" i="18"/>
  <c r="E24" i="18"/>
  <c r="AZ24" i="18"/>
  <c r="E34" i="18"/>
  <c r="E40" i="18"/>
  <c r="AZ22" i="18"/>
  <c r="E57" i="18"/>
  <c r="E61" i="18"/>
  <c r="E46" i="18"/>
  <c r="E50" i="18"/>
  <c r="I27" i="17"/>
  <c r="H30" i="17"/>
  <c r="E35" i="18"/>
  <c r="E39" i="18"/>
  <c r="H30" i="18"/>
  <c r="I27" i="18"/>
  <c r="I30" i="18"/>
  <c r="J27" i="18"/>
  <c r="J27" i="17"/>
  <c r="I30" i="17"/>
  <c r="J30" i="18"/>
  <c r="K27" i="18"/>
  <c r="K27" i="17"/>
  <c r="J30" i="17"/>
  <c r="K30" i="18"/>
  <c r="L27" i="18"/>
  <c r="L27" i="17"/>
  <c r="K30" i="17"/>
  <c r="L30" i="18"/>
  <c r="M27" i="18"/>
  <c r="M27" i="17"/>
  <c r="L30" i="17"/>
  <c r="M30" i="18"/>
  <c r="N27" i="18"/>
  <c r="N27" i="17"/>
  <c r="M30" i="17"/>
  <c r="O27" i="18"/>
  <c r="N30" i="18"/>
  <c r="O27" i="17"/>
  <c r="N30" i="17"/>
  <c r="P27" i="17"/>
  <c r="O30" i="17"/>
  <c r="O30" i="18"/>
  <c r="P27" i="18"/>
  <c r="P30" i="18"/>
  <c r="Q27" i="18"/>
  <c r="P30" i="17"/>
  <c r="Q27" i="17"/>
  <c r="Q30" i="18"/>
  <c r="R27" i="18"/>
  <c r="Q30" i="17"/>
  <c r="R27" i="17"/>
  <c r="R30" i="17"/>
  <c r="S27" i="17"/>
  <c r="R30" i="18"/>
  <c r="S27" i="18"/>
  <c r="S30" i="18"/>
  <c r="T27" i="18"/>
  <c r="S30" i="17"/>
  <c r="T27" i="17"/>
  <c r="T30" i="17"/>
  <c r="U27" i="17"/>
  <c r="T30" i="18"/>
  <c r="U27" i="18"/>
  <c r="U30" i="18"/>
  <c r="V27" i="18"/>
  <c r="U30" i="17"/>
  <c r="V27" i="17"/>
  <c r="V30" i="17"/>
  <c r="W27" i="17"/>
  <c r="V30" i="18"/>
  <c r="W27" i="18"/>
  <c r="W30" i="18"/>
  <c r="X27" i="18"/>
  <c r="W30" i="17"/>
  <c r="X27" i="17"/>
  <c r="X30" i="18"/>
  <c r="Y27" i="18"/>
  <c r="X30" i="17"/>
  <c r="Y27" i="17"/>
  <c r="Z27" i="17"/>
  <c r="Y30" i="17"/>
  <c r="Y30" i="18"/>
  <c r="Z27" i="18"/>
  <c r="Z30" i="18"/>
  <c r="AA27" i="18"/>
  <c r="AA27" i="17"/>
  <c r="Z30" i="17"/>
  <c r="AA30" i="18"/>
  <c r="AB27" i="18"/>
  <c r="AB27" i="17"/>
  <c r="AA30" i="17"/>
  <c r="AB30" i="18"/>
  <c r="AC27" i="18"/>
  <c r="AB30" i="17"/>
  <c r="AC27" i="17"/>
  <c r="AD27" i="17"/>
  <c r="AC30" i="17"/>
  <c r="AC30" i="18"/>
  <c r="AD27" i="18"/>
  <c r="AD30" i="18"/>
  <c r="AE27" i="18"/>
  <c r="AE27" i="17"/>
  <c r="AD30" i="17"/>
  <c r="AF27" i="17"/>
  <c r="AE30" i="17"/>
  <c r="AE30" i="18"/>
  <c r="AF27" i="18"/>
  <c r="AF30" i="18"/>
  <c r="AG27" i="18"/>
  <c r="AF30" i="17"/>
  <c r="AG27" i="17"/>
  <c r="AH27" i="17"/>
  <c r="AG30" i="17"/>
  <c r="AG30" i="18"/>
  <c r="AH27" i="18"/>
  <c r="AH30" i="18"/>
  <c r="AI27" i="18"/>
  <c r="AI27" i="17"/>
  <c r="AH30" i="17"/>
  <c r="AI30" i="18"/>
  <c r="AJ27" i="18"/>
  <c r="AI30" i="17"/>
  <c r="AJ27" i="17"/>
  <c r="AJ30" i="17"/>
  <c r="AK27" i="17"/>
  <c r="AJ30" i="18"/>
  <c r="AK27" i="18"/>
  <c r="AK30" i="18"/>
  <c r="AL27" i="18"/>
  <c r="AL27" i="17"/>
  <c r="AK30" i="17"/>
  <c r="AL30" i="18"/>
  <c r="AM27" i="18"/>
  <c r="AL30" i="17"/>
  <c r="AM27" i="17"/>
  <c r="AM30" i="17"/>
  <c r="AN27" i="17"/>
  <c r="AM30" i="18"/>
  <c r="AN27" i="18"/>
  <c r="AN30" i="18"/>
  <c r="AO27" i="18"/>
  <c r="AN30" i="17"/>
  <c r="AO27" i="17"/>
  <c r="AP27" i="17"/>
  <c r="AO30" i="17"/>
  <c r="AO30" i="18"/>
  <c r="AP27" i="18"/>
  <c r="AP30" i="18"/>
  <c r="AQ27" i="18"/>
  <c r="AQ27" i="17"/>
  <c r="AP30" i="17"/>
  <c r="AQ30" i="18"/>
  <c r="AR27" i="18"/>
  <c r="AR27" i="17"/>
  <c r="AQ30" i="17"/>
  <c r="AR30" i="18"/>
  <c r="AS27" i="18"/>
  <c r="AS27" i="17"/>
  <c r="AR30" i="17"/>
  <c r="AS30" i="18"/>
  <c r="AT27" i="18"/>
  <c r="AS30" i="17"/>
  <c r="AT27" i="17"/>
  <c r="AT30" i="17"/>
  <c r="AU27" i="17"/>
  <c r="AT30" i="18"/>
  <c r="AU27" i="18"/>
  <c r="AV27" i="17"/>
  <c r="AU30" i="17"/>
  <c r="AU30" i="18"/>
  <c r="AV27" i="18"/>
  <c r="AV30" i="18"/>
  <c r="AW27" i="18"/>
  <c r="AW27" i="17"/>
  <c r="AV30" i="17"/>
  <c r="AW30" i="18"/>
  <c r="AX27" i="18"/>
  <c r="AW30" i="17"/>
  <c r="AX27" i="17"/>
  <c r="AX30" i="18"/>
  <c r="AY27" i="18"/>
  <c r="AY30" i="18"/>
  <c r="AZ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<sst xmlns="http://schemas.openxmlformats.org/spreadsheetml/2006/main" count="2632" uniqueCount="414">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</sst>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2026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K19" sqref="K19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2604.6972514622598</v>
      </c>
      <c r="D6" s="87">
        <v>2604.6972514622598</v>
      </c>
      <c r="E6" s="87">
        <v>2604.6972514622598</v>
      </c>
      <c r="F6" s="87">
        <v>2604.6972514622598</v>
      </c>
      <c r="G6" s="87">
        <v>2604.6972514622598</v>
      </c>
      <c r="H6" s="87">
        <v>2604.6972514622598</v>
      </c>
      <c r="I6" s="87">
        <v>2604.6972514622598</v>
      </c>
      <c r="J6" s="87">
        <v>2604.6972514622598</v>
      </c>
      <c r="K6" s="87">
        <v>2604.6972514622598</v>
      </c>
      <c r="L6" s="87">
        <v>2604.6972514622598</v>
      </c>
      <c r="M6" s="87">
        <v>2604.6972514622598</v>
      </c>
      <c r="N6" s="87">
        <v>2604.6972514622598</v>
      </c>
    </row>
    <row r="7" spans="2:14">
      <c r="B7" s="36" t="s">
        <v>105</v>
      </c>
      <c r="C7" s="88">
        <v>1.0883925925769841E-18</v>
      </c>
      <c r="D7" s="89">
        <v>1.0883925925769841E-18</v>
      </c>
      <c r="E7" s="89">
        <v>1.0883925925769841E-18</v>
      </c>
      <c r="F7" s="89">
        <v>1.0883925925769841E-18</v>
      </c>
      <c r="G7" s="89">
        <v>1.0883925925769841E-18</v>
      </c>
      <c r="H7" s="89">
        <v>1.0883925925769841E-18</v>
      </c>
      <c r="I7" s="89">
        <v>1.0883925925769841E-18</v>
      </c>
      <c r="J7" s="89">
        <v>1.0883925925769841E-18</v>
      </c>
      <c r="K7" s="89">
        <v>1.0883925925769841E-18</v>
      </c>
      <c r="L7" s="89">
        <v>1.0883925925769841E-18</v>
      </c>
      <c r="M7" s="89">
        <v>1.0883925925769841E-18</v>
      </c>
      <c r="N7" s="89">
        <v>1.0883925925769841E-18</v>
      </c>
    </row>
    <row r="8" spans="2:14">
      <c r="B8" s="36" t="s">
        <v>106</v>
      </c>
      <c r="C8" s="88">
        <v>125</v>
      </c>
      <c r="D8" s="89">
        <v>125</v>
      </c>
      <c r="E8" s="89">
        <v>125</v>
      </c>
      <c r="F8" s="89">
        <v>125</v>
      </c>
      <c r="G8" s="89">
        <v>125</v>
      </c>
      <c r="H8" s="89">
        <v>125</v>
      </c>
      <c r="I8" s="89">
        <v>125</v>
      </c>
      <c r="J8" s="89">
        <v>125</v>
      </c>
      <c r="K8" s="89">
        <v>125</v>
      </c>
      <c r="L8" s="89">
        <v>125</v>
      </c>
      <c r="M8" s="89">
        <v>125</v>
      </c>
      <c r="N8" s="89">
        <v>125</v>
      </c>
    </row>
    <row r="9" spans="2:14">
      <c r="B9" s="36" t="s">
        <v>107</v>
      </c>
      <c r="C9" s="88">
        <v>790</v>
      </c>
      <c r="D9" s="89">
        <v>790</v>
      </c>
      <c r="E9" s="89">
        <v>790</v>
      </c>
      <c r="F9" s="89">
        <v>790</v>
      </c>
      <c r="G9" s="89">
        <v>790</v>
      </c>
      <c r="H9" s="89">
        <v>790</v>
      </c>
      <c r="I9" s="89">
        <v>790</v>
      </c>
      <c r="J9" s="89">
        <v>790</v>
      </c>
      <c r="K9" s="89">
        <v>790</v>
      </c>
      <c r="L9" s="89">
        <v>790</v>
      </c>
      <c r="M9" s="89">
        <v>790</v>
      </c>
      <c r="N9" s="89">
        <v>790</v>
      </c>
    </row>
    <row r="10" spans="2:14">
      <c r="B10" s="36" t="s">
        <v>108</v>
      </c>
      <c r="C10" s="88">
        <v>1.2422105405595607E-18</v>
      </c>
      <c r="D10" s="89">
        <v>1.2422105405595607E-18</v>
      </c>
      <c r="E10" s="89">
        <v>1.2422105405595607E-18</v>
      </c>
      <c r="F10" s="89">
        <v>1.2422105405595607E-18</v>
      </c>
      <c r="G10" s="89">
        <v>1.2422105405595607E-18</v>
      </c>
      <c r="H10" s="89">
        <v>1.2422105405595607E-18</v>
      </c>
      <c r="I10" s="89">
        <v>1.2422105405595607E-18</v>
      </c>
      <c r="J10" s="89">
        <v>1.2422105405595607E-18</v>
      </c>
      <c r="K10" s="89">
        <v>1.2422105405595607E-18</v>
      </c>
      <c r="L10" s="89">
        <v>1.2422105405595607E-18</v>
      </c>
      <c r="M10" s="89">
        <v>1.2422105405595607E-18</v>
      </c>
      <c r="N10" s="89">
        <v>1.2422105405595607E-18</v>
      </c>
    </row>
    <row r="11" spans="2:14">
      <c r="B11" s="37" t="s">
        <v>109</v>
      </c>
      <c r="C11" s="88">
        <v>7.563677655640433E-19</v>
      </c>
      <c r="D11" s="89">
        <v>7.563677655640433E-19</v>
      </c>
      <c r="E11" s="89">
        <v>7.563677655640433E-19</v>
      </c>
      <c r="F11" s="89">
        <v>7.563677655640433E-19</v>
      </c>
      <c r="G11" s="89">
        <v>7.563677655640433E-19</v>
      </c>
      <c r="H11" s="89">
        <v>7.563677655640433E-19</v>
      </c>
      <c r="I11" s="89">
        <v>7.563677655640433E-19</v>
      </c>
      <c r="J11" s="89">
        <v>7.563677655640433E-19</v>
      </c>
      <c r="K11" s="89">
        <v>7.563677655640433E-19</v>
      </c>
      <c r="L11" s="89">
        <v>7.563677655640433E-19</v>
      </c>
      <c r="M11" s="89">
        <v>7.563677655640433E-19</v>
      </c>
      <c r="N11" s="89">
        <v>7.563677655640433E-19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0.55504706947884286</v>
      </c>
      <c r="E17" s="90">
        <v>1</v>
      </c>
      <c r="F17" s="90">
        <v>0.7820377666157331</v>
      </c>
      <c r="G17" s="90">
        <v>0.8</v>
      </c>
      <c r="H17" s="90">
        <v>1.0090284637526232</v>
      </c>
      <c r="I17" s="29" t="s">
        <v>110</v>
      </c>
    </row>
    <row r="18" spans="2:33">
      <c r="B18" s="36" t="s">
        <v>105</v>
      </c>
      <c r="C18" s="91">
        <v>1.2</v>
      </c>
      <c r="D18" s="91">
        <v>0.64017927310601208</v>
      </c>
      <c r="E18" s="91">
        <v>1</v>
      </c>
      <c r="F18" s="91">
        <v>0.77007964186716893</v>
      </c>
      <c r="G18" s="91">
        <v>0.8</v>
      </c>
      <c r="H18" s="91">
        <v>0.89998001062832556</v>
      </c>
      <c r="I18" s="29" t="s">
        <v>110</v>
      </c>
    </row>
    <row r="19" spans="2:33">
      <c r="B19" s="36" t="s">
        <v>106</v>
      </c>
      <c r="C19" s="91">
        <v>1.2</v>
      </c>
      <c r="D19" s="91">
        <v>0.68015240274652244</v>
      </c>
      <c r="E19" s="91">
        <v>1</v>
      </c>
      <c r="F19" s="91">
        <v>0.84186865652964649</v>
      </c>
      <c r="G19" s="91">
        <v>0.8</v>
      </c>
      <c r="H19" s="91">
        <v>1.0035849103127705</v>
      </c>
      <c r="I19" s="29" t="s">
        <v>110</v>
      </c>
    </row>
    <row r="20" spans="2:33">
      <c r="B20" s="36" t="s">
        <v>107</v>
      </c>
      <c r="C20" s="91">
        <v>1.2</v>
      </c>
      <c r="D20" s="91">
        <v>0.64614992510111902</v>
      </c>
      <c r="E20" s="91">
        <v>1</v>
      </c>
      <c r="F20" s="91">
        <v>0.81202154164568385</v>
      </c>
      <c r="G20" s="91">
        <v>0.8</v>
      </c>
      <c r="H20" s="91">
        <v>0.97789315819024858</v>
      </c>
    </row>
    <row r="21" spans="2:33">
      <c r="B21" s="36" t="s">
        <v>108</v>
      </c>
      <c r="C21" s="91">
        <v>1.2</v>
      </c>
      <c r="D21" s="91">
        <v>0.69603811040596464</v>
      </c>
      <c r="E21" s="91">
        <v>1</v>
      </c>
      <c r="F21" s="91">
        <v>0.72286610155690545</v>
      </c>
      <c r="G21" s="91">
        <v>0.8</v>
      </c>
      <c r="H21" s="91">
        <v>0.74969409270784626</v>
      </c>
    </row>
    <row r="22" spans="2:33">
      <c r="B22" s="37" t="s">
        <v>109</v>
      </c>
      <c r="C22" s="91">
        <v>1.2</v>
      </c>
      <c r="D22" s="91">
        <v>0.69140103276761566</v>
      </c>
      <c r="E22" s="91">
        <v>1</v>
      </c>
      <c r="F22" s="91">
        <v>0.75480866675015235</v>
      </c>
      <c r="G22" s="91">
        <v>0.8</v>
      </c>
      <c r="H22" s="91">
        <v>0.81821630073268903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2021</v>
      </c>
      <c r="E28" s="49"/>
      <c r="F28" s="45">
        <f>basic_info!$D$5-4</f>
        <v>2022</v>
      </c>
      <c r="G28" s="49"/>
      <c r="H28" s="45">
        <f>basic_info!$D$5-3</f>
        <v>2023</v>
      </c>
      <c r="I28" s="49"/>
      <c r="J28" s="45">
        <f>basic_info!$D$5-2</f>
        <v>2024</v>
      </c>
      <c r="K28" s="49"/>
      <c r="L28" s="45">
        <f>basic_info!$D$5-1</f>
        <v>2025</v>
      </c>
      <c r="N28" s="45">
        <f>basic_info!$D$5</f>
        <v>2026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2026</v>
      </c>
      <c r="D30" s="44">
        <v>0.73880555482804788</v>
      </c>
      <c r="E30" s="35">
        <v>0.73880555482804788</v>
      </c>
      <c r="F30" s="47">
        <v>0.80660806339327296</v>
      </c>
      <c r="G30" s="46">
        <v>0.80660806339327296</v>
      </c>
      <c r="H30" s="47">
        <v>0.66770912421851791</v>
      </c>
      <c r="I30" s="46">
        <v>0.66770912421851791</v>
      </c>
      <c r="J30" s="47">
        <v>0.80424226781322339</v>
      </c>
      <c r="K30" s="46">
        <v>0.80424226781322339</v>
      </c>
      <c r="L30" s="47">
        <v>0.90763329631080369</v>
      </c>
      <c r="M30" s="46">
        <v>0.90763329631080369</v>
      </c>
      <c r="N30" s="60"/>
      <c r="O30" s="71" t="s">
        <v>162</v>
      </c>
      <c r="P30" s="41">
        <f>M30+K30+I30+E30+G30</f>
        <v>3.9249983065638658</v>
      </c>
      <c r="Q30" s="70"/>
    </row>
    <row r="31" spans="2:33">
      <c r="B31" s="36"/>
      <c r="C31" s="47">
        <f>basic_info!$D$5+1</f>
        <v>2027</v>
      </c>
      <c r="D31" s="76"/>
      <c r="E31" s="75"/>
      <c r="F31" s="69">
        <v>0.76512732076942924</v>
      </c>
      <c r="G31" s="79">
        <v>0.76512732076942924</v>
      </c>
      <c r="H31" s="61">
        <v>0.65019748550057865</v>
      </c>
      <c r="I31" s="62">
        <v>0.65019748550057865</v>
      </c>
      <c r="J31" s="61">
        <v>0.78825317361714797</v>
      </c>
      <c r="K31" s="62">
        <v>0.78825317361714797</v>
      </c>
      <c r="L31" s="61">
        <v>0.83418333387532106</v>
      </c>
      <c r="M31" s="62">
        <v>0.83418333387532106</v>
      </c>
      <c r="N31" s="63">
        <v>0.75973931162527031</v>
      </c>
      <c r="O31" s="89">
        <v>0.75973931162527031</v>
      </c>
      <c r="P31" s="63">
        <f>O31+M31+K31+I31+G31</f>
        <v>3.7975006253877472</v>
      </c>
    </row>
    <row r="32" spans="2:33">
      <c r="B32" s="36"/>
      <c r="C32" s="47">
        <f>basic_info!$D$5+2</f>
        <v>2028</v>
      </c>
      <c r="D32" s="76"/>
      <c r="E32" s="75"/>
      <c r="F32" s="75"/>
      <c r="G32" s="75"/>
      <c r="H32" s="69">
        <v>0.66023955697715286</v>
      </c>
      <c r="I32" s="79">
        <v>0.66023955697715286</v>
      </c>
      <c r="J32" s="61">
        <v>0.76028061435442029</v>
      </c>
      <c r="K32" s="62">
        <v>0.76028061435442029</v>
      </c>
      <c r="L32" s="61">
        <v>0.78705796464934707</v>
      </c>
      <c r="M32" s="62">
        <v>0.78705796464934707</v>
      </c>
      <c r="N32" s="63">
        <v>0.76209966338188417</v>
      </c>
      <c r="O32" s="89">
        <v>0.76209966338188417</v>
      </c>
      <c r="P32" s="63">
        <f>O32+M32+K32+I32</f>
        <v>2.9696777993628043</v>
      </c>
    </row>
    <row r="33" spans="2:17">
      <c r="B33" s="36"/>
      <c r="C33" s="47">
        <f>basic_info!$D$5+3</f>
        <v>2029</v>
      </c>
      <c r="D33" s="76"/>
      <c r="E33" s="75"/>
      <c r="F33" s="75"/>
      <c r="G33" s="75"/>
      <c r="H33" s="75"/>
      <c r="I33" s="75"/>
      <c r="J33" s="69">
        <v>0.77380428089201447</v>
      </c>
      <c r="K33" s="79">
        <v>0.77380428089201447</v>
      </c>
      <c r="L33" s="61">
        <v>0.74605181189556535</v>
      </c>
      <c r="M33" s="62">
        <v>0.74605181189556535</v>
      </c>
      <c r="N33" s="63">
        <v>0.69292953939969726</v>
      </c>
      <c r="O33" s="89">
        <v>0.69292953939969726</v>
      </c>
      <c r="P33" s="63">
        <f>O33+M33+K33</f>
        <v>2.212785632187277</v>
      </c>
    </row>
    <row r="34" spans="2:17">
      <c r="B34" s="36"/>
      <c r="C34" s="47">
        <f>basic_info!$D$5+4</f>
        <v>2030</v>
      </c>
      <c r="D34" s="76"/>
      <c r="E34" s="75"/>
      <c r="F34" s="75"/>
      <c r="G34" s="75"/>
      <c r="H34" s="75"/>
      <c r="I34" s="75"/>
      <c r="J34" s="75"/>
      <c r="K34" s="75"/>
      <c r="L34" s="69">
        <v>0.69642607282102109</v>
      </c>
      <c r="M34" s="79">
        <v>0.69642607282102109</v>
      </c>
      <c r="N34" s="63">
        <v>0.68246257035314684</v>
      </c>
      <c r="O34" s="89">
        <v>0.68246257035314684</v>
      </c>
      <c r="P34" s="63">
        <f>O34+M34</f>
        <v>1.378888643174168</v>
      </c>
    </row>
    <row r="35" spans="2:17">
      <c r="B35" s="37"/>
      <c r="C35" s="72">
        <f>basic_info!$D$5+5</f>
        <v>2031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0.68012294996082789</v>
      </c>
      <c r="O35" s="89">
        <v>0.68012294996082789</v>
      </c>
      <c r="P35" s="65">
        <f>O35</f>
        <v>0.68012294996082789</v>
      </c>
    </row>
    <row r="36" spans="2:17">
      <c r="B36" s="41" t="s">
        <v>113</v>
      </c>
      <c r="C36" s="36">
        <f>basic_info!$D$5</f>
        <v>2026</v>
      </c>
      <c r="D36" s="44">
        <v>0.93520843183994296</v>
      </c>
      <c r="E36" s="35">
        <v>0.93520843183994296</v>
      </c>
      <c r="F36" s="73">
        <v>1.0352907467437555</v>
      </c>
      <c r="G36" s="74">
        <v>1.0352907467437555</v>
      </c>
      <c r="H36" s="73">
        <v>0.88683645767326402</v>
      </c>
      <c r="I36" s="74">
        <v>0.88683645767326402</v>
      </c>
      <c r="J36" s="73">
        <v>0.95481203910000689</v>
      </c>
      <c r="K36" s="74">
        <v>0.95481203910000689</v>
      </c>
      <c r="L36" s="66">
        <v>1.087525706124693</v>
      </c>
      <c r="M36" s="67">
        <v>1.087525706124693</v>
      </c>
      <c r="N36" s="68"/>
      <c r="O36" s="71" t="s">
        <v>162</v>
      </c>
      <c r="P36" s="41">
        <f>M36+K36+I36+E36+G36</f>
        <v>4.8996733814816622</v>
      </c>
      <c r="Q36" s="70"/>
    </row>
    <row r="37" spans="2:17">
      <c r="B37" s="36"/>
      <c r="C37" s="47">
        <f>basic_info!$D$5+1</f>
        <v>2027</v>
      </c>
      <c r="D37" s="76"/>
      <c r="E37" s="75"/>
      <c r="F37" s="69">
        <v>1.0053375317752362</v>
      </c>
      <c r="G37" s="79">
        <v>1.0053375317752362</v>
      </c>
      <c r="H37" s="61">
        <v>0.87530734595100446</v>
      </c>
      <c r="I37" s="62">
        <v>0.87530734595100446</v>
      </c>
      <c r="J37" s="61">
        <v>0.97417948833143708</v>
      </c>
      <c r="K37" s="62">
        <v>0.97417948833143708</v>
      </c>
      <c r="L37" s="61">
        <v>1.0855802099290006</v>
      </c>
      <c r="M37" s="62">
        <v>1.0855802099290006</v>
      </c>
      <c r="N37" s="61">
        <v>1.3097582193821362</v>
      </c>
      <c r="O37" s="89">
        <v>1.3097582193821362</v>
      </c>
      <c r="P37" s="63">
        <f>O37+M37+K37+I37+G37</f>
        <v>5.2501627953688139</v>
      </c>
    </row>
    <row r="38" spans="2:17">
      <c r="B38" s="36"/>
      <c r="C38" s="47">
        <f>basic_info!$D$5+2</f>
        <v>2028</v>
      </c>
      <c r="D38" s="76"/>
      <c r="E38" s="75"/>
      <c r="F38" s="75"/>
      <c r="G38" s="75"/>
      <c r="H38" s="69">
        <v>0.87304416900873183</v>
      </c>
      <c r="I38" s="79">
        <v>0.87304416900873183</v>
      </c>
      <c r="J38" s="61">
        <v>0.95442559833887075</v>
      </c>
      <c r="K38" s="62">
        <v>0.95442559833887075</v>
      </c>
      <c r="L38" s="61">
        <v>1.0750677373803734</v>
      </c>
      <c r="M38" s="62">
        <v>1.0750677373803734</v>
      </c>
      <c r="N38" s="61">
        <v>1.2198040079418053</v>
      </c>
      <c r="O38" s="89">
        <v>1.2198040079418053</v>
      </c>
      <c r="P38" s="63">
        <f>O38+M38+K38+I38</f>
        <v>4.1223415126697809</v>
      </c>
    </row>
    <row r="39" spans="2:17">
      <c r="B39" s="36"/>
      <c r="C39" s="47">
        <f>basic_info!$D$5+3</f>
        <v>2029</v>
      </c>
      <c r="D39" s="76"/>
      <c r="E39" s="75"/>
      <c r="F39" s="75"/>
      <c r="G39" s="75"/>
      <c r="H39" s="75"/>
      <c r="I39" s="75"/>
      <c r="J39" s="69">
        <v>0.88631273952126499</v>
      </c>
      <c r="K39" s="79">
        <v>0.88631273952126499</v>
      </c>
      <c r="L39" s="61">
        <v>1.0546694543357544</v>
      </c>
      <c r="M39" s="62">
        <v>1.0546694543357544</v>
      </c>
      <c r="N39" s="61">
        <v>1.1756596786689746</v>
      </c>
      <c r="O39" s="89">
        <v>1.1756596786689746</v>
      </c>
      <c r="P39" s="63">
        <f>O39+M39+K39</f>
        <v>3.1166418725259941</v>
      </c>
    </row>
    <row r="40" spans="2:17">
      <c r="B40" s="36"/>
      <c r="C40" s="47">
        <f>basic_info!$D$5+4</f>
        <v>2030</v>
      </c>
      <c r="D40" s="76"/>
      <c r="E40" s="75"/>
      <c r="F40" s="75"/>
      <c r="G40" s="75"/>
      <c r="H40" s="75"/>
      <c r="I40" s="75"/>
      <c r="J40" s="75"/>
      <c r="K40" s="75"/>
      <c r="L40" s="69">
        <v>1.0409094843864442</v>
      </c>
      <c r="M40" s="79">
        <v>1.0409094843864442</v>
      </c>
      <c r="N40" s="61">
        <v>1.0839331764160476</v>
      </c>
      <c r="O40" s="89">
        <v>1.0839331764160476</v>
      </c>
      <c r="P40" s="63">
        <f>O40+M40</f>
        <v>2.124842660802492</v>
      </c>
    </row>
    <row r="41" spans="2:17">
      <c r="B41" s="37"/>
      <c r="C41" s="72">
        <f>basic_info!$D$5+5</f>
        <v>2031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1.0482402778565885</v>
      </c>
      <c r="O41" s="89">
        <v>1.0482402778565885</v>
      </c>
      <c r="P41" s="64">
        <f>O41</f>
        <v>1.0482402778565885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2.3651529527596604E-20</v>
      </c>
      <c r="D6" s="93">
        <v>59.569648907654738</v>
      </c>
      <c r="E6" s="93">
        <v>1.2267136902172804E-20</v>
      </c>
      <c r="F6" s="93">
        <v>0</v>
      </c>
      <c r="G6" s="93">
        <v>40.430351092345276</v>
      </c>
      <c r="H6" s="97">
        <f>SUM($C$6:$G$6)</f>
        <v>100.00000000000001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54.666878404543866</v>
      </c>
      <c r="D7" s="93">
        <v>45.333121595456142</v>
      </c>
      <c r="E7" s="93">
        <v>0</v>
      </c>
      <c r="F7" s="93">
        <v>0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4.376120118409736E-19</v>
      </c>
      <c r="D8" s="93">
        <v>8.3519003667954221E-19</v>
      </c>
      <c r="E8" s="93">
        <v>100</v>
      </c>
      <c r="F8" s="93">
        <v>0</v>
      </c>
      <c r="G8" s="93">
        <v>2.291814337375441E-19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75.949367088607602</v>
      </c>
      <c r="D9" s="93">
        <v>6.7349689208690661E-20</v>
      </c>
      <c r="E9" s="93">
        <v>4.0447065999466073E-20</v>
      </c>
      <c r="F9" s="93">
        <v>24.050632911392405</v>
      </c>
      <c r="G9" s="93">
        <v>5.5789058126092592E-21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35.176547239811498</v>
      </c>
      <c r="D10" s="93">
        <v>42.648592097809974</v>
      </c>
      <c r="E10" s="93">
        <v>4.4349722526053066</v>
      </c>
      <c r="F10" s="93">
        <v>0</v>
      </c>
      <c r="G10" s="93">
        <v>17.739888409773236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24.764637774838029</v>
      </c>
      <c r="D11" s="94">
        <v>57.754437860450921</v>
      </c>
      <c r="E11" s="94">
        <v>0</v>
      </c>
      <c r="F11" s="94">
        <v>0</v>
      </c>
      <c r="G11" s="94">
        <v>17.480924364711054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44.818007409987352</v>
      </c>
      <c r="D19" s="44">
        <f>100-$C$19</f>
        <v>55.181992590012648</v>
      </c>
      <c r="E19" s="94">
        <v>42.813130631249791</v>
      </c>
      <c r="F19" s="33">
        <f>100-$E$19</f>
        <v>57.186869368750209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14.469738124756603</v>
      </c>
      <c r="D27" s="93">
        <v>43.057183088012131</v>
      </c>
      <c r="E27" s="93">
        <v>35.652151758885942</v>
      </c>
      <c r="F27" s="93">
        <v>8.4318251485775502</v>
      </c>
      <c r="G27" s="95">
        <v>6.5660130542262456</v>
      </c>
      <c r="N27" s="50"/>
      <c r="O27" s="50"/>
      <c r="P27" s="50"/>
    </row>
    <row r="28" spans="2:16">
      <c r="B28" s="45" t="s">
        <v>46</v>
      </c>
      <c r="C28" s="93">
        <v>17.485569554012297</v>
      </c>
      <c r="D28" s="93">
        <v>56.942816911987862</v>
      </c>
      <c r="E28" s="93">
        <v>64.347848241114065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68.044692321231096</v>
      </c>
      <c r="D29" s="93">
        <v>0</v>
      </c>
      <c r="E29" s="93">
        <v>0</v>
      </c>
      <c r="F29" s="93">
        <v>91.568174851422455</v>
      </c>
      <c r="G29" s="95">
        <v>93.433986945773754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40.700663516135329</v>
      </c>
      <c r="D37" s="93">
        <v>40.700663516135329</v>
      </c>
      <c r="E37" s="93">
        <v>40.700663516135329</v>
      </c>
      <c r="F37" s="93">
        <v>40.700663516135329</v>
      </c>
      <c r="G37" s="93">
        <v>40.700663516135329</v>
      </c>
      <c r="H37" s="93">
        <v>40.700663516135329</v>
      </c>
      <c r="I37" s="93">
        <v>40.700663516135329</v>
      </c>
      <c r="J37" s="93">
        <v>40.700663516135329</v>
      </c>
      <c r="K37" s="93">
        <v>40.700663516135329</v>
      </c>
      <c r="L37" s="93">
        <v>40.700663516135329</v>
      </c>
      <c r="M37" s="93">
        <v>40.700663516135329</v>
      </c>
      <c r="N37" s="95">
        <v>40.700663516135329</v>
      </c>
    </row>
    <row r="38" spans="2:14">
      <c r="B38" s="45" t="s">
        <v>46</v>
      </c>
      <c r="C38" s="93">
        <v>40.656896701165536</v>
      </c>
      <c r="D38" s="93">
        <v>40.656896701165536</v>
      </c>
      <c r="E38" s="93">
        <v>40.656896701165536</v>
      </c>
      <c r="F38" s="93">
        <v>40.656896701165536</v>
      </c>
      <c r="G38" s="93">
        <v>40.656896701165536</v>
      </c>
      <c r="H38" s="93">
        <v>40.656896701165536</v>
      </c>
      <c r="I38" s="93">
        <v>40.656896701165536</v>
      </c>
      <c r="J38" s="93">
        <v>40.656896701165536</v>
      </c>
      <c r="K38" s="93">
        <v>40.656896701165536</v>
      </c>
      <c r="L38" s="93">
        <v>40.656896701165536</v>
      </c>
      <c r="M38" s="93">
        <v>40.656896701165536</v>
      </c>
      <c r="N38" s="95">
        <v>40.656896701165536</v>
      </c>
    </row>
    <row r="39" spans="2:14">
      <c r="B39" s="45" t="s">
        <v>59</v>
      </c>
      <c r="C39" s="94">
        <v>44.226080640443037</v>
      </c>
      <c r="D39" s="94">
        <v>44.226080640443037</v>
      </c>
      <c r="E39" s="94">
        <v>44.226080640443037</v>
      </c>
      <c r="F39" s="94">
        <v>44.226080640443037</v>
      </c>
      <c r="G39" s="94">
        <v>44.226080640443037</v>
      </c>
      <c r="H39" s="94">
        <v>44.226080640443037</v>
      </c>
      <c r="I39" s="94">
        <v>44.226080640443037</v>
      </c>
      <c r="J39" s="94">
        <v>44.226080640443037</v>
      </c>
      <c r="K39" s="94">
        <v>44.226080640443037</v>
      </c>
      <c r="L39" s="94">
        <v>44.226080640443037</v>
      </c>
      <c r="M39" s="94">
        <v>44.226080640443037</v>
      </c>
      <c r="N39" s="89">
        <v>44.226080640443037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65149.749234609917</v>
      </c>
      <c r="L7" s="182"/>
      <c r="M7" s="182" t="s">
        <v>356</v>
      </c>
      <c r="S7" s="187">
        <f>SUM(ORA!$D$127:$O$127)</f>
        <v>277738466.44603688</v>
      </c>
    </row>
    <row r="8" spans="1:20">
      <c r="A8" s="182"/>
      <c r="B8" s="182" t="s">
        <v>357</v>
      </c>
      <c r="G8" s="185"/>
      <c r="H8" s="188">
        <f>SUM(POJ!$D$116:$O$116)</f>
        <v>43922.488946241152</v>
      </c>
      <c r="L8" s="182"/>
      <c r="M8" s="182" t="s">
        <v>357</v>
      </c>
      <c r="S8" s="189">
        <f>SUM(POJ!$D$127:$O$127)</f>
        <v>307457422.6236881</v>
      </c>
    </row>
    <row r="9" spans="1:20">
      <c r="A9" s="182"/>
      <c r="B9" s="182" t="s">
        <v>358</v>
      </c>
      <c r="G9" s="185"/>
      <c r="H9" s="188">
        <f>SUM(ROJ!$D$116:$O$116)</f>
        <v>27188.004614995254</v>
      </c>
      <c r="L9" s="182"/>
      <c r="M9" s="182" t="s">
        <v>358</v>
      </c>
      <c r="S9" s="189">
        <f>SUM(ROJ!$D$127:$O$127)</f>
        <v>206628835.07396388</v>
      </c>
    </row>
    <row r="10" spans="1:20">
      <c r="A10" s="182"/>
      <c r="B10" s="182" t="s">
        <v>359</v>
      </c>
      <c r="G10" s="185"/>
      <c r="H10" s="190">
        <f>SUM(FCOJ!$D$116:$O$116)</f>
        <v>30238.56886526689</v>
      </c>
      <c r="L10" s="182"/>
      <c r="M10" s="182" t="s">
        <v>359</v>
      </c>
      <c r="S10" s="191">
        <f>SUM(FCOJ!$D$127:$O$127)</f>
        <v>151424197.04409933</v>
      </c>
    </row>
    <row r="11" spans="1:20">
      <c r="A11" s="182"/>
      <c r="B11" s="182"/>
      <c r="G11" s="185"/>
      <c r="M11" s="182" t="s">
        <v>360</v>
      </c>
      <c r="T11" s="192">
        <f>SUM($S$7:$S$10)</f>
        <v>943248921.18778825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167042.18258567981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3.9249983065638658</v>
      </c>
      <c r="L14" s="182"/>
      <c r="M14" s="182" t="s">
        <v>365</v>
      </c>
      <c r="S14" s="187">
        <f>SUM(grove!$C$58:$AX$63)</f>
        <v>223837051.07110563</v>
      </c>
    </row>
    <row r="15" spans="1:20">
      <c r="A15" s="182"/>
      <c r="B15" s="182" t="s">
        <v>366</v>
      </c>
      <c r="G15" s="185"/>
      <c r="H15" s="190">
        <f>raw_materials!$P$36</f>
        <v>4.8996733814816622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6225.779032499715</v>
      </c>
    </row>
    <row r="16" spans="1:20">
      <c r="A16" s="182"/>
      <c r="B16" s="182" t="s">
        <v>368</v>
      </c>
      <c r="G16" s="185"/>
      <c r="H16" s="194">
        <v>43297.280476579021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9654.5976708571125</v>
      </c>
    </row>
    <row r="17" spans="1:21">
      <c r="A17" s="182"/>
      <c r="B17" s="182" t="s">
        <v>370</v>
      </c>
      <c r="G17" s="185"/>
      <c r="H17" s="195">
        <v>56641.579935914255</v>
      </c>
      <c r="L17" s="182"/>
      <c r="M17" s="182" t="s">
        <v>371</v>
      </c>
      <c r="S17" s="189">
        <v>32413042.607302941</v>
      </c>
    </row>
    <row r="18" spans="1:21">
      <c r="A18" s="182"/>
      <c r="B18" s="182" t="s">
        <v>372</v>
      </c>
      <c r="G18" s="185"/>
      <c r="H18" s="196">
        <v>26962.882915868257</v>
      </c>
      <c r="L18" s="182"/>
      <c r="M18" s="182" t="s">
        <v>373</v>
      </c>
      <c r="S18" s="191">
        <v>1555.8409457612499</v>
      </c>
    </row>
    <row r="19" spans="1:21">
      <c r="A19" s="182"/>
      <c r="B19" s="182" t="s">
        <v>374</v>
      </c>
      <c r="G19" s="185"/>
      <c r="H19" s="195">
        <v>2665.952047731429</v>
      </c>
      <c r="L19" s="182"/>
      <c r="M19" s="182" t="s">
        <v>375</v>
      </c>
      <c r="S19" s="197" t="s">
        <v>376</v>
      </c>
      <c r="T19" s="198">
        <f>SUM($S$14:$S$18)</f>
        <v>256267529.89605767</v>
      </c>
      <c r="U19" s="100" t="s">
        <v>377</v>
      </c>
    </row>
    <row r="20" spans="1:21">
      <c r="A20" s="182"/>
      <c r="B20" s="182" t="s">
        <v>378</v>
      </c>
      <c r="G20" s="185"/>
      <c r="H20" s="190">
        <v>306.0806374875134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86594560.953158081</v>
      </c>
    </row>
    <row r="23" spans="1:21">
      <c r="A23" s="182"/>
      <c r="B23" s="182" t="s">
        <v>382</v>
      </c>
      <c r="G23" s="185"/>
      <c r="H23" s="186">
        <f>SUM(raw_materials!$O$31:$O$35)</f>
        <v>3.5773540347208268</v>
      </c>
      <c r="L23" s="182"/>
      <c r="M23" s="182" t="s">
        <v>383</v>
      </c>
      <c r="S23" s="189">
        <v>56641579.935914278</v>
      </c>
    </row>
    <row r="24" spans="1:21">
      <c r="A24" s="182"/>
      <c r="B24" s="182" t="s">
        <v>384</v>
      </c>
      <c r="G24" s="185"/>
      <c r="H24" s="190">
        <f>SUM(raw_materials!$O$37:$O$41)</f>
        <v>5.8373953602655524</v>
      </c>
      <c r="L24" s="182"/>
      <c r="M24" s="182" t="s">
        <v>385</v>
      </c>
      <c r="S24" s="191">
        <v>17525873.895314369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160762014.78438672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14836464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27532754.92455928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4175001.5136801586</v>
      </c>
    </row>
    <row r="31" spans="1:21">
      <c r="L31" s="182"/>
      <c r="M31" s="182" t="s">
        <v>396</v>
      </c>
      <c r="S31" s="191">
        <f>SUM(ORA!D138:O138)+SUM(POJ!D138:O138)+SUM(ROJ!D138:O138)+SUM(FCOJ!D138:O138)</f>
        <v>112938851.46562025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159483071.90385967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9240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54896740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311839564.60348421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0.70099901654027641</v>
      </c>
      <c r="D5" s="100">
        <v>0.73985074075456969</v>
      </c>
      <c r="E5" s="100">
        <v>0.60101431152414031</v>
      </c>
      <c r="F5" s="100">
        <v>0.62754901580320832</v>
      </c>
      <c r="G5" s="100">
        <v>0.71197737167809394</v>
      </c>
      <c r="H5" s="100">
        <v>0.86422544330236495</v>
      </c>
      <c r="I5" s="100">
        <v>0.54964963583320336</v>
      </c>
      <c r="J5" s="100">
        <v>0.57176306729323034</v>
      </c>
      <c r="K5" s="100">
        <v>0.64954359430712927</v>
      </c>
      <c r="L5" s="100">
        <v>0.70036563284626696</v>
      </c>
      <c r="M5" s="100">
        <v>0.55657705113723333</v>
      </c>
      <c r="N5" s="100">
        <v>0.6343786255790681</v>
      </c>
    </row>
    <row r="6" spans="2:14">
      <c r="B6" s="171" t="s">
        <v>105</v>
      </c>
      <c r="C6" s="100">
        <v>0.72123387968809949</v>
      </c>
      <c r="D6" s="100">
        <v>0.70309573697743044</v>
      </c>
      <c r="E6" s="100">
        <v>0.71035404555874093</v>
      </c>
      <c r="F6" s="100">
        <v>0.67606645798378484</v>
      </c>
      <c r="G6" s="100">
        <v>0.71566582803542589</v>
      </c>
      <c r="H6" s="100">
        <v>0.81765156997492494</v>
      </c>
      <c r="I6" s="100">
        <v>0.78181705804588564</v>
      </c>
      <c r="J6" s="100">
        <v>0.68447830100783458</v>
      </c>
      <c r="K6" s="100">
        <v>0.72019207041590416</v>
      </c>
      <c r="L6" s="100">
        <v>0.70948994870412785</v>
      </c>
      <c r="M6" s="100">
        <v>0.68188181728857433</v>
      </c>
      <c r="N6" s="100">
        <v>0.69992358827250578</v>
      </c>
    </row>
    <row r="7" spans="2:14">
      <c r="B7" s="171" t="s">
        <v>106</v>
      </c>
      <c r="C7" s="100">
        <v>0.73663637740752919</v>
      </c>
      <c r="D7" s="100">
        <v>0.71331444336554428</v>
      </c>
      <c r="E7" s="100">
        <v>0.76855620435225691</v>
      </c>
      <c r="F7" s="100">
        <v>0.72458761261354765</v>
      </c>
      <c r="G7" s="100">
        <v>0.69691002128660551</v>
      </c>
      <c r="H7" s="100">
        <v>0.76552535928990761</v>
      </c>
      <c r="I7" s="100">
        <v>0.69099450110645899</v>
      </c>
      <c r="J7" s="100">
        <v>0.71001223955514758</v>
      </c>
      <c r="K7" s="100">
        <v>0.75743245486630761</v>
      </c>
      <c r="L7" s="100">
        <v>0.69394269842314782</v>
      </c>
      <c r="M7" s="100">
        <v>1.019970862937446</v>
      </c>
      <c r="N7" s="100">
        <v>0.83874944108313121</v>
      </c>
    </row>
    <row r="8" spans="2:14">
      <c r="B8" s="171" t="s">
        <v>107</v>
      </c>
      <c r="C8" s="100">
        <v>0.71425441316259564</v>
      </c>
      <c r="D8" s="100">
        <v>0.7049324177470313</v>
      </c>
      <c r="E8" s="100">
        <v>0.72407966308733107</v>
      </c>
      <c r="F8" s="100">
        <v>0.74407441920054751</v>
      </c>
      <c r="G8" s="100">
        <v>0.6913566030089231</v>
      </c>
      <c r="H8" s="100">
        <v>0.72188188601840542</v>
      </c>
      <c r="I8" s="100">
        <v>0.65660293935697922</v>
      </c>
      <c r="J8" s="100">
        <v>0.65895732806295992</v>
      </c>
      <c r="K8" s="100">
        <v>0.77645455946174624</v>
      </c>
      <c r="L8" s="100">
        <v>0.70553957197714146</v>
      </c>
      <c r="M8" s="100">
        <v>0.6629074359688153</v>
      </c>
      <c r="N8" s="100">
        <v>0.88707764917894494</v>
      </c>
    </row>
    <row r="9" spans="2:14">
      <c r="B9" s="171" t="s">
        <v>108</v>
      </c>
      <c r="C9" s="100">
        <v>2.0515743887424471</v>
      </c>
      <c r="D9" s="100">
        <v>2.0312283134460452</v>
      </c>
      <c r="E9" s="100">
        <v>2.1089596545696261</v>
      </c>
      <c r="F9" s="100">
        <v>2.0194362854957579</v>
      </c>
      <c r="G9" s="100">
        <v>2.0757444298267367</v>
      </c>
      <c r="H9" s="100">
        <v>2.0873558855056764</v>
      </c>
      <c r="I9" s="100">
        <v>2.079663852453232</v>
      </c>
      <c r="J9" s="100">
        <v>2.0150629496574402</v>
      </c>
      <c r="K9" s="100">
        <v>2.0906466639041903</v>
      </c>
      <c r="L9" s="100">
        <v>2.0623025035858156</v>
      </c>
      <c r="M9" s="100">
        <v>2.0208640372753144</v>
      </c>
      <c r="N9" s="100">
        <v>2.0183422780036926</v>
      </c>
    </row>
    <row r="10" spans="2:14">
      <c r="B10" s="171" t="s">
        <v>109</v>
      </c>
      <c r="C10" s="100">
        <v>0.61516903042793281</v>
      </c>
      <c r="D10" s="100">
        <v>0.64065434932708742</v>
      </c>
      <c r="E10" s="100">
        <v>0.69505166411399844</v>
      </c>
      <c r="F10" s="100">
        <v>0.63304990530014038</v>
      </c>
      <c r="G10" s="100">
        <v>0.63423462510108952</v>
      </c>
      <c r="H10" s="100">
        <v>0.62889213562011725</v>
      </c>
      <c r="I10" s="100">
        <v>0.61903459429740904</v>
      </c>
      <c r="J10" s="100">
        <v>0.62001224756240847</v>
      </c>
      <c r="K10" s="100">
        <v>0.62161419987678534</v>
      </c>
      <c r="L10" s="100">
        <v>0.64695360660552981</v>
      </c>
      <c r="M10" s="100">
        <v>0.64924959540367133</v>
      </c>
      <c r="N10" s="100">
        <v>0.60116900205612189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0.34853363147793665</v>
      </c>
      <c r="D14" s="101">
        <v>0.34982734426434464</v>
      </c>
      <c r="E14" s="101">
        <v>0.35111741677936098</v>
      </c>
      <c r="F14" s="101">
        <v>0.35240021899465235</v>
      </c>
      <c r="G14" s="101">
        <v>0.35367214133918057</v>
      </c>
      <c r="H14" s="100">
        <v>0.35492960485587577</v>
      </c>
      <c r="I14" s="100">
        <v>0.35616907127216768</v>
      </c>
      <c r="J14" s="100">
        <v>0.35738705295603812</v>
      </c>
      <c r="K14" s="100">
        <v>0.35858012272958023</v>
      </c>
      <c r="L14" s="100">
        <v>0.35974492351245063</v>
      </c>
      <c r="M14" s="100">
        <v>0.36087817776808079</v>
      </c>
      <c r="N14" s="100">
        <v>0.36197669672606519</v>
      </c>
    </row>
    <row r="15" spans="2:14">
      <c r="B15" s="170" t="s">
        <v>318</v>
      </c>
      <c r="C15" s="100">
        <v>1.0010013079818814</v>
      </c>
      <c r="D15" s="100">
        <v>1.0036553010758618</v>
      </c>
      <c r="E15" s="100">
        <v>1.0063018263182177</v>
      </c>
      <c r="F15" s="100">
        <v>1.0089334368704939</v>
      </c>
      <c r="G15" s="100">
        <v>1.0115427278614484</v>
      </c>
      <c r="H15" s="100">
        <v>1.0141223572230067</v>
      </c>
      <c r="I15" s="100">
        <v>1.0166650663494992</v>
      </c>
      <c r="J15" s="100">
        <v>1.0191637005220513</v>
      </c>
      <c r="K15" s="100">
        <v>1.021611229040656</v>
      </c>
      <c r="L15" s="100">
        <v>1.0240007650072787</v>
      </c>
      <c r="M15" s="100">
        <v>1.0263255847043282</v>
      </c>
      <c r="N15" s="100">
        <v>1.0285791465139722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0.70099901654027641</v>
      </c>
      <c r="D19" s="100">
        <f t="shared" ref="D19:N20" si="0">D5</f>
        <v>0.73985074075456969</v>
      </c>
      <c r="E19" s="100">
        <f t="shared" si="0"/>
        <v>0.60101431152414031</v>
      </c>
      <c r="F19" s="100">
        <f t="shared" si="0"/>
        <v>0.62754901580320832</v>
      </c>
      <c r="G19" s="100">
        <f t="shared" si="0"/>
        <v>0.71197737167809394</v>
      </c>
      <c r="H19" s="100">
        <f t="shared" si="0"/>
        <v>0.86422544330236495</v>
      </c>
      <c r="I19" s="100">
        <f t="shared" si="0"/>
        <v>0.54964963583320336</v>
      </c>
      <c r="J19" s="100">
        <f t="shared" si="0"/>
        <v>0.57176306729323034</v>
      </c>
      <c r="K19" s="100">
        <f t="shared" si="0"/>
        <v>0.64954359430712927</v>
      </c>
      <c r="L19" s="100">
        <f t="shared" si="0"/>
        <v>0.70036563284626696</v>
      </c>
      <c r="M19" s="100">
        <f t="shared" si="0"/>
        <v>0.55657705113723333</v>
      </c>
      <c r="N19" s="100">
        <f t="shared" si="0"/>
        <v>0.6343786255790681</v>
      </c>
    </row>
    <row r="20" spans="2:14">
      <c r="B20" s="173" t="s">
        <v>105</v>
      </c>
      <c r="C20" s="100">
        <f>C6</f>
        <v>0.72123387968809949</v>
      </c>
      <c r="D20" s="100">
        <f t="shared" si="0"/>
        <v>0.70309573697743044</v>
      </c>
      <c r="E20" s="100">
        <f t="shared" si="0"/>
        <v>0.71035404555874093</v>
      </c>
      <c r="F20" s="100">
        <f t="shared" si="0"/>
        <v>0.67606645798378484</v>
      </c>
      <c r="G20" s="100">
        <f t="shared" si="0"/>
        <v>0.71566582803542589</v>
      </c>
      <c r="H20" s="100">
        <f t="shared" si="0"/>
        <v>0.81765156997492494</v>
      </c>
      <c r="I20" s="100">
        <f t="shared" si="0"/>
        <v>0.78181705804588564</v>
      </c>
      <c r="J20" s="100">
        <f t="shared" si="0"/>
        <v>0.68447830100783458</v>
      </c>
      <c r="K20" s="100">
        <f t="shared" si="0"/>
        <v>0.72019207041590416</v>
      </c>
      <c r="L20" s="100">
        <f t="shared" si="0"/>
        <v>0.70948994870412785</v>
      </c>
      <c r="M20" s="100">
        <f t="shared" si="0"/>
        <v>0.68188181728857433</v>
      </c>
      <c r="N20" s="100">
        <f t="shared" si="0"/>
        <v>0.69992358827250578</v>
      </c>
    </row>
    <row r="21" spans="2:14">
      <c r="B21" s="173" t="s">
        <v>106</v>
      </c>
      <c r="C21" s="100">
        <f t="shared" ref="C21:N22" si="1">C7</f>
        <v>0.73663637740752919</v>
      </c>
      <c r="D21" s="100">
        <f t="shared" si="1"/>
        <v>0.71331444336554428</v>
      </c>
      <c r="E21" s="100">
        <f t="shared" si="1"/>
        <v>0.76855620435225691</v>
      </c>
      <c r="F21" s="100">
        <f t="shared" si="1"/>
        <v>0.72458761261354765</v>
      </c>
      <c r="G21" s="100">
        <f t="shared" si="1"/>
        <v>0.69691002128660551</v>
      </c>
      <c r="H21" s="100">
        <f t="shared" si="1"/>
        <v>0.76552535928990761</v>
      </c>
      <c r="I21" s="100">
        <f t="shared" si="1"/>
        <v>0.69099450110645899</v>
      </c>
      <c r="J21" s="100">
        <f t="shared" si="1"/>
        <v>0.71001223955514758</v>
      </c>
      <c r="K21" s="100">
        <f t="shared" si="1"/>
        <v>0.75743245486630761</v>
      </c>
      <c r="L21" s="100">
        <f t="shared" si="1"/>
        <v>0.69394269842314782</v>
      </c>
      <c r="M21" s="100">
        <f t="shared" si="1"/>
        <v>1.019970862937446</v>
      </c>
      <c r="N21" s="100">
        <f t="shared" si="1"/>
        <v>0.83874944108313121</v>
      </c>
    </row>
    <row r="22" spans="2:14">
      <c r="B22" s="173" t="s">
        <v>107</v>
      </c>
      <c r="C22" s="100">
        <f t="shared" si="1"/>
        <v>0.71425441316259564</v>
      </c>
      <c r="D22" s="100">
        <f t="shared" si="1"/>
        <v>0.7049324177470313</v>
      </c>
      <c r="E22" s="100">
        <f t="shared" si="1"/>
        <v>0.72407966308733107</v>
      </c>
      <c r="F22" s="100">
        <f t="shared" si="1"/>
        <v>0.74407441920054751</v>
      </c>
      <c r="G22" s="100">
        <f t="shared" si="1"/>
        <v>0.6913566030089231</v>
      </c>
      <c r="H22" s="100">
        <f t="shared" si="1"/>
        <v>0.72188188601840542</v>
      </c>
      <c r="I22" s="100">
        <f t="shared" si="1"/>
        <v>0.65660293935697922</v>
      </c>
      <c r="J22" s="100">
        <f t="shared" si="1"/>
        <v>0.65895732806295992</v>
      </c>
      <c r="K22" s="100">
        <f t="shared" si="1"/>
        <v>0.77645455946174624</v>
      </c>
      <c r="L22" s="100">
        <f t="shared" si="1"/>
        <v>0.70553957197714146</v>
      </c>
      <c r="M22" s="100">
        <f t="shared" si="1"/>
        <v>0.6629074359688153</v>
      </c>
      <c r="N22" s="100">
        <f t="shared" si="1"/>
        <v>0.88707764917894494</v>
      </c>
    </row>
    <row r="23" spans="2:14">
      <c r="B23" s="173" t="s">
        <v>108</v>
      </c>
      <c r="C23" s="100">
        <f>C9*C14</f>
        <v>0.71504267195553317</v>
      </c>
      <c r="D23" s="100">
        <f t="shared" ref="D23:N24" si="2">D9*D14</f>
        <v>0.71057920648737383</v>
      </c>
      <c r="E23" s="100">
        <f t="shared" si="2"/>
        <v>0.74049246600438057</v>
      </c>
      <c r="F23" s="100">
        <f t="shared" si="2"/>
        <v>0.71164978925445233</v>
      </c>
      <c r="G23" s="100">
        <f t="shared" si="2"/>
        <v>0.7341329773696984</v>
      </c>
      <c r="H23" s="100">
        <f t="shared" si="2"/>
        <v>0.74086439963611639</v>
      </c>
      <c r="I23" s="100">
        <f t="shared" si="2"/>
        <v>0.74071194288656605</v>
      </c>
      <c r="J23" s="100">
        <f t="shared" si="2"/>
        <v>0.72015740909897397</v>
      </c>
      <c r="K23" s="100">
        <f t="shared" si="2"/>
        <v>0.74966433732695203</v>
      </c>
      <c r="L23" s="100">
        <f t="shared" si="2"/>
        <v>0.7419028564120147</v>
      </c>
      <c r="M23" s="100">
        <f t="shared" si="2"/>
        <v>0.72928573128896235</v>
      </c>
      <c r="N23" s="100">
        <f t="shared" si="2"/>
        <v>0.7305928706543382</v>
      </c>
    </row>
    <row r="24" spans="2:14">
      <c r="B24" s="173" t="s">
        <v>109</v>
      </c>
      <c r="C24" s="100">
        <f>C10*C15</f>
        <v>0.6157850040883065</v>
      </c>
      <c r="D24" s="100">
        <f t="shared" si="2"/>
        <v>0.64299613385943821</v>
      </c>
      <c r="E24" s="100">
        <f t="shared" si="2"/>
        <v>0.69943175898343302</v>
      </c>
      <c r="F24" s="100">
        <f t="shared" si="2"/>
        <v>0.63870521666501134</v>
      </c>
      <c r="G24" s="100">
        <f t="shared" si="2"/>
        <v>0.64155542277893918</v>
      </c>
      <c r="H24" s="100">
        <f t="shared" si="2"/>
        <v>0.63777357501408416</v>
      </c>
      <c r="I24" s="100">
        <f t="shared" si="2"/>
        <v>0.62935084688401066</v>
      </c>
      <c r="J24" s="100">
        <f t="shared" si="2"/>
        <v>0.63189397659469837</v>
      </c>
      <c r="K24" s="100">
        <f t="shared" si="2"/>
        <v>0.63504804672524673</v>
      </c>
      <c r="L24" s="100">
        <f t="shared" si="2"/>
        <v>0.66248098808828049</v>
      </c>
      <c r="M24" s="100">
        <f t="shared" si="2"/>
        <v>0.66634147062172155</v>
      </c>
      <c r="N24" s="100">
        <f t="shared" si="2"/>
        <v>0.61834989904554227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0.8</v>
      </c>
      <c r="I28" s="100">
        <f>IF(I19&lt;=raw_materials!$D17,raw_materials!$C17,IF(I19&lt;=raw_materials!$F17,raw_materials!$E17,IF(I19&lt;=raw_materials!$H17,raw_materials!$G17,0)))</f>
        <v>1.2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0.8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0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0.8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</v>
      </c>
      <c r="D32" s="100">
        <f>IF(D23&lt;=raw_materials!$D21,raw_materials!$C21,IF(D23&lt;=raw_materials!$F21,raw_materials!$E21,IF(D23&lt;=raw_materials!$H21,raw_materials!$G21,0)))</f>
        <v>1</v>
      </c>
      <c r="E32" s="100">
        <f>IF(E23&lt;=raw_materials!$D21,raw_materials!$C21,IF(E23&lt;=raw_materials!$F21,raw_materials!$E21,IF(E23&lt;=raw_materials!$H21,raw_materials!$G21,0)))</f>
        <v>0.8</v>
      </c>
      <c r="F32" s="100">
        <f>IF(F23&lt;=raw_materials!$D21,raw_materials!$C21,IF(F23&lt;=raw_materials!$F21,raw_materials!$E21,IF(F23&lt;=raw_materials!$H21,raw_materials!$G21,0)))</f>
        <v>1</v>
      </c>
      <c r="G32" s="100">
        <f>IF(G23&lt;=raw_materials!$D21,raw_materials!$C21,IF(G23&lt;=raw_materials!$F21,raw_materials!$E21,IF(G23&lt;=raw_materials!$H21,raw_materials!$G21,0)))</f>
        <v>0.8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0.8</v>
      </c>
      <c r="J32" s="100">
        <f>IF(J23&lt;=raw_materials!$D21,raw_materials!$C21,IF(J23&lt;=raw_materials!$F21,raw_materials!$E21,IF(J23&lt;=raw_materials!$H21,raw_materials!$G21,0)))</f>
        <v>1</v>
      </c>
      <c r="K32" s="100">
        <f>IF(K23&lt;=raw_materials!$D21,raw_materials!$C21,IF(K23&lt;=raw_materials!$F21,raw_materials!$E21,IF(K23&lt;=raw_materials!$H21,raw_materials!$G21,0)))</f>
        <v>0.8</v>
      </c>
      <c r="L32" s="100">
        <f>IF(L23&lt;=raw_materials!$D21,raw_materials!$C21,IF(L23&lt;=raw_materials!$F21,raw_materials!$E21,IF(L23&lt;=raw_materials!$H21,raw_materials!$G21,0)))</f>
        <v>0.8</v>
      </c>
      <c r="M32" s="100">
        <f>IF(M23&lt;=raw_materials!$D21,raw_materials!$C21,IF(M23&lt;=raw_materials!$F21,raw_materials!$E21,IF(M23&lt;=raw_materials!$H21,raw_materials!$G21,0)))</f>
        <v>0.8</v>
      </c>
      <c r="N32" s="100">
        <f>IF(N23&lt;=raw_materials!$D21,raw_materials!$C21,IF(N23&lt;=raw_materials!$F21,raw_materials!$E21,IF(N23&lt;=raw_materials!$H21,raw_materials!$G21,0)))</f>
        <v>0.8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1.2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2614.3711499307633</v>
      </c>
      <c r="X38" s="100">
        <v>2619.7014871775555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10728.322920417615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10890.15903981938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1575.0087730770529</v>
      </c>
      <c r="Z39" s="100">
        <v>15781.858178949733</v>
      </c>
      <c r="AA39" s="100">
        <v>11069.460598398924</v>
      </c>
      <c r="AB39" s="100">
        <v>11091.537454357509</v>
      </c>
      <c r="AC39" s="100">
        <v>6350.5872740172754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545.2737738987513</v>
      </c>
      <c r="AT40" s="100">
        <v>546.22562017647033</v>
      </c>
      <c r="AU40" s="100">
        <v>547.17042848759638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2104.6118111769665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2136.8806370666744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2168.9440014937754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2191.5805547837667</v>
      </c>
      <c r="W41" s="100">
        <v>3137.2453799169161</v>
      </c>
      <c r="X41" s="100">
        <v>1257.4567138452264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321.84968761252844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2273.8762065382234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1313.2090283702314</v>
      </c>
      <c r="AV41" s="100">
        <v>328.86482787877742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2604.6972514622598</v>
      </c>
      <c r="D48" s="100">
        <v>2604.6972514622598</v>
      </c>
      <c r="E48" s="100">
        <v>2604.6972514622598</v>
      </c>
      <c r="F48" s="100">
        <v>2604.6972514622598</v>
      </c>
      <c r="G48" s="100">
        <v>2604.6972514622598</v>
      </c>
      <c r="H48" s="100">
        <v>2604.6972514622598</v>
      </c>
      <c r="I48" s="100">
        <v>2604.6972514622598</v>
      </c>
      <c r="J48" s="100">
        <v>2604.6972514622598</v>
      </c>
      <c r="K48" s="100">
        <v>2604.6972514622598</v>
      </c>
      <c r="L48" s="100">
        <v>2604.6972514622598</v>
      </c>
      <c r="M48" s="100">
        <v>2604.6972514622598</v>
      </c>
      <c r="N48" s="100">
        <v>2604.6972514622598</v>
      </c>
      <c r="O48" s="100">
        <v>2604.6972514622598</v>
      </c>
      <c r="P48" s="100">
        <v>2604.6972514622598</v>
      </c>
      <c r="Q48" s="100">
        <v>2604.6972514622598</v>
      </c>
      <c r="R48" s="100">
        <v>2604.6972514622598</v>
      </c>
      <c r="S48" s="100">
        <v>2604.6972514622598</v>
      </c>
      <c r="T48" s="100">
        <v>2604.6972514622598</v>
      </c>
      <c r="U48" s="100">
        <v>2604.6972514622598</v>
      </c>
      <c r="V48" s="100">
        <v>2604.6972514622598</v>
      </c>
      <c r="W48" s="100">
        <v>2083.7578011698079</v>
      </c>
      <c r="X48" s="100">
        <v>2083.7578011698079</v>
      </c>
      <c r="Y48" s="100">
        <v>2083.7578011698079</v>
      </c>
      <c r="Z48" s="100">
        <v>2083.7578011698079</v>
      </c>
      <c r="AA48" s="100">
        <v>3125.6367017547118</v>
      </c>
      <c r="AB48" s="100">
        <v>3125.6367017547118</v>
      </c>
      <c r="AC48" s="100">
        <v>3125.6367017547118</v>
      </c>
      <c r="AD48" s="100">
        <v>3125.6367017547118</v>
      </c>
      <c r="AE48" s="100">
        <v>2604.6972514622598</v>
      </c>
      <c r="AF48" s="100">
        <v>2604.6972514622598</v>
      </c>
      <c r="AG48" s="100">
        <v>2604.6972514622598</v>
      </c>
      <c r="AH48" s="100">
        <v>2604.6972514622598</v>
      </c>
      <c r="AI48" s="100">
        <v>2604.6972514622598</v>
      </c>
      <c r="AJ48" s="100">
        <v>2604.6972514622598</v>
      </c>
      <c r="AK48" s="100">
        <v>2604.6972514622598</v>
      </c>
      <c r="AL48" s="100">
        <v>2604.6972514622598</v>
      </c>
      <c r="AM48" s="100">
        <v>2604.6972514622598</v>
      </c>
      <c r="AN48" s="100">
        <v>2604.6972514622598</v>
      </c>
      <c r="AO48" s="100">
        <v>2604.6972514622598</v>
      </c>
      <c r="AP48" s="100">
        <v>2604.6972514622598</v>
      </c>
      <c r="AQ48" s="100">
        <v>2604.6972514622598</v>
      </c>
      <c r="AR48" s="100">
        <v>2604.6972514622598</v>
      </c>
      <c r="AS48" s="100">
        <v>2604.6972514622598</v>
      </c>
      <c r="AT48" s="100">
        <v>2604.6972514622598</v>
      </c>
      <c r="AU48" s="100">
        <v>2604.6972514622598</v>
      </c>
      <c r="AV48" s="100">
        <v>2604.6972514622598</v>
      </c>
      <c r="AW48" s="100">
        <v>2604.6972514622598</v>
      </c>
      <c r="AX48" s="100">
        <v>2604.6972514622598</v>
      </c>
    </row>
    <row r="49" spans="2:51">
      <c r="B49" s="99" t="s">
        <v>105</v>
      </c>
      <c r="C49" s="100">
        <v>1.0883925925769841E-18</v>
      </c>
      <c r="D49" s="100">
        <v>1.0883925925769841E-18</v>
      </c>
      <c r="E49" s="100">
        <v>1.0883925925769841E-18</v>
      </c>
      <c r="F49" s="100">
        <v>1.0883925925769841E-18</v>
      </c>
      <c r="G49" s="100">
        <v>1.0883925925769841E-18</v>
      </c>
      <c r="H49" s="100">
        <v>1.0883925925769841E-18</v>
      </c>
      <c r="I49" s="100">
        <v>1.0883925925769841E-18</v>
      </c>
      <c r="J49" s="100">
        <v>1.0883925925769841E-18</v>
      </c>
      <c r="K49" s="100">
        <v>1.0883925925769841E-18</v>
      </c>
      <c r="L49" s="100">
        <v>1.0883925925769841E-18</v>
      </c>
      <c r="M49" s="100">
        <v>1.0883925925769841E-18</v>
      </c>
      <c r="N49" s="100">
        <v>1.0883925925769841E-18</v>
      </c>
      <c r="O49" s="100">
        <v>1.0883925925769841E-18</v>
      </c>
      <c r="P49" s="100">
        <v>1.0883925925769841E-18</v>
      </c>
      <c r="Q49" s="100">
        <v>1.0883925925769841E-18</v>
      </c>
      <c r="R49" s="100">
        <v>1.0883925925769841E-18</v>
      </c>
      <c r="S49" s="100">
        <v>1.0883925925769841E-18</v>
      </c>
      <c r="T49" s="100">
        <v>1.0883925925769841E-18</v>
      </c>
      <c r="U49" s="100">
        <v>1.0883925925769841E-18</v>
      </c>
      <c r="V49" s="100">
        <v>1.0883925925769841E-18</v>
      </c>
      <c r="W49" s="100">
        <v>8.707140740615873E-19</v>
      </c>
      <c r="X49" s="100">
        <v>8.707140740615873E-19</v>
      </c>
      <c r="Y49" s="100">
        <v>8.707140740615873E-19</v>
      </c>
      <c r="Z49" s="100">
        <v>8.707140740615873E-19</v>
      </c>
      <c r="AA49" s="100">
        <v>8.707140740615873E-19</v>
      </c>
      <c r="AB49" s="100">
        <v>8.707140740615873E-19</v>
      </c>
      <c r="AC49" s="100">
        <v>8.707140740615873E-19</v>
      </c>
      <c r="AD49" s="100">
        <v>8.707140740615873E-19</v>
      </c>
      <c r="AE49" s="100">
        <v>1.0883925925769841E-18</v>
      </c>
      <c r="AF49" s="100">
        <v>1.0883925925769841E-18</v>
      </c>
      <c r="AG49" s="100">
        <v>1.0883925925769841E-18</v>
      </c>
      <c r="AH49" s="100">
        <v>1.0883925925769841E-18</v>
      </c>
      <c r="AI49" s="100">
        <v>1.0883925925769841E-18</v>
      </c>
      <c r="AJ49" s="100">
        <v>1.0883925925769841E-18</v>
      </c>
      <c r="AK49" s="100">
        <v>1.0883925925769841E-18</v>
      </c>
      <c r="AL49" s="100">
        <v>1.0883925925769841E-18</v>
      </c>
      <c r="AM49" s="100">
        <v>1.0883925925769841E-18</v>
      </c>
      <c r="AN49" s="100">
        <v>1.0883925925769841E-18</v>
      </c>
      <c r="AO49" s="100">
        <v>1.0883925925769841E-18</v>
      </c>
      <c r="AP49" s="100">
        <v>1.0883925925769841E-18</v>
      </c>
      <c r="AQ49" s="100">
        <v>1.0883925925769841E-18</v>
      </c>
      <c r="AR49" s="100">
        <v>1.0883925925769841E-18</v>
      </c>
      <c r="AS49" s="100">
        <v>1.0883925925769841E-18</v>
      </c>
      <c r="AT49" s="100">
        <v>1.0883925925769841E-18</v>
      </c>
      <c r="AU49" s="100">
        <v>1.0883925925769841E-18</v>
      </c>
      <c r="AV49" s="100">
        <v>1.0883925925769841E-18</v>
      </c>
      <c r="AW49" s="100">
        <v>1.0883925925769841E-18</v>
      </c>
      <c r="AX49" s="100">
        <v>1.0883925925769841E-18</v>
      </c>
    </row>
    <row r="50" spans="2:51">
      <c r="B50" s="99" t="s">
        <v>106</v>
      </c>
      <c r="C50" s="100">
        <v>125</v>
      </c>
      <c r="D50" s="100">
        <v>125</v>
      </c>
      <c r="E50" s="100">
        <v>125</v>
      </c>
      <c r="F50" s="100">
        <v>125</v>
      </c>
      <c r="G50" s="100">
        <v>125</v>
      </c>
      <c r="H50" s="100">
        <v>125</v>
      </c>
      <c r="I50" s="100">
        <v>125</v>
      </c>
      <c r="J50" s="100">
        <v>125</v>
      </c>
      <c r="K50" s="100">
        <v>125</v>
      </c>
      <c r="L50" s="100">
        <v>125</v>
      </c>
      <c r="M50" s="100">
        <v>125</v>
      </c>
      <c r="N50" s="100">
        <v>125</v>
      </c>
      <c r="O50" s="100">
        <v>125</v>
      </c>
      <c r="P50" s="100">
        <v>125</v>
      </c>
      <c r="Q50" s="100">
        <v>125</v>
      </c>
      <c r="R50" s="100">
        <v>125</v>
      </c>
      <c r="S50" s="100">
        <v>125</v>
      </c>
      <c r="T50" s="100">
        <v>125</v>
      </c>
      <c r="U50" s="100">
        <v>125</v>
      </c>
      <c r="V50" s="100">
        <v>125</v>
      </c>
      <c r="W50" s="100">
        <v>125</v>
      </c>
      <c r="X50" s="100">
        <v>125</v>
      </c>
      <c r="Y50" s="100">
        <v>125</v>
      </c>
      <c r="Z50" s="100">
        <v>125</v>
      </c>
      <c r="AA50" s="100">
        <v>125</v>
      </c>
      <c r="AB50" s="100">
        <v>125</v>
      </c>
      <c r="AC50" s="100">
        <v>125</v>
      </c>
      <c r="AD50" s="100">
        <v>125</v>
      </c>
      <c r="AE50" s="100">
        <v>125</v>
      </c>
      <c r="AF50" s="100">
        <v>125</v>
      </c>
      <c r="AG50" s="100">
        <v>125</v>
      </c>
      <c r="AH50" s="100">
        <v>125</v>
      </c>
      <c r="AI50" s="100">
        <v>125</v>
      </c>
      <c r="AJ50" s="100">
        <v>125</v>
      </c>
      <c r="AK50" s="100">
        <v>125</v>
      </c>
      <c r="AL50" s="100">
        <v>125</v>
      </c>
      <c r="AM50" s="100">
        <v>125</v>
      </c>
      <c r="AN50" s="100">
        <v>125</v>
      </c>
      <c r="AO50" s="100">
        <v>125</v>
      </c>
      <c r="AP50" s="100">
        <v>125</v>
      </c>
      <c r="AQ50" s="100">
        <v>0</v>
      </c>
      <c r="AR50" s="100">
        <v>0</v>
      </c>
      <c r="AS50" s="100">
        <v>0</v>
      </c>
      <c r="AT50" s="100">
        <v>0</v>
      </c>
      <c r="AU50" s="100">
        <v>125</v>
      </c>
      <c r="AV50" s="100">
        <v>125</v>
      </c>
      <c r="AW50" s="100">
        <v>125</v>
      </c>
      <c r="AX50" s="100">
        <v>125</v>
      </c>
      <c r="AY50" s="112"/>
    </row>
    <row r="51" spans="2:51">
      <c r="B51" s="99" t="s">
        <v>107</v>
      </c>
      <c r="C51" s="100">
        <v>790</v>
      </c>
      <c r="D51" s="100">
        <v>790</v>
      </c>
      <c r="E51" s="100">
        <v>790</v>
      </c>
      <c r="F51" s="100">
        <v>790</v>
      </c>
      <c r="G51" s="100">
        <v>790</v>
      </c>
      <c r="H51" s="100">
        <v>790</v>
      </c>
      <c r="I51" s="100">
        <v>790</v>
      </c>
      <c r="J51" s="100">
        <v>790</v>
      </c>
      <c r="K51" s="100">
        <v>790</v>
      </c>
      <c r="L51" s="100">
        <v>790</v>
      </c>
      <c r="M51" s="100">
        <v>790</v>
      </c>
      <c r="N51" s="100">
        <v>790</v>
      </c>
      <c r="O51" s="100">
        <v>790</v>
      </c>
      <c r="P51" s="100">
        <v>790</v>
      </c>
      <c r="Q51" s="100">
        <v>790</v>
      </c>
      <c r="R51" s="100">
        <v>790</v>
      </c>
      <c r="S51" s="100">
        <v>790</v>
      </c>
      <c r="T51" s="100">
        <v>790</v>
      </c>
      <c r="U51" s="100">
        <v>790</v>
      </c>
      <c r="V51" s="100">
        <v>790</v>
      </c>
      <c r="W51" s="100">
        <v>790</v>
      </c>
      <c r="X51" s="100">
        <v>790</v>
      </c>
      <c r="Y51" s="100">
        <v>790</v>
      </c>
      <c r="Z51" s="100">
        <v>790</v>
      </c>
      <c r="AA51" s="100">
        <v>790</v>
      </c>
      <c r="AB51" s="100">
        <v>790</v>
      </c>
      <c r="AC51" s="100">
        <v>790</v>
      </c>
      <c r="AD51" s="100">
        <v>790</v>
      </c>
      <c r="AE51" s="100">
        <v>790</v>
      </c>
      <c r="AF51" s="100">
        <v>790</v>
      </c>
      <c r="AG51" s="100">
        <v>790</v>
      </c>
      <c r="AH51" s="100">
        <v>790</v>
      </c>
      <c r="AI51" s="100">
        <v>790</v>
      </c>
      <c r="AJ51" s="100">
        <v>321.84968761252844</v>
      </c>
      <c r="AK51" s="100">
        <v>790</v>
      </c>
      <c r="AL51" s="100">
        <v>790</v>
      </c>
      <c r="AM51" s="100">
        <v>790</v>
      </c>
      <c r="AN51" s="100">
        <v>790</v>
      </c>
      <c r="AO51" s="100">
        <v>790</v>
      </c>
      <c r="AP51" s="100">
        <v>790</v>
      </c>
      <c r="AQ51" s="100">
        <v>790</v>
      </c>
      <c r="AR51" s="100">
        <v>790</v>
      </c>
      <c r="AS51" s="100">
        <v>790</v>
      </c>
      <c r="AT51" s="100">
        <v>790</v>
      </c>
      <c r="AU51" s="100">
        <v>632</v>
      </c>
      <c r="AV51" s="100">
        <v>328.86482787877742</v>
      </c>
      <c r="AW51" s="100">
        <v>632</v>
      </c>
      <c r="AX51" s="100">
        <v>632</v>
      </c>
      <c r="AY51" s="111"/>
    </row>
    <row r="52" spans="2:51">
      <c r="B52" s="99" t="s">
        <v>108</v>
      </c>
      <c r="C52" s="100">
        <v>1.2422105405595607E-18</v>
      </c>
      <c r="D52" s="100">
        <v>1.2422105405595607E-18</v>
      </c>
      <c r="E52" s="100">
        <v>1.2422105405595607E-18</v>
      </c>
      <c r="F52" s="100">
        <v>1.2422105405595607E-18</v>
      </c>
      <c r="G52" s="100">
        <v>1.2422105405595607E-18</v>
      </c>
      <c r="H52" s="100">
        <v>1.2422105405595607E-18</v>
      </c>
      <c r="I52" s="100">
        <v>1.2422105405595607E-18</v>
      </c>
      <c r="J52" s="100">
        <v>1.2422105405595607E-18</v>
      </c>
      <c r="K52" s="100">
        <v>9.9376843244764862E-19</v>
      </c>
      <c r="L52" s="100">
        <v>9.9376843244764862E-19</v>
      </c>
      <c r="M52" s="100">
        <v>9.9376843244764862E-19</v>
      </c>
      <c r="N52" s="100">
        <v>9.9376843244764862E-19</v>
      </c>
      <c r="O52" s="100">
        <v>1.2422105405595607E-18</v>
      </c>
      <c r="P52" s="100">
        <v>1.2422105405595607E-18</v>
      </c>
      <c r="Q52" s="100">
        <v>1.2422105405595607E-18</v>
      </c>
      <c r="R52" s="100">
        <v>1.2422105405595607E-18</v>
      </c>
      <c r="S52" s="100">
        <v>9.9376843244764862E-19</v>
      </c>
      <c r="T52" s="100">
        <v>9.9376843244764862E-19</v>
      </c>
      <c r="U52" s="100">
        <v>9.9376843244764862E-19</v>
      </c>
      <c r="V52" s="100">
        <v>9.9376843244764862E-19</v>
      </c>
      <c r="W52" s="100">
        <v>9.9376843244764862E-19</v>
      </c>
      <c r="X52" s="100">
        <v>9.9376843244764862E-19</v>
      </c>
      <c r="Y52" s="100">
        <v>9.9376843244764862E-19</v>
      </c>
      <c r="Z52" s="100">
        <v>9.9376843244764862E-19</v>
      </c>
      <c r="AA52" s="100">
        <v>9.9376843244764862E-19</v>
      </c>
      <c r="AB52" s="100">
        <v>9.9376843244764862E-19</v>
      </c>
      <c r="AC52" s="100">
        <v>9.9376843244764862E-19</v>
      </c>
      <c r="AD52" s="100">
        <v>9.9376843244764862E-19</v>
      </c>
      <c r="AE52" s="100">
        <v>1.2422105405595607E-18</v>
      </c>
      <c r="AF52" s="100">
        <v>1.2422105405595607E-18</v>
      </c>
      <c r="AG52" s="100">
        <v>1.2422105405595607E-18</v>
      </c>
      <c r="AH52" s="100">
        <v>1.2422105405595607E-18</v>
      </c>
      <c r="AI52" s="100">
        <v>9.9376843244764862E-19</v>
      </c>
      <c r="AJ52" s="100">
        <v>9.9376843244764862E-19</v>
      </c>
      <c r="AK52" s="100">
        <v>9.9376843244764862E-19</v>
      </c>
      <c r="AL52" s="100">
        <v>9.9376843244764862E-19</v>
      </c>
      <c r="AM52" s="100">
        <v>9.9376843244764862E-19</v>
      </c>
      <c r="AN52" s="100">
        <v>9.9376843244764862E-19</v>
      </c>
      <c r="AO52" s="100">
        <v>9.9376843244764862E-19</v>
      </c>
      <c r="AP52" s="100">
        <v>9.9376843244764862E-19</v>
      </c>
      <c r="AQ52" s="100">
        <v>9.9376843244764862E-19</v>
      </c>
      <c r="AR52" s="100">
        <v>9.9376843244764862E-19</v>
      </c>
      <c r="AS52" s="100">
        <v>9.9376843244764862E-19</v>
      </c>
      <c r="AT52" s="100">
        <v>9.9376843244764862E-19</v>
      </c>
      <c r="AU52" s="100">
        <v>9.9376843244764862E-19</v>
      </c>
      <c r="AV52" s="100">
        <v>9.9376843244764862E-19</v>
      </c>
      <c r="AW52" s="100">
        <v>9.9376843244764862E-19</v>
      </c>
      <c r="AX52" s="100">
        <v>9.9376843244764862E-19</v>
      </c>
    </row>
    <row r="53" spans="2:51">
      <c r="B53" s="99" t="s">
        <v>109</v>
      </c>
      <c r="C53" s="100">
        <v>9.07641318676852E-19</v>
      </c>
      <c r="D53" s="100">
        <v>9.07641318676852E-19</v>
      </c>
      <c r="E53" s="100">
        <v>9.07641318676852E-19</v>
      </c>
      <c r="F53" s="100">
        <v>9.07641318676852E-19</v>
      </c>
      <c r="G53" s="100">
        <v>9.07641318676852E-19</v>
      </c>
      <c r="H53" s="100">
        <v>9.07641318676852E-19</v>
      </c>
      <c r="I53" s="100">
        <v>9.07641318676852E-19</v>
      </c>
      <c r="J53" s="100">
        <v>9.07641318676852E-19</v>
      </c>
      <c r="K53" s="100">
        <v>7.563677655640433E-19</v>
      </c>
      <c r="L53" s="100">
        <v>7.563677655640433E-19</v>
      </c>
      <c r="M53" s="100">
        <v>7.563677655640433E-19</v>
      </c>
      <c r="N53" s="100">
        <v>7.563677655640433E-19</v>
      </c>
      <c r="O53" s="100">
        <v>9.07641318676852E-19</v>
      </c>
      <c r="P53" s="100">
        <v>9.07641318676852E-19</v>
      </c>
      <c r="Q53" s="100">
        <v>9.07641318676852E-19</v>
      </c>
      <c r="R53" s="100">
        <v>9.07641318676852E-19</v>
      </c>
      <c r="S53" s="100">
        <v>9.07641318676852E-19</v>
      </c>
      <c r="T53" s="100">
        <v>9.07641318676852E-19</v>
      </c>
      <c r="U53" s="100">
        <v>9.07641318676852E-19</v>
      </c>
      <c r="V53" s="100">
        <v>9.07641318676852E-19</v>
      </c>
      <c r="W53" s="100">
        <v>9.07641318676852E-19</v>
      </c>
      <c r="X53" s="100">
        <v>9.07641318676852E-19</v>
      </c>
      <c r="Y53" s="100">
        <v>9.07641318676852E-19</v>
      </c>
      <c r="Z53" s="100">
        <v>9.07641318676852E-19</v>
      </c>
      <c r="AA53" s="100">
        <v>9.07641318676852E-19</v>
      </c>
      <c r="AB53" s="100">
        <v>9.07641318676852E-19</v>
      </c>
      <c r="AC53" s="100">
        <v>9.07641318676852E-19</v>
      </c>
      <c r="AD53" s="100">
        <v>9.07641318676852E-19</v>
      </c>
      <c r="AE53" s="100">
        <v>9.07641318676852E-19</v>
      </c>
      <c r="AF53" s="100">
        <v>9.07641318676852E-19</v>
      </c>
      <c r="AG53" s="100">
        <v>9.07641318676852E-19</v>
      </c>
      <c r="AH53" s="100">
        <v>9.07641318676852E-19</v>
      </c>
      <c r="AI53" s="100">
        <v>9.07641318676852E-19</v>
      </c>
      <c r="AJ53" s="100">
        <v>9.07641318676852E-19</v>
      </c>
      <c r="AK53" s="100">
        <v>9.07641318676852E-19</v>
      </c>
      <c r="AL53" s="100">
        <v>9.07641318676852E-19</v>
      </c>
      <c r="AM53" s="100">
        <v>9.07641318676852E-19</v>
      </c>
      <c r="AN53" s="100">
        <v>9.07641318676852E-19</v>
      </c>
      <c r="AO53" s="100">
        <v>9.07641318676852E-19</v>
      </c>
      <c r="AP53" s="100">
        <v>9.07641318676852E-19</v>
      </c>
      <c r="AQ53" s="100">
        <v>9.07641318676852E-19</v>
      </c>
      <c r="AR53" s="100">
        <v>9.07641318676852E-19</v>
      </c>
      <c r="AS53" s="100">
        <v>9.07641318676852E-19</v>
      </c>
      <c r="AT53" s="100">
        <v>9.07641318676852E-19</v>
      </c>
      <c r="AU53" s="100">
        <v>9.07641318676852E-19</v>
      </c>
      <c r="AV53" s="100">
        <v>9.07641318676852E-19</v>
      </c>
      <c r="AW53" s="100">
        <v>9.07641318676852E-19</v>
      </c>
      <c r="AX53" s="100">
        <v>9.07641318676852E-19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3651780.4233204103</v>
      </c>
      <c r="D58" s="100">
        <v>3651780.4233204103</v>
      </c>
      <c r="E58" s="100">
        <v>3651780.4233204103</v>
      </c>
      <c r="F58" s="100">
        <v>3651780.4233204103</v>
      </c>
      <c r="G58" s="100">
        <v>3854174.3818714893</v>
      </c>
      <c r="H58" s="100">
        <v>3854174.3818714893</v>
      </c>
      <c r="I58" s="100">
        <v>3854174.3818714893</v>
      </c>
      <c r="J58" s="100">
        <v>3854174.3818714893</v>
      </c>
      <c r="K58" s="100">
        <v>3130920.6506328215</v>
      </c>
      <c r="L58" s="100">
        <v>3130920.6506328215</v>
      </c>
      <c r="M58" s="100">
        <v>3130920.6506328215</v>
      </c>
      <c r="N58" s="100">
        <v>3130920.6506328215</v>
      </c>
      <c r="O58" s="100">
        <v>3269150.3932409259</v>
      </c>
      <c r="P58" s="100">
        <v>3269150.3932409259</v>
      </c>
      <c r="Q58" s="100">
        <v>3269150.3932409259</v>
      </c>
      <c r="R58" s="100">
        <v>3269150.3932409259</v>
      </c>
      <c r="S58" s="100">
        <v>3708971.0062265103</v>
      </c>
      <c r="T58" s="100">
        <v>3708971.0062265103</v>
      </c>
      <c r="U58" s="100">
        <v>3708971.0062265103</v>
      </c>
      <c r="V58" s="100">
        <v>3708971.0062265103</v>
      </c>
      <c r="W58" s="100">
        <v>3601673.0189014771</v>
      </c>
      <c r="X58" s="100">
        <v>3601673.0189014771</v>
      </c>
      <c r="Y58" s="100">
        <v>3601673.0189014771</v>
      </c>
      <c r="Z58" s="100">
        <v>3601673.0189014771</v>
      </c>
      <c r="AA58" s="100">
        <v>3436010.1497327448</v>
      </c>
      <c r="AB58" s="100">
        <v>3436010.1497327448</v>
      </c>
      <c r="AC58" s="100">
        <v>3436010.1497327448</v>
      </c>
      <c r="AD58" s="100">
        <v>3436010.1497327448</v>
      </c>
      <c r="AE58" s="100">
        <v>2978539.3797326162</v>
      </c>
      <c r="AF58" s="100">
        <v>2978539.3797326162</v>
      </c>
      <c r="AG58" s="100">
        <v>2978539.3797326162</v>
      </c>
      <c r="AH58" s="100">
        <v>2978539.3797326162</v>
      </c>
      <c r="AI58" s="100">
        <v>3383728.8295933935</v>
      </c>
      <c r="AJ58" s="100">
        <v>3383728.8295933935</v>
      </c>
      <c r="AK58" s="100">
        <v>3383728.8295933935</v>
      </c>
      <c r="AL58" s="100">
        <v>3383728.8295933935</v>
      </c>
      <c r="AM58" s="100">
        <v>3648480.8777865954</v>
      </c>
      <c r="AN58" s="100">
        <v>3648480.8777865954</v>
      </c>
      <c r="AO58" s="100">
        <v>3648480.8777865954</v>
      </c>
      <c r="AP58" s="100">
        <v>3648480.8777865954</v>
      </c>
      <c r="AQ58" s="100">
        <v>2899429.4306482426</v>
      </c>
      <c r="AR58" s="100">
        <v>2899429.4306482426</v>
      </c>
      <c r="AS58" s="100">
        <v>2899429.4306482426</v>
      </c>
      <c r="AT58" s="100">
        <v>2899429.4306482426</v>
      </c>
      <c r="AU58" s="100">
        <v>3304728.5248644091</v>
      </c>
      <c r="AV58" s="100">
        <v>3304728.5248644091</v>
      </c>
      <c r="AW58" s="100">
        <v>3304728.5248644091</v>
      </c>
      <c r="AX58" s="100">
        <v>3304728.5248644091</v>
      </c>
    </row>
    <row r="59" spans="2:51">
      <c r="B59" s="105" t="s">
        <v>105</v>
      </c>
      <c r="C59" s="100">
        <v>1.5699712243361745E-15</v>
      </c>
      <c r="D59" s="100">
        <v>1.5699712243361745E-15</v>
      </c>
      <c r="E59" s="100">
        <v>1.5699712243361745E-15</v>
      </c>
      <c r="F59" s="100">
        <v>1.5699712243361745E-15</v>
      </c>
      <c r="G59" s="100">
        <v>1.5304883839973817E-15</v>
      </c>
      <c r="H59" s="100">
        <v>1.5304883839973817E-15</v>
      </c>
      <c r="I59" s="100">
        <v>1.5304883839973817E-15</v>
      </c>
      <c r="J59" s="100">
        <v>1.5304883839973817E-15</v>
      </c>
      <c r="K59" s="100">
        <v>1.5462881625864543E-15</v>
      </c>
      <c r="L59" s="100">
        <v>1.5462881625864543E-15</v>
      </c>
      <c r="M59" s="100">
        <v>1.5462881625864543E-15</v>
      </c>
      <c r="N59" s="100">
        <v>1.5462881625864543E-15</v>
      </c>
      <c r="O59" s="100">
        <v>1.4716514499186206E-15</v>
      </c>
      <c r="P59" s="100">
        <v>1.4716514499186206E-15</v>
      </c>
      <c r="Q59" s="100">
        <v>1.4716514499186206E-15</v>
      </c>
      <c r="R59" s="100">
        <v>1.4716514499186206E-15</v>
      </c>
      <c r="S59" s="100">
        <v>1.5578507719884625E-15</v>
      </c>
      <c r="T59" s="100">
        <v>1.5578507719884625E-15</v>
      </c>
      <c r="U59" s="100">
        <v>1.5578507719884625E-15</v>
      </c>
      <c r="V59" s="100">
        <v>1.5578507719884625E-15</v>
      </c>
      <c r="W59" s="100">
        <v>1.4238814593114399E-15</v>
      </c>
      <c r="X59" s="100">
        <v>1.4238814593114399E-15</v>
      </c>
      <c r="Y59" s="100">
        <v>1.4238814593114399E-15</v>
      </c>
      <c r="Z59" s="100">
        <v>1.4238814593114399E-15</v>
      </c>
      <c r="AA59" s="100">
        <v>1.3614782315639551E-15</v>
      </c>
      <c r="AB59" s="100">
        <v>1.3614782315639551E-15</v>
      </c>
      <c r="AC59" s="100">
        <v>1.3614782315639551E-15</v>
      </c>
      <c r="AD59" s="100">
        <v>1.3614782315639551E-15</v>
      </c>
      <c r="AE59" s="100">
        <v>1.4899622251932128E-15</v>
      </c>
      <c r="AF59" s="100">
        <v>1.4899622251932128E-15</v>
      </c>
      <c r="AG59" s="100">
        <v>1.4899622251932128E-15</v>
      </c>
      <c r="AH59" s="100">
        <v>1.4899622251932128E-15</v>
      </c>
      <c r="AI59" s="100">
        <v>1.5677034293467036E-15</v>
      </c>
      <c r="AJ59" s="100">
        <v>1.5677034293467036E-15</v>
      </c>
      <c r="AK59" s="100">
        <v>1.5677034293467036E-15</v>
      </c>
      <c r="AL59" s="100">
        <v>1.5677034293467036E-15</v>
      </c>
      <c r="AM59" s="100">
        <v>1.5444072093547943E-15</v>
      </c>
      <c r="AN59" s="100">
        <v>1.5444072093547943E-15</v>
      </c>
      <c r="AO59" s="100">
        <v>1.5444072093547943E-15</v>
      </c>
      <c r="AP59" s="100">
        <v>1.5444072093547943E-15</v>
      </c>
      <c r="AQ59" s="100">
        <v>1.4843102378996336E-15</v>
      </c>
      <c r="AR59" s="100">
        <v>1.4843102378996336E-15</v>
      </c>
      <c r="AS59" s="100">
        <v>1.4843102378996336E-15</v>
      </c>
      <c r="AT59" s="100">
        <v>1.4843102378996336E-15</v>
      </c>
      <c r="AU59" s="100">
        <v>1.5235832976913962E-15</v>
      </c>
      <c r="AV59" s="100">
        <v>1.5235832976913962E-15</v>
      </c>
      <c r="AW59" s="100">
        <v>1.5235832976913962E-15</v>
      </c>
      <c r="AX59" s="100">
        <v>1.5235832976913962E-15</v>
      </c>
    </row>
    <row r="60" spans="2:51">
      <c r="B60" s="105" t="s">
        <v>106</v>
      </c>
      <c r="C60" s="100">
        <v>184159.09435188229</v>
      </c>
      <c r="D60" s="100">
        <v>184159.09435188229</v>
      </c>
      <c r="E60" s="100">
        <v>184159.09435188229</v>
      </c>
      <c r="F60" s="100">
        <v>184159.09435188229</v>
      </c>
      <c r="G60" s="100">
        <v>178328.61084138608</v>
      </c>
      <c r="H60" s="100">
        <v>178328.61084138608</v>
      </c>
      <c r="I60" s="100">
        <v>178328.61084138608</v>
      </c>
      <c r="J60" s="100">
        <v>178328.61084138608</v>
      </c>
      <c r="K60" s="100">
        <v>192139.05108806424</v>
      </c>
      <c r="L60" s="100">
        <v>192139.05108806424</v>
      </c>
      <c r="M60" s="100">
        <v>192139.05108806424</v>
      </c>
      <c r="N60" s="100">
        <v>192139.05108806424</v>
      </c>
      <c r="O60" s="100">
        <v>181146.90315338693</v>
      </c>
      <c r="P60" s="100">
        <v>181146.90315338693</v>
      </c>
      <c r="Q60" s="100">
        <v>181146.90315338693</v>
      </c>
      <c r="R60" s="100">
        <v>181146.90315338693</v>
      </c>
      <c r="S60" s="100">
        <v>174227.50532165138</v>
      </c>
      <c r="T60" s="100">
        <v>174227.50532165138</v>
      </c>
      <c r="U60" s="100">
        <v>174227.50532165138</v>
      </c>
      <c r="V60" s="100">
        <v>174227.50532165138</v>
      </c>
      <c r="W60" s="100">
        <v>191381.3398224769</v>
      </c>
      <c r="X60" s="100">
        <v>191381.3398224769</v>
      </c>
      <c r="Y60" s="100">
        <v>191381.3398224769</v>
      </c>
      <c r="Z60" s="100">
        <v>191381.3398224769</v>
      </c>
      <c r="AA60" s="100">
        <v>172748.62527661474</v>
      </c>
      <c r="AB60" s="100">
        <v>172748.62527661474</v>
      </c>
      <c r="AC60" s="100">
        <v>172748.62527661474</v>
      </c>
      <c r="AD60" s="100">
        <v>172748.62527661474</v>
      </c>
      <c r="AE60" s="100">
        <v>177503.0598887869</v>
      </c>
      <c r="AF60" s="100">
        <v>177503.0598887869</v>
      </c>
      <c r="AG60" s="100">
        <v>177503.0598887869</v>
      </c>
      <c r="AH60" s="100">
        <v>177503.0598887869</v>
      </c>
      <c r="AI60" s="100">
        <v>189358.11371657689</v>
      </c>
      <c r="AJ60" s="100">
        <v>189358.11371657689</v>
      </c>
      <c r="AK60" s="100">
        <v>189358.11371657689</v>
      </c>
      <c r="AL60" s="100">
        <v>189358.11371657689</v>
      </c>
      <c r="AM60" s="100">
        <v>173485.67460578695</v>
      </c>
      <c r="AN60" s="100">
        <v>173485.67460578695</v>
      </c>
      <c r="AO60" s="100">
        <v>173485.67460578695</v>
      </c>
      <c r="AP60" s="100">
        <v>173485.67460578695</v>
      </c>
      <c r="AQ60" s="100">
        <v>0</v>
      </c>
      <c r="AR60" s="100">
        <v>0</v>
      </c>
      <c r="AS60" s="100">
        <v>0</v>
      </c>
      <c r="AT60" s="100">
        <v>0</v>
      </c>
      <c r="AU60" s="100">
        <v>209687.36027078278</v>
      </c>
      <c r="AV60" s="100">
        <v>209687.36027078278</v>
      </c>
      <c r="AW60" s="100">
        <v>209687.36027078278</v>
      </c>
      <c r="AX60" s="100">
        <v>209687.36027078278</v>
      </c>
    </row>
    <row r="61" spans="2:51">
      <c r="B61" s="105" t="s">
        <v>107</v>
      </c>
      <c r="C61" s="100">
        <v>1128521.9727969011</v>
      </c>
      <c r="D61" s="100">
        <v>1128521.9727969011</v>
      </c>
      <c r="E61" s="100">
        <v>1128521.9727969011</v>
      </c>
      <c r="F61" s="100">
        <v>1128521.9727969011</v>
      </c>
      <c r="G61" s="100">
        <v>1113793.2200403095</v>
      </c>
      <c r="H61" s="100">
        <v>1113793.2200403095</v>
      </c>
      <c r="I61" s="100">
        <v>1113793.2200403095</v>
      </c>
      <c r="J61" s="100">
        <v>1113793.2200403095</v>
      </c>
      <c r="K61" s="100">
        <v>1144045.8676779831</v>
      </c>
      <c r="L61" s="100">
        <v>1144045.8676779831</v>
      </c>
      <c r="M61" s="100">
        <v>1144045.8676779831</v>
      </c>
      <c r="N61" s="100">
        <v>1144045.8676779831</v>
      </c>
      <c r="O61" s="100">
        <v>1175637.5823368651</v>
      </c>
      <c r="P61" s="100">
        <v>1175637.5823368651</v>
      </c>
      <c r="Q61" s="100">
        <v>1175637.5823368651</v>
      </c>
      <c r="R61" s="100">
        <v>1175637.5823368651</v>
      </c>
      <c r="S61" s="100">
        <v>1092343.4327540987</v>
      </c>
      <c r="T61" s="100">
        <v>1092343.4327540987</v>
      </c>
      <c r="U61" s="100">
        <v>1092343.4327540987</v>
      </c>
      <c r="V61" s="100">
        <v>1092343.4327540987</v>
      </c>
      <c r="W61" s="100">
        <v>1140573.3799090807</v>
      </c>
      <c r="X61" s="100">
        <v>1140573.3799090807</v>
      </c>
      <c r="Y61" s="100">
        <v>1140573.3799090807</v>
      </c>
      <c r="Z61" s="100">
        <v>1140573.3799090807</v>
      </c>
      <c r="AA61" s="100">
        <v>1037432.6441840271</v>
      </c>
      <c r="AB61" s="100">
        <v>1037432.6441840271</v>
      </c>
      <c r="AC61" s="100">
        <v>1037432.6441840271</v>
      </c>
      <c r="AD61" s="100">
        <v>1037432.6441840271</v>
      </c>
      <c r="AE61" s="100">
        <v>1041152.5783394766</v>
      </c>
      <c r="AF61" s="100">
        <v>1041152.5783394766</v>
      </c>
      <c r="AG61" s="100">
        <v>1041152.5783394766</v>
      </c>
      <c r="AH61" s="100">
        <v>1041152.5783394766</v>
      </c>
      <c r="AI61" s="100">
        <v>1226798.2039495592</v>
      </c>
      <c r="AJ61" s="100">
        <v>499803.31481617282</v>
      </c>
      <c r="AK61" s="100">
        <v>1226798.2039495592</v>
      </c>
      <c r="AL61" s="100">
        <v>1226798.2039495592</v>
      </c>
      <c r="AM61" s="100">
        <v>1114752.5237238836</v>
      </c>
      <c r="AN61" s="100">
        <v>1114752.5237238836</v>
      </c>
      <c r="AO61" s="100">
        <v>1114752.5237238836</v>
      </c>
      <c r="AP61" s="100">
        <v>1114752.5237238836</v>
      </c>
      <c r="AQ61" s="100">
        <v>1047393.7488307281</v>
      </c>
      <c r="AR61" s="100">
        <v>1047393.7488307281</v>
      </c>
      <c r="AS61" s="100">
        <v>1047393.7488307281</v>
      </c>
      <c r="AT61" s="100">
        <v>1047393.7488307281</v>
      </c>
      <c r="AU61" s="100">
        <v>1121266.1485621864</v>
      </c>
      <c r="AV61" s="100">
        <v>583457.27682468854</v>
      </c>
      <c r="AW61" s="100">
        <v>1121266.1485621864</v>
      </c>
      <c r="AX61" s="100">
        <v>1121266.1485621864</v>
      </c>
    </row>
    <row r="62" spans="2:51">
      <c r="B62" s="105" t="s">
        <v>108</v>
      </c>
      <c r="C62" s="100">
        <v>1.7764670881060712E-15</v>
      </c>
      <c r="D62" s="100">
        <v>1.7764670881060712E-15</v>
      </c>
      <c r="E62" s="100">
        <v>1.7764670881060712E-15</v>
      </c>
      <c r="F62" s="100">
        <v>1.7764670881060712E-15</v>
      </c>
      <c r="G62" s="100">
        <v>1.7653779604021286E-15</v>
      </c>
      <c r="H62" s="100">
        <v>1.7653779604021286E-15</v>
      </c>
      <c r="I62" s="100">
        <v>1.7653779604021286E-15</v>
      </c>
      <c r="J62" s="100">
        <v>1.7653779604021286E-15</v>
      </c>
      <c r="K62" s="100">
        <v>1.4717560743609341E-15</v>
      </c>
      <c r="L62" s="100">
        <v>1.4717560743609341E-15</v>
      </c>
      <c r="M62" s="100">
        <v>1.4717560743609341E-15</v>
      </c>
      <c r="N62" s="100">
        <v>1.4717560743609341E-15</v>
      </c>
      <c r="O62" s="100">
        <v>1.7680377387977413E-15</v>
      </c>
      <c r="P62" s="100">
        <v>1.7680377387977413E-15</v>
      </c>
      <c r="Q62" s="100">
        <v>1.7680377387977413E-15</v>
      </c>
      <c r="R62" s="100">
        <v>1.7680377387977413E-15</v>
      </c>
      <c r="S62" s="100">
        <v>1.4591163562576206E-15</v>
      </c>
      <c r="T62" s="100">
        <v>1.4591163562576206E-15</v>
      </c>
      <c r="U62" s="100">
        <v>1.4591163562576206E-15</v>
      </c>
      <c r="V62" s="100">
        <v>1.4591163562576206E-15</v>
      </c>
      <c r="W62" s="100">
        <v>1.4724953061653034E-15</v>
      </c>
      <c r="X62" s="100">
        <v>1.4724953061653034E-15</v>
      </c>
      <c r="Y62" s="100">
        <v>1.4724953061653034E-15</v>
      </c>
      <c r="Z62" s="100">
        <v>1.4724953061653034E-15</v>
      </c>
      <c r="AA62" s="100">
        <v>1.47219229275527E-15</v>
      </c>
      <c r="AB62" s="100">
        <v>1.47219229275527E-15</v>
      </c>
      <c r="AC62" s="100">
        <v>1.47219229275527E-15</v>
      </c>
      <c r="AD62" s="100">
        <v>1.47219229275527E-15</v>
      </c>
      <c r="AE62" s="100">
        <v>1.7891742488896182E-15</v>
      </c>
      <c r="AF62" s="100">
        <v>1.7891742488896182E-15</v>
      </c>
      <c r="AG62" s="100">
        <v>1.7891742488896182E-15</v>
      </c>
      <c r="AH62" s="100">
        <v>1.7891742488896182E-15</v>
      </c>
      <c r="AI62" s="100">
        <v>1.4899855067346209E-15</v>
      </c>
      <c r="AJ62" s="100">
        <v>1.4899855067346209E-15</v>
      </c>
      <c r="AK62" s="100">
        <v>1.4899855067346209E-15</v>
      </c>
      <c r="AL62" s="100">
        <v>1.4899855067346209E-15</v>
      </c>
      <c r="AM62" s="100">
        <v>1.4745592772900017E-15</v>
      </c>
      <c r="AN62" s="100">
        <v>1.4745592772900017E-15</v>
      </c>
      <c r="AO62" s="100">
        <v>1.4745592772900017E-15</v>
      </c>
      <c r="AP62" s="100">
        <v>1.4745592772900017E-15</v>
      </c>
      <c r="AQ62" s="100">
        <v>1.4494822759789383E-15</v>
      </c>
      <c r="AR62" s="100">
        <v>1.4494822759789383E-15</v>
      </c>
      <c r="AS62" s="100">
        <v>1.4494822759789383E-15</v>
      </c>
      <c r="AT62" s="100">
        <v>1.4494822759789383E-15</v>
      </c>
      <c r="AU62" s="100">
        <v>1.4520802636551788E-15</v>
      </c>
      <c r="AV62" s="100">
        <v>1.4520802636551788E-15</v>
      </c>
      <c r="AW62" s="100">
        <v>1.4520802636551788E-15</v>
      </c>
      <c r="AX62" s="100">
        <v>1.4520802636551788E-15</v>
      </c>
    </row>
    <row r="63" spans="2:51">
      <c r="B63" s="105" t="s">
        <v>109</v>
      </c>
      <c r="C63" s="100">
        <v>1.1178238262642825E-15</v>
      </c>
      <c r="D63" s="100">
        <v>1.1178238262642825E-15</v>
      </c>
      <c r="E63" s="100">
        <v>1.1178238262642825E-15</v>
      </c>
      <c r="F63" s="100">
        <v>1.1178238262642825E-15</v>
      </c>
      <c r="G63" s="100">
        <v>1.1672197176805964E-15</v>
      </c>
      <c r="H63" s="100">
        <v>1.1672197176805964E-15</v>
      </c>
      <c r="I63" s="100">
        <v>1.1672197176805964E-15</v>
      </c>
      <c r="J63" s="100">
        <v>1.1672197176805964E-15</v>
      </c>
      <c r="K63" s="100">
        <v>1.0580552734136553E-15</v>
      </c>
      <c r="L63" s="100">
        <v>1.0580552734136553E-15</v>
      </c>
      <c r="M63" s="100">
        <v>1.0580552734136553E-15</v>
      </c>
      <c r="N63" s="100">
        <v>1.0580552734136553E-15</v>
      </c>
      <c r="O63" s="100">
        <v>1.1594304901992307E-15</v>
      </c>
      <c r="P63" s="100">
        <v>1.1594304901992307E-15</v>
      </c>
      <c r="Q63" s="100">
        <v>1.1594304901992307E-15</v>
      </c>
      <c r="R63" s="100">
        <v>1.1594304901992307E-15</v>
      </c>
      <c r="S63" s="100">
        <v>1.1646044198707233E-15</v>
      </c>
      <c r="T63" s="100">
        <v>1.1646044198707233E-15</v>
      </c>
      <c r="U63" s="100">
        <v>1.1646044198707233E-15</v>
      </c>
      <c r="V63" s="100">
        <v>1.1646044198707233E-15</v>
      </c>
      <c r="W63" s="100">
        <v>1.1577392972860671E-15</v>
      </c>
      <c r="X63" s="100">
        <v>1.1577392972860671E-15</v>
      </c>
      <c r="Y63" s="100">
        <v>1.1577392972860671E-15</v>
      </c>
      <c r="Z63" s="100">
        <v>1.1577392972860671E-15</v>
      </c>
      <c r="AA63" s="100">
        <v>1.142449665152394E-15</v>
      </c>
      <c r="AB63" s="100">
        <v>1.142449665152394E-15</v>
      </c>
      <c r="AC63" s="100">
        <v>1.142449665152394E-15</v>
      </c>
      <c r="AD63" s="100">
        <v>1.142449665152394E-15</v>
      </c>
      <c r="AE63" s="100">
        <v>1.1470661643607438E-15</v>
      </c>
      <c r="AF63" s="100">
        <v>1.1470661643607438E-15</v>
      </c>
      <c r="AG63" s="100">
        <v>1.1470661643607438E-15</v>
      </c>
      <c r="AH63" s="100">
        <v>1.1470661643607438E-15</v>
      </c>
      <c r="AI63" s="100">
        <v>1.1527916931057241E-15</v>
      </c>
      <c r="AJ63" s="100">
        <v>1.1527916931057241E-15</v>
      </c>
      <c r="AK63" s="100">
        <v>1.1527916931057241E-15</v>
      </c>
      <c r="AL63" s="100">
        <v>1.1527916931057241E-15</v>
      </c>
      <c r="AM63" s="100">
        <v>1.2025902352535815E-15</v>
      </c>
      <c r="AN63" s="100">
        <v>1.2025902352535815E-15</v>
      </c>
      <c r="AO63" s="100">
        <v>1.2025902352535815E-15</v>
      </c>
      <c r="AP63" s="100">
        <v>1.2025902352535815E-15</v>
      </c>
      <c r="AQ63" s="100">
        <v>1.2095981021683445E-15</v>
      </c>
      <c r="AR63" s="100">
        <v>1.2095981021683445E-15</v>
      </c>
      <c r="AS63" s="100">
        <v>1.2095981021683445E-15</v>
      </c>
      <c r="AT63" s="100">
        <v>1.2095981021683445E-15</v>
      </c>
      <c r="AU63" s="100">
        <v>1.1224798355467886E-15</v>
      </c>
      <c r="AV63" s="100">
        <v>1.1224798355467886E-15</v>
      </c>
      <c r="AW63" s="100">
        <v>1.1224798355467886E-15</v>
      </c>
      <c r="AX63" s="100">
        <v>1.1224798355467886E-15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0.32708319221365545</v>
      </c>
      <c r="D67" s="100">
        <v>0.32708319221365545</v>
      </c>
      <c r="E67" s="100">
        <v>0.32708319221365545</v>
      </c>
      <c r="F67" s="100">
        <v>0.32708319221365545</v>
      </c>
      <c r="G67" s="100">
        <v>0.32708319221365545</v>
      </c>
      <c r="H67" s="100">
        <v>0.32708319221365545</v>
      </c>
      <c r="I67" s="100">
        <v>0.32708319221365545</v>
      </c>
      <c r="J67" s="100">
        <v>0.32708319221365545</v>
      </c>
      <c r="K67" s="100">
        <v>0.32708319221365545</v>
      </c>
      <c r="L67" s="100">
        <v>0.32708319221365545</v>
      </c>
      <c r="M67" s="100">
        <v>0.32708319221365545</v>
      </c>
      <c r="N67" s="100">
        <v>0.32708319221365545</v>
      </c>
    </row>
    <row r="68" spans="1:14">
      <c r="B68" s="99" t="s">
        <v>330</v>
      </c>
      <c r="C68" s="100">
        <v>0.4083061151234717</v>
      </c>
      <c r="D68" s="100">
        <v>0.4083061151234717</v>
      </c>
      <c r="E68" s="100">
        <v>0.4083061151234717</v>
      </c>
      <c r="F68" s="100">
        <v>0.4083061151234717</v>
      </c>
      <c r="G68" s="100">
        <v>0.4083061151234717</v>
      </c>
      <c r="H68" s="100">
        <v>0.4083061151234717</v>
      </c>
      <c r="I68" s="100">
        <v>0.4083061151234717</v>
      </c>
      <c r="J68" s="100">
        <v>0.4083061151234717</v>
      </c>
      <c r="K68" s="100">
        <v>0.4083061151234717</v>
      </c>
      <c r="L68" s="100">
        <v>0.4083061151234717</v>
      </c>
      <c r="M68" s="100">
        <v>0.4083061151234717</v>
      </c>
      <c r="N68" s="100">
        <v>0.4083061151234717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19.093741219260973</v>
      </c>
      <c r="D72" s="100">
        <v>40.696378252319164</v>
      </c>
      <c r="E72" s="100">
        <v>69.863292675190706</v>
      </c>
    </row>
    <row r="73" spans="1:14">
      <c r="B73" s="105" t="s">
        <v>93</v>
      </c>
      <c r="C73" s="100">
        <v>19.093741219260973</v>
      </c>
      <c r="D73" s="100">
        <v>40.696378252319164</v>
      </c>
      <c r="E73" s="100">
        <v>69.863292675190706</v>
      </c>
    </row>
    <row r="74" spans="1:14">
      <c r="B74" s="105" t="s">
        <v>94</v>
      </c>
      <c r="C74" s="100">
        <v>19.093741219260973</v>
      </c>
      <c r="D74" s="100">
        <v>40.696378252319164</v>
      </c>
      <c r="E74" s="100">
        <v>69.863292675190706</v>
      </c>
    </row>
    <row r="75" spans="1:14">
      <c r="B75" s="105" t="s">
        <v>95</v>
      </c>
      <c r="C75" s="100">
        <v>19.093741219260973</v>
      </c>
      <c r="D75" s="100">
        <v>40.696378252319164</v>
      </c>
      <c r="E75" s="100">
        <v>69.863292675190706</v>
      </c>
    </row>
    <row r="76" spans="1:14">
      <c r="B76" s="105" t="s">
        <v>96</v>
      </c>
      <c r="C76" s="100">
        <v>19.093741219260973</v>
      </c>
      <c r="D76" s="100">
        <v>40.696378252319164</v>
      </c>
      <c r="E76" s="100">
        <v>69.863292675190706</v>
      </c>
    </row>
    <row r="77" spans="1:14">
      <c r="B77" s="105" t="s">
        <v>97</v>
      </c>
      <c r="C77" s="100">
        <v>19.093741219260973</v>
      </c>
      <c r="D77" s="100">
        <v>40.696378252319164</v>
      </c>
      <c r="E77" s="100">
        <v>69.863292675190706</v>
      </c>
    </row>
    <row r="78" spans="1:14">
      <c r="B78" s="105" t="s">
        <v>98</v>
      </c>
      <c r="C78" s="100">
        <v>19.093741219260973</v>
      </c>
      <c r="D78" s="100">
        <v>40.696378252319164</v>
      </c>
      <c r="E78" s="100">
        <v>69.863292675190706</v>
      </c>
    </row>
    <row r="79" spans="1:14">
      <c r="B79" s="105" t="s">
        <v>99</v>
      </c>
      <c r="C79" s="100">
        <v>19.093741219260973</v>
      </c>
      <c r="D79" s="100">
        <v>40.696378252319164</v>
      </c>
      <c r="E79" s="100">
        <v>69.863292675190706</v>
      </c>
    </row>
    <row r="80" spans="1:14">
      <c r="B80" s="105" t="s">
        <v>100</v>
      </c>
      <c r="C80" s="100">
        <v>19.093741219260973</v>
      </c>
      <c r="D80" s="100">
        <v>40.696378252319164</v>
      </c>
      <c r="E80" s="100">
        <v>69.863292675190706</v>
      </c>
    </row>
    <row r="81" spans="2:50">
      <c r="B81" s="105" t="s">
        <v>101</v>
      </c>
      <c r="C81" s="100">
        <v>19.093741219260973</v>
      </c>
      <c r="D81" s="100">
        <v>40.696378252319164</v>
      </c>
      <c r="E81" s="100">
        <v>69.863292675190706</v>
      </c>
    </row>
    <row r="82" spans="2:50">
      <c r="B82" s="105" t="s">
        <v>102</v>
      </c>
      <c r="C82" s="100">
        <v>19.093741219260973</v>
      </c>
      <c r="D82" s="100">
        <v>40.696378252319164</v>
      </c>
      <c r="E82" s="100">
        <v>69.863292675190706</v>
      </c>
    </row>
    <row r="83" spans="2:50">
      <c r="B83" s="105" t="s">
        <v>103</v>
      </c>
      <c r="C83" s="100">
        <v>19.093741219260973</v>
      </c>
      <c r="D83" s="100">
        <v>40.696378252319164</v>
      </c>
      <c r="E83" s="100">
        <v>69.863292675190706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2604.7790222603135</v>
      </c>
      <c r="D88" s="100">
        <f>D48+$C$67/4</f>
        <v>2604.7790222603135</v>
      </c>
      <c r="E88" s="100">
        <f>E48+$C$67/4</f>
        <v>2604.7790222603135</v>
      </c>
      <c r="F88" s="100">
        <f>F48+$C$67/4</f>
        <v>2604.7790222603135</v>
      </c>
      <c r="G88" s="100">
        <f>G48+$D$67/4</f>
        <v>2604.7790222603135</v>
      </c>
      <c r="H88" s="100">
        <f>H48+$D$67/4</f>
        <v>2604.7790222603135</v>
      </c>
      <c r="I88" s="100">
        <f>I48+$D$67/4</f>
        <v>2604.7790222603135</v>
      </c>
      <c r="J88" s="100">
        <f>J48+$D$67/4</f>
        <v>2604.7790222603135</v>
      </c>
      <c r="K88" s="100">
        <f>K48+$E$67/4</f>
        <v>2604.7790222603135</v>
      </c>
      <c r="L88" s="100">
        <f>L48+$E$67/4</f>
        <v>2604.7790222603135</v>
      </c>
      <c r="M88" s="100">
        <f>M48+$E$67/4</f>
        <v>2604.7790222603135</v>
      </c>
      <c r="N88" s="100">
        <f>N48+$E$67/4</f>
        <v>2604.7790222603135</v>
      </c>
      <c r="O88" s="100">
        <f>O48+$F$67/4</f>
        <v>2604.7790222603135</v>
      </c>
      <c r="P88" s="100">
        <f>P48+$F$67/4</f>
        <v>2604.7790222603135</v>
      </c>
      <c r="Q88" s="100">
        <f>Q48+$F$67/4</f>
        <v>2604.7790222603135</v>
      </c>
      <c r="R88" s="100">
        <f>R48+$F$67/4</f>
        <v>2604.7790222603135</v>
      </c>
      <c r="S88" s="100">
        <f>S48+$G$67/4</f>
        <v>2604.7790222603135</v>
      </c>
      <c r="T88" s="100">
        <f>T48+$G$67/4</f>
        <v>2604.7790222603135</v>
      </c>
      <c r="U88" s="100">
        <f>U48+$G$67/4</f>
        <v>2604.7790222603135</v>
      </c>
      <c r="V88" s="100">
        <f>V48+$G$67/4</f>
        <v>2604.7790222603135</v>
      </c>
      <c r="W88" s="100">
        <f>W48+$H$67/4</f>
        <v>2083.8395719678615</v>
      </c>
      <c r="X88" s="100">
        <f>X48+$H$67/4</f>
        <v>2083.8395719678615</v>
      </c>
      <c r="Y88" s="100">
        <f>Y48+$H$67/4</f>
        <v>2083.8395719678615</v>
      </c>
      <c r="Z88" s="100">
        <f>Z48+$H$67/4</f>
        <v>2083.8395719678615</v>
      </c>
      <c r="AA88" s="100">
        <f>AA48+$I$67/4</f>
        <v>3125.7184725527654</v>
      </c>
      <c r="AB88" s="100">
        <f>AB48+$I$67/4</f>
        <v>3125.7184725527654</v>
      </c>
      <c r="AC88" s="100">
        <f>AC48+$I$67/4</f>
        <v>3125.7184725527654</v>
      </c>
      <c r="AD88" s="100">
        <f>AD48+$I$67/4</f>
        <v>3125.7184725527654</v>
      </c>
      <c r="AE88" s="100">
        <f>AE48+$J$67/4</f>
        <v>2604.7790222603135</v>
      </c>
      <c r="AF88" s="100">
        <f>AF48+$J$67/4</f>
        <v>2604.7790222603135</v>
      </c>
      <c r="AG88" s="100">
        <f>AG48+$J$67/4</f>
        <v>2604.7790222603135</v>
      </c>
      <c r="AH88" s="100">
        <f>AH48+$J$67/4</f>
        <v>2604.7790222603135</v>
      </c>
      <c r="AI88" s="100">
        <f>AI48+$K$67/4</f>
        <v>2604.7790222603135</v>
      </c>
      <c r="AJ88" s="100">
        <f>AJ48+$K$67/4</f>
        <v>2604.7790222603135</v>
      </c>
      <c r="AK88" s="100">
        <f>AK48+$K$67/4</f>
        <v>2604.7790222603135</v>
      </c>
      <c r="AL88" s="100">
        <f>AL48+$K$67/4</f>
        <v>2604.7790222603135</v>
      </c>
      <c r="AM88" s="100">
        <f>AM48+$L$67/4</f>
        <v>2604.7790222603135</v>
      </c>
      <c r="AN88" s="100">
        <f>AN48+$L$67/4</f>
        <v>2604.7790222603135</v>
      </c>
      <c r="AO88" s="100">
        <f>AO48+$L$67/4</f>
        <v>2604.7790222603135</v>
      </c>
      <c r="AP88" s="100">
        <f>AP48+$L$67/4</f>
        <v>2604.7790222603135</v>
      </c>
      <c r="AQ88" s="100">
        <f>AQ48+$M$67/4</f>
        <v>2604.7790222603135</v>
      </c>
      <c r="AR88" s="100">
        <f>AR48+$M$67/4</f>
        <v>2604.7790222603135</v>
      </c>
      <c r="AS88" s="100">
        <f>AS48+$M$67/4</f>
        <v>2604.7790222603135</v>
      </c>
      <c r="AT88" s="100">
        <f>AT48+$M$67/4</f>
        <v>2604.7790222603135</v>
      </c>
      <c r="AU88" s="100">
        <f>AU48+$N$67/4</f>
        <v>2604.7790222603135</v>
      </c>
      <c r="AV88" s="100">
        <f>AV48+$N$67/4</f>
        <v>2604.7790222603135</v>
      </c>
      <c r="AW88" s="100">
        <f>AW48+$N$67/4</f>
        <v>2604.7790222603135</v>
      </c>
      <c r="AX88" s="100">
        <f>AX48+$N$67/4</f>
        <v>2604.7790222603135</v>
      </c>
    </row>
    <row r="89" spans="2:50">
      <c r="B89" s="99" t="s">
        <v>105</v>
      </c>
      <c r="C89" s="100">
        <f>C49</f>
        <v>1.0883925925769841E-18</v>
      </c>
      <c r="D89" s="100">
        <f t="shared" ref="D89:AX93" si="3">D49</f>
        <v>1.0883925925769841E-18</v>
      </c>
      <c r="E89" s="100">
        <f t="shared" si="3"/>
        <v>1.0883925925769841E-18</v>
      </c>
      <c r="F89" s="100">
        <f t="shared" si="3"/>
        <v>1.0883925925769841E-18</v>
      </c>
      <c r="G89" s="100">
        <f t="shared" si="3"/>
        <v>1.0883925925769841E-18</v>
      </c>
      <c r="H89" s="100">
        <f t="shared" si="3"/>
        <v>1.0883925925769841E-18</v>
      </c>
      <c r="I89" s="100">
        <f t="shared" si="3"/>
        <v>1.0883925925769841E-18</v>
      </c>
      <c r="J89" s="100">
        <f t="shared" si="3"/>
        <v>1.0883925925769841E-18</v>
      </c>
      <c r="K89" s="100">
        <f t="shared" si="3"/>
        <v>1.0883925925769841E-18</v>
      </c>
      <c r="L89" s="100">
        <f t="shared" si="3"/>
        <v>1.0883925925769841E-18</v>
      </c>
      <c r="M89" s="100">
        <f t="shared" si="3"/>
        <v>1.0883925925769841E-18</v>
      </c>
      <c r="N89" s="100">
        <f t="shared" si="3"/>
        <v>1.0883925925769841E-18</v>
      </c>
      <c r="O89" s="100">
        <f t="shared" si="3"/>
        <v>1.0883925925769841E-18</v>
      </c>
      <c r="P89" s="100">
        <f t="shared" si="3"/>
        <v>1.0883925925769841E-18</v>
      </c>
      <c r="Q89" s="100">
        <f t="shared" si="3"/>
        <v>1.0883925925769841E-18</v>
      </c>
      <c r="R89" s="100">
        <f t="shared" si="3"/>
        <v>1.0883925925769841E-18</v>
      </c>
      <c r="S89" s="100">
        <f t="shared" si="3"/>
        <v>1.0883925925769841E-18</v>
      </c>
      <c r="T89" s="100">
        <f t="shared" si="3"/>
        <v>1.0883925925769841E-18</v>
      </c>
      <c r="U89" s="100">
        <f t="shared" si="3"/>
        <v>1.0883925925769841E-18</v>
      </c>
      <c r="V89" s="100">
        <f t="shared" si="3"/>
        <v>1.0883925925769841E-18</v>
      </c>
      <c r="W89" s="100">
        <f t="shared" si="3"/>
        <v>8.707140740615873E-19</v>
      </c>
      <c r="X89" s="100">
        <f t="shared" si="3"/>
        <v>8.707140740615873E-19</v>
      </c>
      <c r="Y89" s="100">
        <f t="shared" si="3"/>
        <v>8.707140740615873E-19</v>
      </c>
      <c r="Z89" s="100">
        <f t="shared" si="3"/>
        <v>8.707140740615873E-19</v>
      </c>
      <c r="AA89" s="100">
        <f t="shared" si="3"/>
        <v>8.707140740615873E-19</v>
      </c>
      <c r="AB89" s="100">
        <f t="shared" si="3"/>
        <v>8.707140740615873E-19</v>
      </c>
      <c r="AC89" s="100">
        <f t="shared" si="3"/>
        <v>8.707140740615873E-19</v>
      </c>
      <c r="AD89" s="100">
        <f t="shared" si="3"/>
        <v>8.707140740615873E-19</v>
      </c>
      <c r="AE89" s="100">
        <f t="shared" si="3"/>
        <v>1.0883925925769841E-18</v>
      </c>
      <c r="AF89" s="100">
        <f t="shared" si="3"/>
        <v>1.0883925925769841E-18</v>
      </c>
      <c r="AG89" s="100">
        <f t="shared" si="3"/>
        <v>1.0883925925769841E-18</v>
      </c>
      <c r="AH89" s="100">
        <f t="shared" si="3"/>
        <v>1.0883925925769841E-18</v>
      </c>
      <c r="AI89" s="100">
        <f t="shared" si="3"/>
        <v>1.0883925925769841E-18</v>
      </c>
      <c r="AJ89" s="100">
        <f t="shared" si="3"/>
        <v>1.0883925925769841E-18</v>
      </c>
      <c r="AK89" s="100">
        <f t="shared" si="3"/>
        <v>1.0883925925769841E-18</v>
      </c>
      <c r="AL89" s="100">
        <f t="shared" si="3"/>
        <v>1.0883925925769841E-18</v>
      </c>
      <c r="AM89" s="100">
        <f t="shared" si="3"/>
        <v>1.0883925925769841E-18</v>
      </c>
      <c r="AN89" s="100">
        <f t="shared" si="3"/>
        <v>1.0883925925769841E-18</v>
      </c>
      <c r="AO89" s="100">
        <f t="shared" si="3"/>
        <v>1.0883925925769841E-18</v>
      </c>
      <c r="AP89" s="100">
        <f t="shared" si="3"/>
        <v>1.0883925925769841E-18</v>
      </c>
      <c r="AQ89" s="100">
        <f t="shared" si="3"/>
        <v>1.0883925925769841E-18</v>
      </c>
      <c r="AR89" s="100">
        <f t="shared" si="3"/>
        <v>1.0883925925769841E-18</v>
      </c>
      <c r="AS89" s="100">
        <f t="shared" si="3"/>
        <v>1.0883925925769841E-18</v>
      </c>
      <c r="AT89" s="100">
        <f t="shared" si="3"/>
        <v>1.0883925925769841E-18</v>
      </c>
      <c r="AU89" s="100">
        <f t="shared" si="3"/>
        <v>1.0883925925769841E-18</v>
      </c>
      <c r="AV89" s="100">
        <f t="shared" si="3"/>
        <v>1.0883925925769841E-18</v>
      </c>
      <c r="AW89" s="100">
        <f t="shared" si="3"/>
        <v>1.0883925925769841E-18</v>
      </c>
      <c r="AX89" s="100">
        <f t="shared" si="3"/>
        <v>1.0883925925769841E-18</v>
      </c>
    </row>
    <row r="90" spans="2:50">
      <c r="B90" s="99" t="s">
        <v>106</v>
      </c>
      <c r="C90" s="100">
        <f t="shared" ref="C90:R93" si="4">C50</f>
        <v>125</v>
      </c>
      <c r="D90" s="100">
        <f t="shared" si="4"/>
        <v>125</v>
      </c>
      <c r="E90" s="100">
        <f t="shared" si="4"/>
        <v>125</v>
      </c>
      <c r="F90" s="100">
        <f t="shared" si="4"/>
        <v>125</v>
      </c>
      <c r="G90" s="100">
        <f t="shared" si="4"/>
        <v>125</v>
      </c>
      <c r="H90" s="100">
        <f t="shared" si="4"/>
        <v>125</v>
      </c>
      <c r="I90" s="100">
        <f t="shared" si="4"/>
        <v>125</v>
      </c>
      <c r="J90" s="100">
        <f t="shared" si="4"/>
        <v>125</v>
      </c>
      <c r="K90" s="100">
        <f t="shared" si="4"/>
        <v>125</v>
      </c>
      <c r="L90" s="100">
        <f t="shared" si="4"/>
        <v>125</v>
      </c>
      <c r="M90" s="100">
        <f t="shared" si="4"/>
        <v>125</v>
      </c>
      <c r="N90" s="100">
        <f t="shared" si="4"/>
        <v>125</v>
      </c>
      <c r="O90" s="100">
        <f t="shared" si="4"/>
        <v>125</v>
      </c>
      <c r="P90" s="100">
        <f t="shared" si="4"/>
        <v>125</v>
      </c>
      <c r="Q90" s="100">
        <f t="shared" si="4"/>
        <v>125</v>
      </c>
      <c r="R90" s="100">
        <f t="shared" si="4"/>
        <v>125</v>
      </c>
      <c r="S90" s="100">
        <f t="shared" si="3"/>
        <v>125</v>
      </c>
      <c r="T90" s="100">
        <f t="shared" si="3"/>
        <v>125</v>
      </c>
      <c r="U90" s="100">
        <f t="shared" si="3"/>
        <v>125</v>
      </c>
      <c r="V90" s="100">
        <f t="shared" si="3"/>
        <v>125</v>
      </c>
      <c r="W90" s="100">
        <f t="shared" si="3"/>
        <v>125</v>
      </c>
      <c r="X90" s="100">
        <f t="shared" si="3"/>
        <v>125</v>
      </c>
      <c r="Y90" s="100">
        <f t="shared" si="3"/>
        <v>125</v>
      </c>
      <c r="Z90" s="100">
        <f t="shared" si="3"/>
        <v>125</v>
      </c>
      <c r="AA90" s="100">
        <f t="shared" si="3"/>
        <v>125</v>
      </c>
      <c r="AB90" s="100">
        <f t="shared" si="3"/>
        <v>125</v>
      </c>
      <c r="AC90" s="100">
        <f t="shared" si="3"/>
        <v>125</v>
      </c>
      <c r="AD90" s="100">
        <f t="shared" si="3"/>
        <v>125</v>
      </c>
      <c r="AE90" s="100">
        <f t="shared" si="3"/>
        <v>125</v>
      </c>
      <c r="AF90" s="100">
        <f t="shared" si="3"/>
        <v>125</v>
      </c>
      <c r="AG90" s="100">
        <f t="shared" si="3"/>
        <v>125</v>
      </c>
      <c r="AH90" s="100">
        <f t="shared" si="3"/>
        <v>125</v>
      </c>
      <c r="AI90" s="100">
        <f t="shared" si="3"/>
        <v>125</v>
      </c>
      <c r="AJ90" s="100">
        <f t="shared" si="3"/>
        <v>125</v>
      </c>
      <c r="AK90" s="100">
        <f t="shared" si="3"/>
        <v>125</v>
      </c>
      <c r="AL90" s="100">
        <f t="shared" si="3"/>
        <v>125</v>
      </c>
      <c r="AM90" s="100">
        <f t="shared" si="3"/>
        <v>125</v>
      </c>
      <c r="AN90" s="100">
        <f t="shared" si="3"/>
        <v>125</v>
      </c>
      <c r="AO90" s="100">
        <f t="shared" si="3"/>
        <v>125</v>
      </c>
      <c r="AP90" s="100">
        <f t="shared" si="3"/>
        <v>125</v>
      </c>
      <c r="AQ90" s="100">
        <f t="shared" si="3"/>
        <v>0</v>
      </c>
      <c r="AR90" s="100">
        <f t="shared" si="3"/>
        <v>0</v>
      </c>
      <c r="AS90" s="100">
        <f t="shared" si="3"/>
        <v>0</v>
      </c>
      <c r="AT90" s="100">
        <f t="shared" si="3"/>
        <v>0</v>
      </c>
      <c r="AU90" s="100">
        <f t="shared" si="3"/>
        <v>125</v>
      </c>
      <c r="AV90" s="100">
        <f t="shared" si="3"/>
        <v>125</v>
      </c>
      <c r="AW90" s="100">
        <f t="shared" si="3"/>
        <v>125</v>
      </c>
      <c r="AX90" s="100">
        <f t="shared" si="3"/>
        <v>125</v>
      </c>
    </row>
    <row r="91" spans="2:50">
      <c r="B91" s="99" t="s">
        <v>107</v>
      </c>
      <c r="C91" s="100">
        <f t="shared" si="4"/>
        <v>790</v>
      </c>
      <c r="D91" s="100">
        <f t="shared" si="3"/>
        <v>790</v>
      </c>
      <c r="E91" s="100">
        <f t="shared" si="3"/>
        <v>790</v>
      </c>
      <c r="F91" s="100">
        <f t="shared" si="3"/>
        <v>790</v>
      </c>
      <c r="G91" s="100">
        <f t="shared" si="3"/>
        <v>790</v>
      </c>
      <c r="H91" s="100">
        <f t="shared" si="3"/>
        <v>790</v>
      </c>
      <c r="I91" s="100">
        <f t="shared" si="3"/>
        <v>790</v>
      </c>
      <c r="J91" s="100">
        <f t="shared" si="3"/>
        <v>790</v>
      </c>
      <c r="K91" s="100">
        <f t="shared" si="3"/>
        <v>790</v>
      </c>
      <c r="L91" s="100">
        <f t="shared" si="3"/>
        <v>790</v>
      </c>
      <c r="M91" s="100">
        <f t="shared" si="3"/>
        <v>790</v>
      </c>
      <c r="N91" s="100">
        <f t="shared" si="3"/>
        <v>790</v>
      </c>
      <c r="O91" s="100">
        <f t="shared" si="3"/>
        <v>790</v>
      </c>
      <c r="P91" s="100">
        <f t="shared" si="3"/>
        <v>790</v>
      </c>
      <c r="Q91" s="100">
        <f t="shared" si="3"/>
        <v>790</v>
      </c>
      <c r="R91" s="100">
        <f t="shared" si="3"/>
        <v>790</v>
      </c>
      <c r="S91" s="100">
        <f t="shared" si="3"/>
        <v>790</v>
      </c>
      <c r="T91" s="100">
        <f t="shared" si="3"/>
        <v>790</v>
      </c>
      <c r="U91" s="100">
        <f t="shared" si="3"/>
        <v>790</v>
      </c>
      <c r="V91" s="100">
        <f t="shared" si="3"/>
        <v>790</v>
      </c>
      <c r="W91" s="100">
        <f t="shared" si="3"/>
        <v>790</v>
      </c>
      <c r="X91" s="100">
        <f t="shared" si="3"/>
        <v>790</v>
      </c>
      <c r="Y91" s="100">
        <f t="shared" si="3"/>
        <v>790</v>
      </c>
      <c r="Z91" s="100">
        <f t="shared" si="3"/>
        <v>790</v>
      </c>
      <c r="AA91" s="100">
        <f t="shared" si="3"/>
        <v>790</v>
      </c>
      <c r="AB91" s="100">
        <f t="shared" si="3"/>
        <v>790</v>
      </c>
      <c r="AC91" s="100">
        <f t="shared" si="3"/>
        <v>790</v>
      </c>
      <c r="AD91" s="100">
        <f t="shared" si="3"/>
        <v>790</v>
      </c>
      <c r="AE91" s="100">
        <f t="shared" si="3"/>
        <v>790</v>
      </c>
      <c r="AF91" s="100">
        <f t="shared" si="3"/>
        <v>790</v>
      </c>
      <c r="AG91" s="100">
        <f t="shared" si="3"/>
        <v>790</v>
      </c>
      <c r="AH91" s="100">
        <f t="shared" si="3"/>
        <v>790</v>
      </c>
      <c r="AI91" s="100">
        <f t="shared" si="3"/>
        <v>790</v>
      </c>
      <c r="AJ91" s="100">
        <f t="shared" si="3"/>
        <v>321.84968761252844</v>
      </c>
      <c r="AK91" s="100">
        <f t="shared" si="3"/>
        <v>790</v>
      </c>
      <c r="AL91" s="100">
        <f t="shared" si="3"/>
        <v>790</v>
      </c>
      <c r="AM91" s="100">
        <f t="shared" si="3"/>
        <v>790</v>
      </c>
      <c r="AN91" s="100">
        <f t="shared" si="3"/>
        <v>790</v>
      </c>
      <c r="AO91" s="100">
        <f t="shared" si="3"/>
        <v>790</v>
      </c>
      <c r="AP91" s="100">
        <f t="shared" si="3"/>
        <v>790</v>
      </c>
      <c r="AQ91" s="100">
        <f t="shared" si="3"/>
        <v>790</v>
      </c>
      <c r="AR91" s="100">
        <f t="shared" si="3"/>
        <v>790</v>
      </c>
      <c r="AS91" s="100">
        <f t="shared" si="3"/>
        <v>790</v>
      </c>
      <c r="AT91" s="100">
        <f t="shared" si="3"/>
        <v>790</v>
      </c>
      <c r="AU91" s="100">
        <f t="shared" si="3"/>
        <v>632</v>
      </c>
      <c r="AV91" s="100">
        <f t="shared" si="3"/>
        <v>328.86482787877742</v>
      </c>
      <c r="AW91" s="100">
        <f t="shared" si="3"/>
        <v>632</v>
      </c>
      <c r="AX91" s="100">
        <f t="shared" si="3"/>
        <v>632</v>
      </c>
    </row>
    <row r="92" spans="2:50">
      <c r="B92" s="99" t="s">
        <v>108</v>
      </c>
      <c r="C92" s="100">
        <f t="shared" si="4"/>
        <v>1.2422105405595607E-18</v>
      </c>
      <c r="D92" s="100">
        <f t="shared" si="4"/>
        <v>1.2422105405595607E-18</v>
      </c>
      <c r="E92" s="100">
        <f t="shared" si="4"/>
        <v>1.2422105405595607E-18</v>
      </c>
      <c r="F92" s="100">
        <f t="shared" si="4"/>
        <v>1.2422105405595607E-18</v>
      </c>
      <c r="G92" s="100">
        <f t="shared" si="4"/>
        <v>1.2422105405595607E-18</v>
      </c>
      <c r="H92" s="100">
        <f t="shared" si="4"/>
        <v>1.2422105405595607E-18</v>
      </c>
      <c r="I92" s="100">
        <f t="shared" si="4"/>
        <v>1.2422105405595607E-18</v>
      </c>
      <c r="J92" s="100">
        <f t="shared" si="4"/>
        <v>1.2422105405595607E-18</v>
      </c>
      <c r="K92" s="100">
        <f t="shared" si="4"/>
        <v>9.9376843244764862E-19</v>
      </c>
      <c r="L92" s="100">
        <f t="shared" si="4"/>
        <v>9.9376843244764862E-19</v>
      </c>
      <c r="M92" s="100">
        <f t="shared" si="4"/>
        <v>9.9376843244764862E-19</v>
      </c>
      <c r="N92" s="100">
        <f t="shared" si="4"/>
        <v>9.9376843244764862E-19</v>
      </c>
      <c r="O92" s="100">
        <f t="shared" si="4"/>
        <v>1.2422105405595607E-18</v>
      </c>
      <c r="P92" s="100">
        <f t="shared" si="4"/>
        <v>1.2422105405595607E-18</v>
      </c>
      <c r="Q92" s="100">
        <f t="shared" si="4"/>
        <v>1.2422105405595607E-18</v>
      </c>
      <c r="R92" s="100">
        <f t="shared" si="4"/>
        <v>1.2422105405595607E-18</v>
      </c>
      <c r="S92" s="100">
        <f t="shared" si="3"/>
        <v>9.9376843244764862E-19</v>
      </c>
      <c r="T92" s="100">
        <f t="shared" si="3"/>
        <v>9.9376843244764862E-19</v>
      </c>
      <c r="U92" s="100">
        <f t="shared" si="3"/>
        <v>9.9376843244764862E-19</v>
      </c>
      <c r="V92" s="100">
        <f t="shared" si="3"/>
        <v>9.9376843244764862E-19</v>
      </c>
      <c r="W92" s="100">
        <f t="shared" si="3"/>
        <v>9.9376843244764862E-19</v>
      </c>
      <c r="X92" s="100">
        <f t="shared" si="3"/>
        <v>9.9376843244764862E-19</v>
      </c>
      <c r="Y92" s="100">
        <f t="shared" si="3"/>
        <v>9.9376843244764862E-19</v>
      </c>
      <c r="Z92" s="100">
        <f t="shared" si="3"/>
        <v>9.9376843244764862E-19</v>
      </c>
      <c r="AA92" s="100">
        <f t="shared" si="3"/>
        <v>9.9376843244764862E-19</v>
      </c>
      <c r="AB92" s="100">
        <f t="shared" si="3"/>
        <v>9.9376843244764862E-19</v>
      </c>
      <c r="AC92" s="100">
        <f t="shared" si="3"/>
        <v>9.9376843244764862E-19</v>
      </c>
      <c r="AD92" s="100">
        <f t="shared" si="3"/>
        <v>9.9376843244764862E-19</v>
      </c>
      <c r="AE92" s="100">
        <f t="shared" si="3"/>
        <v>1.2422105405595607E-18</v>
      </c>
      <c r="AF92" s="100">
        <f t="shared" si="3"/>
        <v>1.2422105405595607E-18</v>
      </c>
      <c r="AG92" s="100">
        <f t="shared" si="3"/>
        <v>1.2422105405595607E-18</v>
      </c>
      <c r="AH92" s="100">
        <f t="shared" si="3"/>
        <v>1.2422105405595607E-18</v>
      </c>
      <c r="AI92" s="100">
        <f t="shared" si="3"/>
        <v>9.9376843244764862E-19</v>
      </c>
      <c r="AJ92" s="100">
        <f t="shared" si="3"/>
        <v>9.9376843244764862E-19</v>
      </c>
      <c r="AK92" s="100">
        <f t="shared" si="3"/>
        <v>9.9376843244764862E-19</v>
      </c>
      <c r="AL92" s="100">
        <f t="shared" si="3"/>
        <v>9.9376843244764862E-19</v>
      </c>
      <c r="AM92" s="100">
        <f t="shared" si="3"/>
        <v>9.9376843244764862E-19</v>
      </c>
      <c r="AN92" s="100">
        <f t="shared" si="3"/>
        <v>9.9376843244764862E-19</v>
      </c>
      <c r="AO92" s="100">
        <f t="shared" si="3"/>
        <v>9.9376843244764862E-19</v>
      </c>
      <c r="AP92" s="100">
        <f t="shared" si="3"/>
        <v>9.9376843244764862E-19</v>
      </c>
      <c r="AQ92" s="100">
        <f t="shared" si="3"/>
        <v>9.9376843244764862E-19</v>
      </c>
      <c r="AR92" s="100">
        <f t="shared" si="3"/>
        <v>9.9376843244764862E-19</v>
      </c>
      <c r="AS92" s="100">
        <f t="shared" si="3"/>
        <v>9.9376843244764862E-19</v>
      </c>
      <c r="AT92" s="100">
        <f t="shared" si="3"/>
        <v>9.9376843244764862E-19</v>
      </c>
      <c r="AU92" s="100">
        <f t="shared" si="3"/>
        <v>9.9376843244764862E-19</v>
      </c>
      <c r="AV92" s="100">
        <f t="shared" si="3"/>
        <v>9.9376843244764862E-19</v>
      </c>
      <c r="AW92" s="100">
        <f t="shared" si="3"/>
        <v>9.9376843244764862E-19</v>
      </c>
      <c r="AX92" s="100">
        <f t="shared" si="3"/>
        <v>9.9376843244764862E-19</v>
      </c>
    </row>
    <row r="93" spans="2:50">
      <c r="B93" s="99" t="s">
        <v>109</v>
      </c>
      <c r="C93" s="100">
        <f t="shared" si="4"/>
        <v>9.07641318676852E-19</v>
      </c>
      <c r="D93" s="100">
        <f t="shared" si="4"/>
        <v>9.07641318676852E-19</v>
      </c>
      <c r="E93" s="100">
        <f t="shared" si="4"/>
        <v>9.07641318676852E-19</v>
      </c>
      <c r="F93" s="100">
        <f t="shared" si="4"/>
        <v>9.07641318676852E-19</v>
      </c>
      <c r="G93" s="100">
        <f t="shared" si="4"/>
        <v>9.07641318676852E-19</v>
      </c>
      <c r="H93" s="100">
        <f t="shared" si="4"/>
        <v>9.07641318676852E-19</v>
      </c>
      <c r="I93" s="100">
        <f t="shared" si="4"/>
        <v>9.07641318676852E-19</v>
      </c>
      <c r="J93" s="100">
        <f t="shared" si="4"/>
        <v>9.07641318676852E-19</v>
      </c>
      <c r="K93" s="100">
        <f t="shared" si="4"/>
        <v>7.563677655640433E-19</v>
      </c>
      <c r="L93" s="100">
        <f t="shared" si="4"/>
        <v>7.563677655640433E-19</v>
      </c>
      <c r="M93" s="100">
        <f t="shared" si="4"/>
        <v>7.563677655640433E-19</v>
      </c>
      <c r="N93" s="100">
        <f t="shared" si="4"/>
        <v>7.563677655640433E-19</v>
      </c>
      <c r="O93" s="100">
        <f t="shared" si="4"/>
        <v>9.07641318676852E-19</v>
      </c>
      <c r="P93" s="100">
        <f t="shared" si="4"/>
        <v>9.07641318676852E-19</v>
      </c>
      <c r="Q93" s="100">
        <f t="shared" si="4"/>
        <v>9.07641318676852E-19</v>
      </c>
      <c r="R93" s="100">
        <f t="shared" si="4"/>
        <v>9.07641318676852E-19</v>
      </c>
      <c r="S93" s="100">
        <f t="shared" si="3"/>
        <v>9.07641318676852E-19</v>
      </c>
      <c r="T93" s="100">
        <f t="shared" si="3"/>
        <v>9.07641318676852E-19</v>
      </c>
      <c r="U93" s="100">
        <f t="shared" si="3"/>
        <v>9.07641318676852E-19</v>
      </c>
      <c r="V93" s="100">
        <f t="shared" si="3"/>
        <v>9.07641318676852E-19</v>
      </c>
      <c r="W93" s="100">
        <f t="shared" si="3"/>
        <v>9.07641318676852E-19</v>
      </c>
      <c r="X93" s="100">
        <f t="shared" si="3"/>
        <v>9.07641318676852E-19</v>
      </c>
      <c r="Y93" s="100">
        <f t="shared" si="3"/>
        <v>9.07641318676852E-19</v>
      </c>
      <c r="Z93" s="100">
        <f t="shared" si="3"/>
        <v>9.07641318676852E-19</v>
      </c>
      <c r="AA93" s="100">
        <f t="shared" si="3"/>
        <v>9.07641318676852E-19</v>
      </c>
      <c r="AB93" s="100">
        <f t="shared" si="3"/>
        <v>9.07641318676852E-19</v>
      </c>
      <c r="AC93" s="100">
        <f t="shared" si="3"/>
        <v>9.07641318676852E-19</v>
      </c>
      <c r="AD93" s="100">
        <f t="shared" si="3"/>
        <v>9.07641318676852E-19</v>
      </c>
      <c r="AE93" s="100">
        <f t="shared" si="3"/>
        <v>9.07641318676852E-19</v>
      </c>
      <c r="AF93" s="100">
        <f t="shared" si="3"/>
        <v>9.07641318676852E-19</v>
      </c>
      <c r="AG93" s="100">
        <f t="shared" si="3"/>
        <v>9.07641318676852E-19</v>
      </c>
      <c r="AH93" s="100">
        <f t="shared" si="3"/>
        <v>9.07641318676852E-19</v>
      </c>
      <c r="AI93" s="100">
        <f t="shared" si="3"/>
        <v>9.07641318676852E-19</v>
      </c>
      <c r="AJ93" s="100">
        <f t="shared" si="3"/>
        <v>9.07641318676852E-19</v>
      </c>
      <c r="AK93" s="100">
        <f t="shared" si="3"/>
        <v>9.07641318676852E-19</v>
      </c>
      <c r="AL93" s="100">
        <f t="shared" si="3"/>
        <v>9.07641318676852E-19</v>
      </c>
      <c r="AM93" s="100">
        <f t="shared" si="3"/>
        <v>9.07641318676852E-19</v>
      </c>
      <c r="AN93" s="100">
        <f t="shared" si="3"/>
        <v>9.07641318676852E-19</v>
      </c>
      <c r="AO93" s="100">
        <f t="shared" si="3"/>
        <v>9.07641318676852E-19</v>
      </c>
      <c r="AP93" s="100">
        <f t="shared" si="3"/>
        <v>9.07641318676852E-19</v>
      </c>
      <c r="AQ93" s="100">
        <f t="shared" si="3"/>
        <v>9.07641318676852E-19</v>
      </c>
      <c r="AR93" s="100">
        <f t="shared" si="3"/>
        <v>9.07641318676852E-19</v>
      </c>
      <c r="AS93" s="100">
        <f t="shared" si="3"/>
        <v>9.07641318676852E-19</v>
      </c>
      <c r="AT93" s="100">
        <f t="shared" si="3"/>
        <v>9.07641318676852E-19</v>
      </c>
      <c r="AU93" s="100">
        <f t="shared" si="3"/>
        <v>9.07641318676852E-19</v>
      </c>
      <c r="AV93" s="100">
        <f t="shared" si="3"/>
        <v>9.07641318676852E-19</v>
      </c>
      <c r="AW93" s="100">
        <f t="shared" si="3"/>
        <v>9.07641318676852E-19</v>
      </c>
      <c r="AX93" s="100">
        <f t="shared" si="3"/>
        <v>9.07641318676852E-19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3.5090119592634494E-16</v>
      </c>
      <c r="D98" s="100">
        <v>3.5090119592634494E-16</v>
      </c>
      <c r="E98" s="100">
        <v>3.5090119592634494E-16</v>
      </c>
      <c r="F98" s="100">
        <v>3.5090119592634494E-16</v>
      </c>
      <c r="G98" s="100">
        <v>3.5090119592634494E-16</v>
      </c>
      <c r="H98" s="100">
        <v>3.5090119592634494E-16</v>
      </c>
      <c r="I98" s="100">
        <v>3.5090119592634494E-16</v>
      </c>
      <c r="J98" s="100">
        <v>3.5090119592634494E-16</v>
      </c>
      <c r="K98" s="100">
        <v>3.5090119592634494E-16</v>
      </c>
      <c r="L98" s="100">
        <v>3.5090119592634494E-16</v>
      </c>
      <c r="M98" s="100">
        <v>3.5090119592634494E-16</v>
      </c>
      <c r="N98" s="100">
        <v>3.5090119592634494E-16</v>
      </c>
      <c r="O98" s="100">
        <v>3.5090119592634494E-16</v>
      </c>
      <c r="P98" s="100">
        <v>3.5090119592634494E-16</v>
      </c>
      <c r="Q98" s="100">
        <v>3.5090119592634494E-16</v>
      </c>
      <c r="R98" s="100">
        <v>3.5090119592634494E-16</v>
      </c>
      <c r="S98" s="100">
        <v>3.5090119592634494E-16</v>
      </c>
      <c r="T98" s="100">
        <v>3.5090119592634494E-16</v>
      </c>
      <c r="U98" s="100">
        <v>3.5090119592634494E-16</v>
      </c>
      <c r="V98" s="100">
        <v>3.5090119592634494E-16</v>
      </c>
      <c r="W98" s="100">
        <v>2.8072315988157909E-16</v>
      </c>
      <c r="X98" s="100">
        <v>2.8072315988157909E-16</v>
      </c>
      <c r="Y98" s="100">
        <v>2.8072315988157909E-16</v>
      </c>
      <c r="Z98" s="100">
        <v>2.8072315988157909E-16</v>
      </c>
      <c r="AA98" s="100">
        <v>4.2107923197111079E-16</v>
      </c>
      <c r="AB98" s="100">
        <v>4.2107923197111079E-16</v>
      </c>
      <c r="AC98" s="100">
        <v>4.2107923197111079E-16</v>
      </c>
      <c r="AD98" s="100">
        <v>4.2107923197111079E-16</v>
      </c>
      <c r="AE98" s="100">
        <v>3.5090119592634494E-16</v>
      </c>
      <c r="AF98" s="100">
        <v>3.5090119592634494E-16</v>
      </c>
      <c r="AG98" s="100">
        <v>3.5090119592634494E-16</v>
      </c>
      <c r="AH98" s="100">
        <v>3.5090119592634494E-16</v>
      </c>
      <c r="AI98" s="100">
        <v>3.5090119592634494E-16</v>
      </c>
      <c r="AJ98" s="100">
        <v>3.5090119592634494E-16</v>
      </c>
      <c r="AK98" s="100">
        <v>3.5090119592634494E-16</v>
      </c>
      <c r="AL98" s="100">
        <v>3.5090119592634494E-16</v>
      </c>
      <c r="AM98" s="100">
        <v>3.5090119592634494E-16</v>
      </c>
      <c r="AN98" s="100">
        <v>3.5090119592634494E-16</v>
      </c>
      <c r="AO98" s="100">
        <v>3.5090119592634494E-16</v>
      </c>
      <c r="AP98" s="100">
        <v>3.5090119592634494E-16</v>
      </c>
      <c r="AQ98" s="100">
        <v>3.5090119592634494E-16</v>
      </c>
      <c r="AR98" s="100">
        <v>3.5090119592634494E-16</v>
      </c>
      <c r="AS98" s="100">
        <v>3.5090119592634494E-16</v>
      </c>
      <c r="AT98" s="100">
        <v>3.5090119592634494E-16</v>
      </c>
      <c r="AU98" s="100">
        <v>3.5090119592634494E-16</v>
      </c>
      <c r="AV98" s="100">
        <v>3.5090119592634494E-16</v>
      </c>
      <c r="AW98" s="100">
        <v>3.5090119592634494E-16</v>
      </c>
      <c r="AX98" s="100">
        <v>3.5090119592634494E-16</v>
      </c>
    </row>
    <row r="99" spans="1:50">
      <c r="B99" s="105" t="s">
        <v>12</v>
      </c>
      <c r="C99" s="100">
        <v>396324.4144288011</v>
      </c>
      <c r="D99" s="100">
        <v>396324.4144288011</v>
      </c>
      <c r="E99" s="100">
        <v>396324.4144288011</v>
      </c>
      <c r="F99" s="100">
        <v>396324.4144288011</v>
      </c>
      <c r="G99" s="100">
        <v>396324.4144288011</v>
      </c>
      <c r="H99" s="100">
        <v>396324.4144288011</v>
      </c>
      <c r="I99" s="100">
        <v>396324.4144288011</v>
      </c>
      <c r="J99" s="100">
        <v>396324.4144288011</v>
      </c>
      <c r="K99" s="100">
        <v>396324.4144288011</v>
      </c>
      <c r="L99" s="100">
        <v>396324.4144288011</v>
      </c>
      <c r="M99" s="100">
        <v>396324.4144288011</v>
      </c>
      <c r="N99" s="100">
        <v>396324.4144288011</v>
      </c>
      <c r="O99" s="100">
        <v>396324.4144288011</v>
      </c>
      <c r="P99" s="100">
        <v>396324.4144288011</v>
      </c>
      <c r="Q99" s="100">
        <v>396324.4144288011</v>
      </c>
      <c r="R99" s="100">
        <v>396324.4144288011</v>
      </c>
      <c r="S99" s="100">
        <v>396324.4144288011</v>
      </c>
      <c r="T99" s="100">
        <v>396324.4144288011</v>
      </c>
      <c r="U99" s="100">
        <v>396324.4144288011</v>
      </c>
      <c r="V99" s="100">
        <v>396324.4144288011</v>
      </c>
      <c r="W99" s="100">
        <v>317062.01987417217</v>
      </c>
      <c r="X99" s="100">
        <v>317062.01987417217</v>
      </c>
      <c r="Y99" s="100">
        <v>317062.01987417217</v>
      </c>
      <c r="Z99" s="100">
        <v>317062.01987417217</v>
      </c>
      <c r="AA99" s="100">
        <v>475586.80898343003</v>
      </c>
      <c r="AB99" s="100">
        <v>475586.80898343003</v>
      </c>
      <c r="AC99" s="100">
        <v>475586.80898343003</v>
      </c>
      <c r="AD99" s="100">
        <v>475586.80898343003</v>
      </c>
      <c r="AE99" s="100">
        <v>396324.4144288011</v>
      </c>
      <c r="AF99" s="100">
        <v>396324.4144288011</v>
      </c>
      <c r="AG99" s="100">
        <v>396324.4144288011</v>
      </c>
      <c r="AH99" s="100">
        <v>396324.4144288011</v>
      </c>
      <c r="AI99" s="100">
        <v>396324.4144288011</v>
      </c>
      <c r="AJ99" s="100">
        <v>396324.4144288011</v>
      </c>
      <c r="AK99" s="100">
        <v>396324.4144288011</v>
      </c>
      <c r="AL99" s="100">
        <v>396324.4144288011</v>
      </c>
      <c r="AM99" s="100">
        <v>396324.4144288011</v>
      </c>
      <c r="AN99" s="100">
        <v>396324.4144288011</v>
      </c>
      <c r="AO99" s="100">
        <v>396324.4144288011</v>
      </c>
      <c r="AP99" s="100">
        <v>396324.4144288011</v>
      </c>
      <c r="AQ99" s="100">
        <v>396324.4144288011</v>
      </c>
      <c r="AR99" s="100">
        <v>396324.4144288011</v>
      </c>
      <c r="AS99" s="100">
        <v>396324.4144288011</v>
      </c>
      <c r="AT99" s="100">
        <v>396324.4144288011</v>
      </c>
      <c r="AU99" s="100">
        <v>396324.4144288011</v>
      </c>
      <c r="AV99" s="100">
        <v>396324.4144288011</v>
      </c>
      <c r="AW99" s="100">
        <v>396324.4144288011</v>
      </c>
      <c r="AX99" s="100">
        <v>396324.4144288011</v>
      </c>
    </row>
    <row r="100" spans="1:50">
      <c r="B100" s="105" t="s">
        <v>22</v>
      </c>
      <c r="C100" s="100">
        <v>1.0326628992265828E-16</v>
      </c>
      <c r="D100" s="100">
        <v>1.0326628992265828E-16</v>
      </c>
      <c r="E100" s="100">
        <v>1.0326628992265828E-16</v>
      </c>
      <c r="F100" s="100">
        <v>1.0326628992265828E-16</v>
      </c>
      <c r="G100" s="100">
        <v>1.0326628992265828E-16</v>
      </c>
      <c r="H100" s="100">
        <v>1.0326628992265828E-16</v>
      </c>
      <c r="I100" s="100">
        <v>1.0326628992265828E-16</v>
      </c>
      <c r="J100" s="100">
        <v>1.0326628992265828E-16</v>
      </c>
      <c r="K100" s="100">
        <v>1.0326628992265828E-16</v>
      </c>
      <c r="L100" s="100">
        <v>1.0326628992265828E-16</v>
      </c>
      <c r="M100" s="100">
        <v>1.0326628992265828E-16</v>
      </c>
      <c r="N100" s="100">
        <v>1.0326628992265828E-16</v>
      </c>
      <c r="O100" s="100">
        <v>1.0326628992265828E-16</v>
      </c>
      <c r="P100" s="100">
        <v>1.0326628992265828E-16</v>
      </c>
      <c r="Q100" s="100">
        <v>1.0326628992265828E-16</v>
      </c>
      <c r="R100" s="100">
        <v>1.0326628992265828E-16</v>
      </c>
      <c r="S100" s="100">
        <v>1.0326628992265828E-16</v>
      </c>
      <c r="T100" s="100">
        <v>1.0326628992265828E-16</v>
      </c>
      <c r="U100" s="100">
        <v>1.0326628992265828E-16</v>
      </c>
      <c r="V100" s="100">
        <v>1.0326628992265828E-16</v>
      </c>
      <c r="W100" s="100">
        <v>8.2613680297689325E-17</v>
      </c>
      <c r="X100" s="100">
        <v>8.2613680297689325E-17</v>
      </c>
      <c r="Y100" s="100">
        <v>8.2613680297689325E-17</v>
      </c>
      <c r="Z100" s="100">
        <v>8.2613680297689325E-17</v>
      </c>
      <c r="AA100" s="100">
        <v>1.2391889954762725E-16</v>
      </c>
      <c r="AB100" s="100">
        <v>1.2391889954762725E-16</v>
      </c>
      <c r="AC100" s="100">
        <v>1.2391889954762725E-16</v>
      </c>
      <c r="AD100" s="100">
        <v>1.2391889954762725E-16</v>
      </c>
      <c r="AE100" s="100">
        <v>1.0326628992265828E-16</v>
      </c>
      <c r="AF100" s="100">
        <v>1.0326628992265828E-16</v>
      </c>
      <c r="AG100" s="100">
        <v>1.0326628992265828E-16</v>
      </c>
      <c r="AH100" s="100">
        <v>1.0326628992265828E-16</v>
      </c>
      <c r="AI100" s="100">
        <v>1.0326628992265828E-16</v>
      </c>
      <c r="AJ100" s="100">
        <v>1.0326628992265828E-16</v>
      </c>
      <c r="AK100" s="100">
        <v>1.0326628992265828E-16</v>
      </c>
      <c r="AL100" s="100">
        <v>1.0326628992265828E-16</v>
      </c>
      <c r="AM100" s="100">
        <v>1.0326628992265828E-16</v>
      </c>
      <c r="AN100" s="100">
        <v>1.0326628992265828E-16</v>
      </c>
      <c r="AO100" s="100">
        <v>1.0326628992265828E-16</v>
      </c>
      <c r="AP100" s="100">
        <v>1.0326628992265828E-16</v>
      </c>
      <c r="AQ100" s="100">
        <v>1.0326628992265828E-16</v>
      </c>
      <c r="AR100" s="100">
        <v>1.0326628992265828E-16</v>
      </c>
      <c r="AS100" s="100">
        <v>1.0326628992265828E-16</v>
      </c>
      <c r="AT100" s="100">
        <v>1.0326628992265828E-16</v>
      </c>
      <c r="AU100" s="100">
        <v>1.0326628992265828E-16</v>
      </c>
      <c r="AV100" s="100">
        <v>1.0326628992265828E-16</v>
      </c>
      <c r="AW100" s="100">
        <v>1.0326628992265828E-16</v>
      </c>
      <c r="AX100" s="100">
        <v>1.0326628992265828E-16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264817.88307356503</v>
      </c>
      <c r="D102" s="100">
        <v>264817.88307356503</v>
      </c>
      <c r="E102" s="100">
        <v>264817.88307356503</v>
      </c>
      <c r="F102" s="100">
        <v>264817.88307356503</v>
      </c>
      <c r="G102" s="100">
        <v>264817.88307356503</v>
      </c>
      <c r="H102" s="100">
        <v>264817.88307356503</v>
      </c>
      <c r="I102" s="100">
        <v>264817.88307356503</v>
      </c>
      <c r="J102" s="100">
        <v>264817.88307356503</v>
      </c>
      <c r="K102" s="100">
        <v>264817.88307356503</v>
      </c>
      <c r="L102" s="100">
        <v>264817.88307356503</v>
      </c>
      <c r="M102" s="100">
        <v>264817.88307356503</v>
      </c>
      <c r="N102" s="100">
        <v>264817.88307356503</v>
      </c>
      <c r="O102" s="100">
        <v>264817.88307356503</v>
      </c>
      <c r="P102" s="100">
        <v>264817.88307356503</v>
      </c>
      <c r="Q102" s="100">
        <v>264817.88307356503</v>
      </c>
      <c r="R102" s="100">
        <v>264817.88307356503</v>
      </c>
      <c r="S102" s="100">
        <v>264817.88307356503</v>
      </c>
      <c r="T102" s="100">
        <v>264817.88307356503</v>
      </c>
      <c r="U102" s="100">
        <v>264817.88307356503</v>
      </c>
      <c r="V102" s="100">
        <v>264817.88307356503</v>
      </c>
      <c r="W102" s="100">
        <v>211855.96912347368</v>
      </c>
      <c r="X102" s="100">
        <v>211855.96912347368</v>
      </c>
      <c r="Y102" s="100">
        <v>211855.96912347368</v>
      </c>
      <c r="Z102" s="100">
        <v>211855.96912347368</v>
      </c>
      <c r="AA102" s="100">
        <v>317779.79702365637</v>
      </c>
      <c r="AB102" s="100">
        <v>317779.79702365637</v>
      </c>
      <c r="AC102" s="100">
        <v>317779.79702365637</v>
      </c>
      <c r="AD102" s="100">
        <v>317779.79702365637</v>
      </c>
      <c r="AE102" s="100">
        <v>264817.88307356503</v>
      </c>
      <c r="AF102" s="100">
        <v>264817.88307356503</v>
      </c>
      <c r="AG102" s="100">
        <v>264817.88307356503</v>
      </c>
      <c r="AH102" s="100">
        <v>264817.88307356503</v>
      </c>
      <c r="AI102" s="100">
        <v>264817.88307356503</v>
      </c>
      <c r="AJ102" s="100">
        <v>264817.88307356503</v>
      </c>
      <c r="AK102" s="100">
        <v>264817.88307356503</v>
      </c>
      <c r="AL102" s="100">
        <v>264817.88307356503</v>
      </c>
      <c r="AM102" s="100">
        <v>264817.88307356503</v>
      </c>
      <c r="AN102" s="100">
        <v>264817.88307356503</v>
      </c>
      <c r="AO102" s="100">
        <v>264817.88307356503</v>
      </c>
      <c r="AP102" s="100">
        <v>264817.88307356503</v>
      </c>
      <c r="AQ102" s="100">
        <v>264817.88307356503</v>
      </c>
      <c r="AR102" s="100">
        <v>264817.88307356503</v>
      </c>
      <c r="AS102" s="100">
        <v>264817.88307356503</v>
      </c>
      <c r="AT102" s="100">
        <v>264817.88307356503</v>
      </c>
      <c r="AU102" s="100">
        <v>264817.88307356503</v>
      </c>
      <c r="AV102" s="100">
        <v>264817.88307356503</v>
      </c>
      <c r="AW102" s="100">
        <v>264817.88307356503</v>
      </c>
      <c r="AX102" s="100">
        <v>264817.88307356503</v>
      </c>
    </row>
    <row r="103" spans="1:50">
      <c r="B103" s="100" t="s">
        <v>278</v>
      </c>
      <c r="C103" s="105">
        <f>SUM(C$98:C$102)</f>
        <v>661142.29750236613</v>
      </c>
      <c r="D103" s="105">
        <f t="shared" ref="D103:AX103" si="5">SUM(D$98:D$102)</f>
        <v>661142.29750236613</v>
      </c>
      <c r="E103" s="105">
        <f t="shared" si="5"/>
        <v>661142.29750236613</v>
      </c>
      <c r="F103" s="105">
        <f t="shared" si="5"/>
        <v>661142.29750236613</v>
      </c>
      <c r="G103" s="105">
        <f t="shared" si="5"/>
        <v>661142.29750236613</v>
      </c>
      <c r="H103" s="105">
        <f t="shared" si="5"/>
        <v>661142.29750236613</v>
      </c>
      <c r="I103" s="105">
        <f t="shared" si="5"/>
        <v>661142.29750236613</v>
      </c>
      <c r="J103" s="105">
        <f t="shared" si="5"/>
        <v>661142.29750236613</v>
      </c>
      <c r="K103" s="105">
        <f t="shared" si="5"/>
        <v>661142.29750236613</v>
      </c>
      <c r="L103" s="105">
        <f t="shared" si="5"/>
        <v>661142.29750236613</v>
      </c>
      <c r="M103" s="105">
        <f t="shared" si="5"/>
        <v>661142.29750236613</v>
      </c>
      <c r="N103" s="105">
        <f t="shared" si="5"/>
        <v>661142.29750236613</v>
      </c>
      <c r="O103" s="105">
        <f t="shared" si="5"/>
        <v>661142.29750236613</v>
      </c>
      <c r="P103" s="105">
        <f t="shared" si="5"/>
        <v>661142.29750236613</v>
      </c>
      <c r="Q103" s="105">
        <f t="shared" si="5"/>
        <v>661142.29750236613</v>
      </c>
      <c r="R103" s="105">
        <f t="shared" si="5"/>
        <v>661142.29750236613</v>
      </c>
      <c r="S103" s="105">
        <f t="shared" si="5"/>
        <v>661142.29750236613</v>
      </c>
      <c r="T103" s="105">
        <f t="shared" si="5"/>
        <v>661142.29750236613</v>
      </c>
      <c r="U103" s="105">
        <f t="shared" si="5"/>
        <v>661142.29750236613</v>
      </c>
      <c r="V103" s="105">
        <f t="shared" si="5"/>
        <v>661142.29750236613</v>
      </c>
      <c r="W103" s="105">
        <f t="shared" si="5"/>
        <v>528917.98899764591</v>
      </c>
      <c r="X103" s="105">
        <f t="shared" si="5"/>
        <v>528917.98899764591</v>
      </c>
      <c r="Y103" s="105">
        <f t="shared" si="5"/>
        <v>528917.98899764591</v>
      </c>
      <c r="Z103" s="105">
        <f t="shared" si="5"/>
        <v>528917.98899764591</v>
      </c>
      <c r="AA103" s="105">
        <f t="shared" si="5"/>
        <v>793366.60600708635</v>
      </c>
      <c r="AB103" s="105">
        <f t="shared" si="5"/>
        <v>793366.60600708635</v>
      </c>
      <c r="AC103" s="105">
        <f t="shared" si="5"/>
        <v>793366.60600708635</v>
      </c>
      <c r="AD103" s="105">
        <f t="shared" si="5"/>
        <v>793366.60600708635</v>
      </c>
      <c r="AE103" s="105">
        <f t="shared" si="5"/>
        <v>661142.29750236613</v>
      </c>
      <c r="AF103" s="105">
        <f t="shared" si="5"/>
        <v>661142.29750236613</v>
      </c>
      <c r="AG103" s="105">
        <f t="shared" si="5"/>
        <v>661142.29750236613</v>
      </c>
      <c r="AH103" s="105">
        <f t="shared" si="5"/>
        <v>661142.29750236613</v>
      </c>
      <c r="AI103" s="105">
        <f t="shared" si="5"/>
        <v>661142.29750236613</v>
      </c>
      <c r="AJ103" s="105">
        <f t="shared" si="5"/>
        <v>661142.29750236613</v>
      </c>
      <c r="AK103" s="105">
        <f t="shared" si="5"/>
        <v>661142.29750236613</v>
      </c>
      <c r="AL103" s="105">
        <f t="shared" si="5"/>
        <v>661142.29750236613</v>
      </c>
      <c r="AM103" s="105">
        <f t="shared" si="5"/>
        <v>661142.29750236613</v>
      </c>
      <c r="AN103" s="105">
        <f t="shared" si="5"/>
        <v>661142.29750236613</v>
      </c>
      <c r="AO103" s="105">
        <f t="shared" si="5"/>
        <v>661142.29750236613</v>
      </c>
      <c r="AP103" s="105">
        <f t="shared" si="5"/>
        <v>661142.29750236613</v>
      </c>
      <c r="AQ103" s="105">
        <f t="shared" si="5"/>
        <v>661142.29750236613</v>
      </c>
      <c r="AR103" s="105">
        <f t="shared" si="5"/>
        <v>661142.29750236613</v>
      </c>
      <c r="AS103" s="105">
        <f t="shared" si="5"/>
        <v>661142.29750236613</v>
      </c>
      <c r="AT103" s="105">
        <f t="shared" si="5"/>
        <v>661142.29750236613</v>
      </c>
      <c r="AU103" s="105">
        <f t="shared" si="5"/>
        <v>661142.29750236613</v>
      </c>
      <c r="AV103" s="105">
        <f t="shared" si="5"/>
        <v>661142.29750236613</v>
      </c>
      <c r="AW103" s="105">
        <f t="shared" si="5"/>
        <v>661142.29750236613</v>
      </c>
      <c r="AX103" s="105">
        <f t="shared" si="5"/>
        <v>661142.29750236613</v>
      </c>
    </row>
    <row r="104" spans="1:50">
      <c r="A104" s="105" t="s">
        <v>105</v>
      </c>
      <c r="B104" s="105" t="s">
        <v>10</v>
      </c>
      <c r="C104" s="100">
        <v>4.5945147502538016E-17</v>
      </c>
      <c r="D104" s="100">
        <v>4.5945147502538016E-17</v>
      </c>
      <c r="E104" s="100">
        <v>4.5945147502538016E-17</v>
      </c>
      <c r="F104" s="100">
        <v>4.5945147502538016E-17</v>
      </c>
      <c r="G104" s="100">
        <v>4.5945147502538016E-17</v>
      </c>
      <c r="H104" s="100">
        <v>4.5945147502538016E-17</v>
      </c>
      <c r="I104" s="100">
        <v>4.5945147502538016E-17</v>
      </c>
      <c r="J104" s="100">
        <v>4.5945147502538016E-17</v>
      </c>
      <c r="K104" s="100">
        <v>4.5945147502538016E-17</v>
      </c>
      <c r="L104" s="100">
        <v>4.5945147502538016E-17</v>
      </c>
      <c r="M104" s="100">
        <v>4.5945147502538016E-17</v>
      </c>
      <c r="N104" s="100">
        <v>4.5945147502538016E-17</v>
      </c>
      <c r="O104" s="100">
        <v>4.5945147502538016E-17</v>
      </c>
      <c r="P104" s="100">
        <v>4.5945147502538016E-17</v>
      </c>
      <c r="Q104" s="100">
        <v>4.5945147502538016E-17</v>
      </c>
      <c r="R104" s="100">
        <v>4.5945147502538016E-17</v>
      </c>
      <c r="S104" s="100">
        <v>4.5945147502538016E-17</v>
      </c>
      <c r="T104" s="100">
        <v>4.5945147502538016E-17</v>
      </c>
      <c r="U104" s="100">
        <v>4.5945147502538016E-17</v>
      </c>
      <c r="V104" s="100">
        <v>4.5945147502538016E-17</v>
      </c>
      <c r="W104" s="100">
        <v>3.6756118002030409E-17</v>
      </c>
      <c r="X104" s="100">
        <v>3.6756118002030409E-17</v>
      </c>
      <c r="Y104" s="100">
        <v>3.6756118002030409E-17</v>
      </c>
      <c r="Z104" s="100">
        <v>3.6756118002030409E-17</v>
      </c>
      <c r="AA104" s="100">
        <v>3.6756118002030409E-17</v>
      </c>
      <c r="AB104" s="100">
        <v>3.6756118002030409E-17</v>
      </c>
      <c r="AC104" s="100">
        <v>3.6756118002030409E-17</v>
      </c>
      <c r="AD104" s="100">
        <v>3.6756118002030409E-17</v>
      </c>
      <c r="AE104" s="100">
        <v>4.5945147502538016E-17</v>
      </c>
      <c r="AF104" s="100">
        <v>4.5945147502538016E-17</v>
      </c>
      <c r="AG104" s="100">
        <v>4.5945147502538016E-17</v>
      </c>
      <c r="AH104" s="100">
        <v>4.5945147502538016E-17</v>
      </c>
      <c r="AI104" s="100">
        <v>4.5945147502538016E-17</v>
      </c>
      <c r="AJ104" s="100">
        <v>4.5945147502538016E-17</v>
      </c>
      <c r="AK104" s="100">
        <v>4.5945147502538016E-17</v>
      </c>
      <c r="AL104" s="100">
        <v>4.5945147502538016E-17</v>
      </c>
      <c r="AM104" s="100">
        <v>4.5945147502538016E-17</v>
      </c>
      <c r="AN104" s="100">
        <v>4.5945147502538016E-17</v>
      </c>
      <c r="AO104" s="100">
        <v>4.5945147502538016E-17</v>
      </c>
      <c r="AP104" s="100">
        <v>4.5945147502538016E-17</v>
      </c>
      <c r="AQ104" s="100">
        <v>4.5945147502538016E-17</v>
      </c>
      <c r="AR104" s="100">
        <v>4.5945147502538016E-17</v>
      </c>
      <c r="AS104" s="100">
        <v>4.5945147502538016E-17</v>
      </c>
      <c r="AT104" s="100">
        <v>4.5945147502538016E-17</v>
      </c>
      <c r="AU104" s="100">
        <v>4.5945147502538016E-17</v>
      </c>
      <c r="AV104" s="100">
        <v>4.5945147502538016E-17</v>
      </c>
      <c r="AW104" s="100">
        <v>4.5945147502538016E-17</v>
      </c>
      <c r="AX104" s="100">
        <v>4.5945147502538016E-17</v>
      </c>
    </row>
    <row r="105" spans="1:50">
      <c r="B105" s="105" t="s">
        <v>12</v>
      </c>
      <c r="C105" s="100">
        <v>2.3772124617322561E-16</v>
      </c>
      <c r="D105" s="100">
        <v>2.3772124617322561E-16</v>
      </c>
      <c r="E105" s="100">
        <v>2.3772124617322561E-16</v>
      </c>
      <c r="F105" s="100">
        <v>2.3772124617322561E-16</v>
      </c>
      <c r="G105" s="100">
        <v>2.3772124617322561E-16</v>
      </c>
      <c r="H105" s="100">
        <v>2.3772124617322561E-16</v>
      </c>
      <c r="I105" s="100">
        <v>2.3772124617322561E-16</v>
      </c>
      <c r="J105" s="100">
        <v>2.3772124617322561E-16</v>
      </c>
      <c r="K105" s="100">
        <v>2.3772124617322561E-16</v>
      </c>
      <c r="L105" s="100">
        <v>2.3772124617322561E-16</v>
      </c>
      <c r="M105" s="100">
        <v>2.3772124617322561E-16</v>
      </c>
      <c r="N105" s="100">
        <v>2.3772124617322561E-16</v>
      </c>
      <c r="O105" s="100">
        <v>2.3772124617322561E-16</v>
      </c>
      <c r="P105" s="100">
        <v>2.3772124617322561E-16</v>
      </c>
      <c r="Q105" s="100">
        <v>2.3772124617322561E-16</v>
      </c>
      <c r="R105" s="100">
        <v>2.3772124617322561E-16</v>
      </c>
      <c r="S105" s="100">
        <v>2.3772124617322561E-16</v>
      </c>
      <c r="T105" s="100">
        <v>2.3772124617322561E-16</v>
      </c>
      <c r="U105" s="100">
        <v>2.3772124617322561E-16</v>
      </c>
      <c r="V105" s="100">
        <v>2.3772124617322561E-16</v>
      </c>
      <c r="W105" s="100">
        <v>1.9017699693858048E-16</v>
      </c>
      <c r="X105" s="100">
        <v>1.9017699693858048E-16</v>
      </c>
      <c r="Y105" s="100">
        <v>1.9017699693858048E-16</v>
      </c>
      <c r="Z105" s="100">
        <v>1.9017699693858048E-16</v>
      </c>
      <c r="AA105" s="100">
        <v>1.9017699693858048E-16</v>
      </c>
      <c r="AB105" s="100">
        <v>1.9017699693858048E-16</v>
      </c>
      <c r="AC105" s="100">
        <v>1.9017699693858048E-16</v>
      </c>
      <c r="AD105" s="100">
        <v>1.9017699693858048E-16</v>
      </c>
      <c r="AE105" s="100">
        <v>2.3772124617322561E-16</v>
      </c>
      <c r="AF105" s="100">
        <v>2.3772124617322561E-16</v>
      </c>
      <c r="AG105" s="100">
        <v>2.3772124617322561E-16</v>
      </c>
      <c r="AH105" s="100">
        <v>2.3772124617322561E-16</v>
      </c>
      <c r="AI105" s="100">
        <v>2.3772124617322561E-16</v>
      </c>
      <c r="AJ105" s="100">
        <v>2.3772124617322561E-16</v>
      </c>
      <c r="AK105" s="100">
        <v>2.3772124617322561E-16</v>
      </c>
      <c r="AL105" s="100">
        <v>2.3772124617322561E-16</v>
      </c>
      <c r="AM105" s="100">
        <v>2.3772124617322561E-16</v>
      </c>
      <c r="AN105" s="100">
        <v>2.3772124617322561E-16</v>
      </c>
      <c r="AO105" s="100">
        <v>2.3772124617322561E-16</v>
      </c>
      <c r="AP105" s="100">
        <v>2.3772124617322561E-16</v>
      </c>
      <c r="AQ105" s="100">
        <v>2.3772124617322561E-16</v>
      </c>
      <c r="AR105" s="100">
        <v>2.3772124617322561E-16</v>
      </c>
      <c r="AS105" s="100">
        <v>2.3772124617322561E-16</v>
      </c>
      <c r="AT105" s="100">
        <v>2.3772124617322561E-16</v>
      </c>
      <c r="AU105" s="100">
        <v>2.3772124617322561E-16</v>
      </c>
      <c r="AV105" s="100">
        <v>2.3772124617322561E-16</v>
      </c>
      <c r="AW105" s="100">
        <v>2.3772124617322561E-16</v>
      </c>
      <c r="AX105" s="100">
        <v>2.3772124617322561E-16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2.8366639367576364E-16</v>
      </c>
      <c r="D109" s="105">
        <f t="shared" ref="D109:AX109" si="6">SUM(D$104:D$108)</f>
        <v>2.8366639367576364E-16</v>
      </c>
      <c r="E109" s="105">
        <f t="shared" si="6"/>
        <v>2.8366639367576364E-16</v>
      </c>
      <c r="F109" s="105">
        <f t="shared" si="6"/>
        <v>2.8366639367576364E-16</v>
      </c>
      <c r="G109" s="105">
        <f t="shared" si="6"/>
        <v>2.8366639367576364E-16</v>
      </c>
      <c r="H109" s="105">
        <f t="shared" si="6"/>
        <v>2.8366639367576364E-16</v>
      </c>
      <c r="I109" s="105">
        <f t="shared" si="6"/>
        <v>2.8366639367576364E-16</v>
      </c>
      <c r="J109" s="105">
        <f t="shared" si="6"/>
        <v>2.8366639367576364E-16</v>
      </c>
      <c r="K109" s="105">
        <f t="shared" si="6"/>
        <v>2.8366639367576364E-16</v>
      </c>
      <c r="L109" s="105">
        <f t="shared" si="6"/>
        <v>2.8366639367576364E-16</v>
      </c>
      <c r="M109" s="105">
        <f t="shared" si="6"/>
        <v>2.8366639367576364E-16</v>
      </c>
      <c r="N109" s="105">
        <f t="shared" si="6"/>
        <v>2.8366639367576364E-16</v>
      </c>
      <c r="O109" s="105">
        <f t="shared" si="6"/>
        <v>2.8366639367576364E-16</v>
      </c>
      <c r="P109" s="105">
        <f t="shared" si="6"/>
        <v>2.8366639367576364E-16</v>
      </c>
      <c r="Q109" s="105">
        <f t="shared" si="6"/>
        <v>2.8366639367576364E-16</v>
      </c>
      <c r="R109" s="105">
        <f t="shared" si="6"/>
        <v>2.8366639367576364E-16</v>
      </c>
      <c r="S109" s="105">
        <f t="shared" si="6"/>
        <v>2.8366639367576364E-16</v>
      </c>
      <c r="T109" s="105">
        <f t="shared" si="6"/>
        <v>2.8366639367576364E-16</v>
      </c>
      <c r="U109" s="105">
        <f t="shared" si="6"/>
        <v>2.8366639367576364E-16</v>
      </c>
      <c r="V109" s="105">
        <f t="shared" si="6"/>
        <v>2.8366639367576364E-16</v>
      </c>
      <c r="W109" s="105">
        <f t="shared" si="6"/>
        <v>2.2693311494061091E-16</v>
      </c>
      <c r="X109" s="105">
        <f t="shared" si="6"/>
        <v>2.2693311494061091E-16</v>
      </c>
      <c r="Y109" s="105">
        <f t="shared" si="6"/>
        <v>2.2693311494061091E-16</v>
      </c>
      <c r="Z109" s="105">
        <f t="shared" si="6"/>
        <v>2.2693311494061091E-16</v>
      </c>
      <c r="AA109" s="105">
        <f t="shared" si="6"/>
        <v>2.2693311494061091E-16</v>
      </c>
      <c r="AB109" s="105">
        <f t="shared" si="6"/>
        <v>2.2693311494061091E-16</v>
      </c>
      <c r="AC109" s="105">
        <f t="shared" si="6"/>
        <v>2.2693311494061091E-16</v>
      </c>
      <c r="AD109" s="105">
        <f t="shared" si="6"/>
        <v>2.2693311494061091E-16</v>
      </c>
      <c r="AE109" s="105">
        <f t="shared" si="6"/>
        <v>2.8366639367576364E-16</v>
      </c>
      <c r="AF109" s="105">
        <f t="shared" si="6"/>
        <v>2.8366639367576364E-16</v>
      </c>
      <c r="AG109" s="105">
        <f t="shared" si="6"/>
        <v>2.8366639367576364E-16</v>
      </c>
      <c r="AH109" s="105">
        <f t="shared" si="6"/>
        <v>2.8366639367576364E-16</v>
      </c>
      <c r="AI109" s="105">
        <f t="shared" si="6"/>
        <v>2.8366639367576364E-16</v>
      </c>
      <c r="AJ109" s="105">
        <f t="shared" si="6"/>
        <v>2.8366639367576364E-16</v>
      </c>
      <c r="AK109" s="105">
        <f t="shared" si="6"/>
        <v>2.8366639367576364E-16</v>
      </c>
      <c r="AL109" s="105">
        <f t="shared" si="6"/>
        <v>2.8366639367576364E-16</v>
      </c>
      <c r="AM109" s="105">
        <f t="shared" si="6"/>
        <v>2.8366639367576364E-16</v>
      </c>
      <c r="AN109" s="105">
        <f t="shared" si="6"/>
        <v>2.8366639367576364E-16</v>
      </c>
      <c r="AO109" s="105">
        <f t="shared" si="6"/>
        <v>2.8366639367576364E-16</v>
      </c>
      <c r="AP109" s="105">
        <f t="shared" si="6"/>
        <v>2.8366639367576364E-16</v>
      </c>
      <c r="AQ109" s="105">
        <f t="shared" si="6"/>
        <v>2.8366639367576364E-16</v>
      </c>
      <c r="AR109" s="105">
        <f t="shared" si="6"/>
        <v>2.8366639367576364E-16</v>
      </c>
      <c r="AS109" s="105">
        <f t="shared" si="6"/>
        <v>2.8366639367576364E-16</v>
      </c>
      <c r="AT109" s="105">
        <f t="shared" si="6"/>
        <v>2.8366639367576364E-16</v>
      </c>
      <c r="AU109" s="105">
        <f t="shared" si="6"/>
        <v>2.8366639367576364E-16</v>
      </c>
      <c r="AV109" s="105">
        <f t="shared" si="6"/>
        <v>2.8366639367576364E-16</v>
      </c>
      <c r="AW109" s="105">
        <f t="shared" si="6"/>
        <v>2.8366639367576364E-16</v>
      </c>
      <c r="AX109" s="105">
        <f t="shared" si="6"/>
        <v>2.8366639367576364E-16</v>
      </c>
    </row>
    <row r="110" spans="1:50">
      <c r="A110" s="105" t="s">
        <v>106</v>
      </c>
      <c r="B110" s="105" t="s">
        <v>10</v>
      </c>
      <c r="C110" s="100">
        <v>1.4573574024334022E-16</v>
      </c>
      <c r="D110" s="100">
        <v>1.4573574024334022E-16</v>
      </c>
      <c r="E110" s="100">
        <v>1.4573574024334022E-16</v>
      </c>
      <c r="F110" s="100">
        <v>1.4573574024334022E-16</v>
      </c>
      <c r="G110" s="100">
        <v>1.4573574024334022E-16</v>
      </c>
      <c r="H110" s="100">
        <v>1.4573574024334022E-16</v>
      </c>
      <c r="I110" s="100">
        <v>1.4573574024334022E-16</v>
      </c>
      <c r="J110" s="100">
        <v>1.4573574024334022E-16</v>
      </c>
      <c r="K110" s="100">
        <v>1.4573574024334022E-16</v>
      </c>
      <c r="L110" s="100">
        <v>1.4573574024334022E-16</v>
      </c>
      <c r="M110" s="100">
        <v>1.4573574024334022E-16</v>
      </c>
      <c r="N110" s="100">
        <v>1.4573574024334022E-16</v>
      </c>
      <c r="O110" s="100">
        <v>1.4573574024334022E-16</v>
      </c>
      <c r="P110" s="100">
        <v>1.4573574024334022E-16</v>
      </c>
      <c r="Q110" s="100">
        <v>1.4573574024334022E-16</v>
      </c>
      <c r="R110" s="100">
        <v>1.4573574024334022E-16</v>
      </c>
      <c r="S110" s="100">
        <v>1.4573574024334022E-16</v>
      </c>
      <c r="T110" s="100">
        <v>1.4573574024334022E-16</v>
      </c>
      <c r="U110" s="100">
        <v>1.4573574024334022E-16</v>
      </c>
      <c r="V110" s="100">
        <v>1.4573574024334022E-16</v>
      </c>
      <c r="W110" s="100">
        <v>1.4573574024334022E-16</v>
      </c>
      <c r="X110" s="100">
        <v>1.4573574024334022E-16</v>
      </c>
      <c r="Y110" s="100">
        <v>1.4573574024334022E-16</v>
      </c>
      <c r="Z110" s="100">
        <v>1.4573574024334022E-16</v>
      </c>
      <c r="AA110" s="100">
        <v>1.4573574024334022E-16</v>
      </c>
      <c r="AB110" s="100">
        <v>1.4573574024334022E-16</v>
      </c>
      <c r="AC110" s="100">
        <v>1.4573574024334022E-16</v>
      </c>
      <c r="AD110" s="100">
        <v>1.4573574024334022E-16</v>
      </c>
      <c r="AE110" s="100">
        <v>1.4573574024334022E-16</v>
      </c>
      <c r="AF110" s="100">
        <v>1.4573574024334022E-16</v>
      </c>
      <c r="AG110" s="100">
        <v>1.4573574024334022E-16</v>
      </c>
      <c r="AH110" s="100">
        <v>1.4573574024334022E-16</v>
      </c>
      <c r="AI110" s="100">
        <v>1.4573574024334022E-16</v>
      </c>
      <c r="AJ110" s="100">
        <v>1.4573574024334022E-16</v>
      </c>
      <c r="AK110" s="100">
        <v>1.4573574024334022E-16</v>
      </c>
      <c r="AL110" s="100">
        <v>1.4573574024334022E-16</v>
      </c>
      <c r="AM110" s="100">
        <v>1.4573574024334022E-16</v>
      </c>
      <c r="AN110" s="100">
        <v>1.4573574024334022E-16</v>
      </c>
      <c r="AO110" s="100">
        <v>1.4573574024334022E-16</v>
      </c>
      <c r="AP110" s="100">
        <v>1.4573574024334022E-16</v>
      </c>
      <c r="AQ110" s="100">
        <v>0</v>
      </c>
      <c r="AR110" s="100">
        <v>0</v>
      </c>
      <c r="AS110" s="100">
        <v>0</v>
      </c>
      <c r="AT110" s="100">
        <v>0</v>
      </c>
      <c r="AU110" s="100">
        <v>1.4573574024334022E-16</v>
      </c>
      <c r="AV110" s="100">
        <v>1.4573574024334022E-16</v>
      </c>
      <c r="AW110" s="100">
        <v>1.4573574024334022E-16</v>
      </c>
      <c r="AX110" s="100">
        <v>1.4573574024334022E-16</v>
      </c>
    </row>
    <row r="111" spans="1:50">
      <c r="B111" s="105" t="s">
        <v>12</v>
      </c>
      <c r="C111" s="100">
        <v>2.6504755814025271E-16</v>
      </c>
      <c r="D111" s="100">
        <v>2.6504755814025271E-16</v>
      </c>
      <c r="E111" s="100">
        <v>2.6504755814025271E-16</v>
      </c>
      <c r="F111" s="100">
        <v>2.6504755814025271E-16</v>
      </c>
      <c r="G111" s="100">
        <v>2.6504755814025271E-16</v>
      </c>
      <c r="H111" s="100">
        <v>2.6504755814025271E-16</v>
      </c>
      <c r="I111" s="100">
        <v>2.6504755814025271E-16</v>
      </c>
      <c r="J111" s="100">
        <v>2.6504755814025271E-16</v>
      </c>
      <c r="K111" s="100">
        <v>2.6504755814025271E-16</v>
      </c>
      <c r="L111" s="100">
        <v>2.6504755814025271E-16</v>
      </c>
      <c r="M111" s="100">
        <v>2.6504755814025271E-16</v>
      </c>
      <c r="N111" s="100">
        <v>2.6504755814025271E-16</v>
      </c>
      <c r="O111" s="100">
        <v>2.6504755814025271E-16</v>
      </c>
      <c r="P111" s="100">
        <v>2.6504755814025271E-16</v>
      </c>
      <c r="Q111" s="100">
        <v>2.6504755814025271E-16</v>
      </c>
      <c r="R111" s="100">
        <v>2.6504755814025271E-16</v>
      </c>
      <c r="S111" s="100">
        <v>2.6504755814025271E-16</v>
      </c>
      <c r="T111" s="100">
        <v>2.6504755814025271E-16</v>
      </c>
      <c r="U111" s="100">
        <v>2.6504755814025271E-16</v>
      </c>
      <c r="V111" s="100">
        <v>2.6504755814025271E-16</v>
      </c>
      <c r="W111" s="100">
        <v>2.6504755814025271E-16</v>
      </c>
      <c r="X111" s="100">
        <v>2.6504755814025271E-16</v>
      </c>
      <c r="Y111" s="100">
        <v>2.6504755814025271E-16</v>
      </c>
      <c r="Z111" s="100">
        <v>2.6504755814025271E-16</v>
      </c>
      <c r="AA111" s="100">
        <v>2.6504755814025271E-16</v>
      </c>
      <c r="AB111" s="100">
        <v>2.6504755814025271E-16</v>
      </c>
      <c r="AC111" s="100">
        <v>2.6504755814025271E-16</v>
      </c>
      <c r="AD111" s="100">
        <v>2.6504755814025271E-16</v>
      </c>
      <c r="AE111" s="100">
        <v>2.6504755814025271E-16</v>
      </c>
      <c r="AF111" s="100">
        <v>2.6504755814025271E-16</v>
      </c>
      <c r="AG111" s="100">
        <v>2.6504755814025271E-16</v>
      </c>
      <c r="AH111" s="100">
        <v>2.6504755814025271E-16</v>
      </c>
      <c r="AI111" s="100">
        <v>2.6504755814025271E-16</v>
      </c>
      <c r="AJ111" s="100">
        <v>2.6504755814025271E-16</v>
      </c>
      <c r="AK111" s="100">
        <v>2.6504755814025271E-16</v>
      </c>
      <c r="AL111" s="100">
        <v>2.6504755814025271E-16</v>
      </c>
      <c r="AM111" s="100">
        <v>2.6504755814025271E-16</v>
      </c>
      <c r="AN111" s="100">
        <v>2.6504755814025271E-16</v>
      </c>
      <c r="AO111" s="100">
        <v>2.6504755814025271E-16</v>
      </c>
      <c r="AP111" s="100">
        <v>2.6504755814025271E-16</v>
      </c>
      <c r="AQ111" s="100">
        <v>0</v>
      </c>
      <c r="AR111" s="100">
        <v>0</v>
      </c>
      <c r="AS111" s="100">
        <v>0</v>
      </c>
      <c r="AT111" s="100">
        <v>0</v>
      </c>
      <c r="AU111" s="100">
        <v>2.6504755814025271E-16</v>
      </c>
      <c r="AV111" s="100">
        <v>2.6504755814025271E-16</v>
      </c>
      <c r="AW111" s="100">
        <v>2.6504755814025271E-16</v>
      </c>
      <c r="AX111" s="100">
        <v>2.6504755814025271E-16</v>
      </c>
    </row>
    <row r="112" spans="1:50">
      <c r="B112" s="105" t="s">
        <v>22</v>
      </c>
      <c r="C112" s="100">
        <v>2640</v>
      </c>
      <c r="D112" s="100">
        <v>2640</v>
      </c>
      <c r="E112" s="100">
        <v>2640</v>
      </c>
      <c r="F112" s="100">
        <v>2640</v>
      </c>
      <c r="G112" s="100">
        <v>2640</v>
      </c>
      <c r="H112" s="100">
        <v>2640</v>
      </c>
      <c r="I112" s="100">
        <v>2640</v>
      </c>
      <c r="J112" s="100">
        <v>2640</v>
      </c>
      <c r="K112" s="100">
        <v>2640</v>
      </c>
      <c r="L112" s="100">
        <v>2640</v>
      </c>
      <c r="M112" s="100">
        <v>2640</v>
      </c>
      <c r="N112" s="100">
        <v>2640</v>
      </c>
      <c r="O112" s="100">
        <v>2640</v>
      </c>
      <c r="P112" s="100">
        <v>2640</v>
      </c>
      <c r="Q112" s="100">
        <v>2640</v>
      </c>
      <c r="R112" s="100">
        <v>2640</v>
      </c>
      <c r="S112" s="100">
        <v>2640</v>
      </c>
      <c r="T112" s="100">
        <v>2640</v>
      </c>
      <c r="U112" s="100">
        <v>2640</v>
      </c>
      <c r="V112" s="100">
        <v>2640</v>
      </c>
      <c r="W112" s="100">
        <v>2640</v>
      </c>
      <c r="X112" s="100">
        <v>2640</v>
      </c>
      <c r="Y112" s="100">
        <v>2640</v>
      </c>
      <c r="Z112" s="100">
        <v>2640</v>
      </c>
      <c r="AA112" s="100">
        <v>2640</v>
      </c>
      <c r="AB112" s="100">
        <v>2640</v>
      </c>
      <c r="AC112" s="100">
        <v>2640</v>
      </c>
      <c r="AD112" s="100">
        <v>2640</v>
      </c>
      <c r="AE112" s="100">
        <v>2640</v>
      </c>
      <c r="AF112" s="100">
        <v>2640</v>
      </c>
      <c r="AG112" s="100">
        <v>2640</v>
      </c>
      <c r="AH112" s="100">
        <v>2640</v>
      </c>
      <c r="AI112" s="100">
        <v>2640</v>
      </c>
      <c r="AJ112" s="100">
        <v>2640</v>
      </c>
      <c r="AK112" s="100">
        <v>2640</v>
      </c>
      <c r="AL112" s="100">
        <v>2640</v>
      </c>
      <c r="AM112" s="100">
        <v>2640</v>
      </c>
      <c r="AN112" s="100">
        <v>2640</v>
      </c>
      <c r="AO112" s="100">
        <v>2640</v>
      </c>
      <c r="AP112" s="100">
        <v>2640</v>
      </c>
      <c r="AQ112" s="100">
        <v>0</v>
      </c>
      <c r="AR112" s="100">
        <v>0</v>
      </c>
      <c r="AS112" s="100">
        <v>0</v>
      </c>
      <c r="AT112" s="100">
        <v>0</v>
      </c>
      <c r="AU112" s="100">
        <v>2640</v>
      </c>
      <c r="AV112" s="100">
        <v>2640</v>
      </c>
      <c r="AW112" s="100">
        <v>2640</v>
      </c>
      <c r="AX112" s="100">
        <v>2640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1.0153310468157546E-16</v>
      </c>
      <c r="D114" s="100">
        <v>1.0153310468157546E-16</v>
      </c>
      <c r="E114" s="100">
        <v>1.0153310468157546E-16</v>
      </c>
      <c r="F114" s="100">
        <v>1.0153310468157546E-16</v>
      </c>
      <c r="G114" s="100">
        <v>1.0153310468157546E-16</v>
      </c>
      <c r="H114" s="100">
        <v>1.0153310468157546E-16</v>
      </c>
      <c r="I114" s="100">
        <v>1.0153310468157546E-16</v>
      </c>
      <c r="J114" s="100">
        <v>1.0153310468157546E-16</v>
      </c>
      <c r="K114" s="100">
        <v>1.0153310468157546E-16</v>
      </c>
      <c r="L114" s="100">
        <v>1.0153310468157546E-16</v>
      </c>
      <c r="M114" s="100">
        <v>1.0153310468157546E-16</v>
      </c>
      <c r="N114" s="100">
        <v>1.0153310468157546E-16</v>
      </c>
      <c r="O114" s="100">
        <v>1.0153310468157546E-16</v>
      </c>
      <c r="P114" s="100">
        <v>1.0153310468157546E-16</v>
      </c>
      <c r="Q114" s="100">
        <v>1.0153310468157546E-16</v>
      </c>
      <c r="R114" s="100">
        <v>1.0153310468157546E-16</v>
      </c>
      <c r="S114" s="100">
        <v>1.0153310468157546E-16</v>
      </c>
      <c r="T114" s="100">
        <v>1.0153310468157546E-16</v>
      </c>
      <c r="U114" s="100">
        <v>1.0153310468157546E-16</v>
      </c>
      <c r="V114" s="100">
        <v>1.0153310468157546E-16</v>
      </c>
      <c r="W114" s="100">
        <v>1.0153310468157546E-16</v>
      </c>
      <c r="X114" s="100">
        <v>1.0153310468157546E-16</v>
      </c>
      <c r="Y114" s="100">
        <v>1.0153310468157546E-16</v>
      </c>
      <c r="Z114" s="100">
        <v>1.0153310468157546E-16</v>
      </c>
      <c r="AA114" s="100">
        <v>1.0153310468157546E-16</v>
      </c>
      <c r="AB114" s="100">
        <v>1.0153310468157546E-16</v>
      </c>
      <c r="AC114" s="100">
        <v>1.0153310468157546E-16</v>
      </c>
      <c r="AD114" s="100">
        <v>1.0153310468157546E-16</v>
      </c>
      <c r="AE114" s="100">
        <v>1.0153310468157546E-16</v>
      </c>
      <c r="AF114" s="100">
        <v>1.0153310468157546E-16</v>
      </c>
      <c r="AG114" s="100">
        <v>1.0153310468157546E-16</v>
      </c>
      <c r="AH114" s="100">
        <v>1.0153310468157546E-16</v>
      </c>
      <c r="AI114" s="100">
        <v>1.0153310468157546E-16</v>
      </c>
      <c r="AJ114" s="100">
        <v>1.0153310468157546E-16</v>
      </c>
      <c r="AK114" s="100">
        <v>1.0153310468157546E-16</v>
      </c>
      <c r="AL114" s="100">
        <v>1.0153310468157546E-16</v>
      </c>
      <c r="AM114" s="100">
        <v>1.0153310468157546E-16</v>
      </c>
      <c r="AN114" s="100">
        <v>1.0153310468157546E-16</v>
      </c>
      <c r="AO114" s="100">
        <v>1.0153310468157546E-16</v>
      </c>
      <c r="AP114" s="100">
        <v>1.0153310468157546E-16</v>
      </c>
      <c r="AQ114" s="100">
        <v>0</v>
      </c>
      <c r="AR114" s="100">
        <v>0</v>
      </c>
      <c r="AS114" s="100">
        <v>0</v>
      </c>
      <c r="AT114" s="100">
        <v>0</v>
      </c>
      <c r="AU114" s="100">
        <v>1.0153310468157546E-16</v>
      </c>
      <c r="AV114" s="100">
        <v>1.0153310468157546E-16</v>
      </c>
      <c r="AW114" s="100">
        <v>1.0153310468157546E-16</v>
      </c>
      <c r="AX114" s="100">
        <v>1.0153310468157546E-16</v>
      </c>
    </row>
    <row r="115" spans="1:50">
      <c r="B115" s="100" t="s">
        <v>278</v>
      </c>
      <c r="C115" s="105">
        <f>SUM(C$110:C$114)</f>
        <v>2640</v>
      </c>
      <c r="D115" s="105">
        <f t="shared" ref="D115:AX115" si="7">SUM(D$110:D$114)</f>
        <v>2640</v>
      </c>
      <c r="E115" s="105">
        <f t="shared" si="7"/>
        <v>2640</v>
      </c>
      <c r="F115" s="105">
        <f t="shared" si="7"/>
        <v>2640</v>
      </c>
      <c r="G115" s="105">
        <f t="shared" si="7"/>
        <v>2640</v>
      </c>
      <c r="H115" s="105">
        <f t="shared" si="7"/>
        <v>2640</v>
      </c>
      <c r="I115" s="105">
        <f t="shared" si="7"/>
        <v>2640</v>
      </c>
      <c r="J115" s="105">
        <f t="shared" si="7"/>
        <v>2640</v>
      </c>
      <c r="K115" s="105">
        <f t="shared" si="7"/>
        <v>2640</v>
      </c>
      <c r="L115" s="105">
        <f t="shared" si="7"/>
        <v>2640</v>
      </c>
      <c r="M115" s="105">
        <f t="shared" si="7"/>
        <v>2640</v>
      </c>
      <c r="N115" s="105">
        <f t="shared" si="7"/>
        <v>2640</v>
      </c>
      <c r="O115" s="105">
        <f t="shared" si="7"/>
        <v>2640</v>
      </c>
      <c r="P115" s="105">
        <f t="shared" si="7"/>
        <v>2640</v>
      </c>
      <c r="Q115" s="105">
        <f t="shared" si="7"/>
        <v>2640</v>
      </c>
      <c r="R115" s="105">
        <f t="shared" si="7"/>
        <v>2640</v>
      </c>
      <c r="S115" s="105">
        <f t="shared" si="7"/>
        <v>2640</v>
      </c>
      <c r="T115" s="105">
        <f t="shared" si="7"/>
        <v>2640</v>
      </c>
      <c r="U115" s="105">
        <f t="shared" si="7"/>
        <v>2640</v>
      </c>
      <c r="V115" s="105">
        <f t="shared" si="7"/>
        <v>2640</v>
      </c>
      <c r="W115" s="105">
        <f t="shared" si="7"/>
        <v>2640</v>
      </c>
      <c r="X115" s="105">
        <f t="shared" si="7"/>
        <v>2640</v>
      </c>
      <c r="Y115" s="105">
        <f t="shared" si="7"/>
        <v>2640</v>
      </c>
      <c r="Z115" s="105">
        <f t="shared" si="7"/>
        <v>2640</v>
      </c>
      <c r="AA115" s="105">
        <f t="shared" si="7"/>
        <v>2640</v>
      </c>
      <c r="AB115" s="105">
        <f t="shared" si="7"/>
        <v>2640</v>
      </c>
      <c r="AC115" s="105">
        <f t="shared" si="7"/>
        <v>2640</v>
      </c>
      <c r="AD115" s="105">
        <f t="shared" si="7"/>
        <v>2640</v>
      </c>
      <c r="AE115" s="105">
        <f t="shared" si="7"/>
        <v>2640</v>
      </c>
      <c r="AF115" s="105">
        <f t="shared" si="7"/>
        <v>2640</v>
      </c>
      <c r="AG115" s="105">
        <f t="shared" si="7"/>
        <v>2640</v>
      </c>
      <c r="AH115" s="105">
        <f t="shared" si="7"/>
        <v>2640</v>
      </c>
      <c r="AI115" s="105">
        <f t="shared" si="7"/>
        <v>2640</v>
      </c>
      <c r="AJ115" s="105">
        <f t="shared" si="7"/>
        <v>2640</v>
      </c>
      <c r="AK115" s="105">
        <f t="shared" si="7"/>
        <v>2640</v>
      </c>
      <c r="AL115" s="105">
        <f t="shared" si="7"/>
        <v>2640</v>
      </c>
      <c r="AM115" s="105">
        <f t="shared" si="7"/>
        <v>2640</v>
      </c>
      <c r="AN115" s="105">
        <f t="shared" si="7"/>
        <v>2640</v>
      </c>
      <c r="AO115" s="105">
        <f t="shared" si="7"/>
        <v>2640</v>
      </c>
      <c r="AP115" s="105">
        <f t="shared" si="7"/>
        <v>2640</v>
      </c>
      <c r="AQ115" s="105">
        <f t="shared" si="7"/>
        <v>0</v>
      </c>
      <c r="AR115" s="105">
        <f t="shared" si="7"/>
        <v>0</v>
      </c>
      <c r="AS115" s="105">
        <f t="shared" si="7"/>
        <v>0</v>
      </c>
      <c r="AT115" s="105">
        <f t="shared" si="7"/>
        <v>0</v>
      </c>
      <c r="AU115" s="105">
        <f t="shared" si="7"/>
        <v>2640</v>
      </c>
      <c r="AV115" s="105">
        <f t="shared" si="7"/>
        <v>2640</v>
      </c>
      <c r="AW115" s="105">
        <f t="shared" si="7"/>
        <v>2640</v>
      </c>
      <c r="AX115" s="105">
        <f t="shared" si="7"/>
        <v>2640</v>
      </c>
    </row>
    <row r="116" spans="1:50">
      <c r="A116" s="105" t="s">
        <v>107</v>
      </c>
      <c r="B116" s="105" t="s">
        <v>10</v>
      </c>
      <c r="C116" s="100">
        <v>11616</v>
      </c>
      <c r="D116" s="100">
        <v>11616</v>
      </c>
      <c r="E116" s="100">
        <v>11616</v>
      </c>
      <c r="F116" s="100">
        <v>11616</v>
      </c>
      <c r="G116" s="100">
        <v>11616</v>
      </c>
      <c r="H116" s="100">
        <v>11616</v>
      </c>
      <c r="I116" s="100">
        <v>11616</v>
      </c>
      <c r="J116" s="100">
        <v>11616</v>
      </c>
      <c r="K116" s="100">
        <v>11616</v>
      </c>
      <c r="L116" s="100">
        <v>11616</v>
      </c>
      <c r="M116" s="100">
        <v>11616</v>
      </c>
      <c r="N116" s="100">
        <v>11616</v>
      </c>
      <c r="O116" s="100">
        <v>11616</v>
      </c>
      <c r="P116" s="100">
        <v>11616</v>
      </c>
      <c r="Q116" s="100">
        <v>11616</v>
      </c>
      <c r="R116" s="100">
        <v>11616</v>
      </c>
      <c r="S116" s="100">
        <v>11616</v>
      </c>
      <c r="T116" s="100">
        <v>11616</v>
      </c>
      <c r="U116" s="100">
        <v>11616</v>
      </c>
      <c r="V116" s="100">
        <v>11616</v>
      </c>
      <c r="W116" s="100">
        <v>11616</v>
      </c>
      <c r="X116" s="100">
        <v>11616</v>
      </c>
      <c r="Y116" s="100">
        <v>11616</v>
      </c>
      <c r="Z116" s="100">
        <v>11616</v>
      </c>
      <c r="AA116" s="100">
        <v>11616</v>
      </c>
      <c r="AB116" s="100">
        <v>11616</v>
      </c>
      <c r="AC116" s="100">
        <v>11616</v>
      </c>
      <c r="AD116" s="100">
        <v>11616</v>
      </c>
      <c r="AE116" s="100">
        <v>11616</v>
      </c>
      <c r="AF116" s="100">
        <v>11616</v>
      </c>
      <c r="AG116" s="100">
        <v>11616</v>
      </c>
      <c r="AH116" s="100">
        <v>11616</v>
      </c>
      <c r="AI116" s="100">
        <v>11616</v>
      </c>
      <c r="AJ116" s="100">
        <v>4732.4126219077607</v>
      </c>
      <c r="AK116" s="100">
        <v>11616</v>
      </c>
      <c r="AL116" s="100">
        <v>11616</v>
      </c>
      <c r="AM116" s="100">
        <v>11616</v>
      </c>
      <c r="AN116" s="100">
        <v>11616</v>
      </c>
      <c r="AO116" s="100">
        <v>11616</v>
      </c>
      <c r="AP116" s="100">
        <v>11616</v>
      </c>
      <c r="AQ116" s="100">
        <v>11616</v>
      </c>
      <c r="AR116" s="100">
        <v>11616</v>
      </c>
      <c r="AS116" s="100">
        <v>11616</v>
      </c>
      <c r="AT116" s="100">
        <v>11616</v>
      </c>
      <c r="AU116" s="100">
        <v>9292.8000000000011</v>
      </c>
      <c r="AV116" s="100">
        <v>4835.5618235947832</v>
      </c>
      <c r="AW116" s="100">
        <v>9292.8000000000011</v>
      </c>
      <c r="AX116" s="100">
        <v>9292.8000000000011</v>
      </c>
    </row>
    <row r="117" spans="1:50">
      <c r="B117" s="105" t="s">
        <v>12</v>
      </c>
      <c r="C117" s="100">
        <v>2.2017812226788895E-16</v>
      </c>
      <c r="D117" s="100">
        <v>2.2017812226788895E-16</v>
      </c>
      <c r="E117" s="100">
        <v>2.2017812226788895E-16</v>
      </c>
      <c r="F117" s="100">
        <v>2.2017812226788895E-16</v>
      </c>
      <c r="G117" s="100">
        <v>2.2017812226788895E-16</v>
      </c>
      <c r="H117" s="100">
        <v>2.2017812226788895E-16</v>
      </c>
      <c r="I117" s="100">
        <v>2.2017812226788895E-16</v>
      </c>
      <c r="J117" s="100">
        <v>2.2017812226788895E-16</v>
      </c>
      <c r="K117" s="100">
        <v>2.2017812226788895E-16</v>
      </c>
      <c r="L117" s="100">
        <v>2.2017812226788895E-16</v>
      </c>
      <c r="M117" s="100">
        <v>2.2017812226788895E-16</v>
      </c>
      <c r="N117" s="100">
        <v>2.2017812226788895E-16</v>
      </c>
      <c r="O117" s="100">
        <v>2.2017812226788895E-16</v>
      </c>
      <c r="P117" s="100">
        <v>2.2017812226788895E-16</v>
      </c>
      <c r="Q117" s="100">
        <v>2.2017812226788895E-16</v>
      </c>
      <c r="R117" s="100">
        <v>2.2017812226788895E-16</v>
      </c>
      <c r="S117" s="100">
        <v>2.2017812226788895E-16</v>
      </c>
      <c r="T117" s="100">
        <v>2.2017812226788895E-16</v>
      </c>
      <c r="U117" s="100">
        <v>2.2017812226788895E-16</v>
      </c>
      <c r="V117" s="100">
        <v>2.2017812226788895E-16</v>
      </c>
      <c r="W117" s="100">
        <v>2.2017812226788895E-16</v>
      </c>
      <c r="X117" s="100">
        <v>2.2017812226788895E-16</v>
      </c>
      <c r="Y117" s="100">
        <v>2.2017812226788895E-16</v>
      </c>
      <c r="Z117" s="100">
        <v>2.2017812226788895E-16</v>
      </c>
      <c r="AA117" s="100">
        <v>2.2017812226788895E-16</v>
      </c>
      <c r="AB117" s="100">
        <v>2.2017812226788895E-16</v>
      </c>
      <c r="AC117" s="100">
        <v>2.2017812226788895E-16</v>
      </c>
      <c r="AD117" s="100">
        <v>2.2017812226788895E-16</v>
      </c>
      <c r="AE117" s="100">
        <v>2.2017812226788895E-16</v>
      </c>
      <c r="AF117" s="100">
        <v>2.2017812226788895E-16</v>
      </c>
      <c r="AG117" s="100">
        <v>2.2017812226788895E-16</v>
      </c>
      <c r="AH117" s="100">
        <v>2.2017812226788895E-16</v>
      </c>
      <c r="AI117" s="100">
        <v>2.2017812226788895E-16</v>
      </c>
      <c r="AJ117" s="100">
        <v>8.9701594773459675E-17</v>
      </c>
      <c r="AK117" s="100">
        <v>2.2017812226788895E-16</v>
      </c>
      <c r="AL117" s="100">
        <v>2.2017812226788895E-16</v>
      </c>
      <c r="AM117" s="100">
        <v>2.2017812226788895E-16</v>
      </c>
      <c r="AN117" s="100">
        <v>2.2017812226788895E-16</v>
      </c>
      <c r="AO117" s="100">
        <v>2.2017812226788895E-16</v>
      </c>
      <c r="AP117" s="100">
        <v>2.2017812226788895E-16</v>
      </c>
      <c r="AQ117" s="100">
        <v>2.2017812226788895E-16</v>
      </c>
      <c r="AR117" s="100">
        <v>2.2017812226788895E-16</v>
      </c>
      <c r="AS117" s="100">
        <v>2.2017812226788895E-16</v>
      </c>
      <c r="AT117" s="100">
        <v>2.2017812226788895E-16</v>
      </c>
      <c r="AU117" s="100">
        <v>1.7614249781431113E-16</v>
      </c>
      <c r="AV117" s="100">
        <v>9.1656759851014804E-17</v>
      </c>
      <c r="AW117" s="100">
        <v>1.7614249781431113E-16</v>
      </c>
      <c r="AX117" s="100">
        <v>1.7614249781431113E-16</v>
      </c>
    </row>
    <row r="118" spans="1:50">
      <c r="B118" s="105" t="s">
        <v>22</v>
      </c>
      <c r="C118" s="100">
        <v>8.358313384070866E-17</v>
      </c>
      <c r="D118" s="100">
        <v>8.358313384070866E-17</v>
      </c>
      <c r="E118" s="100">
        <v>8.358313384070866E-17</v>
      </c>
      <c r="F118" s="100">
        <v>8.358313384070866E-17</v>
      </c>
      <c r="G118" s="100">
        <v>8.358313384070866E-17</v>
      </c>
      <c r="H118" s="100">
        <v>8.358313384070866E-17</v>
      </c>
      <c r="I118" s="100">
        <v>8.358313384070866E-17</v>
      </c>
      <c r="J118" s="100">
        <v>8.358313384070866E-17</v>
      </c>
      <c r="K118" s="100">
        <v>8.358313384070866E-17</v>
      </c>
      <c r="L118" s="100">
        <v>8.358313384070866E-17</v>
      </c>
      <c r="M118" s="100">
        <v>8.358313384070866E-17</v>
      </c>
      <c r="N118" s="100">
        <v>8.358313384070866E-17</v>
      </c>
      <c r="O118" s="100">
        <v>8.358313384070866E-17</v>
      </c>
      <c r="P118" s="100">
        <v>8.358313384070866E-17</v>
      </c>
      <c r="Q118" s="100">
        <v>8.358313384070866E-17</v>
      </c>
      <c r="R118" s="100">
        <v>8.358313384070866E-17</v>
      </c>
      <c r="S118" s="100">
        <v>8.358313384070866E-17</v>
      </c>
      <c r="T118" s="100">
        <v>8.358313384070866E-17</v>
      </c>
      <c r="U118" s="100">
        <v>8.358313384070866E-17</v>
      </c>
      <c r="V118" s="100">
        <v>8.358313384070866E-17</v>
      </c>
      <c r="W118" s="100">
        <v>8.358313384070866E-17</v>
      </c>
      <c r="X118" s="100">
        <v>8.358313384070866E-17</v>
      </c>
      <c r="Y118" s="100">
        <v>8.358313384070866E-17</v>
      </c>
      <c r="Z118" s="100">
        <v>8.358313384070866E-17</v>
      </c>
      <c r="AA118" s="100">
        <v>8.358313384070866E-17</v>
      </c>
      <c r="AB118" s="100">
        <v>8.358313384070866E-17</v>
      </c>
      <c r="AC118" s="100">
        <v>8.358313384070866E-17</v>
      </c>
      <c r="AD118" s="100">
        <v>8.358313384070866E-17</v>
      </c>
      <c r="AE118" s="100">
        <v>8.358313384070866E-17</v>
      </c>
      <c r="AF118" s="100">
        <v>8.358313384070866E-17</v>
      </c>
      <c r="AG118" s="100">
        <v>8.358313384070866E-17</v>
      </c>
      <c r="AH118" s="100">
        <v>8.358313384070866E-17</v>
      </c>
      <c r="AI118" s="100">
        <v>8.358313384070866E-17</v>
      </c>
      <c r="AJ118" s="100">
        <v>3.4052158881402835E-17</v>
      </c>
      <c r="AK118" s="100">
        <v>8.358313384070866E-17</v>
      </c>
      <c r="AL118" s="100">
        <v>8.358313384070866E-17</v>
      </c>
      <c r="AM118" s="100">
        <v>8.358313384070866E-17</v>
      </c>
      <c r="AN118" s="100">
        <v>8.358313384070866E-17</v>
      </c>
      <c r="AO118" s="100">
        <v>8.358313384070866E-17</v>
      </c>
      <c r="AP118" s="100">
        <v>8.358313384070866E-17</v>
      </c>
      <c r="AQ118" s="100">
        <v>8.358313384070866E-17</v>
      </c>
      <c r="AR118" s="100">
        <v>8.358313384070866E-17</v>
      </c>
      <c r="AS118" s="100">
        <v>8.358313384070866E-17</v>
      </c>
      <c r="AT118" s="100">
        <v>8.358313384070866E-17</v>
      </c>
      <c r="AU118" s="100">
        <v>6.6866507072566925E-17</v>
      </c>
      <c r="AV118" s="100">
        <v>3.4794370789991728E-17</v>
      </c>
      <c r="AW118" s="100">
        <v>6.6866507072566925E-17</v>
      </c>
      <c r="AX118" s="100">
        <v>6.6866507072566925E-17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221.38369651727587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434.72</v>
      </c>
      <c r="AV119" s="100">
        <v>226.20904742952868</v>
      </c>
      <c r="AW119" s="100">
        <v>434.72</v>
      </c>
      <c r="AX119" s="100">
        <v>434.72</v>
      </c>
    </row>
    <row r="120" spans="1:50">
      <c r="B120" s="105" t="s">
        <v>59</v>
      </c>
      <c r="C120" s="100">
        <v>2.2970151638183982E-17</v>
      </c>
      <c r="D120" s="100">
        <v>2.2970151638183982E-17</v>
      </c>
      <c r="E120" s="100">
        <v>2.2970151638183982E-17</v>
      </c>
      <c r="F120" s="100">
        <v>2.2970151638183982E-17</v>
      </c>
      <c r="G120" s="100">
        <v>2.2970151638183982E-17</v>
      </c>
      <c r="H120" s="100">
        <v>2.2970151638183982E-17</v>
      </c>
      <c r="I120" s="100">
        <v>2.2970151638183982E-17</v>
      </c>
      <c r="J120" s="100">
        <v>2.2970151638183982E-17</v>
      </c>
      <c r="K120" s="100">
        <v>2.2970151638183982E-17</v>
      </c>
      <c r="L120" s="100">
        <v>2.2970151638183982E-17</v>
      </c>
      <c r="M120" s="100">
        <v>2.2970151638183982E-17</v>
      </c>
      <c r="N120" s="100">
        <v>2.2970151638183982E-17</v>
      </c>
      <c r="O120" s="100">
        <v>2.2970151638183982E-17</v>
      </c>
      <c r="P120" s="100">
        <v>2.2970151638183982E-17</v>
      </c>
      <c r="Q120" s="100">
        <v>2.2970151638183982E-17</v>
      </c>
      <c r="R120" s="100">
        <v>2.2970151638183982E-17</v>
      </c>
      <c r="S120" s="100">
        <v>2.2970151638183982E-17</v>
      </c>
      <c r="T120" s="100">
        <v>2.2970151638183982E-17</v>
      </c>
      <c r="U120" s="100">
        <v>2.2970151638183982E-17</v>
      </c>
      <c r="V120" s="100">
        <v>2.2970151638183982E-17</v>
      </c>
      <c r="W120" s="100">
        <v>2.2970151638183982E-17</v>
      </c>
      <c r="X120" s="100">
        <v>2.2970151638183982E-17</v>
      </c>
      <c r="Y120" s="100">
        <v>2.2970151638183982E-17</v>
      </c>
      <c r="Z120" s="100">
        <v>2.2970151638183982E-17</v>
      </c>
      <c r="AA120" s="100">
        <v>2.2970151638183982E-17</v>
      </c>
      <c r="AB120" s="100">
        <v>2.2970151638183982E-17</v>
      </c>
      <c r="AC120" s="100">
        <v>2.2970151638183982E-17</v>
      </c>
      <c r="AD120" s="100">
        <v>2.2970151638183982E-17</v>
      </c>
      <c r="AE120" s="100">
        <v>2.2970151638183982E-17</v>
      </c>
      <c r="AF120" s="100">
        <v>2.2970151638183982E-17</v>
      </c>
      <c r="AG120" s="100">
        <v>2.2970151638183982E-17</v>
      </c>
      <c r="AH120" s="100">
        <v>2.2970151638183982E-17</v>
      </c>
      <c r="AI120" s="100">
        <v>2.2970151638183982E-17</v>
      </c>
      <c r="AJ120" s="100">
        <v>9.3581469989391436E-18</v>
      </c>
      <c r="AK120" s="100">
        <v>2.2970151638183982E-17</v>
      </c>
      <c r="AL120" s="100">
        <v>2.2970151638183982E-17</v>
      </c>
      <c r="AM120" s="100">
        <v>2.2970151638183982E-17</v>
      </c>
      <c r="AN120" s="100">
        <v>2.2970151638183982E-17</v>
      </c>
      <c r="AO120" s="100">
        <v>2.2970151638183982E-17</v>
      </c>
      <c r="AP120" s="100">
        <v>2.2970151638183982E-17</v>
      </c>
      <c r="AQ120" s="100">
        <v>2.2970151638183982E-17</v>
      </c>
      <c r="AR120" s="100">
        <v>2.2970151638183982E-17</v>
      </c>
      <c r="AS120" s="100">
        <v>2.2970151638183982E-17</v>
      </c>
      <c r="AT120" s="100">
        <v>2.2970151638183982E-17</v>
      </c>
      <c r="AU120" s="100">
        <v>1.8376121310547186E-17</v>
      </c>
      <c r="AV120" s="100">
        <v>9.5621202086592303E-18</v>
      </c>
      <c r="AW120" s="100">
        <v>1.8376121310547186E-17</v>
      </c>
      <c r="AX120" s="100">
        <v>1.8376121310547186E-17</v>
      </c>
    </row>
    <row r="121" spans="1:50">
      <c r="B121" s="100" t="s">
        <v>278</v>
      </c>
      <c r="C121" s="105">
        <f>SUM(C$116:C$120)</f>
        <v>12159.4</v>
      </c>
      <c r="D121" s="105">
        <f t="shared" ref="D121:AX121" si="8">SUM(D$116:D$120)</f>
        <v>12159.4</v>
      </c>
      <c r="E121" s="105">
        <f t="shared" si="8"/>
        <v>12159.4</v>
      </c>
      <c r="F121" s="105">
        <f t="shared" si="8"/>
        <v>12159.4</v>
      </c>
      <c r="G121" s="105">
        <f t="shared" si="8"/>
        <v>12159.4</v>
      </c>
      <c r="H121" s="105">
        <f t="shared" si="8"/>
        <v>12159.4</v>
      </c>
      <c r="I121" s="105">
        <f t="shared" si="8"/>
        <v>12159.4</v>
      </c>
      <c r="J121" s="105">
        <f t="shared" si="8"/>
        <v>12159.4</v>
      </c>
      <c r="K121" s="105">
        <f t="shared" si="8"/>
        <v>12159.4</v>
      </c>
      <c r="L121" s="105">
        <f t="shared" si="8"/>
        <v>12159.4</v>
      </c>
      <c r="M121" s="105">
        <f t="shared" si="8"/>
        <v>12159.4</v>
      </c>
      <c r="N121" s="105">
        <f t="shared" si="8"/>
        <v>12159.4</v>
      </c>
      <c r="O121" s="105">
        <f t="shared" si="8"/>
        <v>12159.4</v>
      </c>
      <c r="P121" s="105">
        <f t="shared" si="8"/>
        <v>12159.4</v>
      </c>
      <c r="Q121" s="105">
        <f t="shared" si="8"/>
        <v>12159.4</v>
      </c>
      <c r="R121" s="105">
        <f t="shared" si="8"/>
        <v>12159.4</v>
      </c>
      <c r="S121" s="105">
        <f t="shared" si="8"/>
        <v>12159.4</v>
      </c>
      <c r="T121" s="105">
        <f t="shared" si="8"/>
        <v>12159.4</v>
      </c>
      <c r="U121" s="105">
        <f t="shared" si="8"/>
        <v>12159.4</v>
      </c>
      <c r="V121" s="105">
        <f t="shared" si="8"/>
        <v>12159.4</v>
      </c>
      <c r="W121" s="105">
        <f t="shared" si="8"/>
        <v>12159.4</v>
      </c>
      <c r="X121" s="105">
        <f t="shared" si="8"/>
        <v>12159.4</v>
      </c>
      <c r="Y121" s="105">
        <f t="shared" si="8"/>
        <v>12159.4</v>
      </c>
      <c r="Z121" s="105">
        <f t="shared" si="8"/>
        <v>12159.4</v>
      </c>
      <c r="AA121" s="105">
        <f t="shared" si="8"/>
        <v>12159.4</v>
      </c>
      <c r="AB121" s="105">
        <f t="shared" si="8"/>
        <v>12159.4</v>
      </c>
      <c r="AC121" s="105">
        <f t="shared" si="8"/>
        <v>12159.4</v>
      </c>
      <c r="AD121" s="105">
        <f t="shared" si="8"/>
        <v>12159.4</v>
      </c>
      <c r="AE121" s="105">
        <f t="shared" si="8"/>
        <v>12159.4</v>
      </c>
      <c r="AF121" s="105">
        <f t="shared" si="8"/>
        <v>12159.4</v>
      </c>
      <c r="AG121" s="105">
        <f t="shared" si="8"/>
        <v>12159.4</v>
      </c>
      <c r="AH121" s="105">
        <f t="shared" si="8"/>
        <v>12159.4</v>
      </c>
      <c r="AI121" s="105">
        <f t="shared" si="8"/>
        <v>12159.4</v>
      </c>
      <c r="AJ121" s="105">
        <f t="shared" si="8"/>
        <v>4953.7963184250366</v>
      </c>
      <c r="AK121" s="105">
        <f t="shared" si="8"/>
        <v>12159.4</v>
      </c>
      <c r="AL121" s="105">
        <f t="shared" si="8"/>
        <v>12159.4</v>
      </c>
      <c r="AM121" s="105">
        <f t="shared" si="8"/>
        <v>12159.4</v>
      </c>
      <c r="AN121" s="105">
        <f t="shared" si="8"/>
        <v>12159.4</v>
      </c>
      <c r="AO121" s="105">
        <f t="shared" si="8"/>
        <v>12159.4</v>
      </c>
      <c r="AP121" s="105">
        <f t="shared" si="8"/>
        <v>12159.4</v>
      </c>
      <c r="AQ121" s="105">
        <f t="shared" si="8"/>
        <v>12159.4</v>
      </c>
      <c r="AR121" s="105">
        <f t="shared" si="8"/>
        <v>12159.4</v>
      </c>
      <c r="AS121" s="105">
        <f t="shared" si="8"/>
        <v>12159.4</v>
      </c>
      <c r="AT121" s="105">
        <f t="shared" si="8"/>
        <v>12159.4</v>
      </c>
      <c r="AU121" s="105">
        <f t="shared" si="8"/>
        <v>9727.52</v>
      </c>
      <c r="AV121" s="105">
        <f t="shared" si="8"/>
        <v>5061.7708710243114</v>
      </c>
      <c r="AW121" s="105">
        <f t="shared" si="8"/>
        <v>9727.52</v>
      </c>
      <c r="AX121" s="105">
        <f t="shared" si="8"/>
        <v>9727.52</v>
      </c>
    </row>
    <row r="122" spans="1:50">
      <c r="A122" s="105" t="s">
        <v>108</v>
      </c>
      <c r="B122" s="105" t="s">
        <v>10</v>
      </c>
      <c r="C122" s="100">
        <v>2.488875371955759E-16</v>
      </c>
      <c r="D122" s="100">
        <v>2.488875371955759E-16</v>
      </c>
      <c r="E122" s="100">
        <v>2.488875371955759E-16</v>
      </c>
      <c r="F122" s="100">
        <v>2.488875371955759E-16</v>
      </c>
      <c r="G122" s="100">
        <v>2.488875371955759E-16</v>
      </c>
      <c r="H122" s="100">
        <v>2.488875371955759E-16</v>
      </c>
      <c r="I122" s="100">
        <v>2.488875371955759E-16</v>
      </c>
      <c r="J122" s="100">
        <v>2.488875371955759E-16</v>
      </c>
      <c r="K122" s="100">
        <v>1.9911002975646076E-16</v>
      </c>
      <c r="L122" s="100">
        <v>1.9911002975646076E-16</v>
      </c>
      <c r="M122" s="100">
        <v>1.9911002975646076E-16</v>
      </c>
      <c r="N122" s="100">
        <v>1.9911002975646076E-16</v>
      </c>
      <c r="O122" s="100">
        <v>2.488875371955759E-16</v>
      </c>
      <c r="P122" s="100">
        <v>2.488875371955759E-16</v>
      </c>
      <c r="Q122" s="100">
        <v>2.488875371955759E-16</v>
      </c>
      <c r="R122" s="100">
        <v>2.488875371955759E-16</v>
      </c>
      <c r="S122" s="100">
        <v>1.9911002975646076E-16</v>
      </c>
      <c r="T122" s="100">
        <v>1.9911002975646076E-16</v>
      </c>
      <c r="U122" s="100">
        <v>1.9911002975646076E-16</v>
      </c>
      <c r="V122" s="100">
        <v>1.9911002975646076E-16</v>
      </c>
      <c r="W122" s="100">
        <v>1.9911002975646076E-16</v>
      </c>
      <c r="X122" s="100">
        <v>1.9911002975646076E-16</v>
      </c>
      <c r="Y122" s="100">
        <v>1.9911002975646076E-16</v>
      </c>
      <c r="Z122" s="100">
        <v>1.9911002975646076E-16</v>
      </c>
      <c r="AA122" s="100">
        <v>1.9911002975646076E-16</v>
      </c>
      <c r="AB122" s="100">
        <v>1.9911002975646076E-16</v>
      </c>
      <c r="AC122" s="100">
        <v>1.9911002975646076E-16</v>
      </c>
      <c r="AD122" s="100">
        <v>1.9911002975646076E-16</v>
      </c>
      <c r="AE122" s="100">
        <v>2.488875371955759E-16</v>
      </c>
      <c r="AF122" s="100">
        <v>2.488875371955759E-16</v>
      </c>
      <c r="AG122" s="100">
        <v>2.488875371955759E-16</v>
      </c>
      <c r="AH122" s="100">
        <v>2.488875371955759E-16</v>
      </c>
      <c r="AI122" s="100">
        <v>1.9911002975646076E-16</v>
      </c>
      <c r="AJ122" s="100">
        <v>1.9911002975646076E-16</v>
      </c>
      <c r="AK122" s="100">
        <v>1.9911002975646076E-16</v>
      </c>
      <c r="AL122" s="100">
        <v>1.9911002975646076E-16</v>
      </c>
      <c r="AM122" s="100">
        <v>1.9911002975646076E-16</v>
      </c>
      <c r="AN122" s="100">
        <v>1.9911002975646076E-16</v>
      </c>
      <c r="AO122" s="100">
        <v>1.9911002975646076E-16</v>
      </c>
      <c r="AP122" s="100">
        <v>1.9911002975646076E-16</v>
      </c>
      <c r="AQ122" s="100">
        <v>1.9911002975646076E-16</v>
      </c>
      <c r="AR122" s="100">
        <v>1.9911002975646076E-16</v>
      </c>
      <c r="AS122" s="100">
        <v>1.9911002975646076E-16</v>
      </c>
      <c r="AT122" s="100">
        <v>1.9911002975646076E-16</v>
      </c>
      <c r="AU122" s="100">
        <v>1.9911002975646076E-16</v>
      </c>
      <c r="AV122" s="100">
        <v>1.9911002975646076E-16</v>
      </c>
      <c r="AW122" s="100">
        <v>1.9911002975646076E-16</v>
      </c>
      <c r="AX122" s="100">
        <v>1.9911002975646076E-16</v>
      </c>
    </row>
    <row r="123" spans="1:50">
      <c r="B123" s="105" t="s">
        <v>12</v>
      </c>
      <c r="C123" s="100">
        <v>1.3531776297071257E-16</v>
      </c>
      <c r="D123" s="100">
        <v>1.3531776297071257E-16</v>
      </c>
      <c r="E123" s="100">
        <v>1.3531776297071257E-16</v>
      </c>
      <c r="F123" s="100">
        <v>1.3531776297071257E-16</v>
      </c>
      <c r="G123" s="100">
        <v>1.3531776297071257E-16</v>
      </c>
      <c r="H123" s="100">
        <v>1.3531776297071257E-16</v>
      </c>
      <c r="I123" s="100">
        <v>1.3531776297071257E-16</v>
      </c>
      <c r="J123" s="100">
        <v>1.3531776297071257E-16</v>
      </c>
      <c r="K123" s="100">
        <v>1.0825421037657007E-16</v>
      </c>
      <c r="L123" s="100">
        <v>1.0825421037657007E-16</v>
      </c>
      <c r="M123" s="100">
        <v>1.0825421037657007E-16</v>
      </c>
      <c r="N123" s="100">
        <v>1.0825421037657007E-16</v>
      </c>
      <c r="O123" s="100">
        <v>1.3531776297071257E-16</v>
      </c>
      <c r="P123" s="100">
        <v>1.3531776297071257E-16</v>
      </c>
      <c r="Q123" s="100">
        <v>1.3531776297071257E-16</v>
      </c>
      <c r="R123" s="100">
        <v>1.3531776297071257E-16</v>
      </c>
      <c r="S123" s="100">
        <v>1.0825421037657007E-16</v>
      </c>
      <c r="T123" s="100">
        <v>1.0825421037657007E-16</v>
      </c>
      <c r="U123" s="100">
        <v>1.0825421037657007E-16</v>
      </c>
      <c r="V123" s="100">
        <v>1.0825421037657007E-16</v>
      </c>
      <c r="W123" s="100">
        <v>1.0825421037657007E-16</v>
      </c>
      <c r="X123" s="100">
        <v>1.0825421037657007E-16</v>
      </c>
      <c r="Y123" s="100">
        <v>1.0825421037657007E-16</v>
      </c>
      <c r="Z123" s="100">
        <v>1.0825421037657007E-16</v>
      </c>
      <c r="AA123" s="100">
        <v>1.0825421037657007E-16</v>
      </c>
      <c r="AB123" s="100">
        <v>1.0825421037657007E-16</v>
      </c>
      <c r="AC123" s="100">
        <v>1.0825421037657007E-16</v>
      </c>
      <c r="AD123" s="100">
        <v>1.0825421037657007E-16</v>
      </c>
      <c r="AE123" s="100">
        <v>1.3531776297071257E-16</v>
      </c>
      <c r="AF123" s="100">
        <v>1.3531776297071257E-16</v>
      </c>
      <c r="AG123" s="100">
        <v>1.3531776297071257E-16</v>
      </c>
      <c r="AH123" s="100">
        <v>1.3531776297071257E-16</v>
      </c>
      <c r="AI123" s="100">
        <v>1.0825421037657007E-16</v>
      </c>
      <c r="AJ123" s="100">
        <v>1.0825421037657007E-16</v>
      </c>
      <c r="AK123" s="100">
        <v>1.0825421037657007E-16</v>
      </c>
      <c r="AL123" s="100">
        <v>1.0825421037657007E-16</v>
      </c>
      <c r="AM123" s="100">
        <v>1.0825421037657007E-16</v>
      </c>
      <c r="AN123" s="100">
        <v>1.0825421037657007E-16</v>
      </c>
      <c r="AO123" s="100">
        <v>1.0825421037657007E-16</v>
      </c>
      <c r="AP123" s="100">
        <v>1.0825421037657007E-16</v>
      </c>
      <c r="AQ123" s="100">
        <v>1.0825421037657007E-16</v>
      </c>
      <c r="AR123" s="100">
        <v>1.0825421037657007E-16</v>
      </c>
      <c r="AS123" s="100">
        <v>1.0825421037657007E-16</v>
      </c>
      <c r="AT123" s="100">
        <v>1.0825421037657007E-16</v>
      </c>
      <c r="AU123" s="100">
        <v>1.0825421037657007E-16</v>
      </c>
      <c r="AV123" s="100">
        <v>1.0825421037657007E-16</v>
      </c>
      <c r="AW123" s="100">
        <v>1.0825421037657007E-16</v>
      </c>
      <c r="AX123" s="100">
        <v>1.0825421037657007E-16</v>
      </c>
    </row>
    <row r="124" spans="1:50">
      <c r="B124" s="105" t="s">
        <v>22</v>
      </c>
      <c r="C124" s="100">
        <v>1.7804533276762529E-17</v>
      </c>
      <c r="D124" s="100">
        <v>1.7804533276762529E-17</v>
      </c>
      <c r="E124" s="100">
        <v>1.7804533276762529E-17</v>
      </c>
      <c r="F124" s="100">
        <v>1.7804533276762529E-17</v>
      </c>
      <c r="G124" s="100">
        <v>1.7804533276762529E-17</v>
      </c>
      <c r="H124" s="100">
        <v>1.7804533276762529E-17</v>
      </c>
      <c r="I124" s="100">
        <v>1.7804533276762529E-17</v>
      </c>
      <c r="J124" s="100">
        <v>1.7804533276762529E-17</v>
      </c>
      <c r="K124" s="100">
        <v>1.4243626621410023E-17</v>
      </c>
      <c r="L124" s="100">
        <v>1.4243626621410023E-17</v>
      </c>
      <c r="M124" s="100">
        <v>1.4243626621410023E-17</v>
      </c>
      <c r="N124" s="100">
        <v>1.4243626621410023E-17</v>
      </c>
      <c r="O124" s="100">
        <v>1.7804533276762529E-17</v>
      </c>
      <c r="P124" s="100">
        <v>1.7804533276762529E-17</v>
      </c>
      <c r="Q124" s="100">
        <v>1.7804533276762529E-17</v>
      </c>
      <c r="R124" s="100">
        <v>1.7804533276762529E-17</v>
      </c>
      <c r="S124" s="100">
        <v>1.4243626621410023E-17</v>
      </c>
      <c r="T124" s="100">
        <v>1.4243626621410023E-17</v>
      </c>
      <c r="U124" s="100">
        <v>1.4243626621410023E-17</v>
      </c>
      <c r="V124" s="100">
        <v>1.4243626621410023E-17</v>
      </c>
      <c r="W124" s="100">
        <v>1.4243626621410023E-17</v>
      </c>
      <c r="X124" s="100">
        <v>1.4243626621410023E-17</v>
      </c>
      <c r="Y124" s="100">
        <v>1.4243626621410023E-17</v>
      </c>
      <c r="Z124" s="100">
        <v>1.4243626621410023E-17</v>
      </c>
      <c r="AA124" s="100">
        <v>1.4243626621410023E-17</v>
      </c>
      <c r="AB124" s="100">
        <v>1.4243626621410023E-17</v>
      </c>
      <c r="AC124" s="100">
        <v>1.4243626621410023E-17</v>
      </c>
      <c r="AD124" s="100">
        <v>1.4243626621410023E-17</v>
      </c>
      <c r="AE124" s="100">
        <v>1.7804533276762529E-17</v>
      </c>
      <c r="AF124" s="100">
        <v>1.7804533276762529E-17</v>
      </c>
      <c r="AG124" s="100">
        <v>1.7804533276762529E-17</v>
      </c>
      <c r="AH124" s="100">
        <v>1.7804533276762529E-17</v>
      </c>
      <c r="AI124" s="100">
        <v>1.4243626621410023E-17</v>
      </c>
      <c r="AJ124" s="100">
        <v>1.4243626621410023E-17</v>
      </c>
      <c r="AK124" s="100">
        <v>1.4243626621410023E-17</v>
      </c>
      <c r="AL124" s="100">
        <v>1.4243626621410023E-17</v>
      </c>
      <c r="AM124" s="100">
        <v>1.4243626621410023E-17</v>
      </c>
      <c r="AN124" s="100">
        <v>1.4243626621410023E-17</v>
      </c>
      <c r="AO124" s="100">
        <v>1.4243626621410023E-17</v>
      </c>
      <c r="AP124" s="100">
        <v>1.4243626621410023E-17</v>
      </c>
      <c r="AQ124" s="100">
        <v>1.4243626621410023E-17</v>
      </c>
      <c r="AR124" s="100">
        <v>1.4243626621410023E-17</v>
      </c>
      <c r="AS124" s="100">
        <v>1.4243626621410023E-17</v>
      </c>
      <c r="AT124" s="100">
        <v>1.4243626621410023E-17</v>
      </c>
      <c r="AU124" s="100">
        <v>1.4243626621410023E-17</v>
      </c>
      <c r="AV124" s="100">
        <v>1.4243626621410023E-17</v>
      </c>
      <c r="AW124" s="100">
        <v>1.4243626621410023E-17</v>
      </c>
      <c r="AX124" s="100">
        <v>1.4243626621410023E-17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5.5413426402442923E-17</v>
      </c>
      <c r="D126" s="100">
        <v>5.5413426402442923E-17</v>
      </c>
      <c r="E126" s="100">
        <v>5.5413426402442923E-17</v>
      </c>
      <c r="F126" s="100">
        <v>5.5413426402442923E-17</v>
      </c>
      <c r="G126" s="100">
        <v>5.5413426402442923E-17</v>
      </c>
      <c r="H126" s="100">
        <v>5.5413426402442923E-17</v>
      </c>
      <c r="I126" s="100">
        <v>5.5413426402442923E-17</v>
      </c>
      <c r="J126" s="100">
        <v>5.5413426402442923E-17</v>
      </c>
      <c r="K126" s="100">
        <v>4.4330741121954335E-17</v>
      </c>
      <c r="L126" s="100">
        <v>4.4330741121954335E-17</v>
      </c>
      <c r="M126" s="100">
        <v>4.4330741121954335E-17</v>
      </c>
      <c r="N126" s="100">
        <v>4.4330741121954335E-17</v>
      </c>
      <c r="O126" s="100">
        <v>5.5413426402442923E-17</v>
      </c>
      <c r="P126" s="100">
        <v>5.5413426402442923E-17</v>
      </c>
      <c r="Q126" s="100">
        <v>5.5413426402442923E-17</v>
      </c>
      <c r="R126" s="100">
        <v>5.5413426402442923E-17</v>
      </c>
      <c r="S126" s="100">
        <v>4.4330741121954335E-17</v>
      </c>
      <c r="T126" s="100">
        <v>4.4330741121954335E-17</v>
      </c>
      <c r="U126" s="100">
        <v>4.4330741121954335E-17</v>
      </c>
      <c r="V126" s="100">
        <v>4.4330741121954335E-17</v>
      </c>
      <c r="W126" s="100">
        <v>4.4330741121954335E-17</v>
      </c>
      <c r="X126" s="100">
        <v>4.4330741121954335E-17</v>
      </c>
      <c r="Y126" s="100">
        <v>4.4330741121954335E-17</v>
      </c>
      <c r="Z126" s="100">
        <v>4.4330741121954335E-17</v>
      </c>
      <c r="AA126" s="100">
        <v>4.4330741121954335E-17</v>
      </c>
      <c r="AB126" s="100">
        <v>4.4330741121954335E-17</v>
      </c>
      <c r="AC126" s="100">
        <v>4.4330741121954335E-17</v>
      </c>
      <c r="AD126" s="100">
        <v>4.4330741121954335E-17</v>
      </c>
      <c r="AE126" s="100">
        <v>5.5413426402442923E-17</v>
      </c>
      <c r="AF126" s="100">
        <v>5.5413426402442923E-17</v>
      </c>
      <c r="AG126" s="100">
        <v>5.5413426402442923E-17</v>
      </c>
      <c r="AH126" s="100">
        <v>5.5413426402442923E-17</v>
      </c>
      <c r="AI126" s="100">
        <v>4.4330741121954335E-17</v>
      </c>
      <c r="AJ126" s="100">
        <v>4.4330741121954335E-17</v>
      </c>
      <c r="AK126" s="100">
        <v>4.4330741121954335E-17</v>
      </c>
      <c r="AL126" s="100">
        <v>4.4330741121954335E-17</v>
      </c>
      <c r="AM126" s="100">
        <v>4.4330741121954335E-17</v>
      </c>
      <c r="AN126" s="100">
        <v>4.4330741121954335E-17</v>
      </c>
      <c r="AO126" s="100">
        <v>4.4330741121954335E-17</v>
      </c>
      <c r="AP126" s="100">
        <v>4.4330741121954335E-17</v>
      </c>
      <c r="AQ126" s="100">
        <v>4.4330741121954335E-17</v>
      </c>
      <c r="AR126" s="100">
        <v>4.4330741121954335E-17</v>
      </c>
      <c r="AS126" s="100">
        <v>4.4330741121954335E-17</v>
      </c>
      <c r="AT126" s="100">
        <v>4.4330741121954335E-17</v>
      </c>
      <c r="AU126" s="100">
        <v>4.4330741121954335E-17</v>
      </c>
      <c r="AV126" s="100">
        <v>4.4330741121954335E-17</v>
      </c>
      <c r="AW126" s="100">
        <v>4.4330741121954335E-17</v>
      </c>
      <c r="AX126" s="100">
        <v>4.4330741121954335E-17</v>
      </c>
    </row>
    <row r="127" spans="1:50">
      <c r="B127" s="100" t="s">
        <v>278</v>
      </c>
      <c r="C127" s="105">
        <f>SUM(C$122:C$126)</f>
        <v>4.5742325984549395E-16</v>
      </c>
      <c r="D127" s="105">
        <f t="shared" ref="D127:AX127" si="9">SUM(D$122:D$126)</f>
        <v>4.5742325984549395E-16</v>
      </c>
      <c r="E127" s="105">
        <f t="shared" si="9"/>
        <v>4.5742325984549395E-16</v>
      </c>
      <c r="F127" s="105">
        <f t="shared" si="9"/>
        <v>4.5742325984549395E-16</v>
      </c>
      <c r="G127" s="105">
        <f t="shared" si="9"/>
        <v>4.5742325984549395E-16</v>
      </c>
      <c r="H127" s="105">
        <f t="shared" si="9"/>
        <v>4.5742325984549395E-16</v>
      </c>
      <c r="I127" s="105">
        <f t="shared" si="9"/>
        <v>4.5742325984549395E-16</v>
      </c>
      <c r="J127" s="105">
        <f t="shared" si="9"/>
        <v>4.5742325984549395E-16</v>
      </c>
      <c r="K127" s="105">
        <f t="shared" si="9"/>
        <v>3.6593860787639516E-16</v>
      </c>
      <c r="L127" s="105">
        <f t="shared" si="9"/>
        <v>3.6593860787639516E-16</v>
      </c>
      <c r="M127" s="105">
        <f t="shared" si="9"/>
        <v>3.6593860787639516E-16</v>
      </c>
      <c r="N127" s="105">
        <f t="shared" si="9"/>
        <v>3.6593860787639516E-16</v>
      </c>
      <c r="O127" s="105">
        <f t="shared" si="9"/>
        <v>4.5742325984549395E-16</v>
      </c>
      <c r="P127" s="105">
        <f t="shared" si="9"/>
        <v>4.5742325984549395E-16</v>
      </c>
      <c r="Q127" s="105">
        <f t="shared" si="9"/>
        <v>4.5742325984549395E-16</v>
      </c>
      <c r="R127" s="105">
        <f t="shared" si="9"/>
        <v>4.5742325984549395E-16</v>
      </c>
      <c r="S127" s="105">
        <f t="shared" si="9"/>
        <v>3.6593860787639516E-16</v>
      </c>
      <c r="T127" s="105">
        <f t="shared" si="9"/>
        <v>3.6593860787639516E-16</v>
      </c>
      <c r="U127" s="105">
        <f t="shared" si="9"/>
        <v>3.6593860787639516E-16</v>
      </c>
      <c r="V127" s="105">
        <f t="shared" si="9"/>
        <v>3.6593860787639516E-16</v>
      </c>
      <c r="W127" s="105">
        <f t="shared" si="9"/>
        <v>3.6593860787639516E-16</v>
      </c>
      <c r="X127" s="105">
        <f t="shared" si="9"/>
        <v>3.6593860787639516E-16</v>
      </c>
      <c r="Y127" s="105">
        <f t="shared" si="9"/>
        <v>3.6593860787639516E-16</v>
      </c>
      <c r="Z127" s="105">
        <f t="shared" si="9"/>
        <v>3.6593860787639516E-16</v>
      </c>
      <c r="AA127" s="105">
        <f t="shared" si="9"/>
        <v>3.6593860787639516E-16</v>
      </c>
      <c r="AB127" s="105">
        <f t="shared" si="9"/>
        <v>3.6593860787639516E-16</v>
      </c>
      <c r="AC127" s="105">
        <f t="shared" si="9"/>
        <v>3.6593860787639516E-16</v>
      </c>
      <c r="AD127" s="105">
        <f t="shared" si="9"/>
        <v>3.6593860787639516E-16</v>
      </c>
      <c r="AE127" s="105">
        <f t="shared" si="9"/>
        <v>4.5742325984549395E-16</v>
      </c>
      <c r="AF127" s="105">
        <f t="shared" si="9"/>
        <v>4.5742325984549395E-16</v>
      </c>
      <c r="AG127" s="105">
        <f t="shared" si="9"/>
        <v>4.5742325984549395E-16</v>
      </c>
      <c r="AH127" s="105">
        <f t="shared" si="9"/>
        <v>4.5742325984549395E-16</v>
      </c>
      <c r="AI127" s="105">
        <f t="shared" si="9"/>
        <v>3.6593860787639516E-16</v>
      </c>
      <c r="AJ127" s="105">
        <f t="shared" si="9"/>
        <v>3.6593860787639516E-16</v>
      </c>
      <c r="AK127" s="105">
        <f t="shared" si="9"/>
        <v>3.6593860787639516E-16</v>
      </c>
      <c r="AL127" s="105">
        <f t="shared" si="9"/>
        <v>3.6593860787639516E-16</v>
      </c>
      <c r="AM127" s="105">
        <f t="shared" si="9"/>
        <v>3.6593860787639516E-16</v>
      </c>
      <c r="AN127" s="105">
        <f t="shared" si="9"/>
        <v>3.6593860787639516E-16</v>
      </c>
      <c r="AO127" s="105">
        <f t="shared" si="9"/>
        <v>3.6593860787639516E-16</v>
      </c>
      <c r="AP127" s="105">
        <f t="shared" si="9"/>
        <v>3.6593860787639516E-16</v>
      </c>
      <c r="AQ127" s="105">
        <f t="shared" si="9"/>
        <v>3.6593860787639516E-16</v>
      </c>
      <c r="AR127" s="105">
        <f t="shared" si="9"/>
        <v>3.6593860787639516E-16</v>
      </c>
      <c r="AS127" s="105">
        <f t="shared" si="9"/>
        <v>3.6593860787639516E-16</v>
      </c>
      <c r="AT127" s="105">
        <f t="shared" si="9"/>
        <v>3.6593860787639516E-16</v>
      </c>
      <c r="AU127" s="105">
        <f t="shared" si="9"/>
        <v>3.6593860787639516E-16</v>
      </c>
      <c r="AV127" s="105">
        <f t="shared" si="9"/>
        <v>3.6593860787639516E-16</v>
      </c>
      <c r="AW127" s="105">
        <f t="shared" si="9"/>
        <v>3.6593860787639516E-16</v>
      </c>
      <c r="AX127" s="105">
        <f t="shared" si="9"/>
        <v>3.6593860787639516E-16</v>
      </c>
    </row>
    <row r="128" spans="1:50">
      <c r="A128" s="105" t="s">
        <v>109</v>
      </c>
      <c r="B128" s="105" t="s">
        <v>10</v>
      </c>
      <c r="C128" s="100">
        <v>1.2802682325745553E-16</v>
      </c>
      <c r="D128" s="100">
        <v>1.2802682325745553E-16</v>
      </c>
      <c r="E128" s="100">
        <v>1.2802682325745553E-16</v>
      </c>
      <c r="F128" s="100">
        <v>1.2802682325745553E-16</v>
      </c>
      <c r="G128" s="100">
        <v>1.2802682325745553E-16</v>
      </c>
      <c r="H128" s="100">
        <v>1.2802682325745553E-16</v>
      </c>
      <c r="I128" s="100">
        <v>1.2802682325745553E-16</v>
      </c>
      <c r="J128" s="100">
        <v>1.2802682325745553E-16</v>
      </c>
      <c r="K128" s="100">
        <v>1.0668901938121291E-16</v>
      </c>
      <c r="L128" s="100">
        <v>1.0668901938121291E-16</v>
      </c>
      <c r="M128" s="100">
        <v>1.0668901938121291E-16</v>
      </c>
      <c r="N128" s="100">
        <v>1.0668901938121291E-16</v>
      </c>
      <c r="O128" s="100">
        <v>1.2802682325745553E-16</v>
      </c>
      <c r="P128" s="100">
        <v>1.2802682325745553E-16</v>
      </c>
      <c r="Q128" s="100">
        <v>1.2802682325745553E-16</v>
      </c>
      <c r="R128" s="100">
        <v>1.2802682325745553E-16</v>
      </c>
      <c r="S128" s="100">
        <v>1.2802682325745553E-16</v>
      </c>
      <c r="T128" s="100">
        <v>1.2802682325745553E-16</v>
      </c>
      <c r="U128" s="100">
        <v>1.2802682325745553E-16</v>
      </c>
      <c r="V128" s="100">
        <v>1.2802682325745553E-16</v>
      </c>
      <c r="W128" s="100">
        <v>1.2802682325745553E-16</v>
      </c>
      <c r="X128" s="100">
        <v>1.2802682325745553E-16</v>
      </c>
      <c r="Y128" s="100">
        <v>1.2802682325745553E-16</v>
      </c>
      <c r="Z128" s="100">
        <v>1.2802682325745553E-16</v>
      </c>
      <c r="AA128" s="100">
        <v>1.2802682325745553E-16</v>
      </c>
      <c r="AB128" s="100">
        <v>1.2802682325745553E-16</v>
      </c>
      <c r="AC128" s="100">
        <v>1.2802682325745553E-16</v>
      </c>
      <c r="AD128" s="100">
        <v>1.2802682325745553E-16</v>
      </c>
      <c r="AE128" s="100">
        <v>1.2802682325745553E-16</v>
      </c>
      <c r="AF128" s="100">
        <v>1.2802682325745553E-16</v>
      </c>
      <c r="AG128" s="100">
        <v>1.2802682325745553E-16</v>
      </c>
      <c r="AH128" s="100">
        <v>1.2802682325745553E-16</v>
      </c>
      <c r="AI128" s="100">
        <v>1.2802682325745553E-16</v>
      </c>
      <c r="AJ128" s="100">
        <v>1.2802682325745553E-16</v>
      </c>
      <c r="AK128" s="100">
        <v>1.2802682325745553E-16</v>
      </c>
      <c r="AL128" s="100">
        <v>1.2802682325745553E-16</v>
      </c>
      <c r="AM128" s="100">
        <v>1.2802682325745553E-16</v>
      </c>
      <c r="AN128" s="100">
        <v>1.2802682325745553E-16</v>
      </c>
      <c r="AO128" s="100">
        <v>1.2802682325745553E-16</v>
      </c>
      <c r="AP128" s="100">
        <v>1.2802682325745553E-16</v>
      </c>
      <c r="AQ128" s="100">
        <v>1.2802682325745553E-16</v>
      </c>
      <c r="AR128" s="100">
        <v>1.2802682325745553E-16</v>
      </c>
      <c r="AS128" s="100">
        <v>1.2802682325745553E-16</v>
      </c>
      <c r="AT128" s="100">
        <v>1.2802682325745553E-16</v>
      </c>
      <c r="AU128" s="100">
        <v>1.2802682325745553E-16</v>
      </c>
      <c r="AV128" s="100">
        <v>1.2802682325745553E-16</v>
      </c>
      <c r="AW128" s="100">
        <v>1.2802682325745553E-16</v>
      </c>
      <c r="AX128" s="100">
        <v>1.2802682325745553E-16</v>
      </c>
    </row>
    <row r="129" spans="2:50">
      <c r="B129" s="105" t="s">
        <v>12</v>
      </c>
      <c r="C129" s="100">
        <v>1.3389196637408916E-16</v>
      </c>
      <c r="D129" s="100">
        <v>1.3389196637408916E-16</v>
      </c>
      <c r="E129" s="100">
        <v>1.3389196637408916E-16</v>
      </c>
      <c r="F129" s="100">
        <v>1.3389196637408916E-16</v>
      </c>
      <c r="G129" s="100">
        <v>1.3389196637408916E-16</v>
      </c>
      <c r="H129" s="100">
        <v>1.3389196637408916E-16</v>
      </c>
      <c r="I129" s="100">
        <v>1.3389196637408916E-16</v>
      </c>
      <c r="J129" s="100">
        <v>1.3389196637408916E-16</v>
      </c>
      <c r="K129" s="100">
        <v>1.115766386450743E-16</v>
      </c>
      <c r="L129" s="100">
        <v>1.115766386450743E-16</v>
      </c>
      <c r="M129" s="100">
        <v>1.115766386450743E-16</v>
      </c>
      <c r="N129" s="100">
        <v>1.115766386450743E-16</v>
      </c>
      <c r="O129" s="100">
        <v>1.3389196637408916E-16</v>
      </c>
      <c r="P129" s="100">
        <v>1.3389196637408916E-16</v>
      </c>
      <c r="Q129" s="100">
        <v>1.3389196637408916E-16</v>
      </c>
      <c r="R129" s="100">
        <v>1.3389196637408916E-16</v>
      </c>
      <c r="S129" s="100">
        <v>1.3389196637408916E-16</v>
      </c>
      <c r="T129" s="100">
        <v>1.3389196637408916E-16</v>
      </c>
      <c r="U129" s="100">
        <v>1.3389196637408916E-16</v>
      </c>
      <c r="V129" s="100">
        <v>1.3389196637408916E-16</v>
      </c>
      <c r="W129" s="100">
        <v>1.3389196637408916E-16</v>
      </c>
      <c r="X129" s="100">
        <v>1.3389196637408916E-16</v>
      </c>
      <c r="Y129" s="100">
        <v>1.3389196637408916E-16</v>
      </c>
      <c r="Z129" s="100">
        <v>1.3389196637408916E-16</v>
      </c>
      <c r="AA129" s="100">
        <v>1.3389196637408916E-16</v>
      </c>
      <c r="AB129" s="100">
        <v>1.3389196637408916E-16</v>
      </c>
      <c r="AC129" s="100">
        <v>1.3389196637408916E-16</v>
      </c>
      <c r="AD129" s="100">
        <v>1.3389196637408916E-16</v>
      </c>
      <c r="AE129" s="100">
        <v>1.3389196637408916E-16</v>
      </c>
      <c r="AF129" s="100">
        <v>1.3389196637408916E-16</v>
      </c>
      <c r="AG129" s="100">
        <v>1.3389196637408916E-16</v>
      </c>
      <c r="AH129" s="100">
        <v>1.3389196637408916E-16</v>
      </c>
      <c r="AI129" s="100">
        <v>1.3389196637408916E-16</v>
      </c>
      <c r="AJ129" s="100">
        <v>1.3389196637408916E-16</v>
      </c>
      <c r="AK129" s="100">
        <v>1.3389196637408916E-16</v>
      </c>
      <c r="AL129" s="100">
        <v>1.3389196637408916E-16</v>
      </c>
      <c r="AM129" s="100">
        <v>1.3389196637408916E-16</v>
      </c>
      <c r="AN129" s="100">
        <v>1.3389196637408916E-16</v>
      </c>
      <c r="AO129" s="100">
        <v>1.3389196637408916E-16</v>
      </c>
      <c r="AP129" s="100">
        <v>1.3389196637408916E-16</v>
      </c>
      <c r="AQ129" s="100">
        <v>1.3389196637408916E-16</v>
      </c>
      <c r="AR129" s="100">
        <v>1.3389196637408916E-16</v>
      </c>
      <c r="AS129" s="100">
        <v>1.3389196637408916E-16</v>
      </c>
      <c r="AT129" s="100">
        <v>1.3389196637408916E-16</v>
      </c>
      <c r="AU129" s="100">
        <v>1.3389196637408916E-16</v>
      </c>
      <c r="AV129" s="100">
        <v>1.3389196637408916E-16</v>
      </c>
      <c r="AW129" s="100">
        <v>1.3389196637408916E-16</v>
      </c>
      <c r="AX129" s="100">
        <v>1.3389196637408916E-16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3.9897672680125946E-17</v>
      </c>
      <c r="D132" s="100">
        <v>3.9897672680125946E-17</v>
      </c>
      <c r="E132" s="100">
        <v>3.9897672680125946E-17</v>
      </c>
      <c r="F132" s="100">
        <v>3.9897672680125946E-17</v>
      </c>
      <c r="G132" s="100">
        <v>3.9897672680125946E-17</v>
      </c>
      <c r="H132" s="100">
        <v>3.9897672680125946E-17</v>
      </c>
      <c r="I132" s="100">
        <v>3.9897672680125946E-17</v>
      </c>
      <c r="J132" s="100">
        <v>3.9897672680125946E-17</v>
      </c>
      <c r="K132" s="100">
        <v>3.3248060566771621E-17</v>
      </c>
      <c r="L132" s="100">
        <v>3.3248060566771621E-17</v>
      </c>
      <c r="M132" s="100">
        <v>3.3248060566771621E-17</v>
      </c>
      <c r="N132" s="100">
        <v>3.3248060566771621E-17</v>
      </c>
      <c r="O132" s="100">
        <v>3.9897672680125946E-17</v>
      </c>
      <c r="P132" s="100">
        <v>3.9897672680125946E-17</v>
      </c>
      <c r="Q132" s="100">
        <v>3.9897672680125946E-17</v>
      </c>
      <c r="R132" s="100">
        <v>3.9897672680125946E-17</v>
      </c>
      <c r="S132" s="100">
        <v>3.9897672680125946E-17</v>
      </c>
      <c r="T132" s="100">
        <v>3.9897672680125946E-17</v>
      </c>
      <c r="U132" s="100">
        <v>3.9897672680125946E-17</v>
      </c>
      <c r="V132" s="100">
        <v>3.9897672680125946E-17</v>
      </c>
      <c r="W132" s="100">
        <v>3.9897672680125946E-17</v>
      </c>
      <c r="X132" s="100">
        <v>3.9897672680125946E-17</v>
      </c>
      <c r="Y132" s="100">
        <v>3.9897672680125946E-17</v>
      </c>
      <c r="Z132" s="100">
        <v>3.9897672680125946E-17</v>
      </c>
      <c r="AA132" s="100">
        <v>3.9897672680125946E-17</v>
      </c>
      <c r="AB132" s="100">
        <v>3.9897672680125946E-17</v>
      </c>
      <c r="AC132" s="100">
        <v>3.9897672680125946E-17</v>
      </c>
      <c r="AD132" s="100">
        <v>3.9897672680125946E-17</v>
      </c>
      <c r="AE132" s="100">
        <v>3.9897672680125946E-17</v>
      </c>
      <c r="AF132" s="100">
        <v>3.9897672680125946E-17</v>
      </c>
      <c r="AG132" s="100">
        <v>3.9897672680125946E-17</v>
      </c>
      <c r="AH132" s="100">
        <v>3.9897672680125946E-17</v>
      </c>
      <c r="AI132" s="100">
        <v>3.9897672680125946E-17</v>
      </c>
      <c r="AJ132" s="100">
        <v>3.9897672680125946E-17</v>
      </c>
      <c r="AK132" s="100">
        <v>3.9897672680125946E-17</v>
      </c>
      <c r="AL132" s="100">
        <v>3.9897672680125946E-17</v>
      </c>
      <c r="AM132" s="100">
        <v>3.9897672680125946E-17</v>
      </c>
      <c r="AN132" s="100">
        <v>3.9897672680125946E-17</v>
      </c>
      <c r="AO132" s="100">
        <v>3.9897672680125946E-17</v>
      </c>
      <c r="AP132" s="100">
        <v>3.9897672680125946E-17</v>
      </c>
      <c r="AQ132" s="100">
        <v>3.9897672680125946E-17</v>
      </c>
      <c r="AR132" s="100">
        <v>3.9897672680125946E-17</v>
      </c>
      <c r="AS132" s="100">
        <v>3.9897672680125946E-17</v>
      </c>
      <c r="AT132" s="100">
        <v>3.9897672680125946E-17</v>
      </c>
      <c r="AU132" s="100">
        <v>3.9897672680125946E-17</v>
      </c>
      <c r="AV132" s="100">
        <v>3.9897672680125946E-17</v>
      </c>
      <c r="AW132" s="100">
        <v>3.9897672680125946E-17</v>
      </c>
      <c r="AX132" s="100">
        <v>3.9897672680125946E-17</v>
      </c>
    </row>
    <row r="133" spans="2:50">
      <c r="B133" s="100" t="s">
        <v>278</v>
      </c>
      <c r="C133" s="105">
        <f>SUM(C$128:C$132)</f>
        <v>3.0181646231167064E-16</v>
      </c>
      <c r="D133" s="105">
        <f t="shared" ref="D133:AX133" si="10">SUM(D$128:D$132)</f>
        <v>3.0181646231167064E-16</v>
      </c>
      <c r="E133" s="105">
        <f t="shared" si="10"/>
        <v>3.0181646231167064E-16</v>
      </c>
      <c r="F133" s="105">
        <f t="shared" si="10"/>
        <v>3.0181646231167064E-16</v>
      </c>
      <c r="G133" s="105">
        <f t="shared" si="10"/>
        <v>3.0181646231167064E-16</v>
      </c>
      <c r="H133" s="105">
        <f t="shared" si="10"/>
        <v>3.0181646231167064E-16</v>
      </c>
      <c r="I133" s="105">
        <f t="shared" si="10"/>
        <v>3.0181646231167064E-16</v>
      </c>
      <c r="J133" s="105">
        <f t="shared" si="10"/>
        <v>3.0181646231167064E-16</v>
      </c>
      <c r="K133" s="105">
        <f t="shared" si="10"/>
        <v>2.5151371859305882E-16</v>
      </c>
      <c r="L133" s="105">
        <f t="shared" si="10"/>
        <v>2.5151371859305882E-16</v>
      </c>
      <c r="M133" s="105">
        <f t="shared" si="10"/>
        <v>2.5151371859305882E-16</v>
      </c>
      <c r="N133" s="105">
        <f t="shared" si="10"/>
        <v>2.5151371859305882E-16</v>
      </c>
      <c r="O133" s="105">
        <f t="shared" si="10"/>
        <v>3.0181646231167064E-16</v>
      </c>
      <c r="P133" s="105">
        <f t="shared" si="10"/>
        <v>3.0181646231167064E-16</v>
      </c>
      <c r="Q133" s="105">
        <f t="shared" si="10"/>
        <v>3.0181646231167064E-16</v>
      </c>
      <c r="R133" s="105">
        <f t="shared" si="10"/>
        <v>3.0181646231167064E-16</v>
      </c>
      <c r="S133" s="105">
        <f t="shared" si="10"/>
        <v>3.0181646231167064E-16</v>
      </c>
      <c r="T133" s="105">
        <f t="shared" si="10"/>
        <v>3.0181646231167064E-16</v>
      </c>
      <c r="U133" s="105">
        <f t="shared" si="10"/>
        <v>3.0181646231167064E-16</v>
      </c>
      <c r="V133" s="105">
        <f t="shared" si="10"/>
        <v>3.0181646231167064E-16</v>
      </c>
      <c r="W133" s="105">
        <f t="shared" si="10"/>
        <v>3.0181646231167064E-16</v>
      </c>
      <c r="X133" s="105">
        <f t="shared" si="10"/>
        <v>3.0181646231167064E-16</v>
      </c>
      <c r="Y133" s="105">
        <f t="shared" si="10"/>
        <v>3.0181646231167064E-16</v>
      </c>
      <c r="Z133" s="105">
        <f t="shared" si="10"/>
        <v>3.0181646231167064E-16</v>
      </c>
      <c r="AA133" s="105">
        <f t="shared" si="10"/>
        <v>3.0181646231167064E-16</v>
      </c>
      <c r="AB133" s="105">
        <f t="shared" si="10"/>
        <v>3.0181646231167064E-16</v>
      </c>
      <c r="AC133" s="105">
        <f t="shared" si="10"/>
        <v>3.0181646231167064E-16</v>
      </c>
      <c r="AD133" s="105">
        <f t="shared" si="10"/>
        <v>3.0181646231167064E-16</v>
      </c>
      <c r="AE133" s="105">
        <f t="shared" si="10"/>
        <v>3.0181646231167064E-16</v>
      </c>
      <c r="AF133" s="105">
        <f t="shared" si="10"/>
        <v>3.0181646231167064E-16</v>
      </c>
      <c r="AG133" s="105">
        <f t="shared" si="10"/>
        <v>3.0181646231167064E-16</v>
      </c>
      <c r="AH133" s="105">
        <f t="shared" si="10"/>
        <v>3.0181646231167064E-16</v>
      </c>
      <c r="AI133" s="105">
        <f t="shared" si="10"/>
        <v>3.0181646231167064E-16</v>
      </c>
      <c r="AJ133" s="105">
        <f t="shared" si="10"/>
        <v>3.0181646231167064E-16</v>
      </c>
      <c r="AK133" s="105">
        <f t="shared" si="10"/>
        <v>3.0181646231167064E-16</v>
      </c>
      <c r="AL133" s="105">
        <f t="shared" si="10"/>
        <v>3.0181646231167064E-16</v>
      </c>
      <c r="AM133" s="105">
        <f t="shared" si="10"/>
        <v>3.0181646231167064E-16</v>
      </c>
      <c r="AN133" s="105">
        <f t="shared" si="10"/>
        <v>3.0181646231167064E-16</v>
      </c>
      <c r="AO133" s="105">
        <f t="shared" si="10"/>
        <v>3.0181646231167064E-16</v>
      </c>
      <c r="AP133" s="105">
        <f t="shared" si="10"/>
        <v>3.0181646231167064E-16</v>
      </c>
      <c r="AQ133" s="105">
        <f t="shared" si="10"/>
        <v>3.0181646231167064E-16</v>
      </c>
      <c r="AR133" s="105">
        <f t="shared" si="10"/>
        <v>3.0181646231167064E-16</v>
      </c>
      <c r="AS133" s="105">
        <f t="shared" si="10"/>
        <v>3.0181646231167064E-16</v>
      </c>
      <c r="AT133" s="105">
        <f t="shared" si="10"/>
        <v>3.0181646231167064E-16</v>
      </c>
      <c r="AU133" s="105">
        <f t="shared" si="10"/>
        <v>3.0181646231167064E-16</v>
      </c>
      <c r="AV133" s="105">
        <f t="shared" si="10"/>
        <v>3.0181646231167064E-16</v>
      </c>
      <c r="AW133" s="105">
        <f t="shared" si="10"/>
        <v>3.0181646231167064E-16</v>
      </c>
      <c r="AX133" s="105">
        <f t="shared" si="10"/>
        <v>3.0181646231167064E-16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</v>
      </c>
      <c r="E7" s="144">
        <v>600</v>
      </c>
      <c r="F7" s="144">
        <v>600</v>
      </c>
      <c r="G7" s="144">
        <v>600</v>
      </c>
      <c r="H7" s="144">
        <v>600</v>
      </c>
      <c r="I7" s="144">
        <v>600</v>
      </c>
      <c r="J7" s="144">
        <v>600</v>
      </c>
      <c r="K7" s="144">
        <v>600</v>
      </c>
      <c r="L7" s="144">
        <v>600</v>
      </c>
      <c r="M7" s="144">
        <v>600</v>
      </c>
      <c r="N7" s="144">
        <v>600</v>
      </c>
      <c r="O7" s="144">
        <v>600</v>
      </c>
      <c r="P7" s="144">
        <v>600</v>
      </c>
      <c r="Q7" s="144">
        <v>600</v>
      </c>
      <c r="R7" s="144">
        <v>600</v>
      </c>
      <c r="S7" s="144">
        <v>600</v>
      </c>
      <c r="T7" s="144">
        <v>600</v>
      </c>
      <c r="U7" s="144">
        <v>600</v>
      </c>
      <c r="V7" s="144">
        <v>600</v>
      </c>
      <c r="W7" s="144">
        <v>600</v>
      </c>
      <c r="X7" s="144">
        <v>600</v>
      </c>
      <c r="Y7" s="144">
        <v>600</v>
      </c>
      <c r="Z7" s="144">
        <v>600</v>
      </c>
      <c r="AA7" s="144">
        <v>600</v>
      </c>
      <c r="AB7" s="144">
        <v>600</v>
      </c>
      <c r="AC7" s="144">
        <v>600</v>
      </c>
      <c r="AD7" s="144">
        <v>600</v>
      </c>
      <c r="AE7" s="144">
        <v>600</v>
      </c>
      <c r="AF7" s="144">
        <v>600</v>
      </c>
      <c r="AG7" s="144">
        <v>600</v>
      </c>
      <c r="AH7" s="144">
        <v>600</v>
      </c>
      <c r="AI7" s="144">
        <v>600</v>
      </c>
      <c r="AJ7" s="144">
        <v>600</v>
      </c>
      <c r="AK7" s="144">
        <v>244.44280071837605</v>
      </c>
      <c r="AL7" s="144">
        <v>600</v>
      </c>
      <c r="AM7" s="144">
        <v>600</v>
      </c>
      <c r="AN7" s="144">
        <v>600</v>
      </c>
      <c r="AO7" s="144">
        <v>600</v>
      </c>
      <c r="AP7" s="144">
        <v>600</v>
      </c>
      <c r="AQ7" s="144">
        <v>600</v>
      </c>
      <c r="AR7" s="144">
        <v>600</v>
      </c>
      <c r="AS7" s="144">
        <v>600</v>
      </c>
      <c r="AT7" s="144">
        <v>600</v>
      </c>
      <c r="AU7" s="144">
        <v>600</v>
      </c>
      <c r="AV7" s="144">
        <v>480.00000000000006</v>
      </c>
      <c r="AW7" s="144">
        <v>249.77075535097021</v>
      </c>
      <c r="AX7" s="144">
        <v>480.00000000000006</v>
      </c>
      <c r="AY7" s="144">
        <v>480.00000000000006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600</v>
      </c>
      <c r="X10" s="144">
        <f t="shared" si="0"/>
        <v>0</v>
      </c>
      <c r="Y10" s="144">
        <f t="shared" si="0"/>
        <v>600</v>
      </c>
      <c r="Z10" s="144">
        <f t="shared" si="0"/>
        <v>600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600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2400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599.99999999999989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600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0</v>
      </c>
      <c r="X13" s="138">
        <f t="shared" si="1"/>
        <v>600</v>
      </c>
      <c r="Y13" s="138">
        <f t="shared" si="1"/>
        <v>0</v>
      </c>
      <c r="Z13" s="138">
        <f t="shared" si="1"/>
        <v>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0</v>
      </c>
      <c r="AH13" s="138">
        <f t="shared" si="1"/>
        <v>600</v>
      </c>
      <c r="AI13" s="138">
        <f t="shared" si="1"/>
        <v>600</v>
      </c>
      <c r="AJ13" s="138">
        <f t="shared" si="1"/>
        <v>600</v>
      </c>
      <c r="AK13" s="138">
        <f t="shared" si="1"/>
        <v>244.44280071837605</v>
      </c>
      <c r="AL13" s="138">
        <f t="shared" si="1"/>
        <v>600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480.00000000000006</v>
      </c>
      <c r="AW13" s="138">
        <f t="shared" si="1"/>
        <v>249.77075535097021</v>
      </c>
      <c r="AX13" s="138">
        <f t="shared" si="1"/>
        <v>480.00000000000006</v>
      </c>
      <c r="AY13" s="138">
        <f t="shared" si="1"/>
        <v>480.00000000000006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600</v>
      </c>
      <c r="X14" s="106">
        <f t="shared" si="2"/>
        <v>0</v>
      </c>
      <c r="Y14" s="106">
        <f t="shared" si="2"/>
        <v>600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600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600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 t="s">
        <v>339</v>
      </c>
      <c r="W20" s="117"/>
      <c r="X20" s="117" t="s">
        <v>339</v>
      </c>
      <c r="Y20" s="117" t="s">
        <v>339</v>
      </c>
      <c r="Z20" s="117"/>
      <c r="AA20" s="117"/>
      <c r="AB20" s="117"/>
      <c r="AC20" s="117"/>
      <c r="AD20" s="117"/>
      <c r="AE20" s="117"/>
      <c r="AF20" s="117" t="s">
        <v>339</v>
      </c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0.44818007409987354</v>
      </c>
      <c r="C21" s="156" t="s">
        <v>293</v>
      </c>
      <c r="D21" s="106">
        <f>IF(C$20="Yes",0,SUM(C$13:C$16)*$B$21)</f>
        <v>268.9080444599241</v>
      </c>
      <c r="E21" s="106">
        <f t="shared" ref="E21:AY21" si="3">IF(D$20="Yes",0,SUM(D$13:D$16)*$B$21)</f>
        <v>268.9080444599241</v>
      </c>
      <c r="F21" s="106">
        <f t="shared" si="3"/>
        <v>268.9080444599241</v>
      </c>
      <c r="G21" s="106">
        <f t="shared" si="3"/>
        <v>268.9080444599241</v>
      </c>
      <c r="H21" s="106">
        <f t="shared" si="3"/>
        <v>268.9080444599241</v>
      </c>
      <c r="I21" s="106">
        <f t="shared" si="3"/>
        <v>268.9080444599241</v>
      </c>
      <c r="J21" s="106">
        <f t="shared" si="3"/>
        <v>268.9080444599241</v>
      </c>
      <c r="K21" s="106">
        <f t="shared" si="3"/>
        <v>268.9080444599241</v>
      </c>
      <c r="L21" s="106">
        <f t="shared" si="3"/>
        <v>268.9080444599241</v>
      </c>
      <c r="M21" s="106">
        <f t="shared" si="3"/>
        <v>268.9080444599241</v>
      </c>
      <c r="N21" s="106">
        <f t="shared" si="3"/>
        <v>268.9080444599241</v>
      </c>
      <c r="O21" s="106">
        <f t="shared" si="3"/>
        <v>268.9080444599241</v>
      </c>
      <c r="P21" s="106">
        <f t="shared" si="3"/>
        <v>268.9080444599241</v>
      </c>
      <c r="Q21" s="106">
        <f t="shared" si="3"/>
        <v>268.9080444599241</v>
      </c>
      <c r="R21" s="106">
        <f t="shared" si="3"/>
        <v>268.9080444599241</v>
      </c>
      <c r="S21" s="106">
        <f t="shared" si="3"/>
        <v>268.9080444599241</v>
      </c>
      <c r="T21" s="106">
        <f t="shared" si="3"/>
        <v>268.9080444599241</v>
      </c>
      <c r="U21" s="106">
        <f t="shared" si="3"/>
        <v>268.9080444599241</v>
      </c>
      <c r="V21" s="106">
        <f t="shared" si="3"/>
        <v>268.9080444599241</v>
      </c>
      <c r="W21" s="106">
        <f t="shared" si="3"/>
        <v>0</v>
      </c>
      <c r="X21" s="106">
        <f t="shared" si="3"/>
        <v>268.9080444599241</v>
      </c>
      <c r="Y21" s="106">
        <f t="shared" si="3"/>
        <v>0</v>
      </c>
      <c r="Z21" s="106">
        <f t="shared" si="3"/>
        <v>0</v>
      </c>
      <c r="AA21" s="106">
        <f t="shared" si="3"/>
        <v>268.9080444599241</v>
      </c>
      <c r="AB21" s="106">
        <f t="shared" si="3"/>
        <v>268.9080444599241</v>
      </c>
      <c r="AC21" s="106">
        <f t="shared" si="3"/>
        <v>268.9080444599241</v>
      </c>
      <c r="AD21" s="106">
        <f t="shared" si="3"/>
        <v>268.9080444599241</v>
      </c>
      <c r="AE21" s="106">
        <f t="shared" si="3"/>
        <v>268.9080444599241</v>
      </c>
      <c r="AF21" s="106">
        <f t="shared" si="3"/>
        <v>268.9080444599241</v>
      </c>
      <c r="AG21" s="106">
        <f t="shared" si="3"/>
        <v>0</v>
      </c>
      <c r="AH21" s="106">
        <f t="shared" si="3"/>
        <v>268.9080444599241</v>
      </c>
      <c r="AI21" s="106">
        <f t="shared" si="3"/>
        <v>268.9080444599241</v>
      </c>
      <c r="AJ21" s="106">
        <f t="shared" si="3"/>
        <v>268.9080444599241</v>
      </c>
      <c r="AK21" s="106">
        <f t="shared" si="3"/>
        <v>268.9080444599241</v>
      </c>
      <c r="AL21" s="106">
        <f t="shared" si="3"/>
        <v>109.5543925391424</v>
      </c>
      <c r="AM21" s="106">
        <f t="shared" si="3"/>
        <v>268.9080444599241</v>
      </c>
      <c r="AN21" s="106">
        <f t="shared" si="3"/>
        <v>268.9080444599241</v>
      </c>
      <c r="AO21" s="106">
        <f t="shared" si="3"/>
        <v>268.9080444599241</v>
      </c>
      <c r="AP21" s="106">
        <f t="shared" si="3"/>
        <v>268.9080444599241</v>
      </c>
      <c r="AQ21" s="106">
        <f t="shared" si="3"/>
        <v>268.9080444599241</v>
      </c>
      <c r="AR21" s="106">
        <f t="shared" si="3"/>
        <v>268.9080444599241</v>
      </c>
      <c r="AS21" s="106">
        <f t="shared" si="3"/>
        <v>268.9080444599241</v>
      </c>
      <c r="AT21" s="106">
        <f t="shared" si="3"/>
        <v>268.9080444599241</v>
      </c>
      <c r="AU21" s="106">
        <f t="shared" si="3"/>
        <v>268.9080444599241</v>
      </c>
      <c r="AV21" s="106">
        <f t="shared" si="3"/>
        <v>268.9080444599241</v>
      </c>
      <c r="AW21" s="106">
        <f t="shared" si="3"/>
        <v>215.12643556793932</v>
      </c>
      <c r="AX21" s="106">
        <f t="shared" si="3"/>
        <v>111.94227564117921</v>
      </c>
      <c r="AY21" s="106">
        <f t="shared" si="3"/>
        <v>215.12643556793932</v>
      </c>
      <c r="AZ21" s="157">
        <f>SUM($D21:$AY21)</f>
        <v>11408.07131771316</v>
      </c>
    </row>
    <row r="22" spans="1:52" s="110" customFormat="1">
      <c r="A22" s="158" t="s">
        <v>123</v>
      </c>
      <c r="B22" s="159">
        <f>1-$B$21</f>
        <v>0.55181992590012641</v>
      </c>
      <c r="C22" s="159" t="s">
        <v>293</v>
      </c>
      <c r="D22" s="114">
        <f>IF(C$20="Yes",0,SUM(C$13:C$16)*$B$22)</f>
        <v>331.09195554007579</v>
      </c>
      <c r="E22" s="114">
        <f t="shared" ref="E22:AY22" si="4">IF(D$20="Yes",0,SUM(D$13:D$16)*$B$22)</f>
        <v>331.09195554007584</v>
      </c>
      <c r="F22" s="114">
        <f t="shared" si="4"/>
        <v>331.09195554007584</v>
      </c>
      <c r="G22" s="114">
        <f t="shared" si="4"/>
        <v>331.09195554007584</v>
      </c>
      <c r="H22" s="114">
        <f t="shared" si="4"/>
        <v>331.09195554007584</v>
      </c>
      <c r="I22" s="114">
        <f t="shared" si="4"/>
        <v>331.09195554007584</v>
      </c>
      <c r="J22" s="114">
        <f t="shared" si="4"/>
        <v>331.09195554007584</v>
      </c>
      <c r="K22" s="114">
        <f t="shared" si="4"/>
        <v>331.09195554007584</v>
      </c>
      <c r="L22" s="114">
        <f t="shared" si="4"/>
        <v>331.09195554007584</v>
      </c>
      <c r="M22" s="114">
        <f t="shared" si="4"/>
        <v>331.09195554007584</v>
      </c>
      <c r="N22" s="114">
        <f t="shared" si="4"/>
        <v>331.09195554007584</v>
      </c>
      <c r="O22" s="114">
        <f t="shared" si="4"/>
        <v>331.09195554007584</v>
      </c>
      <c r="P22" s="114">
        <f t="shared" si="4"/>
        <v>331.09195554007584</v>
      </c>
      <c r="Q22" s="114">
        <f t="shared" si="4"/>
        <v>331.09195554007584</v>
      </c>
      <c r="R22" s="114">
        <f t="shared" si="4"/>
        <v>331.09195554007584</v>
      </c>
      <c r="S22" s="114">
        <f t="shared" si="4"/>
        <v>331.09195554007584</v>
      </c>
      <c r="T22" s="114">
        <f t="shared" si="4"/>
        <v>331.09195554007584</v>
      </c>
      <c r="U22" s="114">
        <f t="shared" si="4"/>
        <v>331.09195554007584</v>
      </c>
      <c r="V22" s="114">
        <f t="shared" si="4"/>
        <v>331.09195554007584</v>
      </c>
      <c r="W22" s="114">
        <f t="shared" si="4"/>
        <v>0</v>
      </c>
      <c r="X22" s="114">
        <f t="shared" si="4"/>
        <v>331.09195554007584</v>
      </c>
      <c r="Y22" s="114">
        <f t="shared" si="4"/>
        <v>0</v>
      </c>
      <c r="Z22" s="114">
        <f t="shared" si="4"/>
        <v>0</v>
      </c>
      <c r="AA22" s="114">
        <f t="shared" si="4"/>
        <v>331.09195554007584</v>
      </c>
      <c r="AB22" s="114">
        <f t="shared" si="4"/>
        <v>331.09195554007584</v>
      </c>
      <c r="AC22" s="114">
        <f t="shared" si="4"/>
        <v>331.09195554007584</v>
      </c>
      <c r="AD22" s="114">
        <f t="shared" si="4"/>
        <v>331.09195554007584</v>
      </c>
      <c r="AE22" s="114">
        <f t="shared" si="4"/>
        <v>331.09195554007584</v>
      </c>
      <c r="AF22" s="114">
        <f t="shared" si="4"/>
        <v>331.09195554007584</v>
      </c>
      <c r="AG22" s="114">
        <f t="shared" si="4"/>
        <v>0</v>
      </c>
      <c r="AH22" s="114">
        <f t="shared" si="4"/>
        <v>331.09195554007584</v>
      </c>
      <c r="AI22" s="114">
        <f t="shared" si="4"/>
        <v>331.09195554007584</v>
      </c>
      <c r="AJ22" s="114">
        <f t="shared" si="4"/>
        <v>331.09195554007584</v>
      </c>
      <c r="AK22" s="114">
        <f t="shared" si="4"/>
        <v>331.09195554007584</v>
      </c>
      <c r="AL22" s="114">
        <f t="shared" si="4"/>
        <v>134.88840817923364</v>
      </c>
      <c r="AM22" s="114">
        <f t="shared" si="4"/>
        <v>331.09195554007584</v>
      </c>
      <c r="AN22" s="114">
        <f t="shared" si="4"/>
        <v>331.09195554007584</v>
      </c>
      <c r="AO22" s="114">
        <f t="shared" si="4"/>
        <v>331.09195554007584</v>
      </c>
      <c r="AP22" s="114">
        <f t="shared" si="4"/>
        <v>331.09195554007584</v>
      </c>
      <c r="AQ22" s="114">
        <f t="shared" si="4"/>
        <v>331.09195554007584</v>
      </c>
      <c r="AR22" s="114">
        <f t="shared" si="4"/>
        <v>331.09195554007584</v>
      </c>
      <c r="AS22" s="114">
        <f t="shared" si="4"/>
        <v>331.09195554007584</v>
      </c>
      <c r="AT22" s="114">
        <f t="shared" si="4"/>
        <v>331.09195554007584</v>
      </c>
      <c r="AU22" s="114">
        <f t="shared" si="4"/>
        <v>331.09195554007584</v>
      </c>
      <c r="AV22" s="114">
        <f t="shared" si="4"/>
        <v>331.09195554007584</v>
      </c>
      <c r="AW22" s="114">
        <f t="shared" si="4"/>
        <v>264.87356443206073</v>
      </c>
      <c r="AX22" s="114">
        <f t="shared" si="4"/>
        <v>137.82847970979097</v>
      </c>
      <c r="AY22" s="114">
        <f t="shared" si="4"/>
        <v>264.87356443206073</v>
      </c>
      <c r="AZ22" s="141">
        <f t="shared" ref="AZ22:AZ30" si="5">SUM($D22:$AY22)</f>
        <v>14046.142238356184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537816.0889198482</v>
      </c>
      <c r="E23" s="100">
        <f t="shared" ref="E23:AY23" si="6">E$21*$B$23</f>
        <v>537816.0889198482</v>
      </c>
      <c r="F23" s="100">
        <f t="shared" si="6"/>
        <v>537816.0889198482</v>
      </c>
      <c r="G23" s="100">
        <f t="shared" si="6"/>
        <v>537816.0889198482</v>
      </c>
      <c r="H23" s="100">
        <f t="shared" si="6"/>
        <v>537816.0889198482</v>
      </c>
      <c r="I23" s="100">
        <f t="shared" si="6"/>
        <v>537816.0889198482</v>
      </c>
      <c r="J23" s="100">
        <f t="shared" si="6"/>
        <v>537816.0889198482</v>
      </c>
      <c r="K23" s="100">
        <f t="shared" si="6"/>
        <v>537816.0889198482</v>
      </c>
      <c r="L23" s="100">
        <f t="shared" si="6"/>
        <v>537816.0889198482</v>
      </c>
      <c r="M23" s="100">
        <f t="shared" si="6"/>
        <v>537816.0889198482</v>
      </c>
      <c r="N23" s="100">
        <f t="shared" si="6"/>
        <v>537816.0889198482</v>
      </c>
      <c r="O23" s="100">
        <f t="shared" si="6"/>
        <v>537816.0889198482</v>
      </c>
      <c r="P23" s="100">
        <f t="shared" si="6"/>
        <v>537816.0889198482</v>
      </c>
      <c r="Q23" s="100">
        <f t="shared" si="6"/>
        <v>537816.0889198482</v>
      </c>
      <c r="R23" s="100">
        <f t="shared" si="6"/>
        <v>537816.0889198482</v>
      </c>
      <c r="S23" s="100">
        <f t="shared" si="6"/>
        <v>537816.0889198482</v>
      </c>
      <c r="T23" s="100">
        <f t="shared" si="6"/>
        <v>537816.0889198482</v>
      </c>
      <c r="U23" s="100">
        <f t="shared" si="6"/>
        <v>537816.0889198482</v>
      </c>
      <c r="V23" s="100">
        <f t="shared" si="6"/>
        <v>537816.0889198482</v>
      </c>
      <c r="W23" s="100">
        <f t="shared" si="6"/>
        <v>0</v>
      </c>
      <c r="X23" s="100">
        <f t="shared" si="6"/>
        <v>537816.0889198482</v>
      </c>
      <c r="Y23" s="100">
        <f t="shared" si="6"/>
        <v>0</v>
      </c>
      <c r="Z23" s="100">
        <f t="shared" si="6"/>
        <v>0</v>
      </c>
      <c r="AA23" s="100">
        <f t="shared" si="6"/>
        <v>537816.0889198482</v>
      </c>
      <c r="AB23" s="100">
        <f t="shared" si="6"/>
        <v>537816.0889198482</v>
      </c>
      <c r="AC23" s="100">
        <f t="shared" si="6"/>
        <v>537816.0889198482</v>
      </c>
      <c r="AD23" s="100">
        <f t="shared" si="6"/>
        <v>537816.0889198482</v>
      </c>
      <c r="AE23" s="100">
        <f t="shared" si="6"/>
        <v>537816.0889198482</v>
      </c>
      <c r="AF23" s="100">
        <f t="shared" si="6"/>
        <v>537816.0889198482</v>
      </c>
      <c r="AG23" s="100">
        <f t="shared" si="6"/>
        <v>0</v>
      </c>
      <c r="AH23" s="100">
        <f t="shared" si="6"/>
        <v>537816.0889198482</v>
      </c>
      <c r="AI23" s="100">
        <f t="shared" si="6"/>
        <v>537816.0889198482</v>
      </c>
      <c r="AJ23" s="100">
        <f t="shared" si="6"/>
        <v>537816.0889198482</v>
      </c>
      <c r="AK23" s="100">
        <f t="shared" si="6"/>
        <v>537816.0889198482</v>
      </c>
      <c r="AL23" s="100">
        <f t="shared" si="6"/>
        <v>219108.7850782848</v>
      </c>
      <c r="AM23" s="100">
        <f t="shared" si="6"/>
        <v>537816.0889198482</v>
      </c>
      <c r="AN23" s="100">
        <f t="shared" si="6"/>
        <v>537816.0889198482</v>
      </c>
      <c r="AO23" s="100">
        <f t="shared" si="6"/>
        <v>537816.0889198482</v>
      </c>
      <c r="AP23" s="100">
        <f t="shared" si="6"/>
        <v>537816.0889198482</v>
      </c>
      <c r="AQ23" s="100">
        <f t="shared" si="6"/>
        <v>537816.0889198482</v>
      </c>
      <c r="AR23" s="100">
        <f t="shared" si="6"/>
        <v>537816.0889198482</v>
      </c>
      <c r="AS23" s="100">
        <f t="shared" si="6"/>
        <v>537816.0889198482</v>
      </c>
      <c r="AT23" s="100">
        <f t="shared" si="6"/>
        <v>537816.0889198482</v>
      </c>
      <c r="AU23" s="100">
        <f t="shared" si="6"/>
        <v>537816.0889198482</v>
      </c>
      <c r="AV23" s="100">
        <f t="shared" si="6"/>
        <v>537816.0889198482</v>
      </c>
      <c r="AW23" s="100">
        <f t="shared" si="6"/>
        <v>430252.87113587867</v>
      </c>
      <c r="AX23" s="100">
        <f t="shared" si="6"/>
        <v>223884.55128235841</v>
      </c>
      <c r="AY23" s="100">
        <f t="shared" si="6"/>
        <v>430252.87113587867</v>
      </c>
      <c r="AZ23" s="139">
        <f t="shared" si="5"/>
        <v>22816142.635426331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331091.95554007578</v>
      </c>
      <c r="E24" s="106">
        <f t="shared" ref="E24:AY24" si="7">E$22*$B$24</f>
        <v>331091.95554007584</v>
      </c>
      <c r="F24" s="106">
        <f t="shared" si="7"/>
        <v>331091.95554007584</v>
      </c>
      <c r="G24" s="106">
        <f t="shared" si="7"/>
        <v>331091.95554007584</v>
      </c>
      <c r="H24" s="106">
        <f t="shared" si="7"/>
        <v>331091.95554007584</v>
      </c>
      <c r="I24" s="106">
        <f t="shared" si="7"/>
        <v>331091.95554007584</v>
      </c>
      <c r="J24" s="106">
        <f t="shared" si="7"/>
        <v>331091.95554007584</v>
      </c>
      <c r="K24" s="106">
        <f t="shared" si="7"/>
        <v>331091.95554007584</v>
      </c>
      <c r="L24" s="106">
        <f t="shared" si="7"/>
        <v>331091.95554007584</v>
      </c>
      <c r="M24" s="106">
        <f t="shared" si="7"/>
        <v>331091.95554007584</v>
      </c>
      <c r="N24" s="106">
        <f t="shared" si="7"/>
        <v>331091.95554007584</v>
      </c>
      <c r="O24" s="106">
        <f t="shared" si="7"/>
        <v>331091.95554007584</v>
      </c>
      <c r="P24" s="106">
        <f t="shared" si="7"/>
        <v>331091.95554007584</v>
      </c>
      <c r="Q24" s="106">
        <f t="shared" si="7"/>
        <v>331091.95554007584</v>
      </c>
      <c r="R24" s="106">
        <f t="shared" si="7"/>
        <v>331091.95554007584</v>
      </c>
      <c r="S24" s="106">
        <f t="shared" si="7"/>
        <v>331091.95554007584</v>
      </c>
      <c r="T24" s="106">
        <f t="shared" si="7"/>
        <v>331091.95554007584</v>
      </c>
      <c r="U24" s="106">
        <f t="shared" si="7"/>
        <v>331091.95554007584</v>
      </c>
      <c r="V24" s="106">
        <f t="shared" si="7"/>
        <v>331091.95554007584</v>
      </c>
      <c r="W24" s="106">
        <f t="shared" si="7"/>
        <v>0</v>
      </c>
      <c r="X24" s="106">
        <f t="shared" si="7"/>
        <v>331091.95554007584</v>
      </c>
      <c r="Y24" s="106">
        <f t="shared" si="7"/>
        <v>0</v>
      </c>
      <c r="Z24" s="106">
        <f t="shared" si="7"/>
        <v>0</v>
      </c>
      <c r="AA24" s="106">
        <f t="shared" si="7"/>
        <v>331091.95554007584</v>
      </c>
      <c r="AB24" s="106">
        <f t="shared" si="7"/>
        <v>331091.95554007584</v>
      </c>
      <c r="AC24" s="106">
        <f t="shared" si="7"/>
        <v>331091.95554007584</v>
      </c>
      <c r="AD24" s="106">
        <f t="shared" si="7"/>
        <v>331091.95554007584</v>
      </c>
      <c r="AE24" s="106">
        <f t="shared" si="7"/>
        <v>331091.95554007584</v>
      </c>
      <c r="AF24" s="106">
        <f t="shared" si="7"/>
        <v>331091.95554007584</v>
      </c>
      <c r="AG24" s="106">
        <f t="shared" si="7"/>
        <v>0</v>
      </c>
      <c r="AH24" s="106">
        <f t="shared" si="7"/>
        <v>331091.95554007584</v>
      </c>
      <c r="AI24" s="106">
        <f t="shared" si="7"/>
        <v>331091.95554007584</v>
      </c>
      <c r="AJ24" s="106">
        <f t="shared" si="7"/>
        <v>331091.95554007584</v>
      </c>
      <c r="AK24" s="106">
        <f t="shared" si="7"/>
        <v>331091.95554007584</v>
      </c>
      <c r="AL24" s="106">
        <f t="shared" si="7"/>
        <v>134888.40817923364</v>
      </c>
      <c r="AM24" s="106">
        <f t="shared" si="7"/>
        <v>331091.95554007584</v>
      </c>
      <c r="AN24" s="106">
        <f t="shared" si="7"/>
        <v>331091.95554007584</v>
      </c>
      <c r="AO24" s="106">
        <f t="shared" si="7"/>
        <v>331091.95554007584</v>
      </c>
      <c r="AP24" s="106">
        <f t="shared" si="7"/>
        <v>331091.95554007584</v>
      </c>
      <c r="AQ24" s="106">
        <f t="shared" si="7"/>
        <v>331091.95554007584</v>
      </c>
      <c r="AR24" s="106">
        <f t="shared" si="7"/>
        <v>331091.95554007584</v>
      </c>
      <c r="AS24" s="106">
        <f t="shared" si="7"/>
        <v>331091.95554007584</v>
      </c>
      <c r="AT24" s="106">
        <f t="shared" si="7"/>
        <v>331091.95554007584</v>
      </c>
      <c r="AU24" s="106">
        <f t="shared" si="7"/>
        <v>331091.95554007584</v>
      </c>
      <c r="AV24" s="106">
        <f t="shared" si="7"/>
        <v>331091.95554007584</v>
      </c>
      <c r="AW24" s="106">
        <f t="shared" si="7"/>
        <v>264873.56443206075</v>
      </c>
      <c r="AX24" s="106">
        <f t="shared" si="7"/>
        <v>137828.47970979096</v>
      </c>
      <c r="AY24" s="106">
        <f t="shared" si="7"/>
        <v>264873.56443206075</v>
      </c>
      <c r="AZ24" s="141">
        <f t="shared" si="5"/>
        <v>14046142.238356179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1</v>
      </c>
      <c r="I27" s="124">
        <f t="shared" si="8"/>
        <v>21</v>
      </c>
      <c r="J27" s="124">
        <f t="shared" si="8"/>
        <v>1</v>
      </c>
      <c r="K27" s="124">
        <f t="shared" si="8"/>
        <v>21</v>
      </c>
      <c r="L27" s="124">
        <f t="shared" si="8"/>
        <v>1</v>
      </c>
      <c r="M27" s="124">
        <f t="shared" si="8"/>
        <v>21</v>
      </c>
      <c r="N27" s="124">
        <f t="shared" si="8"/>
        <v>1</v>
      </c>
      <c r="O27" s="124">
        <f t="shared" si="8"/>
        <v>21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22</v>
      </c>
      <c r="Y27" s="124">
        <f t="shared" si="8"/>
        <v>1</v>
      </c>
      <c r="Z27" s="124">
        <f t="shared" si="8"/>
        <v>22</v>
      </c>
      <c r="AA27" s="124">
        <f t="shared" si="8"/>
        <v>22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22</v>
      </c>
      <c r="AI27" s="124">
        <f t="shared" si="8"/>
        <v>1</v>
      </c>
      <c r="AJ27" s="124">
        <f t="shared" si="8"/>
        <v>21</v>
      </c>
      <c r="AK27" s="124">
        <f t="shared" si="8"/>
        <v>1</v>
      </c>
      <c r="AL27" s="124">
        <f t="shared" si="8"/>
        <v>21</v>
      </c>
      <c r="AM27" s="124">
        <f t="shared" si="8"/>
        <v>13</v>
      </c>
      <c r="AN27" s="124">
        <f t="shared" si="8"/>
        <v>9</v>
      </c>
      <c r="AO27" s="124">
        <f t="shared" si="8"/>
        <v>13</v>
      </c>
      <c r="AP27" s="124">
        <f t="shared" si="8"/>
        <v>9</v>
      </c>
      <c r="AQ27" s="124">
        <f t="shared" si="8"/>
        <v>13</v>
      </c>
      <c r="AR27" s="124">
        <f t="shared" si="8"/>
        <v>9</v>
      </c>
      <c r="AS27" s="124">
        <f t="shared" si="8"/>
        <v>13</v>
      </c>
      <c r="AT27" s="124">
        <f t="shared" si="8"/>
        <v>9</v>
      </c>
      <c r="AU27" s="124">
        <f t="shared" si="8"/>
        <v>13</v>
      </c>
      <c r="AV27" s="124">
        <f t="shared" si="8"/>
        <v>9</v>
      </c>
      <c r="AW27" s="124">
        <f t="shared" si="8"/>
        <v>13</v>
      </c>
      <c r="AX27" s="124">
        <f t="shared" si="8"/>
        <v>9</v>
      </c>
      <c r="AY27" s="164">
        <f t="shared" si="8"/>
        <v>13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21</v>
      </c>
      <c r="H28" s="110">
        <v>1</v>
      </c>
      <c r="I28" s="110">
        <v>21</v>
      </c>
      <c r="J28" s="110">
        <v>1</v>
      </c>
      <c r="K28" s="110">
        <v>21</v>
      </c>
      <c r="L28" s="110">
        <v>1</v>
      </c>
      <c r="M28" s="110">
        <v>21</v>
      </c>
      <c r="N28" s="110">
        <v>1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0</v>
      </c>
      <c r="X28" s="110">
        <v>21</v>
      </c>
      <c r="Y28" s="110">
        <v>0</v>
      </c>
      <c r="Z28" s="110">
        <v>0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0</v>
      </c>
      <c r="AH28" s="110">
        <v>21</v>
      </c>
      <c r="AI28" s="110">
        <v>1</v>
      </c>
      <c r="AJ28" s="110">
        <v>21</v>
      </c>
      <c r="AK28" s="110">
        <v>1</v>
      </c>
      <c r="AL28" s="110">
        <v>9</v>
      </c>
      <c r="AM28" s="110">
        <v>13</v>
      </c>
      <c r="AN28" s="110">
        <v>9</v>
      </c>
      <c r="AO28" s="110">
        <v>13</v>
      </c>
      <c r="AP28" s="110">
        <v>9</v>
      </c>
      <c r="AQ28" s="110">
        <v>13</v>
      </c>
      <c r="AR28" s="110">
        <v>9</v>
      </c>
      <c r="AS28" s="110">
        <v>13</v>
      </c>
      <c r="AT28" s="110">
        <v>9</v>
      </c>
      <c r="AU28" s="110">
        <v>13</v>
      </c>
      <c r="AV28" s="110">
        <v>9</v>
      </c>
      <c r="AW28" s="110">
        <v>13</v>
      </c>
      <c r="AX28" s="110">
        <v>9</v>
      </c>
      <c r="AY28" s="166">
        <v>13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21</v>
      </c>
      <c r="I29" s="125">
        <f t="shared" si="9"/>
        <v>1</v>
      </c>
      <c r="J29" s="125">
        <f t="shared" si="9"/>
        <v>21</v>
      </c>
      <c r="K29" s="125">
        <f t="shared" si="9"/>
        <v>1</v>
      </c>
      <c r="L29" s="125">
        <f t="shared" si="9"/>
        <v>21</v>
      </c>
      <c r="M29" s="125">
        <f t="shared" si="9"/>
        <v>1</v>
      </c>
      <c r="N29" s="125">
        <f t="shared" si="9"/>
        <v>21</v>
      </c>
      <c r="O29" s="125">
        <f t="shared" si="9"/>
        <v>1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0</v>
      </c>
      <c r="Y29" s="125">
        <f t="shared" si="9"/>
        <v>21</v>
      </c>
      <c r="Z29" s="125">
        <f t="shared" si="9"/>
        <v>0</v>
      </c>
      <c r="AA29" s="125">
        <f t="shared" si="9"/>
        <v>0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0</v>
      </c>
      <c r="AI29" s="125">
        <f t="shared" si="9"/>
        <v>21</v>
      </c>
      <c r="AJ29" s="125">
        <f t="shared" si="9"/>
        <v>1</v>
      </c>
      <c r="AK29" s="125">
        <f t="shared" si="9"/>
        <v>21</v>
      </c>
      <c r="AL29" s="125">
        <f t="shared" si="9"/>
        <v>1</v>
      </c>
      <c r="AM29" s="125">
        <f t="shared" si="9"/>
        <v>9</v>
      </c>
      <c r="AN29" s="125">
        <f t="shared" si="9"/>
        <v>13</v>
      </c>
      <c r="AO29" s="125">
        <f t="shared" si="9"/>
        <v>9</v>
      </c>
      <c r="AP29" s="125">
        <f t="shared" si="9"/>
        <v>13</v>
      </c>
      <c r="AQ29" s="125">
        <f t="shared" si="9"/>
        <v>9</v>
      </c>
      <c r="AR29" s="125">
        <f t="shared" si="9"/>
        <v>13</v>
      </c>
      <c r="AS29" s="125">
        <f t="shared" si="9"/>
        <v>9</v>
      </c>
      <c r="AT29" s="125">
        <f t="shared" si="9"/>
        <v>13</v>
      </c>
      <c r="AU29" s="125">
        <f t="shared" si="9"/>
        <v>9</v>
      </c>
      <c r="AV29" s="125">
        <f t="shared" si="9"/>
        <v>13</v>
      </c>
      <c r="AW29" s="125">
        <f t="shared" si="9"/>
        <v>9</v>
      </c>
      <c r="AX29" s="125">
        <f t="shared" si="9"/>
        <v>13</v>
      </c>
      <c r="AY29" s="167">
        <f t="shared" si="9"/>
        <v>9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10</v>
      </c>
      <c r="I30" s="117">
        <f t="shared" si="10"/>
        <v>210</v>
      </c>
      <c r="J30" s="117">
        <f t="shared" si="10"/>
        <v>10</v>
      </c>
      <c r="K30" s="117">
        <f t="shared" si="10"/>
        <v>210</v>
      </c>
      <c r="L30" s="117">
        <f t="shared" si="10"/>
        <v>10</v>
      </c>
      <c r="M30" s="117">
        <f t="shared" si="10"/>
        <v>210</v>
      </c>
      <c r="N30" s="117">
        <f t="shared" si="10"/>
        <v>10</v>
      </c>
      <c r="O30" s="117">
        <f t="shared" si="10"/>
        <v>210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220</v>
      </c>
      <c r="Y30" s="117">
        <f t="shared" si="10"/>
        <v>10</v>
      </c>
      <c r="Z30" s="117">
        <f t="shared" si="10"/>
        <v>220</v>
      </c>
      <c r="AA30" s="117">
        <f t="shared" si="10"/>
        <v>220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220</v>
      </c>
      <c r="AI30" s="117">
        <f t="shared" si="10"/>
        <v>10</v>
      </c>
      <c r="AJ30" s="117">
        <f t="shared" si="10"/>
        <v>210</v>
      </c>
      <c r="AK30" s="117">
        <f t="shared" si="10"/>
        <v>10</v>
      </c>
      <c r="AL30" s="117">
        <f t="shared" si="10"/>
        <v>210</v>
      </c>
      <c r="AM30" s="117">
        <f t="shared" si="10"/>
        <v>130</v>
      </c>
      <c r="AN30" s="117">
        <f t="shared" si="10"/>
        <v>90</v>
      </c>
      <c r="AO30" s="117">
        <f t="shared" si="10"/>
        <v>130</v>
      </c>
      <c r="AP30" s="117">
        <f t="shared" si="10"/>
        <v>90</v>
      </c>
      <c r="AQ30" s="117">
        <f t="shared" si="10"/>
        <v>130</v>
      </c>
      <c r="AR30" s="117">
        <f t="shared" si="10"/>
        <v>90</v>
      </c>
      <c r="AS30" s="117">
        <f t="shared" si="10"/>
        <v>130</v>
      </c>
      <c r="AT30" s="117">
        <f t="shared" si="10"/>
        <v>90</v>
      </c>
      <c r="AU30" s="117">
        <f t="shared" si="10"/>
        <v>130</v>
      </c>
      <c r="AV30" s="117">
        <f t="shared" si="10"/>
        <v>90</v>
      </c>
      <c r="AW30" s="117">
        <f t="shared" si="10"/>
        <v>130</v>
      </c>
      <c r="AX30" s="117">
        <f t="shared" si="10"/>
        <v>90</v>
      </c>
      <c r="AY30" s="117">
        <f t="shared" si="10"/>
        <v>130</v>
      </c>
      <c r="AZ30" s="141">
        <f t="shared" si="5"/>
        <v>5640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115.78422904150258</v>
      </c>
      <c r="E33" s="124">
        <f>E$21*shipping_manufacturing!$D$27/100</f>
        <v>115.78422904150258</v>
      </c>
      <c r="F33" s="124">
        <f>F$21*shipping_manufacturing!$D$27/100</f>
        <v>115.78422904150258</v>
      </c>
      <c r="G33" s="124">
        <f>G$21*shipping_manufacturing!$D$27/100</f>
        <v>115.78422904150258</v>
      </c>
      <c r="H33" s="124">
        <f>H$21*shipping_manufacturing!$D$27/100</f>
        <v>115.78422904150258</v>
      </c>
      <c r="I33" s="124">
        <f>I$21*shipping_manufacturing!$D$27/100</f>
        <v>115.78422904150258</v>
      </c>
      <c r="J33" s="124">
        <f>J$21*shipping_manufacturing!$D$27/100</f>
        <v>115.78422904150258</v>
      </c>
      <c r="K33" s="124">
        <f>K$21*shipping_manufacturing!$D$27/100</f>
        <v>115.78422904150258</v>
      </c>
      <c r="L33" s="124">
        <f>L$21*shipping_manufacturing!$D$27/100</f>
        <v>115.78422904150258</v>
      </c>
      <c r="M33" s="124">
        <f>M$21*shipping_manufacturing!$D$27/100</f>
        <v>115.78422904150258</v>
      </c>
      <c r="N33" s="124">
        <f>N$21*shipping_manufacturing!$D$27/100</f>
        <v>115.78422904150258</v>
      </c>
      <c r="O33" s="124">
        <f>O$21*shipping_manufacturing!$D$27/100</f>
        <v>115.78422904150258</v>
      </c>
      <c r="P33" s="124">
        <f>P$21*shipping_manufacturing!$D$27/100</f>
        <v>115.78422904150258</v>
      </c>
      <c r="Q33" s="124">
        <f>Q$21*shipping_manufacturing!$D$27/100</f>
        <v>115.78422904150258</v>
      </c>
      <c r="R33" s="124">
        <f>R$21*shipping_manufacturing!$D$27/100</f>
        <v>115.78422904150258</v>
      </c>
      <c r="S33" s="124">
        <f>S$21*shipping_manufacturing!$D$27/100</f>
        <v>115.78422904150258</v>
      </c>
      <c r="T33" s="124">
        <f>T$21*shipping_manufacturing!$D$27/100</f>
        <v>115.78422904150258</v>
      </c>
      <c r="U33" s="124">
        <f>U$21*shipping_manufacturing!$D$27/100</f>
        <v>115.78422904150258</v>
      </c>
      <c r="V33" s="124">
        <f>V$21*shipping_manufacturing!$D$27/100</f>
        <v>115.78422904150258</v>
      </c>
      <c r="W33" s="124">
        <f>W$21*shipping_manufacturing!$D$27/100</f>
        <v>0</v>
      </c>
      <c r="X33" s="124">
        <f>X$21*shipping_manufacturing!$D$27/100</f>
        <v>115.78422904150258</v>
      </c>
      <c r="Y33" s="124">
        <f>Y$21*shipping_manufacturing!$D$27/100</f>
        <v>0</v>
      </c>
      <c r="Z33" s="124">
        <f>Z$21*shipping_manufacturing!$D$27/100</f>
        <v>0</v>
      </c>
      <c r="AA33" s="124">
        <f>AA$21*shipping_manufacturing!$D$27/100</f>
        <v>115.78422904150258</v>
      </c>
      <c r="AB33" s="124">
        <f>AB$21*shipping_manufacturing!$D$27/100</f>
        <v>115.78422904150258</v>
      </c>
      <c r="AC33" s="124">
        <f>AC$21*shipping_manufacturing!$D$27/100</f>
        <v>115.78422904150258</v>
      </c>
      <c r="AD33" s="124">
        <f>AD$21*shipping_manufacturing!$D$27/100</f>
        <v>115.78422904150258</v>
      </c>
      <c r="AE33" s="124">
        <f>AE$21*shipping_manufacturing!$D$27/100</f>
        <v>115.78422904150258</v>
      </c>
      <c r="AF33" s="124">
        <f>AF$21*shipping_manufacturing!$D$27/100</f>
        <v>115.78422904150258</v>
      </c>
      <c r="AG33" s="124">
        <f>AG$21*shipping_manufacturing!$D$27/100</f>
        <v>0</v>
      </c>
      <c r="AH33" s="124">
        <f>AH$21*shipping_manufacturing!$D$27/100</f>
        <v>115.78422904150258</v>
      </c>
      <c r="AI33" s="124">
        <f>AI$21*shipping_manufacturing!$D$27/100</f>
        <v>115.78422904150258</v>
      </c>
      <c r="AJ33" s="124">
        <f>AJ$21*shipping_manufacturing!$D$27/100</f>
        <v>115.78422904150258</v>
      </c>
      <c r="AK33" s="124">
        <f>AK$21*shipping_manufacturing!$D$27/100</f>
        <v>115.78422904150258</v>
      </c>
      <c r="AL33" s="124">
        <f>AL$21*shipping_manufacturing!$D$27/100</f>
        <v>47.17103537653805</v>
      </c>
      <c r="AM33" s="124">
        <f>AM$21*shipping_manufacturing!$D$27/100</f>
        <v>115.78422904150258</v>
      </c>
      <c r="AN33" s="124">
        <f>AN$21*shipping_manufacturing!$D$27/100</f>
        <v>115.78422904150258</v>
      </c>
      <c r="AO33" s="124">
        <f>AO$21*shipping_manufacturing!$D$27/100</f>
        <v>115.78422904150258</v>
      </c>
      <c r="AP33" s="124">
        <f>AP$21*shipping_manufacturing!$D$27/100</f>
        <v>115.78422904150258</v>
      </c>
      <c r="AQ33" s="124">
        <f>AQ$21*shipping_manufacturing!$D$27/100</f>
        <v>115.78422904150258</v>
      </c>
      <c r="AR33" s="124">
        <f>AR$21*shipping_manufacturing!$D$27/100</f>
        <v>115.78422904150258</v>
      </c>
      <c r="AS33" s="124">
        <f>AS$21*shipping_manufacturing!$D$27/100</f>
        <v>115.78422904150258</v>
      </c>
      <c r="AT33" s="124">
        <f>AT$21*shipping_manufacturing!$D$27/100</f>
        <v>115.78422904150258</v>
      </c>
      <c r="AU33" s="124">
        <f>AU$21*shipping_manufacturing!$D$27/100</f>
        <v>115.78422904150258</v>
      </c>
      <c r="AV33" s="124">
        <f>AV$21*shipping_manufacturing!$D$27/100</f>
        <v>115.78422904150258</v>
      </c>
      <c r="AW33" s="124">
        <f>AW$21*shipping_manufacturing!$D$27/100</f>
        <v>92.627383233202096</v>
      </c>
      <c r="AX33" s="124">
        <f>AX$21*shipping_manufacturing!$D$27/100</f>
        <v>48.199190575709736</v>
      </c>
      <c r="AY33" s="124">
        <f>AY$21*shipping_manufacturing!$D$27/100</f>
        <v>92.627383233202096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118.04140645061099</v>
      </c>
      <c r="E34" s="110">
        <f>E$22*shipping_manufacturing!$E$27/100</f>
        <v>118.04140645061101</v>
      </c>
      <c r="F34" s="110">
        <f>F$22*shipping_manufacturing!$E$27/100</f>
        <v>118.04140645061101</v>
      </c>
      <c r="G34" s="110">
        <f>G$22*shipping_manufacturing!$E$27/100</f>
        <v>118.04140645061101</v>
      </c>
      <c r="H34" s="110">
        <f>H$22*shipping_manufacturing!$E$27/100</f>
        <v>118.04140645061101</v>
      </c>
      <c r="I34" s="110">
        <f>I$22*shipping_manufacturing!$E$27/100</f>
        <v>118.04140645061101</v>
      </c>
      <c r="J34" s="110">
        <f>J$22*shipping_manufacturing!$E$27/100</f>
        <v>118.04140645061101</v>
      </c>
      <c r="K34" s="110">
        <f>K$22*shipping_manufacturing!$E$27/100</f>
        <v>118.04140645061101</v>
      </c>
      <c r="L34" s="110">
        <f>L$22*shipping_manufacturing!$E$27/100</f>
        <v>118.04140645061101</v>
      </c>
      <c r="M34" s="110">
        <f>M$22*shipping_manufacturing!$E$27/100</f>
        <v>118.04140645061101</v>
      </c>
      <c r="N34" s="110">
        <f>N$22*shipping_manufacturing!$E$27/100</f>
        <v>118.04140645061101</v>
      </c>
      <c r="O34" s="110">
        <f>O$22*shipping_manufacturing!$E$27/100</f>
        <v>118.04140645061101</v>
      </c>
      <c r="P34" s="110">
        <f>P$22*shipping_manufacturing!$E$27/100</f>
        <v>118.04140645061101</v>
      </c>
      <c r="Q34" s="110">
        <f>Q$22*shipping_manufacturing!$E$27/100</f>
        <v>118.04140645061101</v>
      </c>
      <c r="R34" s="110">
        <f>R$22*shipping_manufacturing!$E$27/100</f>
        <v>118.04140645061101</v>
      </c>
      <c r="S34" s="110">
        <f>S$22*shipping_manufacturing!$E$27/100</f>
        <v>118.04140645061101</v>
      </c>
      <c r="T34" s="110">
        <f>T$22*shipping_manufacturing!$E$27/100</f>
        <v>118.04140645061101</v>
      </c>
      <c r="U34" s="110">
        <f>U$22*shipping_manufacturing!$E$27/100</f>
        <v>118.04140645061101</v>
      </c>
      <c r="V34" s="110">
        <f>V$22*shipping_manufacturing!$E$27/100</f>
        <v>118.04140645061101</v>
      </c>
      <c r="W34" s="110">
        <f>W$22*shipping_manufacturing!$E$27/100</f>
        <v>0</v>
      </c>
      <c r="X34" s="110">
        <f>X$22*shipping_manufacturing!$E$27/100</f>
        <v>118.04140645061101</v>
      </c>
      <c r="Y34" s="110">
        <f>Y$22*shipping_manufacturing!$E$27/100</f>
        <v>0</v>
      </c>
      <c r="Z34" s="110">
        <f>Z$22*shipping_manufacturing!$E$27/100</f>
        <v>0</v>
      </c>
      <c r="AA34" s="110">
        <f>AA$22*shipping_manufacturing!$E$27/100</f>
        <v>118.04140645061101</v>
      </c>
      <c r="AB34" s="110">
        <f>AB$22*shipping_manufacturing!$E$27/100</f>
        <v>118.04140645061101</v>
      </c>
      <c r="AC34" s="110">
        <f>AC$22*shipping_manufacturing!$E$27/100</f>
        <v>118.04140645061101</v>
      </c>
      <c r="AD34" s="110">
        <f>AD$22*shipping_manufacturing!$E$27/100</f>
        <v>118.04140645061101</v>
      </c>
      <c r="AE34" s="110">
        <f>AE$22*shipping_manufacturing!$E$27/100</f>
        <v>118.04140645061101</v>
      </c>
      <c r="AF34" s="110">
        <f>AF$22*shipping_manufacturing!$E$27/100</f>
        <v>118.04140645061101</v>
      </c>
      <c r="AG34" s="110">
        <f>AG$22*shipping_manufacturing!$E$27/100</f>
        <v>0</v>
      </c>
      <c r="AH34" s="110">
        <f>AH$22*shipping_manufacturing!$E$27/100</f>
        <v>118.04140645061101</v>
      </c>
      <c r="AI34" s="110">
        <f>AI$22*shipping_manufacturing!$E$27/100</f>
        <v>118.04140645061101</v>
      </c>
      <c r="AJ34" s="110">
        <f>AJ$22*shipping_manufacturing!$E$27/100</f>
        <v>118.04140645061101</v>
      </c>
      <c r="AK34" s="110">
        <f>AK$22*shipping_manufacturing!$E$27/100</f>
        <v>118.04140645061101</v>
      </c>
      <c r="AL34" s="110">
        <f>AL$22*shipping_manufacturing!$E$27/100</f>
        <v>48.090619989205898</v>
      </c>
      <c r="AM34" s="110">
        <f>AM$22*shipping_manufacturing!$E$27/100</f>
        <v>118.04140645061101</v>
      </c>
      <c r="AN34" s="110">
        <f>AN$22*shipping_manufacturing!$E$27/100</f>
        <v>118.04140645061101</v>
      </c>
      <c r="AO34" s="110">
        <f>AO$22*shipping_manufacturing!$E$27/100</f>
        <v>118.04140645061101</v>
      </c>
      <c r="AP34" s="110">
        <f>AP$22*shipping_manufacturing!$E$27/100</f>
        <v>118.04140645061101</v>
      </c>
      <c r="AQ34" s="110">
        <f>AQ$22*shipping_manufacturing!$E$27/100</f>
        <v>118.04140645061101</v>
      </c>
      <c r="AR34" s="110">
        <f>AR$22*shipping_manufacturing!$E$27/100</f>
        <v>118.04140645061101</v>
      </c>
      <c r="AS34" s="110">
        <f>AS$22*shipping_manufacturing!$E$27/100</f>
        <v>118.04140645061101</v>
      </c>
      <c r="AT34" s="110">
        <f>AT$22*shipping_manufacturing!$E$27/100</f>
        <v>118.04140645061101</v>
      </c>
      <c r="AU34" s="110">
        <f>AU$22*shipping_manufacturing!$E$27/100</f>
        <v>118.04140645061101</v>
      </c>
      <c r="AV34" s="110">
        <f>AV$22*shipping_manufacturing!$E$27/100</f>
        <v>118.04140645061101</v>
      </c>
      <c r="AW34" s="110">
        <f>AW$22*shipping_manufacturing!$E$27/100</f>
        <v>94.433125160488828</v>
      </c>
      <c r="AX34" s="110">
        <f>AX$22*shipping_manufacturing!$E$27/100</f>
        <v>49.138818753099997</v>
      </c>
      <c r="AY34" s="110">
        <f>AY$22*shipping_manufacturing!$E$27/100</f>
        <v>94.433125160488828</v>
      </c>
    </row>
    <row r="35" spans="1:52">
      <c r="A35" s="110">
        <v>1225</v>
      </c>
      <c r="B35" s="165" t="s">
        <v>343</v>
      </c>
      <c r="C35" s="110"/>
      <c r="D35" s="110">
        <f>SUM(D33:D34)</f>
        <v>233.82563549211358</v>
      </c>
      <c r="E35" s="110">
        <f t="shared" ref="E35:AY35" si="11">SUM(E33:E34)</f>
        <v>233.82563549211358</v>
      </c>
      <c r="F35" s="110">
        <f t="shared" si="11"/>
        <v>233.82563549211358</v>
      </c>
      <c r="G35" s="110">
        <f t="shared" si="11"/>
        <v>233.82563549211358</v>
      </c>
      <c r="H35" s="110">
        <f t="shared" si="11"/>
        <v>233.82563549211358</v>
      </c>
      <c r="I35" s="110">
        <f t="shared" si="11"/>
        <v>233.82563549211358</v>
      </c>
      <c r="J35" s="110">
        <f t="shared" si="11"/>
        <v>233.82563549211358</v>
      </c>
      <c r="K35" s="110">
        <f t="shared" si="11"/>
        <v>233.82563549211358</v>
      </c>
      <c r="L35" s="110">
        <f t="shared" si="11"/>
        <v>233.82563549211358</v>
      </c>
      <c r="M35" s="110">
        <f t="shared" si="11"/>
        <v>233.82563549211358</v>
      </c>
      <c r="N35" s="110">
        <f t="shared" si="11"/>
        <v>233.82563549211358</v>
      </c>
      <c r="O35" s="110">
        <f t="shared" si="11"/>
        <v>233.82563549211358</v>
      </c>
      <c r="P35" s="110">
        <f t="shared" si="11"/>
        <v>233.82563549211358</v>
      </c>
      <c r="Q35" s="110">
        <f t="shared" si="11"/>
        <v>233.82563549211358</v>
      </c>
      <c r="R35" s="110">
        <f t="shared" si="11"/>
        <v>233.82563549211358</v>
      </c>
      <c r="S35" s="110">
        <f t="shared" si="11"/>
        <v>233.82563549211358</v>
      </c>
      <c r="T35" s="110">
        <f t="shared" si="11"/>
        <v>233.82563549211358</v>
      </c>
      <c r="U35" s="110">
        <f t="shared" si="11"/>
        <v>233.82563549211358</v>
      </c>
      <c r="V35" s="110">
        <f t="shared" si="11"/>
        <v>233.82563549211358</v>
      </c>
      <c r="W35" s="110">
        <f t="shared" si="11"/>
        <v>0</v>
      </c>
      <c r="X35" s="110">
        <f t="shared" si="11"/>
        <v>233.82563549211358</v>
      </c>
      <c r="Y35" s="110">
        <f t="shared" si="11"/>
        <v>0</v>
      </c>
      <c r="Z35" s="110">
        <f t="shared" si="11"/>
        <v>0</v>
      </c>
      <c r="AA35" s="110">
        <f t="shared" si="11"/>
        <v>233.82563549211358</v>
      </c>
      <c r="AB35" s="110">
        <f t="shared" si="11"/>
        <v>233.82563549211358</v>
      </c>
      <c r="AC35" s="110">
        <f t="shared" si="11"/>
        <v>233.82563549211358</v>
      </c>
      <c r="AD35" s="110">
        <f t="shared" si="11"/>
        <v>233.82563549211358</v>
      </c>
      <c r="AE35" s="110">
        <f t="shared" si="11"/>
        <v>233.82563549211358</v>
      </c>
      <c r="AF35" s="110">
        <f t="shared" si="11"/>
        <v>233.82563549211358</v>
      </c>
      <c r="AG35" s="110">
        <f t="shared" si="11"/>
        <v>0</v>
      </c>
      <c r="AH35" s="110">
        <f t="shared" si="11"/>
        <v>233.82563549211358</v>
      </c>
      <c r="AI35" s="110">
        <f t="shared" si="11"/>
        <v>233.82563549211358</v>
      </c>
      <c r="AJ35" s="110">
        <f t="shared" si="11"/>
        <v>233.82563549211358</v>
      </c>
      <c r="AK35" s="110">
        <f t="shared" si="11"/>
        <v>233.82563549211358</v>
      </c>
      <c r="AL35" s="110">
        <f t="shared" si="11"/>
        <v>95.261655365743948</v>
      </c>
      <c r="AM35" s="110">
        <f t="shared" si="11"/>
        <v>233.82563549211358</v>
      </c>
      <c r="AN35" s="110">
        <f t="shared" si="11"/>
        <v>233.82563549211358</v>
      </c>
      <c r="AO35" s="110">
        <f t="shared" si="11"/>
        <v>233.82563549211358</v>
      </c>
      <c r="AP35" s="110">
        <f t="shared" si="11"/>
        <v>233.82563549211358</v>
      </c>
      <c r="AQ35" s="110">
        <f t="shared" si="11"/>
        <v>233.82563549211358</v>
      </c>
      <c r="AR35" s="110">
        <f t="shared" si="11"/>
        <v>233.82563549211358</v>
      </c>
      <c r="AS35" s="110">
        <f t="shared" si="11"/>
        <v>233.82563549211358</v>
      </c>
      <c r="AT35" s="110">
        <f t="shared" si="11"/>
        <v>233.82563549211358</v>
      </c>
      <c r="AU35" s="110">
        <f t="shared" si="11"/>
        <v>233.82563549211358</v>
      </c>
      <c r="AV35" s="110">
        <f t="shared" si="11"/>
        <v>233.82563549211358</v>
      </c>
      <c r="AW35" s="110">
        <f t="shared" si="11"/>
        <v>187.06050839369092</v>
      </c>
      <c r="AX35" s="110">
        <f t="shared" si="11"/>
        <v>97.338009328809733</v>
      </c>
      <c r="AY35" s="110">
        <f t="shared" si="11"/>
        <v>187.06050839369092</v>
      </c>
    </row>
    <row r="36" spans="1:52">
      <c r="A36" s="110"/>
      <c r="B36" s="165" t="s">
        <v>344</v>
      </c>
      <c r="C36" s="110"/>
      <c r="D36" s="110"/>
      <c r="E36" s="110">
        <v>115.78422904150258</v>
      </c>
      <c r="F36" s="110"/>
      <c r="G36" s="110">
        <v>115.78422904150258</v>
      </c>
      <c r="H36" s="110"/>
      <c r="I36" s="110">
        <v>115.78422904150258</v>
      </c>
      <c r="J36" s="110"/>
      <c r="K36" s="110">
        <v>115.78422904150258</v>
      </c>
      <c r="L36" s="110"/>
      <c r="M36" s="110">
        <v>115.78422904150258</v>
      </c>
      <c r="N36" s="110"/>
      <c r="O36" s="110">
        <v>115.78422904150258</v>
      </c>
      <c r="P36" s="110"/>
      <c r="Q36" s="110">
        <v>115.78422904150258</v>
      </c>
      <c r="R36" s="110"/>
      <c r="S36" s="110">
        <v>115.78422904150258</v>
      </c>
      <c r="T36" s="110"/>
      <c r="U36" s="110">
        <v>115.78422904150258</v>
      </c>
      <c r="V36" s="110"/>
      <c r="W36" s="110"/>
      <c r="X36" s="110">
        <v>115.78422904150258</v>
      </c>
      <c r="Y36" s="110"/>
      <c r="Z36" s="110"/>
      <c r="AA36" s="110">
        <v>115.78422904150258</v>
      </c>
      <c r="AB36" s="110"/>
      <c r="AC36" s="110">
        <v>115.78422904150258</v>
      </c>
      <c r="AD36" s="110"/>
      <c r="AE36" s="110">
        <v>115.78422904150258</v>
      </c>
      <c r="AF36" s="110"/>
      <c r="AG36" s="110"/>
      <c r="AH36" s="110">
        <v>115.78422904150258</v>
      </c>
      <c r="AI36" s="110"/>
      <c r="AJ36" s="110">
        <v>115.78422904150258</v>
      </c>
      <c r="AK36" s="110"/>
      <c r="AL36" s="110">
        <v>47.171035376538057</v>
      </c>
      <c r="AM36" s="110">
        <v>59.420804976060573</v>
      </c>
      <c r="AN36" s="110">
        <v>29.71040248803029</v>
      </c>
      <c r="AO36" s="110">
        <v>59.420804976060573</v>
      </c>
      <c r="AP36" s="110">
        <v>29.71040248803029</v>
      </c>
      <c r="AQ36" s="110">
        <v>59.420804976060573</v>
      </c>
      <c r="AR36" s="110">
        <v>29.71040248803029</v>
      </c>
      <c r="AS36" s="110">
        <v>59.420804976060573</v>
      </c>
      <c r="AT36" s="110">
        <v>29.71040248803029</v>
      </c>
      <c r="AU36" s="110">
        <v>59.420804976060573</v>
      </c>
      <c r="AV36" s="110">
        <v>29.71040248803029</v>
      </c>
      <c r="AW36" s="110">
        <v>74.276006220075729</v>
      </c>
      <c r="AX36" s="110">
        <v>48.199190575709743</v>
      </c>
      <c r="AY36" s="110">
        <v>74.276006220075729</v>
      </c>
    </row>
    <row r="37" spans="1:52">
      <c r="A37" s="110"/>
      <c r="B37" s="165" t="s">
        <v>345</v>
      </c>
      <c r="C37" s="110"/>
      <c r="D37" s="110"/>
      <c r="E37" s="110">
        <v>118.04140645061103</v>
      </c>
      <c r="F37" s="110"/>
      <c r="G37" s="110">
        <v>118.04140645061103</v>
      </c>
      <c r="H37" s="110"/>
      <c r="I37" s="110">
        <v>118.04140645061103</v>
      </c>
      <c r="J37" s="110"/>
      <c r="K37" s="110">
        <v>118.04140645061103</v>
      </c>
      <c r="L37" s="110"/>
      <c r="M37" s="110">
        <v>118.04140645061103</v>
      </c>
      <c r="N37" s="110"/>
      <c r="O37" s="110">
        <v>118.04140645061103</v>
      </c>
      <c r="P37" s="110"/>
      <c r="Q37" s="110">
        <v>118.04140645061103</v>
      </c>
      <c r="R37" s="110"/>
      <c r="S37" s="110">
        <v>118.04140645061103</v>
      </c>
      <c r="T37" s="110"/>
      <c r="U37" s="110">
        <v>118.04140645061103</v>
      </c>
      <c r="V37" s="110"/>
      <c r="W37" s="110"/>
      <c r="X37" s="110">
        <v>118.04140645061103</v>
      </c>
      <c r="Y37" s="110"/>
      <c r="Z37" s="110"/>
      <c r="AA37" s="110">
        <v>118.04140645061103</v>
      </c>
      <c r="AB37" s="110"/>
      <c r="AC37" s="110">
        <v>118.04140645061103</v>
      </c>
      <c r="AD37" s="110"/>
      <c r="AE37" s="110">
        <v>118.04140645061103</v>
      </c>
      <c r="AF37" s="110"/>
      <c r="AG37" s="110"/>
      <c r="AH37" s="110">
        <v>118.04140645061103</v>
      </c>
      <c r="AI37" s="110"/>
      <c r="AJ37" s="110">
        <v>118.04140645061103</v>
      </c>
      <c r="AK37" s="110"/>
      <c r="AL37" s="110">
        <v>48.090619989205891</v>
      </c>
      <c r="AM37" s="110">
        <v>60.579195023939427</v>
      </c>
      <c r="AN37" s="110">
        <v>30.289597511969713</v>
      </c>
      <c r="AO37" s="110">
        <v>60.579195023939427</v>
      </c>
      <c r="AP37" s="110">
        <v>30.289597511969713</v>
      </c>
      <c r="AQ37" s="110">
        <v>60.579195023939427</v>
      </c>
      <c r="AR37" s="110">
        <v>30.289597511969713</v>
      </c>
      <c r="AS37" s="110">
        <v>60.579195023939427</v>
      </c>
      <c r="AT37" s="110">
        <v>30.289597511969713</v>
      </c>
      <c r="AU37" s="110">
        <v>60.579195023939427</v>
      </c>
      <c r="AV37" s="110">
        <v>30.289597511969713</v>
      </c>
      <c r="AW37" s="110">
        <v>75.723993779924285</v>
      </c>
      <c r="AX37" s="110">
        <v>49.13881875309999</v>
      </c>
      <c r="AY37" s="110">
        <v>75.723993779924285</v>
      </c>
    </row>
    <row r="38" spans="1:52">
      <c r="A38" s="110"/>
      <c r="B38" s="165" t="s">
        <v>346</v>
      </c>
      <c r="C38" s="110"/>
      <c r="D38" s="110"/>
      <c r="E38" s="110">
        <v>8</v>
      </c>
      <c r="F38" s="110"/>
      <c r="G38" s="110">
        <v>8</v>
      </c>
      <c r="H38" s="110"/>
      <c r="I38" s="110">
        <v>8</v>
      </c>
      <c r="J38" s="110"/>
      <c r="K38" s="110">
        <v>8</v>
      </c>
      <c r="L38" s="110"/>
      <c r="M38" s="110">
        <v>8</v>
      </c>
      <c r="N38" s="110"/>
      <c r="O38" s="110">
        <v>8</v>
      </c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/>
      <c r="X38" s="110">
        <v>8</v>
      </c>
      <c r="Y38" s="110"/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/>
      <c r="AH38" s="110">
        <v>8</v>
      </c>
      <c r="AI38" s="110"/>
      <c r="AJ38" s="110">
        <v>8</v>
      </c>
      <c r="AK38" s="110"/>
      <c r="AL38" s="110">
        <v>4</v>
      </c>
      <c r="AM38" s="110">
        <v>4</v>
      </c>
      <c r="AN38" s="110">
        <v>2</v>
      </c>
      <c r="AO38" s="110">
        <v>4</v>
      </c>
      <c r="AP38" s="110">
        <v>2</v>
      </c>
      <c r="AQ38" s="110">
        <v>4</v>
      </c>
      <c r="AR38" s="110">
        <v>2</v>
      </c>
      <c r="AS38" s="110">
        <v>4</v>
      </c>
      <c r="AT38" s="110">
        <v>2</v>
      </c>
      <c r="AU38" s="110">
        <v>4</v>
      </c>
      <c r="AV38" s="110">
        <v>2</v>
      </c>
      <c r="AW38" s="110">
        <v>5</v>
      </c>
      <c r="AX38" s="110">
        <v>4</v>
      </c>
      <c r="AY38" s="110">
        <v>5</v>
      </c>
    </row>
    <row r="39" spans="1:52">
      <c r="A39" s="110"/>
      <c r="B39" s="165" t="s">
        <v>347</v>
      </c>
      <c r="C39" s="110"/>
      <c r="D39" s="110">
        <f>D33-D36</f>
        <v>115.78422904150258</v>
      </c>
      <c r="E39" s="110">
        <f t="shared" ref="E39:AY39" si="12">E33-E36</f>
        <v>0</v>
      </c>
      <c r="F39" s="110">
        <f t="shared" si="12"/>
        <v>115.78422904150258</v>
      </c>
      <c r="G39" s="110">
        <f t="shared" si="12"/>
        <v>0</v>
      </c>
      <c r="H39" s="110">
        <f t="shared" si="12"/>
        <v>115.78422904150258</v>
      </c>
      <c r="I39" s="110">
        <f t="shared" si="12"/>
        <v>0</v>
      </c>
      <c r="J39" s="110">
        <f t="shared" si="12"/>
        <v>115.78422904150258</v>
      </c>
      <c r="K39" s="110">
        <f t="shared" si="12"/>
        <v>0</v>
      </c>
      <c r="L39" s="110">
        <f t="shared" si="12"/>
        <v>115.78422904150258</v>
      </c>
      <c r="M39" s="110">
        <f t="shared" si="12"/>
        <v>0</v>
      </c>
      <c r="N39" s="110">
        <f t="shared" si="12"/>
        <v>115.78422904150258</v>
      </c>
      <c r="O39" s="110">
        <f t="shared" si="12"/>
        <v>0</v>
      </c>
      <c r="P39" s="110">
        <f t="shared" si="12"/>
        <v>115.78422904150258</v>
      </c>
      <c r="Q39" s="110">
        <f t="shared" si="12"/>
        <v>0</v>
      </c>
      <c r="R39" s="110">
        <f t="shared" si="12"/>
        <v>115.78422904150258</v>
      </c>
      <c r="S39" s="110">
        <f t="shared" si="12"/>
        <v>0</v>
      </c>
      <c r="T39" s="110">
        <f t="shared" si="12"/>
        <v>115.78422904150258</v>
      </c>
      <c r="U39" s="110">
        <f t="shared" si="12"/>
        <v>0</v>
      </c>
      <c r="V39" s="110">
        <f t="shared" si="12"/>
        <v>115.78422904150258</v>
      </c>
      <c r="W39" s="110">
        <f t="shared" si="12"/>
        <v>0</v>
      </c>
      <c r="X39" s="110">
        <f t="shared" si="12"/>
        <v>0</v>
      </c>
      <c r="Y39" s="110">
        <f t="shared" si="12"/>
        <v>0</v>
      </c>
      <c r="Z39" s="110">
        <f t="shared" si="12"/>
        <v>0</v>
      </c>
      <c r="AA39" s="110">
        <f t="shared" si="12"/>
        <v>0</v>
      </c>
      <c r="AB39" s="110">
        <f t="shared" si="12"/>
        <v>115.78422904150258</v>
      </c>
      <c r="AC39" s="110">
        <f t="shared" si="12"/>
        <v>0</v>
      </c>
      <c r="AD39" s="110">
        <f t="shared" si="12"/>
        <v>115.78422904150258</v>
      </c>
      <c r="AE39" s="110">
        <f t="shared" si="12"/>
        <v>0</v>
      </c>
      <c r="AF39" s="110">
        <f t="shared" si="12"/>
        <v>115.78422904150258</v>
      </c>
      <c r="AG39" s="110">
        <f t="shared" si="12"/>
        <v>0</v>
      </c>
      <c r="AH39" s="110">
        <f t="shared" si="12"/>
        <v>0</v>
      </c>
      <c r="AI39" s="110">
        <f t="shared" si="12"/>
        <v>115.78422904150258</v>
      </c>
      <c r="AJ39" s="110">
        <f t="shared" si="12"/>
        <v>0</v>
      </c>
      <c r="AK39" s="110">
        <f t="shared" si="12"/>
        <v>115.78422904150258</v>
      </c>
      <c r="AL39" s="110">
        <f t="shared" si="12"/>
        <v>0</v>
      </c>
      <c r="AM39" s="110">
        <f t="shared" si="12"/>
        <v>56.363424065442011</v>
      </c>
      <c r="AN39" s="110">
        <f t="shared" si="12"/>
        <v>86.073826553472287</v>
      </c>
      <c r="AO39" s="110">
        <f t="shared" si="12"/>
        <v>56.363424065442011</v>
      </c>
      <c r="AP39" s="110">
        <f t="shared" si="12"/>
        <v>86.073826553472287</v>
      </c>
      <c r="AQ39" s="110">
        <f t="shared" si="12"/>
        <v>56.363424065442011</v>
      </c>
      <c r="AR39" s="110">
        <f t="shared" si="12"/>
        <v>86.073826553472287</v>
      </c>
      <c r="AS39" s="110">
        <f t="shared" si="12"/>
        <v>56.363424065442011</v>
      </c>
      <c r="AT39" s="110">
        <f t="shared" si="12"/>
        <v>86.073826553472287</v>
      </c>
      <c r="AU39" s="110">
        <f t="shared" si="12"/>
        <v>56.363424065442011</v>
      </c>
      <c r="AV39" s="110">
        <f t="shared" si="12"/>
        <v>86.073826553472287</v>
      </c>
      <c r="AW39" s="110">
        <f t="shared" si="12"/>
        <v>18.351377013126367</v>
      </c>
      <c r="AX39" s="110">
        <f t="shared" si="12"/>
        <v>0</v>
      </c>
      <c r="AY39" s="110">
        <f t="shared" si="12"/>
        <v>18.351377013126367</v>
      </c>
    </row>
    <row r="40" spans="1:52">
      <c r="A40" s="110"/>
      <c r="B40" s="165" t="s">
        <v>348</v>
      </c>
      <c r="C40" s="110"/>
      <c r="D40" s="110">
        <f>D34-D37</f>
        <v>118.04140645061099</v>
      </c>
      <c r="E40" s="110">
        <f t="shared" ref="E40:AY40" si="13">E34-E37</f>
        <v>0</v>
      </c>
      <c r="F40" s="110">
        <f t="shared" si="13"/>
        <v>118.04140645061101</v>
      </c>
      <c r="G40" s="110">
        <f t="shared" si="13"/>
        <v>0</v>
      </c>
      <c r="H40" s="110">
        <f t="shared" si="13"/>
        <v>118.04140645061101</v>
      </c>
      <c r="I40" s="110">
        <f t="shared" si="13"/>
        <v>0</v>
      </c>
      <c r="J40" s="110">
        <f t="shared" si="13"/>
        <v>118.04140645061101</v>
      </c>
      <c r="K40" s="110">
        <f t="shared" si="13"/>
        <v>0</v>
      </c>
      <c r="L40" s="110">
        <f t="shared" si="13"/>
        <v>118.04140645061101</v>
      </c>
      <c r="M40" s="110">
        <f t="shared" si="13"/>
        <v>0</v>
      </c>
      <c r="N40" s="110">
        <f t="shared" si="13"/>
        <v>118.04140645061101</v>
      </c>
      <c r="O40" s="110">
        <f t="shared" si="13"/>
        <v>0</v>
      </c>
      <c r="P40" s="110">
        <f t="shared" si="13"/>
        <v>118.04140645061101</v>
      </c>
      <c r="Q40" s="110">
        <f t="shared" si="13"/>
        <v>0</v>
      </c>
      <c r="R40" s="110">
        <f t="shared" si="13"/>
        <v>118.04140645061101</v>
      </c>
      <c r="S40" s="110">
        <f t="shared" si="13"/>
        <v>0</v>
      </c>
      <c r="T40" s="110">
        <f t="shared" si="13"/>
        <v>118.04140645061101</v>
      </c>
      <c r="U40" s="110">
        <f t="shared" si="13"/>
        <v>0</v>
      </c>
      <c r="V40" s="110">
        <f t="shared" si="13"/>
        <v>118.04140645061101</v>
      </c>
      <c r="W40" s="110">
        <f t="shared" si="13"/>
        <v>0</v>
      </c>
      <c r="X40" s="110">
        <f t="shared" si="13"/>
        <v>0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118.04140645061101</v>
      </c>
      <c r="AC40" s="110">
        <f t="shared" si="13"/>
        <v>0</v>
      </c>
      <c r="AD40" s="110">
        <f t="shared" si="13"/>
        <v>118.04140645061101</v>
      </c>
      <c r="AE40" s="110">
        <f t="shared" si="13"/>
        <v>0</v>
      </c>
      <c r="AF40" s="110">
        <f t="shared" si="13"/>
        <v>118.04140645061101</v>
      </c>
      <c r="AG40" s="110">
        <f t="shared" si="13"/>
        <v>0</v>
      </c>
      <c r="AH40" s="110">
        <f t="shared" si="13"/>
        <v>0</v>
      </c>
      <c r="AI40" s="110">
        <f t="shared" si="13"/>
        <v>118.04140645061101</v>
      </c>
      <c r="AJ40" s="110">
        <f t="shared" si="13"/>
        <v>0</v>
      </c>
      <c r="AK40" s="110">
        <f t="shared" si="13"/>
        <v>118.04140645061101</v>
      </c>
      <c r="AL40" s="110">
        <f t="shared" si="13"/>
        <v>0</v>
      </c>
      <c r="AM40" s="110">
        <f t="shared" si="13"/>
        <v>57.46221142667158</v>
      </c>
      <c r="AN40" s="110">
        <f t="shared" si="13"/>
        <v>87.75180893864129</v>
      </c>
      <c r="AO40" s="110">
        <f t="shared" si="13"/>
        <v>57.46221142667158</v>
      </c>
      <c r="AP40" s="110">
        <f t="shared" si="13"/>
        <v>87.75180893864129</v>
      </c>
      <c r="AQ40" s="110">
        <f t="shared" si="13"/>
        <v>57.46221142667158</v>
      </c>
      <c r="AR40" s="110">
        <f t="shared" si="13"/>
        <v>87.75180893864129</v>
      </c>
      <c r="AS40" s="110">
        <f t="shared" si="13"/>
        <v>57.46221142667158</v>
      </c>
      <c r="AT40" s="110">
        <f t="shared" si="13"/>
        <v>87.75180893864129</v>
      </c>
      <c r="AU40" s="110">
        <f t="shared" si="13"/>
        <v>57.46221142667158</v>
      </c>
      <c r="AV40" s="110">
        <f t="shared" si="13"/>
        <v>87.75180893864129</v>
      </c>
      <c r="AW40" s="110">
        <f t="shared" si="13"/>
        <v>18.709131380564543</v>
      </c>
      <c r="AX40" s="110">
        <f t="shared" si="13"/>
        <v>0</v>
      </c>
      <c r="AY40" s="110">
        <f t="shared" si="13"/>
        <v>18.709131380564543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2</v>
      </c>
      <c r="I41" s="110">
        <v>2</v>
      </c>
      <c r="J41" s="110">
        <v>1</v>
      </c>
      <c r="K41" s="110">
        <v>1</v>
      </c>
      <c r="L41" s="110">
        <v>3</v>
      </c>
      <c r="M41" s="110">
        <v>1</v>
      </c>
      <c r="N41" s="110">
        <v>1</v>
      </c>
      <c r="O41" s="110">
        <v>2</v>
      </c>
      <c r="P41" s="110">
        <v>1</v>
      </c>
      <c r="Q41" s="110">
        <v>1</v>
      </c>
      <c r="R41" s="110">
        <v>1</v>
      </c>
      <c r="S41" s="110">
        <v>1</v>
      </c>
      <c r="T41" s="110">
        <v>1</v>
      </c>
      <c r="U41" s="110">
        <v>1</v>
      </c>
      <c r="V41" s="110">
        <v>3</v>
      </c>
      <c r="W41" s="110">
        <v>2</v>
      </c>
      <c r="X41" s="110">
        <v>1</v>
      </c>
      <c r="Y41" s="110">
        <v>2</v>
      </c>
      <c r="Z41" s="110">
        <v>2</v>
      </c>
      <c r="AA41" s="110">
        <v>2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1</v>
      </c>
      <c r="AH41" s="110">
        <v>1</v>
      </c>
      <c r="AI41" s="110">
        <v>3</v>
      </c>
      <c r="AJ41" s="110">
        <v>1</v>
      </c>
      <c r="AK41" s="110">
        <v>1</v>
      </c>
      <c r="AL41" s="110">
        <v>3</v>
      </c>
      <c r="AM41" s="110">
        <v>2</v>
      </c>
      <c r="AN41" s="110">
        <v>1</v>
      </c>
      <c r="AO41" s="110">
        <v>2</v>
      </c>
      <c r="AP41" s="110">
        <v>3</v>
      </c>
      <c r="AQ41" s="110">
        <v>1</v>
      </c>
      <c r="AR41" s="110">
        <v>1</v>
      </c>
      <c r="AS41" s="110">
        <v>3</v>
      </c>
      <c r="AT41" s="110">
        <v>2</v>
      </c>
      <c r="AU41" s="110">
        <v>3</v>
      </c>
      <c r="AV41" s="110">
        <v>1</v>
      </c>
      <c r="AW41" s="110">
        <v>1</v>
      </c>
      <c r="AX41" s="110">
        <v>2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352800</v>
      </c>
      <c r="F42" s="110">
        <v>0</v>
      </c>
      <c r="G42" s="110">
        <v>352800</v>
      </c>
      <c r="H42" s="110">
        <v>0</v>
      </c>
      <c r="I42" s="110">
        <v>352800</v>
      </c>
      <c r="J42" s="110">
        <v>0</v>
      </c>
      <c r="K42" s="110">
        <v>352800</v>
      </c>
      <c r="L42" s="110">
        <v>0</v>
      </c>
      <c r="M42" s="110">
        <v>352800</v>
      </c>
      <c r="N42" s="110">
        <v>0</v>
      </c>
      <c r="O42" s="110">
        <v>352800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0</v>
      </c>
      <c r="X42" s="110">
        <v>352800</v>
      </c>
      <c r="Y42" s="110">
        <v>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0</v>
      </c>
      <c r="AH42" s="110">
        <v>352800</v>
      </c>
      <c r="AI42" s="110">
        <v>0</v>
      </c>
      <c r="AJ42" s="110">
        <v>352800</v>
      </c>
      <c r="AK42" s="110">
        <v>0</v>
      </c>
      <c r="AL42" s="110">
        <v>176400</v>
      </c>
      <c r="AM42" s="110">
        <v>176400</v>
      </c>
      <c r="AN42" s="110">
        <v>88200</v>
      </c>
      <c r="AO42" s="110">
        <v>176400</v>
      </c>
      <c r="AP42" s="110">
        <v>88200</v>
      </c>
      <c r="AQ42" s="110">
        <v>176400</v>
      </c>
      <c r="AR42" s="110">
        <v>88200</v>
      </c>
      <c r="AS42" s="110">
        <v>176400</v>
      </c>
      <c r="AT42" s="110">
        <v>88200</v>
      </c>
      <c r="AU42" s="110">
        <v>176400</v>
      </c>
      <c r="AV42" s="110">
        <v>88200</v>
      </c>
      <c r="AW42" s="110">
        <v>220500</v>
      </c>
      <c r="AX42" s="110">
        <v>176400</v>
      </c>
      <c r="AY42" s="110">
        <v>220500</v>
      </c>
      <c r="AZ42" s="100">
        <f>SUM($D$42:$AY$42)</f>
        <v>7408800</v>
      </c>
    </row>
    <row r="43" spans="1:52">
      <c r="A43" s="110"/>
      <c r="B43" s="178" t="s">
        <v>351</v>
      </c>
      <c r="C43" s="110"/>
      <c r="D43" s="110">
        <v>186183.66226059545</v>
      </c>
      <c r="E43" s="110">
        <v>0</v>
      </c>
      <c r="F43" s="110">
        <v>186183.66226059545</v>
      </c>
      <c r="G43" s="110">
        <v>0</v>
      </c>
      <c r="H43" s="110">
        <v>186183.66226059545</v>
      </c>
      <c r="I43" s="110">
        <v>0</v>
      </c>
      <c r="J43" s="110">
        <v>186183.66226059545</v>
      </c>
      <c r="K43" s="110">
        <v>0</v>
      </c>
      <c r="L43" s="110">
        <v>186183.66226059545</v>
      </c>
      <c r="M43" s="110">
        <v>0</v>
      </c>
      <c r="N43" s="110">
        <v>186183.66226059545</v>
      </c>
      <c r="O43" s="110">
        <v>0</v>
      </c>
      <c r="P43" s="110">
        <v>186183.66226059545</v>
      </c>
      <c r="Q43" s="110">
        <v>0</v>
      </c>
      <c r="R43" s="110">
        <v>186183.66226059545</v>
      </c>
      <c r="S43" s="110">
        <v>0</v>
      </c>
      <c r="T43" s="110">
        <v>186183.66226059545</v>
      </c>
      <c r="U43" s="110">
        <v>0</v>
      </c>
      <c r="V43" s="110">
        <v>186183.66226059545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186183.66226059545</v>
      </c>
      <c r="AC43" s="110">
        <v>0</v>
      </c>
      <c r="AD43" s="110">
        <v>186183.66226059545</v>
      </c>
      <c r="AE43" s="110">
        <v>0</v>
      </c>
      <c r="AF43" s="110">
        <v>186183.66226059545</v>
      </c>
      <c r="AG43" s="110">
        <v>0</v>
      </c>
      <c r="AH43" s="110">
        <v>0</v>
      </c>
      <c r="AI43" s="110">
        <v>186183.66226059545</v>
      </c>
      <c r="AJ43" s="110">
        <v>0</v>
      </c>
      <c r="AK43" s="110">
        <v>186183.66226059545</v>
      </c>
      <c r="AL43" s="110">
        <v>0</v>
      </c>
      <c r="AM43" s="110">
        <v>90633.662260595447</v>
      </c>
      <c r="AN43" s="110">
        <v>138408.66226059545</v>
      </c>
      <c r="AO43" s="110">
        <v>90633.662260595447</v>
      </c>
      <c r="AP43" s="110">
        <v>138408.66226059545</v>
      </c>
      <c r="AQ43" s="110">
        <v>90633.662260595447</v>
      </c>
      <c r="AR43" s="110">
        <v>138408.66226059545</v>
      </c>
      <c r="AS43" s="110">
        <v>90633.662260595447</v>
      </c>
      <c r="AT43" s="110">
        <v>138408.66226059545</v>
      </c>
      <c r="AU43" s="110">
        <v>90633.662260595447</v>
      </c>
      <c r="AV43" s="110">
        <v>138408.66226059545</v>
      </c>
      <c r="AW43" s="110">
        <v>29509.429808476387</v>
      </c>
      <c r="AX43" s="110">
        <v>0</v>
      </c>
      <c r="AY43" s="110">
        <v>29509.429808476387</v>
      </c>
      <c r="AZ43" s="100">
        <f>SUM($D$43:$AY$43)</f>
        <v>3996985.4161318364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153.12381541842149</v>
      </c>
      <c r="E44" s="124">
        <f>E$21*shipping_manufacturing!$D$28/100</f>
        <v>153.12381541842149</v>
      </c>
      <c r="F44" s="124">
        <f>F$21*shipping_manufacturing!$D$28/100</f>
        <v>153.12381541842149</v>
      </c>
      <c r="G44" s="124">
        <f>G$21*shipping_manufacturing!$D$28/100</f>
        <v>153.12381541842149</v>
      </c>
      <c r="H44" s="124">
        <f>H$21*shipping_manufacturing!$D$28/100</f>
        <v>153.12381541842149</v>
      </c>
      <c r="I44" s="124">
        <f>I$21*shipping_manufacturing!$D$28/100</f>
        <v>153.12381541842149</v>
      </c>
      <c r="J44" s="124">
        <f>J$21*shipping_manufacturing!$D$28/100</f>
        <v>153.12381541842149</v>
      </c>
      <c r="K44" s="124">
        <f>K$21*shipping_manufacturing!$D$28/100</f>
        <v>153.12381541842149</v>
      </c>
      <c r="L44" s="124">
        <f>L$21*shipping_manufacturing!$D$28/100</f>
        <v>153.12381541842149</v>
      </c>
      <c r="M44" s="124">
        <f>M$21*shipping_manufacturing!$D$28/100</f>
        <v>153.12381541842149</v>
      </c>
      <c r="N44" s="124">
        <f>N$21*shipping_manufacturing!$D$28/100</f>
        <v>153.12381541842149</v>
      </c>
      <c r="O44" s="124">
        <f>O$21*shipping_manufacturing!$D$28/100</f>
        <v>153.12381541842149</v>
      </c>
      <c r="P44" s="124">
        <f>P$21*shipping_manufacturing!$D$28/100</f>
        <v>153.12381541842149</v>
      </c>
      <c r="Q44" s="124">
        <f>Q$21*shipping_manufacturing!$D$28/100</f>
        <v>153.12381541842149</v>
      </c>
      <c r="R44" s="124">
        <f>R$21*shipping_manufacturing!$D$28/100</f>
        <v>153.12381541842149</v>
      </c>
      <c r="S44" s="124">
        <f>S$21*shipping_manufacturing!$D$28/100</f>
        <v>153.12381541842149</v>
      </c>
      <c r="T44" s="124">
        <f>T$21*shipping_manufacturing!$D$28/100</f>
        <v>153.12381541842149</v>
      </c>
      <c r="U44" s="124">
        <f>U$21*shipping_manufacturing!$D$28/100</f>
        <v>153.12381541842149</v>
      </c>
      <c r="V44" s="124">
        <f>V$21*shipping_manufacturing!$D$28/100</f>
        <v>153.12381541842149</v>
      </c>
      <c r="W44" s="124">
        <f>W$21*shipping_manufacturing!$D$28/100</f>
        <v>0</v>
      </c>
      <c r="X44" s="124">
        <f>X$21*shipping_manufacturing!$D$28/100</f>
        <v>153.12381541842149</v>
      </c>
      <c r="Y44" s="124">
        <f>Y$21*shipping_manufacturing!$D$28/100</f>
        <v>0</v>
      </c>
      <c r="Z44" s="124">
        <f>Z$21*shipping_manufacturing!$D$28/100</f>
        <v>0</v>
      </c>
      <c r="AA44" s="124">
        <f>AA$21*shipping_manufacturing!$D$28/100</f>
        <v>153.12381541842149</v>
      </c>
      <c r="AB44" s="124">
        <f>AB$21*shipping_manufacturing!$D$28/100</f>
        <v>153.12381541842149</v>
      </c>
      <c r="AC44" s="124">
        <f>AC$21*shipping_manufacturing!$D$28/100</f>
        <v>153.12381541842149</v>
      </c>
      <c r="AD44" s="124">
        <f>AD$21*shipping_manufacturing!$D$28/100</f>
        <v>153.12381541842149</v>
      </c>
      <c r="AE44" s="124">
        <f>AE$21*shipping_manufacturing!$D$28/100</f>
        <v>153.12381541842149</v>
      </c>
      <c r="AF44" s="124">
        <f>AF$21*shipping_manufacturing!$D$28/100</f>
        <v>153.12381541842149</v>
      </c>
      <c r="AG44" s="124">
        <f>AG$21*shipping_manufacturing!$D$28/100</f>
        <v>0</v>
      </c>
      <c r="AH44" s="124">
        <f>AH$21*shipping_manufacturing!$D$28/100</f>
        <v>153.12381541842149</v>
      </c>
      <c r="AI44" s="124">
        <f>AI$21*shipping_manufacturing!$D$28/100</f>
        <v>153.12381541842149</v>
      </c>
      <c r="AJ44" s="124">
        <f>AJ$21*shipping_manufacturing!$D$28/100</f>
        <v>153.12381541842149</v>
      </c>
      <c r="AK44" s="124">
        <f>AK$21*shipping_manufacturing!$D$28/100</f>
        <v>153.12381541842149</v>
      </c>
      <c r="AL44" s="124">
        <f>AL$21*shipping_manufacturing!$D$28/100</f>
        <v>62.383357162604341</v>
      </c>
      <c r="AM44" s="124">
        <f>AM$21*shipping_manufacturing!$D$28/100</f>
        <v>153.12381541842149</v>
      </c>
      <c r="AN44" s="124">
        <f>AN$21*shipping_manufacturing!$D$28/100</f>
        <v>153.12381541842149</v>
      </c>
      <c r="AO44" s="124">
        <f>AO$21*shipping_manufacturing!$D$28/100</f>
        <v>153.12381541842149</v>
      </c>
      <c r="AP44" s="124">
        <f>AP$21*shipping_manufacturing!$D$28/100</f>
        <v>153.12381541842149</v>
      </c>
      <c r="AQ44" s="124">
        <f>AQ$21*shipping_manufacturing!$D$28/100</f>
        <v>153.12381541842149</v>
      </c>
      <c r="AR44" s="124">
        <f>AR$21*shipping_manufacturing!$D$28/100</f>
        <v>153.12381541842149</v>
      </c>
      <c r="AS44" s="124">
        <f>AS$21*shipping_manufacturing!$D$28/100</f>
        <v>153.12381541842149</v>
      </c>
      <c r="AT44" s="124">
        <f>AT$21*shipping_manufacturing!$D$28/100</f>
        <v>153.12381541842149</v>
      </c>
      <c r="AU44" s="124">
        <f>AU$21*shipping_manufacturing!$D$28/100</f>
        <v>153.12381541842149</v>
      </c>
      <c r="AV44" s="124">
        <f>AV$21*shipping_manufacturing!$D$28/100</f>
        <v>153.12381541842149</v>
      </c>
      <c r="AW44" s="124">
        <f>AW$21*shipping_manufacturing!$D$28/100</f>
        <v>122.49905233473723</v>
      </c>
      <c r="AX44" s="124">
        <f>AX$21*shipping_manufacturing!$D$28/100</f>
        <v>63.743085065469458</v>
      </c>
      <c r="AY44" s="124">
        <f>AY$21*shipping_manufacturing!$D$28/100</f>
        <v>122.49905233473723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213.05054908946479</v>
      </c>
      <c r="E45" s="110">
        <f>E$22*shipping_manufacturing!$E$28/100</f>
        <v>213.05054908946485</v>
      </c>
      <c r="F45" s="110">
        <f>F$22*shipping_manufacturing!$E$28/100</f>
        <v>213.05054908946485</v>
      </c>
      <c r="G45" s="110">
        <f>G$22*shipping_manufacturing!$E$28/100</f>
        <v>213.05054908946485</v>
      </c>
      <c r="H45" s="110">
        <f>H$22*shipping_manufacturing!$E$28/100</f>
        <v>213.05054908946485</v>
      </c>
      <c r="I45" s="110">
        <f>I$22*shipping_manufacturing!$E$28/100</f>
        <v>213.05054908946485</v>
      </c>
      <c r="J45" s="110">
        <f>J$22*shipping_manufacturing!$E$28/100</f>
        <v>213.05054908946485</v>
      </c>
      <c r="K45" s="110">
        <f>K$22*shipping_manufacturing!$E$28/100</f>
        <v>213.05054908946485</v>
      </c>
      <c r="L45" s="110">
        <f>L$22*shipping_manufacturing!$E$28/100</f>
        <v>213.05054908946485</v>
      </c>
      <c r="M45" s="110">
        <f>M$22*shipping_manufacturing!$E$28/100</f>
        <v>213.05054908946485</v>
      </c>
      <c r="N45" s="110">
        <f>N$22*shipping_manufacturing!$E$28/100</f>
        <v>213.05054908946485</v>
      </c>
      <c r="O45" s="110">
        <f>O$22*shipping_manufacturing!$E$28/100</f>
        <v>213.05054908946485</v>
      </c>
      <c r="P45" s="110">
        <f>P$22*shipping_manufacturing!$E$28/100</f>
        <v>213.05054908946485</v>
      </c>
      <c r="Q45" s="110">
        <f>Q$22*shipping_manufacturing!$E$28/100</f>
        <v>213.05054908946485</v>
      </c>
      <c r="R45" s="110">
        <f>R$22*shipping_manufacturing!$E$28/100</f>
        <v>213.05054908946485</v>
      </c>
      <c r="S45" s="110">
        <f>S$22*shipping_manufacturing!$E$28/100</f>
        <v>213.05054908946485</v>
      </c>
      <c r="T45" s="110">
        <f>T$22*shipping_manufacturing!$E$28/100</f>
        <v>213.05054908946485</v>
      </c>
      <c r="U45" s="110">
        <f>U$22*shipping_manufacturing!$E$28/100</f>
        <v>213.05054908946485</v>
      </c>
      <c r="V45" s="110">
        <f>V$22*shipping_manufacturing!$E$28/100</f>
        <v>213.05054908946485</v>
      </c>
      <c r="W45" s="110">
        <f>W$22*shipping_manufacturing!$E$28/100</f>
        <v>0</v>
      </c>
      <c r="X45" s="110">
        <f>X$22*shipping_manufacturing!$E$28/100</f>
        <v>213.05054908946485</v>
      </c>
      <c r="Y45" s="110">
        <f>Y$22*shipping_manufacturing!$E$28/100</f>
        <v>0</v>
      </c>
      <c r="Z45" s="110">
        <f>Z$22*shipping_manufacturing!$E$28/100</f>
        <v>0</v>
      </c>
      <c r="AA45" s="110">
        <f>AA$22*shipping_manufacturing!$E$28/100</f>
        <v>213.05054908946485</v>
      </c>
      <c r="AB45" s="110">
        <f>AB$22*shipping_manufacturing!$E$28/100</f>
        <v>213.05054908946485</v>
      </c>
      <c r="AC45" s="110">
        <f>AC$22*shipping_manufacturing!$E$28/100</f>
        <v>213.05054908946485</v>
      </c>
      <c r="AD45" s="110">
        <f>AD$22*shipping_manufacturing!$E$28/100</f>
        <v>213.05054908946485</v>
      </c>
      <c r="AE45" s="110">
        <f>AE$22*shipping_manufacturing!$E$28/100</f>
        <v>213.05054908946485</v>
      </c>
      <c r="AF45" s="110">
        <f>AF$22*shipping_manufacturing!$E$28/100</f>
        <v>213.05054908946485</v>
      </c>
      <c r="AG45" s="110">
        <f>AG$22*shipping_manufacturing!$E$28/100</f>
        <v>0</v>
      </c>
      <c r="AH45" s="110">
        <f>AH$22*shipping_manufacturing!$E$28/100</f>
        <v>213.05054908946485</v>
      </c>
      <c r="AI45" s="110">
        <f>AI$22*shipping_manufacturing!$E$28/100</f>
        <v>213.05054908946485</v>
      </c>
      <c r="AJ45" s="110">
        <f>AJ$22*shipping_manufacturing!$E$28/100</f>
        <v>213.05054908946485</v>
      </c>
      <c r="AK45" s="110">
        <f>AK$22*shipping_manufacturing!$E$28/100</f>
        <v>213.05054908946485</v>
      </c>
      <c r="AL45" s="110">
        <f>AL$22*shipping_manufacturing!$E$28/100</f>
        <v>86.797788190027745</v>
      </c>
      <c r="AM45" s="110">
        <f>AM$22*shipping_manufacturing!$E$28/100</f>
        <v>213.05054908946485</v>
      </c>
      <c r="AN45" s="110">
        <f>AN$22*shipping_manufacturing!$E$28/100</f>
        <v>213.05054908946485</v>
      </c>
      <c r="AO45" s="110">
        <f>AO$22*shipping_manufacturing!$E$28/100</f>
        <v>213.05054908946485</v>
      </c>
      <c r="AP45" s="110">
        <f>AP$22*shipping_manufacturing!$E$28/100</f>
        <v>213.05054908946485</v>
      </c>
      <c r="AQ45" s="110">
        <f>AQ$22*shipping_manufacturing!$E$28/100</f>
        <v>213.05054908946485</v>
      </c>
      <c r="AR45" s="110">
        <f>AR$22*shipping_manufacturing!$E$28/100</f>
        <v>213.05054908946485</v>
      </c>
      <c r="AS45" s="110">
        <f>AS$22*shipping_manufacturing!$E$28/100</f>
        <v>213.05054908946485</v>
      </c>
      <c r="AT45" s="110">
        <f>AT$22*shipping_manufacturing!$E$28/100</f>
        <v>213.05054908946485</v>
      </c>
      <c r="AU45" s="110">
        <f>AU$22*shipping_manufacturing!$E$28/100</f>
        <v>213.05054908946485</v>
      </c>
      <c r="AV45" s="110">
        <f>AV$22*shipping_manufacturing!$E$28/100</f>
        <v>213.05054908946485</v>
      </c>
      <c r="AW45" s="110">
        <f>AW$22*shipping_manufacturing!$E$28/100</f>
        <v>170.44043927157193</v>
      </c>
      <c r="AX45" s="110">
        <f>AX$22*shipping_manufacturing!$E$28/100</f>
        <v>88.689660956690986</v>
      </c>
      <c r="AY45" s="110">
        <f>AY$22*shipping_manufacturing!$E$28/100</f>
        <v>170.44043927157193</v>
      </c>
    </row>
    <row r="46" spans="1:52">
      <c r="A46" s="110">
        <v>89</v>
      </c>
      <c r="B46" s="165" t="s">
        <v>343</v>
      </c>
      <c r="C46" s="110"/>
      <c r="D46" s="110">
        <f>SUM(D44:D45)</f>
        <v>366.17436450788625</v>
      </c>
      <c r="E46" s="110">
        <f t="shared" ref="E46:AY46" si="14">SUM(E44:E45)</f>
        <v>366.17436450788637</v>
      </c>
      <c r="F46" s="110">
        <f t="shared" si="14"/>
        <v>366.17436450788637</v>
      </c>
      <c r="G46" s="110">
        <f t="shared" si="14"/>
        <v>366.17436450788637</v>
      </c>
      <c r="H46" s="110">
        <f t="shared" si="14"/>
        <v>366.17436450788637</v>
      </c>
      <c r="I46" s="110">
        <f t="shared" si="14"/>
        <v>366.17436450788637</v>
      </c>
      <c r="J46" s="110">
        <f t="shared" si="14"/>
        <v>366.17436450788637</v>
      </c>
      <c r="K46" s="110">
        <f t="shared" si="14"/>
        <v>366.17436450788637</v>
      </c>
      <c r="L46" s="110">
        <f t="shared" si="14"/>
        <v>366.17436450788637</v>
      </c>
      <c r="M46" s="110">
        <f t="shared" si="14"/>
        <v>366.17436450788637</v>
      </c>
      <c r="N46" s="110">
        <f t="shared" si="14"/>
        <v>366.17436450788637</v>
      </c>
      <c r="O46" s="110">
        <f t="shared" si="14"/>
        <v>366.17436450788637</v>
      </c>
      <c r="P46" s="110">
        <f t="shared" si="14"/>
        <v>366.17436450788637</v>
      </c>
      <c r="Q46" s="110">
        <f t="shared" si="14"/>
        <v>366.17436450788637</v>
      </c>
      <c r="R46" s="110">
        <f t="shared" si="14"/>
        <v>366.17436450788637</v>
      </c>
      <c r="S46" s="110">
        <f t="shared" si="14"/>
        <v>366.17436450788637</v>
      </c>
      <c r="T46" s="110">
        <f t="shared" si="14"/>
        <v>366.17436450788637</v>
      </c>
      <c r="U46" s="110">
        <f t="shared" si="14"/>
        <v>366.17436450788637</v>
      </c>
      <c r="V46" s="110">
        <f t="shared" si="14"/>
        <v>366.17436450788637</v>
      </c>
      <c r="W46" s="110">
        <f t="shared" si="14"/>
        <v>0</v>
      </c>
      <c r="X46" s="110">
        <f t="shared" si="14"/>
        <v>366.17436450788637</v>
      </c>
      <c r="Y46" s="110">
        <f t="shared" si="14"/>
        <v>0</v>
      </c>
      <c r="Z46" s="110">
        <f t="shared" si="14"/>
        <v>0</v>
      </c>
      <c r="AA46" s="110">
        <f t="shared" si="14"/>
        <v>366.17436450788637</v>
      </c>
      <c r="AB46" s="110">
        <f t="shared" si="14"/>
        <v>366.17436450788637</v>
      </c>
      <c r="AC46" s="110">
        <f t="shared" si="14"/>
        <v>366.17436450788637</v>
      </c>
      <c r="AD46" s="110">
        <f t="shared" si="14"/>
        <v>366.17436450788637</v>
      </c>
      <c r="AE46" s="110">
        <f t="shared" si="14"/>
        <v>366.17436450788637</v>
      </c>
      <c r="AF46" s="110">
        <f t="shared" si="14"/>
        <v>366.17436450788637</v>
      </c>
      <c r="AG46" s="110">
        <f t="shared" si="14"/>
        <v>0</v>
      </c>
      <c r="AH46" s="110">
        <f t="shared" si="14"/>
        <v>366.17436450788637</v>
      </c>
      <c r="AI46" s="110">
        <f t="shared" si="14"/>
        <v>366.17436450788637</v>
      </c>
      <c r="AJ46" s="110">
        <f t="shared" si="14"/>
        <v>366.17436450788637</v>
      </c>
      <c r="AK46" s="110">
        <f t="shared" si="14"/>
        <v>366.17436450788637</v>
      </c>
      <c r="AL46" s="110">
        <f t="shared" si="14"/>
        <v>149.18114535263209</v>
      </c>
      <c r="AM46" s="110">
        <f t="shared" si="14"/>
        <v>366.17436450788637</v>
      </c>
      <c r="AN46" s="110">
        <f t="shared" si="14"/>
        <v>366.17436450788637</v>
      </c>
      <c r="AO46" s="110">
        <f t="shared" si="14"/>
        <v>366.17436450788637</v>
      </c>
      <c r="AP46" s="110">
        <f t="shared" si="14"/>
        <v>366.17436450788637</v>
      </c>
      <c r="AQ46" s="110">
        <f t="shared" si="14"/>
        <v>366.17436450788637</v>
      </c>
      <c r="AR46" s="110">
        <f t="shared" si="14"/>
        <v>366.17436450788637</v>
      </c>
      <c r="AS46" s="110">
        <f t="shared" si="14"/>
        <v>366.17436450788637</v>
      </c>
      <c r="AT46" s="110">
        <f t="shared" si="14"/>
        <v>366.17436450788637</v>
      </c>
      <c r="AU46" s="110">
        <f t="shared" si="14"/>
        <v>366.17436450788637</v>
      </c>
      <c r="AV46" s="110">
        <f t="shared" si="14"/>
        <v>366.17436450788637</v>
      </c>
      <c r="AW46" s="110">
        <f t="shared" si="14"/>
        <v>292.93949160630916</v>
      </c>
      <c r="AX46" s="110">
        <f t="shared" si="14"/>
        <v>152.43274602216044</v>
      </c>
      <c r="AY46" s="110">
        <f t="shared" si="14"/>
        <v>292.93949160630916</v>
      </c>
    </row>
    <row r="47" spans="1:52">
      <c r="A47" s="110"/>
      <c r="B47" s="165" t="s">
        <v>344</v>
      </c>
      <c r="C47" s="110"/>
      <c r="D47" s="110">
        <v>12.545155826859393</v>
      </c>
      <c r="E47" s="110">
        <v>153.12381541842146</v>
      </c>
      <c r="F47" s="110">
        <v>12.545155826859389</v>
      </c>
      <c r="G47" s="110">
        <v>153.12381541842146</v>
      </c>
      <c r="H47" s="110">
        <v>12.545155826859389</v>
      </c>
      <c r="I47" s="110">
        <v>153.12381541842146</v>
      </c>
      <c r="J47" s="110">
        <v>12.545155826859389</v>
      </c>
      <c r="K47" s="110">
        <v>153.12381541842146</v>
      </c>
      <c r="L47" s="110">
        <v>12.545155826859389</v>
      </c>
      <c r="M47" s="110">
        <v>153.12381541842146</v>
      </c>
      <c r="N47" s="110">
        <v>12.545155826859389</v>
      </c>
      <c r="O47" s="110">
        <v>153.12381541842146</v>
      </c>
      <c r="P47" s="110">
        <v>12.545155826859389</v>
      </c>
      <c r="Q47" s="110">
        <v>153.12381541842146</v>
      </c>
      <c r="R47" s="110">
        <v>12.545155826859389</v>
      </c>
      <c r="S47" s="110">
        <v>153.12381541842146</v>
      </c>
      <c r="T47" s="110">
        <v>12.545155826859389</v>
      </c>
      <c r="U47" s="110">
        <v>153.12381541842146</v>
      </c>
      <c r="V47" s="110">
        <v>12.545155826859389</v>
      </c>
      <c r="W47" s="110"/>
      <c r="X47" s="110">
        <v>153.12381541842146</v>
      </c>
      <c r="Y47" s="110"/>
      <c r="Z47" s="110"/>
      <c r="AA47" s="110">
        <v>153.12381541842146</v>
      </c>
      <c r="AB47" s="110">
        <v>12.545155826859389</v>
      </c>
      <c r="AC47" s="110">
        <v>153.12381541842146</v>
      </c>
      <c r="AD47" s="110">
        <v>12.545155826859389</v>
      </c>
      <c r="AE47" s="110">
        <v>153.12381541842146</v>
      </c>
      <c r="AF47" s="110">
        <v>12.545155826859389</v>
      </c>
      <c r="AG47" s="110"/>
      <c r="AH47" s="110">
        <v>153.12381541842146</v>
      </c>
      <c r="AI47" s="110">
        <v>12.545155826859389</v>
      </c>
      <c r="AJ47" s="110">
        <v>153.12381541842146</v>
      </c>
      <c r="AK47" s="110">
        <v>12.545155826859389</v>
      </c>
      <c r="AL47" s="110">
        <v>62.383357162604341</v>
      </c>
      <c r="AM47" s="110">
        <v>112.90640244173449</v>
      </c>
      <c r="AN47" s="110">
        <v>87.816090788015714</v>
      </c>
      <c r="AO47" s="110">
        <v>112.90640244173449</v>
      </c>
      <c r="AP47" s="110">
        <v>87.816090788015714</v>
      </c>
      <c r="AQ47" s="110">
        <v>112.90640244173449</v>
      </c>
      <c r="AR47" s="110">
        <v>87.816090788015714</v>
      </c>
      <c r="AS47" s="110">
        <v>112.90640244173449</v>
      </c>
      <c r="AT47" s="110">
        <v>87.816090788015714</v>
      </c>
      <c r="AU47" s="110">
        <v>112.90640244173449</v>
      </c>
      <c r="AV47" s="110">
        <v>87.816090788015714</v>
      </c>
      <c r="AW47" s="110">
        <v>100.36124661487516</v>
      </c>
      <c r="AX47" s="110">
        <v>62.72577913429695</v>
      </c>
      <c r="AY47" s="110">
        <v>100.36124661487516</v>
      </c>
    </row>
    <row r="48" spans="1:52">
      <c r="A48" s="110"/>
      <c r="B48" s="165" t="s">
        <v>345</v>
      </c>
      <c r="C48" s="110"/>
      <c r="D48" s="110">
        <v>17.454844173140611</v>
      </c>
      <c r="E48" s="110">
        <v>213.05054908946485</v>
      </c>
      <c r="F48" s="110">
        <v>17.454844173140607</v>
      </c>
      <c r="G48" s="110">
        <v>213.05054908946485</v>
      </c>
      <c r="H48" s="110">
        <v>17.454844173140607</v>
      </c>
      <c r="I48" s="110">
        <v>213.05054908946485</v>
      </c>
      <c r="J48" s="110">
        <v>17.454844173140607</v>
      </c>
      <c r="K48" s="110">
        <v>213.05054908946485</v>
      </c>
      <c r="L48" s="110">
        <v>17.454844173140607</v>
      </c>
      <c r="M48" s="110">
        <v>213.05054908946485</v>
      </c>
      <c r="N48" s="110">
        <v>17.454844173140607</v>
      </c>
      <c r="O48" s="110">
        <v>213.05054908946485</v>
      </c>
      <c r="P48" s="110">
        <v>17.454844173140607</v>
      </c>
      <c r="Q48" s="110">
        <v>213.05054908946485</v>
      </c>
      <c r="R48" s="110">
        <v>17.454844173140607</v>
      </c>
      <c r="S48" s="110">
        <v>213.05054908946485</v>
      </c>
      <c r="T48" s="110">
        <v>17.454844173140607</v>
      </c>
      <c r="U48" s="110">
        <v>213.05054908946485</v>
      </c>
      <c r="V48" s="110">
        <v>17.454844173140607</v>
      </c>
      <c r="W48" s="110"/>
      <c r="X48" s="110">
        <v>213.05054908946485</v>
      </c>
      <c r="Y48" s="110"/>
      <c r="Z48" s="110"/>
      <c r="AA48" s="110">
        <v>213.05054908946485</v>
      </c>
      <c r="AB48" s="110">
        <v>17.454844173140607</v>
      </c>
      <c r="AC48" s="110">
        <v>213.05054908946485</v>
      </c>
      <c r="AD48" s="110">
        <v>17.454844173140607</v>
      </c>
      <c r="AE48" s="110">
        <v>213.05054908946485</v>
      </c>
      <c r="AF48" s="110">
        <v>17.454844173140607</v>
      </c>
      <c r="AG48" s="110"/>
      <c r="AH48" s="110">
        <v>213.05054908946485</v>
      </c>
      <c r="AI48" s="110">
        <v>17.454844173140607</v>
      </c>
      <c r="AJ48" s="110">
        <v>213.05054908946485</v>
      </c>
      <c r="AK48" s="110">
        <v>17.454844173140607</v>
      </c>
      <c r="AL48" s="110">
        <v>86.797788190027745</v>
      </c>
      <c r="AM48" s="110">
        <v>157.09359755826549</v>
      </c>
      <c r="AN48" s="110">
        <v>122.18390921198429</v>
      </c>
      <c r="AO48" s="110">
        <v>157.09359755826549</v>
      </c>
      <c r="AP48" s="110">
        <v>122.18390921198429</v>
      </c>
      <c r="AQ48" s="110">
        <v>157.09359755826549</v>
      </c>
      <c r="AR48" s="110">
        <v>122.18390921198429</v>
      </c>
      <c r="AS48" s="110">
        <v>157.09359755826549</v>
      </c>
      <c r="AT48" s="110">
        <v>122.18390921198429</v>
      </c>
      <c r="AU48" s="110">
        <v>157.09359755826549</v>
      </c>
      <c r="AV48" s="110">
        <v>122.18390921198429</v>
      </c>
      <c r="AW48" s="110">
        <v>139.63875338512489</v>
      </c>
      <c r="AX48" s="110">
        <v>87.274220865703043</v>
      </c>
      <c r="AY48" s="110">
        <v>139.63875338512489</v>
      </c>
    </row>
    <row r="49" spans="1:52">
      <c r="A49" s="110"/>
      <c r="B49" s="165" t="s">
        <v>346</v>
      </c>
      <c r="C49" s="110"/>
      <c r="D49" s="110">
        <v>1</v>
      </c>
      <c r="E49" s="110">
        <v>13</v>
      </c>
      <c r="F49" s="110">
        <v>1</v>
      </c>
      <c r="G49" s="110">
        <v>13</v>
      </c>
      <c r="H49" s="110">
        <v>1</v>
      </c>
      <c r="I49" s="110">
        <v>13</v>
      </c>
      <c r="J49" s="110">
        <v>1</v>
      </c>
      <c r="K49" s="110">
        <v>13</v>
      </c>
      <c r="L49" s="110">
        <v>1</v>
      </c>
      <c r="M49" s="110">
        <v>13</v>
      </c>
      <c r="N49" s="110">
        <v>1</v>
      </c>
      <c r="O49" s="110">
        <v>13</v>
      </c>
      <c r="P49" s="110">
        <v>1</v>
      </c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/>
      <c r="X49" s="110">
        <v>13</v>
      </c>
      <c r="Y49" s="110"/>
      <c r="Z49" s="110"/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/>
      <c r="AH49" s="110">
        <v>13</v>
      </c>
      <c r="AI49" s="110">
        <v>1</v>
      </c>
      <c r="AJ49" s="110">
        <v>13</v>
      </c>
      <c r="AK49" s="110">
        <v>1</v>
      </c>
      <c r="AL49" s="110">
        <v>5</v>
      </c>
      <c r="AM49" s="110">
        <v>9</v>
      </c>
      <c r="AN49" s="110">
        <v>7</v>
      </c>
      <c r="AO49" s="110">
        <v>9</v>
      </c>
      <c r="AP49" s="110">
        <v>7</v>
      </c>
      <c r="AQ49" s="110">
        <v>9</v>
      </c>
      <c r="AR49" s="110">
        <v>7</v>
      </c>
      <c r="AS49" s="110">
        <v>9</v>
      </c>
      <c r="AT49" s="110">
        <v>7</v>
      </c>
      <c r="AU49" s="110">
        <v>9</v>
      </c>
      <c r="AV49" s="110">
        <v>7</v>
      </c>
      <c r="AW49" s="110">
        <v>8</v>
      </c>
      <c r="AX49" s="110">
        <v>5</v>
      </c>
      <c r="AY49" s="110">
        <v>8</v>
      </c>
    </row>
    <row r="50" spans="1:52">
      <c r="A50" s="110"/>
      <c r="B50" s="165" t="s">
        <v>347</v>
      </c>
      <c r="C50" s="110"/>
      <c r="D50" s="110">
        <f>D44-D47</f>
        <v>140.57865959156209</v>
      </c>
      <c r="E50" s="110">
        <f t="shared" ref="E50:AY50" si="15">E44-E47</f>
        <v>0</v>
      </c>
      <c r="F50" s="110">
        <f t="shared" si="15"/>
        <v>140.57865959156209</v>
      </c>
      <c r="G50" s="110">
        <f t="shared" si="15"/>
        <v>0</v>
      </c>
      <c r="H50" s="110">
        <f t="shared" si="15"/>
        <v>140.57865959156209</v>
      </c>
      <c r="I50" s="110">
        <f t="shared" si="15"/>
        <v>0</v>
      </c>
      <c r="J50" s="110">
        <f t="shared" si="15"/>
        <v>140.57865959156209</v>
      </c>
      <c r="K50" s="110">
        <f t="shared" si="15"/>
        <v>0</v>
      </c>
      <c r="L50" s="110">
        <f t="shared" si="15"/>
        <v>140.57865959156209</v>
      </c>
      <c r="M50" s="110">
        <f t="shared" si="15"/>
        <v>0</v>
      </c>
      <c r="N50" s="110">
        <f t="shared" si="15"/>
        <v>140.57865959156209</v>
      </c>
      <c r="O50" s="110">
        <f t="shared" si="15"/>
        <v>0</v>
      </c>
      <c r="P50" s="110">
        <f t="shared" si="15"/>
        <v>140.57865959156209</v>
      </c>
      <c r="Q50" s="110">
        <f t="shared" si="15"/>
        <v>0</v>
      </c>
      <c r="R50" s="110">
        <f t="shared" si="15"/>
        <v>140.57865959156209</v>
      </c>
      <c r="S50" s="110">
        <f t="shared" si="15"/>
        <v>0</v>
      </c>
      <c r="T50" s="110">
        <f t="shared" si="15"/>
        <v>140.57865959156209</v>
      </c>
      <c r="U50" s="110">
        <f t="shared" si="15"/>
        <v>0</v>
      </c>
      <c r="V50" s="110">
        <f t="shared" si="15"/>
        <v>140.57865959156209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140.57865959156209</v>
      </c>
      <c r="AC50" s="110">
        <f t="shared" si="15"/>
        <v>0</v>
      </c>
      <c r="AD50" s="110">
        <f t="shared" si="15"/>
        <v>140.57865959156209</v>
      </c>
      <c r="AE50" s="110">
        <f t="shared" si="15"/>
        <v>0</v>
      </c>
      <c r="AF50" s="110">
        <f t="shared" si="15"/>
        <v>140.57865959156209</v>
      </c>
      <c r="AG50" s="110">
        <f t="shared" si="15"/>
        <v>0</v>
      </c>
      <c r="AH50" s="110">
        <f t="shared" si="15"/>
        <v>0</v>
      </c>
      <c r="AI50" s="110">
        <f t="shared" si="15"/>
        <v>140.57865959156209</v>
      </c>
      <c r="AJ50" s="110">
        <f t="shared" si="15"/>
        <v>0</v>
      </c>
      <c r="AK50" s="110">
        <f t="shared" si="15"/>
        <v>140.57865959156209</v>
      </c>
      <c r="AL50" s="110">
        <f t="shared" si="15"/>
        <v>0</v>
      </c>
      <c r="AM50" s="110">
        <f t="shared" si="15"/>
        <v>40.217412976687001</v>
      </c>
      <c r="AN50" s="110">
        <f t="shared" si="15"/>
        <v>65.307724630405772</v>
      </c>
      <c r="AO50" s="110">
        <f t="shared" si="15"/>
        <v>40.217412976687001</v>
      </c>
      <c r="AP50" s="110">
        <f t="shared" si="15"/>
        <v>65.307724630405772</v>
      </c>
      <c r="AQ50" s="110">
        <f t="shared" si="15"/>
        <v>40.217412976687001</v>
      </c>
      <c r="AR50" s="110">
        <f t="shared" si="15"/>
        <v>65.307724630405772</v>
      </c>
      <c r="AS50" s="110">
        <f t="shared" si="15"/>
        <v>40.217412976687001</v>
      </c>
      <c r="AT50" s="110">
        <f t="shared" si="15"/>
        <v>65.307724630405772</v>
      </c>
      <c r="AU50" s="110">
        <f t="shared" si="15"/>
        <v>40.217412976687001</v>
      </c>
      <c r="AV50" s="110">
        <f t="shared" si="15"/>
        <v>65.307724630405772</v>
      </c>
      <c r="AW50" s="110">
        <f t="shared" si="15"/>
        <v>22.137805719862072</v>
      </c>
      <c r="AX50" s="110">
        <f t="shared" si="15"/>
        <v>1.0173059311725083</v>
      </c>
      <c r="AY50" s="110">
        <f t="shared" si="15"/>
        <v>22.137805719862072</v>
      </c>
    </row>
    <row r="51" spans="1:52">
      <c r="A51" s="110"/>
      <c r="B51" s="165" t="s">
        <v>348</v>
      </c>
      <c r="C51" s="110"/>
      <c r="D51" s="110">
        <f>D45-D48</f>
        <v>195.59570491632419</v>
      </c>
      <c r="E51" s="110">
        <f t="shared" ref="E51:AY51" si="16">E45-E48</f>
        <v>0</v>
      </c>
      <c r="F51" s="110">
        <f t="shared" si="16"/>
        <v>195.59570491632425</v>
      </c>
      <c r="G51" s="110">
        <f t="shared" si="16"/>
        <v>0</v>
      </c>
      <c r="H51" s="110">
        <f t="shared" si="16"/>
        <v>195.59570491632425</v>
      </c>
      <c r="I51" s="110">
        <f t="shared" si="16"/>
        <v>0</v>
      </c>
      <c r="J51" s="110">
        <f t="shared" si="16"/>
        <v>195.59570491632425</v>
      </c>
      <c r="K51" s="110">
        <f t="shared" si="16"/>
        <v>0</v>
      </c>
      <c r="L51" s="110">
        <f t="shared" si="16"/>
        <v>195.59570491632425</v>
      </c>
      <c r="M51" s="110">
        <f t="shared" si="16"/>
        <v>0</v>
      </c>
      <c r="N51" s="110">
        <f t="shared" si="16"/>
        <v>195.59570491632425</v>
      </c>
      <c r="O51" s="110">
        <f t="shared" si="16"/>
        <v>0</v>
      </c>
      <c r="P51" s="110">
        <f t="shared" si="16"/>
        <v>195.59570491632425</v>
      </c>
      <c r="Q51" s="110">
        <f t="shared" si="16"/>
        <v>0</v>
      </c>
      <c r="R51" s="110">
        <f t="shared" si="16"/>
        <v>195.59570491632425</v>
      </c>
      <c r="S51" s="110">
        <f t="shared" si="16"/>
        <v>0</v>
      </c>
      <c r="T51" s="110">
        <f t="shared" si="16"/>
        <v>195.59570491632425</v>
      </c>
      <c r="U51" s="110">
        <f t="shared" si="16"/>
        <v>0</v>
      </c>
      <c r="V51" s="110">
        <f t="shared" si="16"/>
        <v>195.59570491632425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195.59570491632425</v>
      </c>
      <c r="AC51" s="110">
        <f t="shared" si="16"/>
        <v>0</v>
      </c>
      <c r="AD51" s="110">
        <f t="shared" si="16"/>
        <v>195.59570491632425</v>
      </c>
      <c r="AE51" s="110">
        <f t="shared" si="16"/>
        <v>0</v>
      </c>
      <c r="AF51" s="110">
        <f t="shared" si="16"/>
        <v>195.59570491632425</v>
      </c>
      <c r="AG51" s="110">
        <f t="shared" si="16"/>
        <v>0</v>
      </c>
      <c r="AH51" s="110">
        <f t="shared" si="16"/>
        <v>0</v>
      </c>
      <c r="AI51" s="110">
        <f t="shared" si="16"/>
        <v>195.59570491632425</v>
      </c>
      <c r="AJ51" s="110">
        <f t="shared" si="16"/>
        <v>0</v>
      </c>
      <c r="AK51" s="110">
        <f t="shared" si="16"/>
        <v>195.59570491632425</v>
      </c>
      <c r="AL51" s="110">
        <f t="shared" si="16"/>
        <v>0</v>
      </c>
      <c r="AM51" s="110">
        <f t="shared" si="16"/>
        <v>55.956951531199365</v>
      </c>
      <c r="AN51" s="110">
        <f t="shared" si="16"/>
        <v>90.866639877480566</v>
      </c>
      <c r="AO51" s="110">
        <f t="shared" si="16"/>
        <v>55.956951531199365</v>
      </c>
      <c r="AP51" s="110">
        <f t="shared" si="16"/>
        <v>90.866639877480566</v>
      </c>
      <c r="AQ51" s="110">
        <f t="shared" si="16"/>
        <v>55.956951531199365</v>
      </c>
      <c r="AR51" s="110">
        <f t="shared" si="16"/>
        <v>90.866639877480566</v>
      </c>
      <c r="AS51" s="110">
        <f t="shared" si="16"/>
        <v>55.956951531199365</v>
      </c>
      <c r="AT51" s="110">
        <f t="shared" si="16"/>
        <v>90.866639877480566</v>
      </c>
      <c r="AU51" s="110">
        <f t="shared" si="16"/>
        <v>55.956951531199365</v>
      </c>
      <c r="AV51" s="110">
        <f t="shared" si="16"/>
        <v>90.866639877480566</v>
      </c>
      <c r="AW51" s="110">
        <f t="shared" si="16"/>
        <v>30.801685886447046</v>
      </c>
      <c r="AX51" s="110">
        <f t="shared" si="16"/>
        <v>1.4154400909879428</v>
      </c>
      <c r="AY51" s="110">
        <f t="shared" si="16"/>
        <v>30.801685886447046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2</v>
      </c>
      <c r="G52" s="110">
        <v>2</v>
      </c>
      <c r="H52" s="110">
        <v>1</v>
      </c>
      <c r="I52" s="110">
        <v>2</v>
      </c>
      <c r="J52" s="110">
        <v>2</v>
      </c>
      <c r="K52" s="110">
        <v>1</v>
      </c>
      <c r="L52" s="110">
        <v>1</v>
      </c>
      <c r="M52" s="110">
        <v>1</v>
      </c>
      <c r="N52" s="110">
        <v>2</v>
      </c>
      <c r="O52" s="110">
        <v>1</v>
      </c>
      <c r="P52" s="110">
        <v>2</v>
      </c>
      <c r="Q52" s="110">
        <v>2</v>
      </c>
      <c r="R52" s="110">
        <v>2</v>
      </c>
      <c r="S52" s="110">
        <v>1</v>
      </c>
      <c r="T52" s="110">
        <v>2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2</v>
      </c>
      <c r="AA52" s="110">
        <v>2</v>
      </c>
      <c r="AB52" s="110">
        <v>2</v>
      </c>
      <c r="AC52" s="110">
        <v>1</v>
      </c>
      <c r="AD52" s="110">
        <v>2</v>
      </c>
      <c r="AE52" s="110">
        <v>1</v>
      </c>
      <c r="AF52" s="110">
        <v>1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2</v>
      </c>
      <c r="AN52" s="110">
        <v>1</v>
      </c>
      <c r="AO52" s="110">
        <v>1</v>
      </c>
      <c r="AP52" s="110">
        <v>3</v>
      </c>
      <c r="AQ52" s="110">
        <v>1</v>
      </c>
      <c r="AR52" s="110">
        <v>2</v>
      </c>
      <c r="AS52" s="110">
        <v>2</v>
      </c>
      <c r="AT52" s="110">
        <v>1</v>
      </c>
      <c r="AU52" s="110">
        <v>1</v>
      </c>
      <c r="AV52" s="110">
        <v>3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41652</v>
      </c>
      <c r="F53" s="110">
        <v>3204</v>
      </c>
      <c r="G53" s="110">
        <v>41652</v>
      </c>
      <c r="H53" s="110">
        <v>3204</v>
      </c>
      <c r="I53" s="110">
        <v>41652</v>
      </c>
      <c r="J53" s="110">
        <v>3204</v>
      </c>
      <c r="K53" s="110">
        <v>41652</v>
      </c>
      <c r="L53" s="110">
        <v>3204</v>
      </c>
      <c r="M53" s="110">
        <v>41652</v>
      </c>
      <c r="N53" s="110">
        <v>3204</v>
      </c>
      <c r="O53" s="110">
        <v>41652</v>
      </c>
      <c r="P53" s="110">
        <v>3204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0</v>
      </c>
      <c r="X53" s="110">
        <v>41652</v>
      </c>
      <c r="Y53" s="110">
        <v>0</v>
      </c>
      <c r="Z53" s="110">
        <v>0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0</v>
      </c>
      <c r="AH53" s="110">
        <v>41652</v>
      </c>
      <c r="AI53" s="110">
        <v>3204</v>
      </c>
      <c r="AJ53" s="110">
        <v>41652</v>
      </c>
      <c r="AK53" s="110">
        <v>3204</v>
      </c>
      <c r="AL53" s="110">
        <v>16020</v>
      </c>
      <c r="AM53" s="110">
        <v>28836</v>
      </c>
      <c r="AN53" s="110">
        <v>22428</v>
      </c>
      <c r="AO53" s="110">
        <v>28836</v>
      </c>
      <c r="AP53" s="110">
        <v>22428</v>
      </c>
      <c r="AQ53" s="110">
        <v>28836</v>
      </c>
      <c r="AR53" s="110">
        <v>22428</v>
      </c>
      <c r="AS53" s="110">
        <v>28836</v>
      </c>
      <c r="AT53" s="110">
        <v>22428</v>
      </c>
      <c r="AU53" s="110">
        <v>28836</v>
      </c>
      <c r="AV53" s="110">
        <v>22428</v>
      </c>
      <c r="AW53" s="110">
        <v>25632</v>
      </c>
      <c r="AX53" s="110">
        <v>16020</v>
      </c>
      <c r="AY53" s="110">
        <v>25632</v>
      </c>
      <c r="AZ53" s="100">
        <f>SUM($D$53:$AY$53)</f>
        <v>1012464</v>
      </c>
    </row>
    <row r="54" spans="1:52">
      <c r="A54" s="110"/>
      <c r="B54" s="178" t="s">
        <v>351</v>
      </c>
      <c r="C54" s="110"/>
      <c r="D54" s="110">
        <v>19447.68698678122</v>
      </c>
      <c r="E54" s="110">
        <v>0</v>
      </c>
      <c r="F54" s="110">
        <v>19447.686986781227</v>
      </c>
      <c r="G54" s="110">
        <v>0</v>
      </c>
      <c r="H54" s="110">
        <v>19447.686986781227</v>
      </c>
      <c r="I54" s="110">
        <v>0</v>
      </c>
      <c r="J54" s="110">
        <v>19447.686986781227</v>
      </c>
      <c r="K54" s="110">
        <v>0</v>
      </c>
      <c r="L54" s="110">
        <v>19447.686986781227</v>
      </c>
      <c r="M54" s="110">
        <v>0</v>
      </c>
      <c r="N54" s="110">
        <v>19447.686986781227</v>
      </c>
      <c r="O54" s="110">
        <v>0</v>
      </c>
      <c r="P54" s="110">
        <v>19447.686986781227</v>
      </c>
      <c r="Q54" s="110">
        <v>0</v>
      </c>
      <c r="R54" s="110">
        <v>19447.686986781227</v>
      </c>
      <c r="S54" s="110">
        <v>0</v>
      </c>
      <c r="T54" s="110">
        <v>19447.686986781227</v>
      </c>
      <c r="U54" s="110">
        <v>0</v>
      </c>
      <c r="V54" s="110">
        <v>19447.686986781227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19447.686986781227</v>
      </c>
      <c r="AC54" s="110">
        <v>0</v>
      </c>
      <c r="AD54" s="110">
        <v>19447.686986781227</v>
      </c>
      <c r="AE54" s="110">
        <v>0</v>
      </c>
      <c r="AF54" s="110">
        <v>19447.686986781227</v>
      </c>
      <c r="AG54" s="110">
        <v>0</v>
      </c>
      <c r="AH54" s="110">
        <v>0</v>
      </c>
      <c r="AI54" s="110">
        <v>19447.686986781227</v>
      </c>
      <c r="AJ54" s="110">
        <v>0</v>
      </c>
      <c r="AK54" s="110">
        <v>19447.686986781227</v>
      </c>
      <c r="AL54" s="110">
        <v>0</v>
      </c>
      <c r="AM54" s="110">
        <v>5563.6869867812266</v>
      </c>
      <c r="AN54" s="110">
        <v>9034.6869867812256</v>
      </c>
      <c r="AO54" s="110">
        <v>5563.6869867812266</v>
      </c>
      <c r="AP54" s="110">
        <v>9034.6869867812256</v>
      </c>
      <c r="AQ54" s="110">
        <v>5563.6869867812266</v>
      </c>
      <c r="AR54" s="110">
        <v>9034.6869867812256</v>
      </c>
      <c r="AS54" s="110">
        <v>5563.6869867812266</v>
      </c>
      <c r="AT54" s="110">
        <v>9034.6869867812256</v>
      </c>
      <c r="AU54" s="110">
        <v>5563.6869867812266</v>
      </c>
      <c r="AV54" s="110">
        <v>9034.6869867812256</v>
      </c>
      <c r="AW54" s="110">
        <v>3062.549589424983</v>
      </c>
      <c r="AX54" s="110">
        <v>140.73435738198211</v>
      </c>
      <c r="AY54" s="110">
        <v>3062.549589424983</v>
      </c>
      <c r="AZ54" s="100">
        <f>SUM($D$54:$AY$54)</f>
        <v>370973.00820576283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2</v>
      </c>
      <c r="G63" s="110">
        <v>2</v>
      </c>
      <c r="H63" s="110">
        <v>2</v>
      </c>
      <c r="I63" s="110">
        <v>2</v>
      </c>
      <c r="J63" s="110">
        <v>3</v>
      </c>
      <c r="K63" s="110">
        <v>3</v>
      </c>
      <c r="L63" s="110">
        <v>2</v>
      </c>
      <c r="M63" s="110">
        <v>3</v>
      </c>
      <c r="N63" s="110">
        <v>3</v>
      </c>
      <c r="O63" s="110">
        <v>2</v>
      </c>
      <c r="P63" s="110">
        <v>3</v>
      </c>
      <c r="Q63" s="110">
        <v>2</v>
      </c>
      <c r="R63" s="110">
        <v>2</v>
      </c>
      <c r="S63" s="110">
        <v>3</v>
      </c>
      <c r="T63" s="110">
        <v>3</v>
      </c>
      <c r="U63" s="110">
        <v>2</v>
      </c>
      <c r="V63" s="110">
        <v>3</v>
      </c>
      <c r="W63" s="110">
        <v>4</v>
      </c>
      <c r="X63" s="110">
        <v>2</v>
      </c>
      <c r="Y63" s="110">
        <v>2</v>
      </c>
      <c r="Z63" s="110">
        <v>2</v>
      </c>
      <c r="AA63" s="110">
        <v>2</v>
      </c>
      <c r="AB63" s="110">
        <v>2</v>
      </c>
      <c r="AC63" s="110">
        <v>4</v>
      </c>
      <c r="AD63" s="110">
        <v>2</v>
      </c>
      <c r="AE63" s="110">
        <v>3</v>
      </c>
      <c r="AF63" s="110">
        <v>2</v>
      </c>
      <c r="AG63" s="110">
        <v>2</v>
      </c>
      <c r="AH63" s="110">
        <v>3</v>
      </c>
      <c r="AI63" s="110">
        <v>4</v>
      </c>
      <c r="AJ63" s="110">
        <v>2</v>
      </c>
      <c r="AK63" s="110">
        <v>2</v>
      </c>
      <c r="AL63" s="110">
        <v>2</v>
      </c>
      <c r="AM63" s="110">
        <v>2</v>
      </c>
      <c r="AN63" s="110">
        <v>3</v>
      </c>
      <c r="AO63" s="110">
        <v>2</v>
      </c>
      <c r="AP63" s="110">
        <v>3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3</v>
      </c>
      <c r="AW63" s="110">
        <v>3</v>
      </c>
      <c r="AX63" s="110">
        <v>3</v>
      </c>
      <c r="AY63" s="110">
        <v>3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1551.6577183807105</v>
      </c>
      <c r="E7" s="144">
        <v>1551.6577183807105</v>
      </c>
      <c r="F7" s="144">
        <v>1551.6577183807105</v>
      </c>
      <c r="G7" s="144">
        <v>1551.6577183807105</v>
      </c>
      <c r="H7" s="144">
        <v>1551.6577183807105</v>
      </c>
      <c r="I7" s="144">
        <v>1551.6577183807105</v>
      </c>
      <c r="J7" s="144">
        <v>1551.6577183807105</v>
      </c>
      <c r="K7" s="144">
        <v>1551.6577183807105</v>
      </c>
      <c r="L7" s="144">
        <v>1551.6577183807105</v>
      </c>
      <c r="M7" s="144">
        <v>1551.6577183807105</v>
      </c>
      <c r="N7" s="144">
        <v>1551.6577183807105</v>
      </c>
      <c r="O7" s="144">
        <v>1551.6577183807105</v>
      </c>
      <c r="P7" s="144">
        <v>1551.6577183807105</v>
      </c>
      <c r="Q7" s="144">
        <v>1551.6577183807105</v>
      </c>
      <c r="R7" s="144">
        <v>1551.6577183807105</v>
      </c>
      <c r="S7" s="144">
        <v>1551.6577183807105</v>
      </c>
      <c r="T7" s="144">
        <v>1551.6577183807105</v>
      </c>
      <c r="U7" s="144">
        <v>1551.6577183807105</v>
      </c>
      <c r="V7" s="144">
        <v>1551.6577183807105</v>
      </c>
      <c r="W7" s="144">
        <v>1551.6577183807105</v>
      </c>
      <c r="X7" s="144">
        <v>1241.3359168200304</v>
      </c>
      <c r="Y7" s="144">
        <v>1241.3359168200304</v>
      </c>
      <c r="Z7" s="144">
        <v>1241.3359168200304</v>
      </c>
      <c r="AA7" s="144">
        <v>1241.3359168200304</v>
      </c>
      <c r="AB7" s="144">
        <v>1861.9795199413909</v>
      </c>
      <c r="AC7" s="144">
        <v>1861.9795199413909</v>
      </c>
      <c r="AD7" s="144">
        <v>1861.9795199413909</v>
      </c>
      <c r="AE7" s="144">
        <v>1861.9795199413909</v>
      </c>
      <c r="AF7" s="144">
        <v>1551.6577183807105</v>
      </c>
      <c r="AG7" s="144">
        <v>1551.6577183807105</v>
      </c>
      <c r="AH7" s="144">
        <v>1551.6577183807105</v>
      </c>
      <c r="AI7" s="144">
        <v>1551.6577183807105</v>
      </c>
      <c r="AJ7" s="144">
        <v>1551.6577183807105</v>
      </c>
      <c r="AK7" s="144">
        <v>1551.6577183807105</v>
      </c>
      <c r="AL7" s="144">
        <v>1551.6577183807105</v>
      </c>
      <c r="AM7" s="144">
        <v>1551.6577183807105</v>
      </c>
      <c r="AN7" s="144">
        <v>1551.6577183807105</v>
      </c>
      <c r="AO7" s="144">
        <v>1551.6577183807105</v>
      </c>
      <c r="AP7" s="144">
        <v>1551.6577183807105</v>
      </c>
      <c r="AQ7" s="144">
        <v>1551.6577183807105</v>
      </c>
      <c r="AR7" s="144">
        <v>1551.6577183807105</v>
      </c>
      <c r="AS7" s="144">
        <v>1551.6577183807105</v>
      </c>
      <c r="AT7" s="144">
        <v>1551.6577183807105</v>
      </c>
      <c r="AU7" s="144">
        <v>1551.6577183807105</v>
      </c>
      <c r="AV7" s="144">
        <v>1551.6577183807105</v>
      </c>
      <c r="AW7" s="144">
        <v>1551.6577183807105</v>
      </c>
      <c r="AX7" s="144">
        <v>1551.6577183807105</v>
      </c>
      <c r="AY7" s="144">
        <v>1551.6577183807105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1556.7340925305318</v>
      </c>
      <c r="D13" s="138">
        <f t="shared" ref="D13:AY13" si="1">D$7-D$10</f>
        <v>1551.6577183807105</v>
      </c>
      <c r="E13" s="138">
        <f t="shared" si="1"/>
        <v>1551.6577183807105</v>
      </c>
      <c r="F13" s="138">
        <f t="shared" si="1"/>
        <v>1551.6577183807105</v>
      </c>
      <c r="G13" s="138">
        <f t="shared" si="1"/>
        <v>1551.6577183807105</v>
      </c>
      <c r="H13" s="138">
        <f t="shared" si="1"/>
        <v>1551.6577183807105</v>
      </c>
      <c r="I13" s="138">
        <f t="shared" si="1"/>
        <v>1551.6577183807105</v>
      </c>
      <c r="J13" s="138">
        <f t="shared" si="1"/>
        <v>1551.6577183807105</v>
      </c>
      <c r="K13" s="138">
        <f t="shared" si="1"/>
        <v>1551.6577183807105</v>
      </c>
      <c r="L13" s="138">
        <f t="shared" si="1"/>
        <v>1551.6577183807105</v>
      </c>
      <c r="M13" s="138">
        <f t="shared" si="1"/>
        <v>1551.6577183807105</v>
      </c>
      <c r="N13" s="138">
        <f t="shared" si="1"/>
        <v>1551.6577183807105</v>
      </c>
      <c r="O13" s="138">
        <f t="shared" si="1"/>
        <v>1551.6577183807105</v>
      </c>
      <c r="P13" s="138">
        <f t="shared" si="1"/>
        <v>1551.6577183807105</v>
      </c>
      <c r="Q13" s="138">
        <f t="shared" si="1"/>
        <v>1551.6577183807105</v>
      </c>
      <c r="R13" s="138">
        <f t="shared" si="1"/>
        <v>1551.6577183807105</v>
      </c>
      <c r="S13" s="138">
        <f t="shared" si="1"/>
        <v>1551.6577183807105</v>
      </c>
      <c r="T13" s="138">
        <f t="shared" si="1"/>
        <v>1551.6577183807105</v>
      </c>
      <c r="U13" s="138">
        <f t="shared" si="1"/>
        <v>1551.6577183807105</v>
      </c>
      <c r="V13" s="138">
        <f t="shared" si="1"/>
        <v>1551.6577183807105</v>
      </c>
      <c r="W13" s="138">
        <f t="shared" si="1"/>
        <v>1551.6577183807105</v>
      </c>
      <c r="X13" s="138">
        <f t="shared" si="1"/>
        <v>1241.3359168200304</v>
      </c>
      <c r="Y13" s="138">
        <f t="shared" si="1"/>
        <v>1241.3359168200304</v>
      </c>
      <c r="Z13" s="138">
        <f t="shared" si="1"/>
        <v>1241.3359168200304</v>
      </c>
      <c r="AA13" s="138">
        <f t="shared" si="1"/>
        <v>1241.3359168200304</v>
      </c>
      <c r="AB13" s="138">
        <f t="shared" si="1"/>
        <v>1861.9795199413909</v>
      </c>
      <c r="AC13" s="138">
        <f t="shared" si="1"/>
        <v>1861.9795199413909</v>
      </c>
      <c r="AD13" s="138">
        <f t="shared" si="1"/>
        <v>1861.9795199413909</v>
      </c>
      <c r="AE13" s="138">
        <f t="shared" si="1"/>
        <v>1861.9795199413909</v>
      </c>
      <c r="AF13" s="138">
        <f t="shared" si="1"/>
        <v>1551.6577183807105</v>
      </c>
      <c r="AG13" s="138">
        <f t="shared" si="1"/>
        <v>1551.6577183807105</v>
      </c>
      <c r="AH13" s="138">
        <f t="shared" si="1"/>
        <v>1551.6577183807105</v>
      </c>
      <c r="AI13" s="138">
        <f t="shared" si="1"/>
        <v>1551.6577183807105</v>
      </c>
      <c r="AJ13" s="138">
        <f t="shared" si="1"/>
        <v>1551.6577183807105</v>
      </c>
      <c r="AK13" s="138">
        <f t="shared" si="1"/>
        <v>1551.6577183807105</v>
      </c>
      <c r="AL13" s="138">
        <f t="shared" si="1"/>
        <v>1551.6577183807105</v>
      </c>
      <c r="AM13" s="138">
        <f t="shared" si="1"/>
        <v>1551.6577183807105</v>
      </c>
      <c r="AN13" s="138">
        <f t="shared" si="1"/>
        <v>1551.6577183807105</v>
      </c>
      <c r="AO13" s="138">
        <f t="shared" si="1"/>
        <v>1551.6577183807105</v>
      </c>
      <c r="AP13" s="138">
        <f t="shared" si="1"/>
        <v>1551.6577183807105</v>
      </c>
      <c r="AQ13" s="138">
        <f t="shared" si="1"/>
        <v>1551.6577183807105</v>
      </c>
      <c r="AR13" s="138">
        <f t="shared" si="1"/>
        <v>1551.6577183807105</v>
      </c>
      <c r="AS13" s="138">
        <f t="shared" si="1"/>
        <v>1551.6577183807105</v>
      </c>
      <c r="AT13" s="138">
        <f t="shared" si="1"/>
        <v>1551.6577183807105</v>
      </c>
      <c r="AU13" s="138">
        <f t="shared" si="1"/>
        <v>1551.6577183807105</v>
      </c>
      <c r="AV13" s="138">
        <f t="shared" si="1"/>
        <v>1551.6577183807105</v>
      </c>
      <c r="AW13" s="138">
        <f t="shared" si="1"/>
        <v>1551.6577183807105</v>
      </c>
      <c r="AX13" s="138">
        <f t="shared" si="1"/>
        <v>1551.6577183807105</v>
      </c>
      <c r="AY13" s="138">
        <f t="shared" si="1"/>
        <v>1551.6577183807105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1551.6577183807105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 t="s">
        <v>339</v>
      </c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0.42813130631249791</v>
      </c>
      <c r="C21" s="156" t="s">
        <v>293</v>
      </c>
      <c r="D21" s="106">
        <f>IF(C$20="Yes",0,SUM(C$13:C$16)*$B$21)</f>
        <v>666.48660061629755</v>
      </c>
      <c r="E21" s="106">
        <f t="shared" ref="E21:AY21" si="3">IF(D$20="Yes",0,SUM(D$13:D$16)*$B$21)</f>
        <v>664.3132459202036</v>
      </c>
      <c r="F21" s="106">
        <f t="shared" si="3"/>
        <v>664.3132459202036</v>
      </c>
      <c r="G21" s="106">
        <f t="shared" si="3"/>
        <v>664.3132459202036</v>
      </c>
      <c r="H21" s="106">
        <f t="shared" si="3"/>
        <v>664.3132459202036</v>
      </c>
      <c r="I21" s="106">
        <f t="shared" si="3"/>
        <v>664.3132459202036</v>
      </c>
      <c r="J21" s="106">
        <f t="shared" si="3"/>
        <v>664.3132459202036</v>
      </c>
      <c r="K21" s="106">
        <f t="shared" si="3"/>
        <v>664.3132459202036</v>
      </c>
      <c r="L21" s="106">
        <f t="shared" si="3"/>
        <v>664.3132459202036</v>
      </c>
      <c r="M21" s="106">
        <f t="shared" si="3"/>
        <v>664.3132459202036</v>
      </c>
      <c r="N21" s="106">
        <f t="shared" si="3"/>
        <v>664.3132459202036</v>
      </c>
      <c r="O21" s="106">
        <f t="shared" si="3"/>
        <v>664.3132459202036</v>
      </c>
      <c r="P21" s="106">
        <f t="shared" si="3"/>
        <v>664.3132459202036</v>
      </c>
      <c r="Q21" s="106">
        <f t="shared" si="3"/>
        <v>664.3132459202036</v>
      </c>
      <c r="R21" s="106">
        <f t="shared" si="3"/>
        <v>664.3132459202036</v>
      </c>
      <c r="S21" s="106">
        <f t="shared" si="3"/>
        <v>664.3132459202036</v>
      </c>
      <c r="T21" s="106">
        <f t="shared" si="3"/>
        <v>664.3132459202036</v>
      </c>
      <c r="U21" s="106">
        <f t="shared" si="3"/>
        <v>664.3132459202036</v>
      </c>
      <c r="V21" s="106">
        <f t="shared" si="3"/>
        <v>664.3132459202036</v>
      </c>
      <c r="W21" s="106">
        <f t="shared" si="3"/>
        <v>664.3132459202036</v>
      </c>
      <c r="X21" s="106">
        <f t="shared" si="3"/>
        <v>664.3132459202036</v>
      </c>
      <c r="Y21" s="106">
        <f t="shared" si="3"/>
        <v>531.45476764078182</v>
      </c>
      <c r="Z21" s="106">
        <f t="shared" si="3"/>
        <v>531.45476764078182</v>
      </c>
      <c r="AA21" s="106">
        <f t="shared" si="3"/>
        <v>531.45476764078182</v>
      </c>
      <c r="AB21" s="106">
        <f t="shared" si="3"/>
        <v>531.45476764078182</v>
      </c>
      <c r="AC21" s="106">
        <f t="shared" si="3"/>
        <v>797.17172419962537</v>
      </c>
      <c r="AD21" s="106">
        <f t="shared" si="3"/>
        <v>797.17172419962537</v>
      </c>
      <c r="AE21" s="106">
        <f t="shared" si="3"/>
        <v>797.17172419962537</v>
      </c>
      <c r="AF21" s="106">
        <f t="shared" si="3"/>
        <v>797.17172419962537</v>
      </c>
      <c r="AG21" s="106">
        <f t="shared" si="3"/>
        <v>664.3132459202036</v>
      </c>
      <c r="AH21" s="106">
        <f t="shared" si="3"/>
        <v>664.3132459202036</v>
      </c>
      <c r="AI21" s="106">
        <f t="shared" si="3"/>
        <v>664.3132459202036</v>
      </c>
      <c r="AJ21" s="106">
        <f t="shared" si="3"/>
        <v>664.3132459202036</v>
      </c>
      <c r="AK21" s="106">
        <f t="shared" si="3"/>
        <v>664.3132459202036</v>
      </c>
      <c r="AL21" s="106">
        <f t="shared" si="3"/>
        <v>664.3132459202036</v>
      </c>
      <c r="AM21" s="106">
        <f t="shared" si="3"/>
        <v>664.3132459202036</v>
      </c>
      <c r="AN21" s="106">
        <f t="shared" si="3"/>
        <v>664.3132459202036</v>
      </c>
      <c r="AO21" s="106">
        <f t="shared" si="3"/>
        <v>664.3132459202036</v>
      </c>
      <c r="AP21" s="106">
        <f t="shared" si="3"/>
        <v>0</v>
      </c>
      <c r="AQ21" s="106">
        <f t="shared" si="3"/>
        <v>1328.6264918404072</v>
      </c>
      <c r="AR21" s="106">
        <f t="shared" si="3"/>
        <v>664.3132459202036</v>
      </c>
      <c r="AS21" s="106">
        <f t="shared" si="3"/>
        <v>664.3132459202036</v>
      </c>
      <c r="AT21" s="106">
        <f t="shared" si="3"/>
        <v>664.3132459202036</v>
      </c>
      <c r="AU21" s="106">
        <f t="shared" si="3"/>
        <v>664.3132459202036</v>
      </c>
      <c r="AV21" s="106">
        <f t="shared" si="3"/>
        <v>664.3132459202036</v>
      </c>
      <c r="AW21" s="106">
        <f t="shared" si="3"/>
        <v>664.3132459202036</v>
      </c>
      <c r="AX21" s="106">
        <f t="shared" si="3"/>
        <v>664.3132459202036</v>
      </c>
      <c r="AY21" s="106">
        <f t="shared" si="3"/>
        <v>664.3132459202036</v>
      </c>
      <c r="AZ21" s="157">
        <f>SUM($D21:$AY21)</f>
        <v>31889.209158865859</v>
      </c>
    </row>
    <row r="22" spans="1:52" s="110" customFormat="1">
      <c r="A22" s="158" t="s">
        <v>123</v>
      </c>
      <c r="B22" s="159">
        <f>1-$B$21</f>
        <v>0.57186869368750215</v>
      </c>
      <c r="C22" s="159" t="s">
        <v>293</v>
      </c>
      <c r="D22" s="114">
        <f>IF(C$20="Yes",0,SUM(C$13:C$16)*$B$22)</f>
        <v>890.24749191423439</v>
      </c>
      <c r="E22" s="114">
        <f t="shared" ref="E22:AY22" si="4">IF(D$20="Yes",0,SUM(D$13:D$16)*$B$22)</f>
        <v>887.34447246050706</v>
      </c>
      <c r="F22" s="114">
        <f t="shared" si="4"/>
        <v>887.34447246050706</v>
      </c>
      <c r="G22" s="114">
        <f t="shared" si="4"/>
        <v>887.34447246050706</v>
      </c>
      <c r="H22" s="114">
        <f t="shared" si="4"/>
        <v>887.34447246050706</v>
      </c>
      <c r="I22" s="114">
        <f t="shared" si="4"/>
        <v>887.34447246050706</v>
      </c>
      <c r="J22" s="114">
        <f t="shared" si="4"/>
        <v>887.34447246050706</v>
      </c>
      <c r="K22" s="114">
        <f t="shared" si="4"/>
        <v>887.34447246050706</v>
      </c>
      <c r="L22" s="114">
        <f t="shared" si="4"/>
        <v>887.34447246050706</v>
      </c>
      <c r="M22" s="114">
        <f t="shared" si="4"/>
        <v>887.34447246050706</v>
      </c>
      <c r="N22" s="114">
        <f t="shared" si="4"/>
        <v>887.34447246050706</v>
      </c>
      <c r="O22" s="114">
        <f t="shared" si="4"/>
        <v>887.34447246050706</v>
      </c>
      <c r="P22" s="114">
        <f t="shared" si="4"/>
        <v>887.34447246050706</v>
      </c>
      <c r="Q22" s="114">
        <f t="shared" si="4"/>
        <v>887.34447246050706</v>
      </c>
      <c r="R22" s="114">
        <f t="shared" si="4"/>
        <v>887.34447246050706</v>
      </c>
      <c r="S22" s="114">
        <f t="shared" si="4"/>
        <v>887.34447246050706</v>
      </c>
      <c r="T22" s="114">
        <f t="shared" si="4"/>
        <v>887.34447246050706</v>
      </c>
      <c r="U22" s="114">
        <f t="shared" si="4"/>
        <v>887.34447246050706</v>
      </c>
      <c r="V22" s="114">
        <f t="shared" si="4"/>
        <v>887.34447246050706</v>
      </c>
      <c r="W22" s="114">
        <f t="shared" si="4"/>
        <v>887.34447246050706</v>
      </c>
      <c r="X22" s="114">
        <f t="shared" si="4"/>
        <v>887.34447246050706</v>
      </c>
      <c r="Y22" s="114">
        <f t="shared" si="4"/>
        <v>709.88114917924861</v>
      </c>
      <c r="Z22" s="114">
        <f t="shared" si="4"/>
        <v>709.88114917924861</v>
      </c>
      <c r="AA22" s="114">
        <f t="shared" si="4"/>
        <v>709.88114917924861</v>
      </c>
      <c r="AB22" s="114">
        <f t="shared" si="4"/>
        <v>709.88114917924861</v>
      </c>
      <c r="AC22" s="114">
        <f t="shared" si="4"/>
        <v>1064.8077957417656</v>
      </c>
      <c r="AD22" s="114">
        <f t="shared" si="4"/>
        <v>1064.8077957417656</v>
      </c>
      <c r="AE22" s="114">
        <f t="shared" si="4"/>
        <v>1064.8077957417656</v>
      </c>
      <c r="AF22" s="114">
        <f t="shared" si="4"/>
        <v>1064.8077957417656</v>
      </c>
      <c r="AG22" s="114">
        <f t="shared" si="4"/>
        <v>887.34447246050706</v>
      </c>
      <c r="AH22" s="114">
        <f t="shared" si="4"/>
        <v>887.34447246050706</v>
      </c>
      <c r="AI22" s="114">
        <f t="shared" si="4"/>
        <v>887.34447246050706</v>
      </c>
      <c r="AJ22" s="114">
        <f t="shared" si="4"/>
        <v>887.34447246050706</v>
      </c>
      <c r="AK22" s="114">
        <f t="shared" si="4"/>
        <v>887.34447246050706</v>
      </c>
      <c r="AL22" s="114">
        <f t="shared" si="4"/>
        <v>887.34447246050706</v>
      </c>
      <c r="AM22" s="114">
        <f t="shared" si="4"/>
        <v>887.34447246050706</v>
      </c>
      <c r="AN22" s="114">
        <f t="shared" si="4"/>
        <v>887.34447246050706</v>
      </c>
      <c r="AO22" s="114">
        <f t="shared" si="4"/>
        <v>887.34447246050706</v>
      </c>
      <c r="AP22" s="114">
        <f t="shared" si="4"/>
        <v>0</v>
      </c>
      <c r="AQ22" s="114">
        <f t="shared" si="4"/>
        <v>1774.6889449210141</v>
      </c>
      <c r="AR22" s="114">
        <f t="shared" si="4"/>
        <v>887.34447246050706</v>
      </c>
      <c r="AS22" s="114">
        <f t="shared" si="4"/>
        <v>887.34447246050706</v>
      </c>
      <c r="AT22" s="114">
        <f t="shared" si="4"/>
        <v>887.34447246050706</v>
      </c>
      <c r="AU22" s="114">
        <f t="shared" si="4"/>
        <v>887.34447246050706</v>
      </c>
      <c r="AV22" s="114">
        <f t="shared" si="4"/>
        <v>887.34447246050706</v>
      </c>
      <c r="AW22" s="114">
        <f t="shared" si="4"/>
        <v>887.34447246050706</v>
      </c>
      <c r="AX22" s="114">
        <f t="shared" si="4"/>
        <v>887.34447246050706</v>
      </c>
      <c r="AY22" s="114">
        <f t="shared" si="4"/>
        <v>887.34447246050706</v>
      </c>
      <c r="AZ22" s="141">
        <f t="shared" ref="AZ22:AZ30" si="5">SUM($D22:$AY22)</f>
        <v>42595.437697558067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1332973.2012325951</v>
      </c>
      <c r="E23" s="100">
        <f t="shared" ref="E23:AY23" si="6">E$21*$B$23</f>
        <v>1328626.4918404073</v>
      </c>
      <c r="F23" s="100">
        <f t="shared" si="6"/>
        <v>1328626.4918404073</v>
      </c>
      <c r="G23" s="100">
        <f t="shared" si="6"/>
        <v>1328626.4918404073</v>
      </c>
      <c r="H23" s="100">
        <f t="shared" si="6"/>
        <v>1328626.4918404073</v>
      </c>
      <c r="I23" s="100">
        <f t="shared" si="6"/>
        <v>1328626.4918404073</v>
      </c>
      <c r="J23" s="100">
        <f t="shared" si="6"/>
        <v>1328626.4918404073</v>
      </c>
      <c r="K23" s="100">
        <f t="shared" si="6"/>
        <v>1328626.4918404073</v>
      </c>
      <c r="L23" s="100">
        <f t="shared" si="6"/>
        <v>1328626.4918404073</v>
      </c>
      <c r="M23" s="100">
        <f t="shared" si="6"/>
        <v>1328626.4918404073</v>
      </c>
      <c r="N23" s="100">
        <f t="shared" si="6"/>
        <v>1328626.4918404073</v>
      </c>
      <c r="O23" s="100">
        <f t="shared" si="6"/>
        <v>1328626.4918404073</v>
      </c>
      <c r="P23" s="100">
        <f t="shared" si="6"/>
        <v>1328626.4918404073</v>
      </c>
      <c r="Q23" s="100">
        <f t="shared" si="6"/>
        <v>1328626.4918404073</v>
      </c>
      <c r="R23" s="100">
        <f t="shared" si="6"/>
        <v>1328626.4918404073</v>
      </c>
      <c r="S23" s="100">
        <f t="shared" si="6"/>
        <v>1328626.4918404073</v>
      </c>
      <c r="T23" s="100">
        <f t="shared" si="6"/>
        <v>1328626.4918404073</v>
      </c>
      <c r="U23" s="100">
        <f t="shared" si="6"/>
        <v>1328626.4918404073</v>
      </c>
      <c r="V23" s="100">
        <f t="shared" si="6"/>
        <v>1328626.4918404073</v>
      </c>
      <c r="W23" s="100">
        <f t="shared" si="6"/>
        <v>1328626.4918404073</v>
      </c>
      <c r="X23" s="100">
        <f t="shared" si="6"/>
        <v>1328626.4918404073</v>
      </c>
      <c r="Y23" s="100">
        <f t="shared" si="6"/>
        <v>1062909.5352815636</v>
      </c>
      <c r="Z23" s="100">
        <f t="shared" si="6"/>
        <v>1062909.5352815636</v>
      </c>
      <c r="AA23" s="100">
        <f t="shared" si="6"/>
        <v>1062909.5352815636</v>
      </c>
      <c r="AB23" s="100">
        <f t="shared" si="6"/>
        <v>1062909.5352815636</v>
      </c>
      <c r="AC23" s="100">
        <f t="shared" si="6"/>
        <v>1594343.4483992509</v>
      </c>
      <c r="AD23" s="100">
        <f t="shared" si="6"/>
        <v>1594343.4483992509</v>
      </c>
      <c r="AE23" s="100">
        <f t="shared" si="6"/>
        <v>1594343.4483992509</v>
      </c>
      <c r="AF23" s="100">
        <f t="shared" si="6"/>
        <v>1594343.4483992509</v>
      </c>
      <c r="AG23" s="100">
        <f t="shared" si="6"/>
        <v>1328626.4918404073</v>
      </c>
      <c r="AH23" s="100">
        <f t="shared" si="6"/>
        <v>1328626.4918404073</v>
      </c>
      <c r="AI23" s="100">
        <f t="shared" si="6"/>
        <v>1328626.4918404073</v>
      </c>
      <c r="AJ23" s="100">
        <f t="shared" si="6"/>
        <v>1328626.4918404073</v>
      </c>
      <c r="AK23" s="100">
        <f t="shared" si="6"/>
        <v>1328626.4918404073</v>
      </c>
      <c r="AL23" s="100">
        <f t="shared" si="6"/>
        <v>1328626.4918404073</v>
      </c>
      <c r="AM23" s="100">
        <f t="shared" si="6"/>
        <v>1328626.4918404073</v>
      </c>
      <c r="AN23" s="100">
        <f t="shared" si="6"/>
        <v>1328626.4918404073</v>
      </c>
      <c r="AO23" s="100">
        <f t="shared" si="6"/>
        <v>1328626.4918404073</v>
      </c>
      <c r="AP23" s="100">
        <f t="shared" si="6"/>
        <v>0</v>
      </c>
      <c r="AQ23" s="100">
        <f t="shared" si="6"/>
        <v>2657252.9836808145</v>
      </c>
      <c r="AR23" s="100">
        <f t="shared" si="6"/>
        <v>1328626.4918404073</v>
      </c>
      <c r="AS23" s="100">
        <f t="shared" si="6"/>
        <v>1328626.4918404073</v>
      </c>
      <c r="AT23" s="100">
        <f t="shared" si="6"/>
        <v>1328626.4918404073</v>
      </c>
      <c r="AU23" s="100">
        <f t="shared" si="6"/>
        <v>1328626.4918404073</v>
      </c>
      <c r="AV23" s="100">
        <f t="shared" si="6"/>
        <v>1328626.4918404073</v>
      </c>
      <c r="AW23" s="100">
        <f t="shared" si="6"/>
        <v>1328626.4918404073</v>
      </c>
      <c r="AX23" s="100">
        <f t="shared" si="6"/>
        <v>1328626.4918404073</v>
      </c>
      <c r="AY23" s="100">
        <f t="shared" si="6"/>
        <v>1328626.4918404073</v>
      </c>
      <c r="AZ23" s="139">
        <f t="shared" si="5"/>
        <v>63778418.317731753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890247.49191423436</v>
      </c>
      <c r="E24" s="106">
        <f t="shared" ref="E24:AY24" si="7">E$22*$B$24</f>
        <v>887344.47246050707</v>
      </c>
      <c r="F24" s="106">
        <f t="shared" si="7"/>
        <v>887344.47246050707</v>
      </c>
      <c r="G24" s="106">
        <f t="shared" si="7"/>
        <v>887344.47246050707</v>
      </c>
      <c r="H24" s="106">
        <f t="shared" si="7"/>
        <v>887344.47246050707</v>
      </c>
      <c r="I24" s="106">
        <f t="shared" si="7"/>
        <v>887344.47246050707</v>
      </c>
      <c r="J24" s="106">
        <f t="shared" si="7"/>
        <v>887344.47246050707</v>
      </c>
      <c r="K24" s="106">
        <f t="shared" si="7"/>
        <v>887344.47246050707</v>
      </c>
      <c r="L24" s="106">
        <f t="shared" si="7"/>
        <v>887344.47246050707</v>
      </c>
      <c r="M24" s="106">
        <f t="shared" si="7"/>
        <v>887344.47246050707</v>
      </c>
      <c r="N24" s="106">
        <f t="shared" si="7"/>
        <v>887344.47246050707</v>
      </c>
      <c r="O24" s="106">
        <f t="shared" si="7"/>
        <v>887344.47246050707</v>
      </c>
      <c r="P24" s="106">
        <f t="shared" si="7"/>
        <v>887344.47246050707</v>
      </c>
      <c r="Q24" s="106">
        <f t="shared" si="7"/>
        <v>887344.47246050707</v>
      </c>
      <c r="R24" s="106">
        <f t="shared" si="7"/>
        <v>887344.47246050707</v>
      </c>
      <c r="S24" s="106">
        <f t="shared" si="7"/>
        <v>887344.47246050707</v>
      </c>
      <c r="T24" s="106">
        <f t="shared" si="7"/>
        <v>887344.47246050707</v>
      </c>
      <c r="U24" s="106">
        <f t="shared" si="7"/>
        <v>887344.47246050707</v>
      </c>
      <c r="V24" s="106">
        <f t="shared" si="7"/>
        <v>887344.47246050707</v>
      </c>
      <c r="W24" s="106">
        <f t="shared" si="7"/>
        <v>887344.47246050707</v>
      </c>
      <c r="X24" s="106">
        <f t="shared" si="7"/>
        <v>887344.47246050707</v>
      </c>
      <c r="Y24" s="106">
        <f t="shared" si="7"/>
        <v>709881.1491792486</v>
      </c>
      <c r="Z24" s="106">
        <f t="shared" si="7"/>
        <v>709881.1491792486</v>
      </c>
      <c r="AA24" s="106">
        <f t="shared" si="7"/>
        <v>709881.1491792486</v>
      </c>
      <c r="AB24" s="106">
        <f t="shared" si="7"/>
        <v>709881.1491792486</v>
      </c>
      <c r="AC24" s="106">
        <f t="shared" si="7"/>
        <v>1064807.7957417655</v>
      </c>
      <c r="AD24" s="106">
        <f t="shared" si="7"/>
        <v>1064807.7957417655</v>
      </c>
      <c r="AE24" s="106">
        <f t="shared" si="7"/>
        <v>1064807.7957417655</v>
      </c>
      <c r="AF24" s="106">
        <f t="shared" si="7"/>
        <v>1064807.7957417655</v>
      </c>
      <c r="AG24" s="106">
        <f t="shared" si="7"/>
        <v>887344.47246050707</v>
      </c>
      <c r="AH24" s="106">
        <f t="shared" si="7"/>
        <v>887344.47246050707</v>
      </c>
      <c r="AI24" s="106">
        <f t="shared" si="7"/>
        <v>887344.47246050707</v>
      </c>
      <c r="AJ24" s="106">
        <f t="shared" si="7"/>
        <v>887344.47246050707</v>
      </c>
      <c r="AK24" s="106">
        <f t="shared" si="7"/>
        <v>887344.47246050707</v>
      </c>
      <c r="AL24" s="106">
        <f t="shared" si="7"/>
        <v>887344.47246050707</v>
      </c>
      <c r="AM24" s="106">
        <f t="shared" si="7"/>
        <v>887344.47246050707</v>
      </c>
      <c r="AN24" s="106">
        <f t="shared" si="7"/>
        <v>887344.47246050707</v>
      </c>
      <c r="AO24" s="106">
        <f t="shared" si="7"/>
        <v>887344.47246050707</v>
      </c>
      <c r="AP24" s="106">
        <f t="shared" si="7"/>
        <v>0</v>
      </c>
      <c r="AQ24" s="106">
        <f t="shared" si="7"/>
        <v>1774688.9449210141</v>
      </c>
      <c r="AR24" s="106">
        <f t="shared" si="7"/>
        <v>887344.47246050707</v>
      </c>
      <c r="AS24" s="106">
        <f t="shared" si="7"/>
        <v>887344.47246050707</v>
      </c>
      <c r="AT24" s="106">
        <f t="shared" si="7"/>
        <v>887344.47246050707</v>
      </c>
      <c r="AU24" s="106">
        <f t="shared" si="7"/>
        <v>887344.47246050707</v>
      </c>
      <c r="AV24" s="106">
        <f t="shared" si="7"/>
        <v>887344.47246050707</v>
      </c>
      <c r="AW24" s="106">
        <f t="shared" si="7"/>
        <v>887344.47246050707</v>
      </c>
      <c r="AX24" s="106">
        <f t="shared" si="7"/>
        <v>887344.47246050707</v>
      </c>
      <c r="AY24" s="106">
        <f t="shared" si="7"/>
        <v>887344.47246050707</v>
      </c>
      <c r="AZ24" s="141">
        <f t="shared" si="5"/>
        <v>42595437.697558098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56.196984802664595</v>
      </c>
      <c r="E33" s="124">
        <f>E$21*shipping_manufacturing!$F$27/100</f>
        <v>56.013731334831554</v>
      </c>
      <c r="F33" s="124">
        <f>F$21*shipping_manufacturing!$F$27/100</f>
        <v>56.013731334831554</v>
      </c>
      <c r="G33" s="124">
        <f>G$21*shipping_manufacturing!$F$27/100</f>
        <v>56.013731334831554</v>
      </c>
      <c r="H33" s="124">
        <f>H$21*shipping_manufacturing!$F$27/100</f>
        <v>56.013731334831554</v>
      </c>
      <c r="I33" s="124">
        <f>I$21*shipping_manufacturing!$F$27/100</f>
        <v>56.013731334831554</v>
      </c>
      <c r="J33" s="124">
        <f>J$21*shipping_manufacturing!$F$27/100</f>
        <v>56.013731334831554</v>
      </c>
      <c r="K33" s="124">
        <f>K$21*shipping_manufacturing!$F$27/100</f>
        <v>56.013731334831554</v>
      </c>
      <c r="L33" s="124">
        <f>L$21*shipping_manufacturing!$F$27/100</f>
        <v>56.013731334831554</v>
      </c>
      <c r="M33" s="124">
        <f>M$21*shipping_manufacturing!$F$27/100</f>
        <v>56.013731334831554</v>
      </c>
      <c r="N33" s="124">
        <f>N$21*shipping_manufacturing!$F$27/100</f>
        <v>56.013731334831554</v>
      </c>
      <c r="O33" s="124">
        <f>O$21*shipping_manufacturing!$F$27/100</f>
        <v>56.013731334831554</v>
      </c>
      <c r="P33" s="124">
        <f>P$21*shipping_manufacturing!$F$27/100</f>
        <v>56.013731334831554</v>
      </c>
      <c r="Q33" s="124">
        <f>Q$21*shipping_manufacturing!$F$27/100</f>
        <v>56.013731334831554</v>
      </c>
      <c r="R33" s="124">
        <f>R$21*shipping_manufacturing!$F$27/100</f>
        <v>56.013731334831554</v>
      </c>
      <c r="S33" s="124">
        <f>S$21*shipping_manufacturing!$F$27/100</f>
        <v>56.013731334831554</v>
      </c>
      <c r="T33" s="124">
        <f>T$21*shipping_manufacturing!$F$27/100</f>
        <v>56.013731334831554</v>
      </c>
      <c r="U33" s="124">
        <f>U$21*shipping_manufacturing!$F$27/100</f>
        <v>56.013731334831554</v>
      </c>
      <c r="V33" s="124">
        <f>V$21*shipping_manufacturing!$F$27/100</f>
        <v>56.013731334831554</v>
      </c>
      <c r="W33" s="124">
        <f>W$21*shipping_manufacturing!$F$27/100</f>
        <v>56.013731334831554</v>
      </c>
      <c r="X33" s="124">
        <f>X$21*shipping_manufacturing!$F$27/100</f>
        <v>56.013731334831554</v>
      </c>
      <c r="Y33" s="124">
        <f>Y$21*shipping_manufacturing!$F$27/100</f>
        <v>44.811336751249826</v>
      </c>
      <c r="Z33" s="124">
        <f>Z$21*shipping_manufacturing!$F$27/100</f>
        <v>44.811336751249826</v>
      </c>
      <c r="AA33" s="124">
        <f>AA$21*shipping_manufacturing!$F$27/100</f>
        <v>44.811336751249826</v>
      </c>
      <c r="AB33" s="124">
        <f>AB$21*shipping_manufacturing!$F$27/100</f>
        <v>44.811336751249826</v>
      </c>
      <c r="AC33" s="124">
        <f>AC$21*shipping_manufacturing!$F$27/100</f>
        <v>67.216125918413283</v>
      </c>
      <c r="AD33" s="124">
        <f>AD$21*shipping_manufacturing!$F$27/100</f>
        <v>67.216125918413283</v>
      </c>
      <c r="AE33" s="124">
        <f>AE$21*shipping_manufacturing!$F$27/100</f>
        <v>67.216125918413283</v>
      </c>
      <c r="AF33" s="124">
        <f>AF$21*shipping_manufacturing!$F$27/100</f>
        <v>67.216125918413283</v>
      </c>
      <c r="AG33" s="124">
        <f>AG$21*shipping_manufacturing!$F$27/100</f>
        <v>56.013731334831554</v>
      </c>
      <c r="AH33" s="124">
        <f>AH$21*shipping_manufacturing!$F$27/100</f>
        <v>56.013731334831554</v>
      </c>
      <c r="AI33" s="124">
        <f>AI$21*shipping_manufacturing!$F$27/100</f>
        <v>56.013731334831554</v>
      </c>
      <c r="AJ33" s="124">
        <f>AJ$21*shipping_manufacturing!$F$27/100</f>
        <v>56.013731334831554</v>
      </c>
      <c r="AK33" s="124">
        <f>AK$21*shipping_manufacturing!$F$27/100</f>
        <v>56.013731334831554</v>
      </c>
      <c r="AL33" s="124">
        <f>AL$21*shipping_manufacturing!$F$27/100</f>
        <v>56.013731334831554</v>
      </c>
      <c r="AM33" s="124">
        <f>AM$21*shipping_manufacturing!$F$27/100</f>
        <v>56.013731334831554</v>
      </c>
      <c r="AN33" s="124">
        <f>AN$21*shipping_manufacturing!$F$27/100</f>
        <v>56.013731334831554</v>
      </c>
      <c r="AO33" s="124">
        <f>AO$21*shipping_manufacturing!$F$27/100</f>
        <v>56.013731334831554</v>
      </c>
      <c r="AP33" s="124">
        <f>AP$21*shipping_manufacturing!$F$27/100</f>
        <v>0</v>
      </c>
      <c r="AQ33" s="124">
        <f>AQ$21*shipping_manufacturing!$F$27/100</f>
        <v>112.02746266966311</v>
      </c>
      <c r="AR33" s="124">
        <f>AR$21*shipping_manufacturing!$F$27/100</f>
        <v>56.013731334831554</v>
      </c>
      <c r="AS33" s="124">
        <f>AS$21*shipping_manufacturing!$F$27/100</f>
        <v>56.013731334831554</v>
      </c>
      <c r="AT33" s="124">
        <f>AT$21*shipping_manufacturing!$F$27/100</f>
        <v>56.013731334831554</v>
      </c>
      <c r="AU33" s="124">
        <f>AU$21*shipping_manufacturing!$F$27/100</f>
        <v>56.013731334831554</v>
      </c>
      <c r="AV33" s="124">
        <f>AV$21*shipping_manufacturing!$F$27/100</f>
        <v>56.013731334831554</v>
      </c>
      <c r="AW33" s="124">
        <f>AW$21*shipping_manufacturing!$F$27/100</f>
        <v>56.013731334831554</v>
      </c>
      <c r="AX33" s="124">
        <f>AX$21*shipping_manufacturing!$F$27/100</f>
        <v>56.013731334831554</v>
      </c>
      <c r="AY33" s="124">
        <f>AY$21*shipping_manufacturing!$F$27/100</f>
        <v>56.013731334831554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58.453766534010377</v>
      </c>
      <c r="E34" s="110">
        <f>E$22*shipping_manufacturing!$G$27/100</f>
        <v>58.263153897711909</v>
      </c>
      <c r="F34" s="110">
        <f>F$22*shipping_manufacturing!$G$27/100</f>
        <v>58.263153897711909</v>
      </c>
      <c r="G34" s="110">
        <f>G$22*shipping_manufacturing!$G$27/100</f>
        <v>58.263153897711909</v>
      </c>
      <c r="H34" s="110">
        <f>H$22*shipping_manufacturing!$G$27/100</f>
        <v>58.263153897711909</v>
      </c>
      <c r="I34" s="110">
        <f>I$22*shipping_manufacturing!$G$27/100</f>
        <v>58.263153897711909</v>
      </c>
      <c r="J34" s="110">
        <f>J$22*shipping_manufacturing!$G$27/100</f>
        <v>58.263153897711909</v>
      </c>
      <c r="K34" s="110">
        <f>K$22*shipping_manufacturing!$G$27/100</f>
        <v>58.263153897711909</v>
      </c>
      <c r="L34" s="110">
        <f>L$22*shipping_manufacturing!$G$27/100</f>
        <v>58.263153897711909</v>
      </c>
      <c r="M34" s="110">
        <f>M$22*shipping_manufacturing!$G$27/100</f>
        <v>58.263153897711909</v>
      </c>
      <c r="N34" s="110">
        <f>N$22*shipping_manufacturing!$G$27/100</f>
        <v>58.263153897711909</v>
      </c>
      <c r="O34" s="110">
        <f>O$22*shipping_manufacturing!$G$27/100</f>
        <v>58.263153897711909</v>
      </c>
      <c r="P34" s="110">
        <f>P$22*shipping_manufacturing!$G$27/100</f>
        <v>58.263153897711909</v>
      </c>
      <c r="Q34" s="110">
        <f>Q$22*shipping_manufacturing!$G$27/100</f>
        <v>58.263153897711909</v>
      </c>
      <c r="R34" s="110">
        <f>R$22*shipping_manufacturing!$G$27/100</f>
        <v>58.263153897711909</v>
      </c>
      <c r="S34" s="110">
        <f>S$22*shipping_manufacturing!$G$27/100</f>
        <v>58.263153897711909</v>
      </c>
      <c r="T34" s="110">
        <f>T$22*shipping_manufacturing!$G$27/100</f>
        <v>58.263153897711909</v>
      </c>
      <c r="U34" s="110">
        <f>U$22*shipping_manufacturing!$G$27/100</f>
        <v>58.263153897711909</v>
      </c>
      <c r="V34" s="110">
        <f>V$22*shipping_manufacturing!$G$27/100</f>
        <v>58.263153897711909</v>
      </c>
      <c r="W34" s="110">
        <f>W$22*shipping_manufacturing!$G$27/100</f>
        <v>58.263153897711909</v>
      </c>
      <c r="X34" s="110">
        <f>X$22*shipping_manufacturing!$G$27/100</f>
        <v>58.263153897711909</v>
      </c>
      <c r="Y34" s="110">
        <f>Y$22*shipping_manufacturing!$G$27/100</f>
        <v>46.610888924600751</v>
      </c>
      <c r="Z34" s="110">
        <f>Z$22*shipping_manufacturing!$G$27/100</f>
        <v>46.610888924600751</v>
      </c>
      <c r="AA34" s="110">
        <f>AA$22*shipping_manufacturing!$G$27/100</f>
        <v>46.610888924600751</v>
      </c>
      <c r="AB34" s="110">
        <f>AB$22*shipping_manufacturing!$G$27/100</f>
        <v>46.610888924600751</v>
      </c>
      <c r="AC34" s="110">
        <f>AC$22*shipping_manufacturing!$G$27/100</f>
        <v>69.915418870823075</v>
      </c>
      <c r="AD34" s="110">
        <f>AD$22*shipping_manufacturing!$G$27/100</f>
        <v>69.915418870823075</v>
      </c>
      <c r="AE34" s="110">
        <f>AE$22*shipping_manufacturing!$G$27/100</f>
        <v>69.915418870823075</v>
      </c>
      <c r="AF34" s="110">
        <f>AF$22*shipping_manufacturing!$G$27/100</f>
        <v>69.915418870823075</v>
      </c>
      <c r="AG34" s="110">
        <f>AG$22*shipping_manufacturing!$G$27/100</f>
        <v>58.263153897711909</v>
      </c>
      <c r="AH34" s="110">
        <f>AH$22*shipping_manufacturing!$G$27/100</f>
        <v>58.263153897711909</v>
      </c>
      <c r="AI34" s="110">
        <f>AI$22*shipping_manufacturing!$G$27/100</f>
        <v>58.263153897711909</v>
      </c>
      <c r="AJ34" s="110">
        <f>AJ$22*shipping_manufacturing!$G$27/100</f>
        <v>58.263153897711909</v>
      </c>
      <c r="AK34" s="110">
        <f>AK$22*shipping_manufacturing!$G$27/100</f>
        <v>58.263153897711909</v>
      </c>
      <c r="AL34" s="110">
        <f>AL$22*shipping_manufacturing!$G$27/100</f>
        <v>58.263153897711909</v>
      </c>
      <c r="AM34" s="110">
        <f>AM$22*shipping_manufacturing!$G$27/100</f>
        <v>58.263153897711909</v>
      </c>
      <c r="AN34" s="110">
        <f>AN$22*shipping_manufacturing!$G$27/100</f>
        <v>58.263153897711909</v>
      </c>
      <c r="AO34" s="110">
        <f>AO$22*shipping_manufacturing!$G$27/100</f>
        <v>58.263153897711909</v>
      </c>
      <c r="AP34" s="110">
        <f>AP$22*shipping_manufacturing!$G$27/100</f>
        <v>0</v>
      </c>
      <c r="AQ34" s="110">
        <f>AQ$22*shipping_manufacturing!$G$27/100</f>
        <v>116.52630779542382</v>
      </c>
      <c r="AR34" s="110">
        <f>AR$22*shipping_manufacturing!$G$27/100</f>
        <v>58.263153897711909</v>
      </c>
      <c r="AS34" s="110">
        <f>AS$22*shipping_manufacturing!$G$27/100</f>
        <v>58.263153897711909</v>
      </c>
      <c r="AT34" s="110">
        <f>AT$22*shipping_manufacturing!$G$27/100</f>
        <v>58.263153897711909</v>
      </c>
      <c r="AU34" s="110">
        <f>AU$22*shipping_manufacturing!$G$27/100</f>
        <v>58.263153897711909</v>
      </c>
      <c r="AV34" s="110">
        <f>AV$22*shipping_manufacturing!$G$27/100</f>
        <v>58.263153897711909</v>
      </c>
      <c r="AW34" s="110">
        <f>AW$22*shipping_manufacturing!$G$27/100</f>
        <v>58.263153897711909</v>
      </c>
      <c r="AX34" s="110">
        <f>AX$22*shipping_manufacturing!$G$27/100</f>
        <v>58.263153897711909</v>
      </c>
      <c r="AY34" s="110">
        <f>AY$22*shipping_manufacturing!$G$27/100</f>
        <v>58.263153897711909</v>
      </c>
    </row>
    <row r="35" spans="1:52">
      <c r="A35" s="110">
        <v>1245</v>
      </c>
      <c r="B35" s="165" t="s">
        <v>343</v>
      </c>
      <c r="C35" s="110"/>
      <c r="D35" s="110">
        <f>SUM(D33:D34)</f>
        <v>114.65075133667497</v>
      </c>
      <c r="E35" s="110">
        <f t="shared" ref="E35:AY35" si="11">SUM(E33:E34)</f>
        <v>114.27688523254346</v>
      </c>
      <c r="F35" s="110">
        <f t="shared" si="11"/>
        <v>114.27688523254346</v>
      </c>
      <c r="G35" s="110">
        <f t="shared" si="11"/>
        <v>114.27688523254346</v>
      </c>
      <c r="H35" s="110">
        <f t="shared" si="11"/>
        <v>114.27688523254346</v>
      </c>
      <c r="I35" s="110">
        <f t="shared" si="11"/>
        <v>114.27688523254346</v>
      </c>
      <c r="J35" s="110">
        <f t="shared" si="11"/>
        <v>114.27688523254346</v>
      </c>
      <c r="K35" s="110">
        <f t="shared" si="11"/>
        <v>114.27688523254346</v>
      </c>
      <c r="L35" s="110">
        <f t="shared" si="11"/>
        <v>114.27688523254346</v>
      </c>
      <c r="M35" s="110">
        <f t="shared" si="11"/>
        <v>114.27688523254346</v>
      </c>
      <c r="N35" s="110">
        <f t="shared" si="11"/>
        <v>114.27688523254346</v>
      </c>
      <c r="O35" s="110">
        <f t="shared" si="11"/>
        <v>114.27688523254346</v>
      </c>
      <c r="P35" s="110">
        <f t="shared" si="11"/>
        <v>114.27688523254346</v>
      </c>
      <c r="Q35" s="110">
        <f t="shared" si="11"/>
        <v>114.27688523254346</v>
      </c>
      <c r="R35" s="110">
        <f t="shared" si="11"/>
        <v>114.27688523254346</v>
      </c>
      <c r="S35" s="110">
        <f t="shared" si="11"/>
        <v>114.27688523254346</v>
      </c>
      <c r="T35" s="110">
        <f t="shared" si="11"/>
        <v>114.27688523254346</v>
      </c>
      <c r="U35" s="110">
        <f t="shared" si="11"/>
        <v>114.27688523254346</v>
      </c>
      <c r="V35" s="110">
        <f t="shared" si="11"/>
        <v>114.27688523254346</v>
      </c>
      <c r="W35" s="110">
        <f t="shared" si="11"/>
        <v>114.27688523254346</v>
      </c>
      <c r="X35" s="110">
        <f t="shared" si="11"/>
        <v>114.27688523254346</v>
      </c>
      <c r="Y35" s="110">
        <f t="shared" si="11"/>
        <v>91.422225675850569</v>
      </c>
      <c r="Z35" s="110">
        <f t="shared" si="11"/>
        <v>91.422225675850569</v>
      </c>
      <c r="AA35" s="110">
        <f t="shared" si="11"/>
        <v>91.422225675850569</v>
      </c>
      <c r="AB35" s="110">
        <f t="shared" si="11"/>
        <v>91.422225675850569</v>
      </c>
      <c r="AC35" s="110">
        <f t="shared" si="11"/>
        <v>137.13154478923636</v>
      </c>
      <c r="AD35" s="110">
        <f t="shared" si="11"/>
        <v>137.13154478923636</v>
      </c>
      <c r="AE35" s="110">
        <f t="shared" si="11"/>
        <v>137.13154478923636</v>
      </c>
      <c r="AF35" s="110">
        <f t="shared" si="11"/>
        <v>137.13154478923636</v>
      </c>
      <c r="AG35" s="110">
        <f t="shared" si="11"/>
        <v>114.27688523254346</v>
      </c>
      <c r="AH35" s="110">
        <f t="shared" si="11"/>
        <v>114.27688523254346</v>
      </c>
      <c r="AI35" s="110">
        <f t="shared" si="11"/>
        <v>114.27688523254346</v>
      </c>
      <c r="AJ35" s="110">
        <f t="shared" si="11"/>
        <v>114.27688523254346</v>
      </c>
      <c r="AK35" s="110">
        <f t="shared" si="11"/>
        <v>114.27688523254346</v>
      </c>
      <c r="AL35" s="110">
        <f t="shared" si="11"/>
        <v>114.27688523254346</v>
      </c>
      <c r="AM35" s="110">
        <f t="shared" si="11"/>
        <v>114.27688523254346</v>
      </c>
      <c r="AN35" s="110">
        <f t="shared" si="11"/>
        <v>114.27688523254346</v>
      </c>
      <c r="AO35" s="110">
        <f t="shared" si="11"/>
        <v>114.27688523254346</v>
      </c>
      <c r="AP35" s="110">
        <f t="shared" si="11"/>
        <v>0</v>
      </c>
      <c r="AQ35" s="110">
        <f t="shared" si="11"/>
        <v>228.55377046508693</v>
      </c>
      <c r="AR35" s="110">
        <f t="shared" si="11"/>
        <v>114.27688523254346</v>
      </c>
      <c r="AS35" s="110">
        <f t="shared" si="11"/>
        <v>114.27688523254346</v>
      </c>
      <c r="AT35" s="110">
        <f t="shared" si="11"/>
        <v>114.27688523254346</v>
      </c>
      <c r="AU35" s="110">
        <f t="shared" si="11"/>
        <v>114.27688523254346</v>
      </c>
      <c r="AV35" s="110">
        <f t="shared" si="11"/>
        <v>114.27688523254346</v>
      </c>
      <c r="AW35" s="110">
        <f t="shared" si="11"/>
        <v>114.27688523254346</v>
      </c>
      <c r="AX35" s="110">
        <f t="shared" si="11"/>
        <v>114.27688523254346</v>
      </c>
      <c r="AY35" s="110">
        <f t="shared" si="11"/>
        <v>114.27688523254346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56.196984802664595</v>
      </c>
      <c r="E39" s="110">
        <f t="shared" ref="E39:AY39" si="12">E33-E36</f>
        <v>56.013731334831554</v>
      </c>
      <c r="F39" s="110">
        <f t="shared" si="12"/>
        <v>56.013731334831554</v>
      </c>
      <c r="G39" s="110">
        <f t="shared" si="12"/>
        <v>56.013731334831554</v>
      </c>
      <c r="H39" s="110">
        <f t="shared" si="12"/>
        <v>56.013731334831554</v>
      </c>
      <c r="I39" s="110">
        <f t="shared" si="12"/>
        <v>56.013731334831554</v>
      </c>
      <c r="J39" s="110">
        <f t="shared" si="12"/>
        <v>56.013731334831554</v>
      </c>
      <c r="K39" s="110">
        <f t="shared" si="12"/>
        <v>56.013731334831554</v>
      </c>
      <c r="L39" s="110">
        <f t="shared" si="12"/>
        <v>56.013731334831554</v>
      </c>
      <c r="M39" s="110">
        <f t="shared" si="12"/>
        <v>56.013731334831554</v>
      </c>
      <c r="N39" s="110">
        <f t="shared" si="12"/>
        <v>56.013731334831554</v>
      </c>
      <c r="O39" s="110">
        <f t="shared" si="12"/>
        <v>56.013731334831554</v>
      </c>
      <c r="P39" s="110">
        <f t="shared" si="12"/>
        <v>56.013731334831554</v>
      </c>
      <c r="Q39" s="110">
        <f t="shared" si="12"/>
        <v>56.013731334831554</v>
      </c>
      <c r="R39" s="110">
        <f t="shared" si="12"/>
        <v>56.013731334831554</v>
      </c>
      <c r="S39" s="110">
        <f t="shared" si="12"/>
        <v>56.013731334831554</v>
      </c>
      <c r="T39" s="110">
        <f t="shared" si="12"/>
        <v>56.013731334831554</v>
      </c>
      <c r="U39" s="110">
        <f t="shared" si="12"/>
        <v>56.013731334831554</v>
      </c>
      <c r="V39" s="110">
        <f t="shared" si="12"/>
        <v>56.013731334831554</v>
      </c>
      <c r="W39" s="110">
        <f t="shared" si="12"/>
        <v>56.013731334831554</v>
      </c>
      <c r="X39" s="110">
        <f t="shared" si="12"/>
        <v>56.013731334831554</v>
      </c>
      <c r="Y39" s="110">
        <f t="shared" si="12"/>
        <v>44.811336751249826</v>
      </c>
      <c r="Z39" s="110">
        <f t="shared" si="12"/>
        <v>44.811336751249826</v>
      </c>
      <c r="AA39" s="110">
        <f t="shared" si="12"/>
        <v>44.811336751249826</v>
      </c>
      <c r="AB39" s="110">
        <f t="shared" si="12"/>
        <v>44.811336751249826</v>
      </c>
      <c r="AC39" s="110">
        <f t="shared" si="12"/>
        <v>67.216125918413283</v>
      </c>
      <c r="AD39" s="110">
        <f t="shared" si="12"/>
        <v>67.216125918413283</v>
      </c>
      <c r="AE39" s="110">
        <f t="shared" si="12"/>
        <v>67.216125918413283</v>
      </c>
      <c r="AF39" s="110">
        <f t="shared" si="12"/>
        <v>67.216125918413283</v>
      </c>
      <c r="AG39" s="110">
        <f t="shared" si="12"/>
        <v>56.013731334831554</v>
      </c>
      <c r="AH39" s="110">
        <f t="shared" si="12"/>
        <v>56.013731334831554</v>
      </c>
      <c r="AI39" s="110">
        <f t="shared" si="12"/>
        <v>56.013731334831554</v>
      </c>
      <c r="AJ39" s="110">
        <f t="shared" si="12"/>
        <v>56.013731334831554</v>
      </c>
      <c r="AK39" s="110">
        <f t="shared" si="12"/>
        <v>56.013731334831554</v>
      </c>
      <c r="AL39" s="110">
        <f t="shared" si="12"/>
        <v>56.013731334831554</v>
      </c>
      <c r="AM39" s="110">
        <f t="shared" si="12"/>
        <v>56.013731334831554</v>
      </c>
      <c r="AN39" s="110">
        <f t="shared" si="12"/>
        <v>56.013731334831554</v>
      </c>
      <c r="AO39" s="110">
        <f t="shared" si="12"/>
        <v>56.013731334831554</v>
      </c>
      <c r="AP39" s="110">
        <f t="shared" si="12"/>
        <v>0</v>
      </c>
      <c r="AQ39" s="110">
        <f t="shared" si="12"/>
        <v>112.02746266966311</v>
      </c>
      <c r="AR39" s="110">
        <f t="shared" si="12"/>
        <v>56.013731334831554</v>
      </c>
      <c r="AS39" s="110">
        <f t="shared" si="12"/>
        <v>56.013731334831554</v>
      </c>
      <c r="AT39" s="110">
        <f t="shared" si="12"/>
        <v>56.013731334831554</v>
      </c>
      <c r="AU39" s="110">
        <f t="shared" si="12"/>
        <v>56.013731334831554</v>
      </c>
      <c r="AV39" s="110">
        <f t="shared" si="12"/>
        <v>56.013731334831554</v>
      </c>
      <c r="AW39" s="110">
        <f t="shared" si="12"/>
        <v>56.013731334831554</v>
      </c>
      <c r="AX39" s="110">
        <f t="shared" si="12"/>
        <v>56.013731334831554</v>
      </c>
      <c r="AY39" s="110">
        <f t="shared" si="12"/>
        <v>56.013731334831554</v>
      </c>
    </row>
    <row r="40" spans="1:52">
      <c r="A40" s="110"/>
      <c r="B40" s="165" t="s">
        <v>348</v>
      </c>
      <c r="C40" s="110"/>
      <c r="D40" s="110">
        <f>D34-D37</f>
        <v>58.453766534010377</v>
      </c>
      <c r="E40" s="110">
        <f t="shared" ref="E40:AY40" si="13">E34-E37</f>
        <v>58.263153897711909</v>
      </c>
      <c r="F40" s="110">
        <f t="shared" si="13"/>
        <v>58.263153897711909</v>
      </c>
      <c r="G40" s="110">
        <f t="shared" si="13"/>
        <v>58.263153897711909</v>
      </c>
      <c r="H40" s="110">
        <f t="shared" si="13"/>
        <v>58.263153897711909</v>
      </c>
      <c r="I40" s="110">
        <f t="shared" si="13"/>
        <v>58.263153897711909</v>
      </c>
      <c r="J40" s="110">
        <f t="shared" si="13"/>
        <v>58.263153897711909</v>
      </c>
      <c r="K40" s="110">
        <f t="shared" si="13"/>
        <v>58.263153897711909</v>
      </c>
      <c r="L40" s="110">
        <f t="shared" si="13"/>
        <v>58.263153897711909</v>
      </c>
      <c r="M40" s="110">
        <f t="shared" si="13"/>
        <v>58.263153897711909</v>
      </c>
      <c r="N40" s="110">
        <f t="shared" si="13"/>
        <v>58.263153897711909</v>
      </c>
      <c r="O40" s="110">
        <f t="shared" si="13"/>
        <v>58.263153897711909</v>
      </c>
      <c r="P40" s="110">
        <f t="shared" si="13"/>
        <v>58.263153897711909</v>
      </c>
      <c r="Q40" s="110">
        <f t="shared" si="13"/>
        <v>58.263153897711909</v>
      </c>
      <c r="R40" s="110">
        <f t="shared" si="13"/>
        <v>58.263153897711909</v>
      </c>
      <c r="S40" s="110">
        <f t="shared" si="13"/>
        <v>58.263153897711909</v>
      </c>
      <c r="T40" s="110">
        <f t="shared" si="13"/>
        <v>58.263153897711909</v>
      </c>
      <c r="U40" s="110">
        <f t="shared" si="13"/>
        <v>58.263153897711909</v>
      </c>
      <c r="V40" s="110">
        <f t="shared" si="13"/>
        <v>58.263153897711909</v>
      </c>
      <c r="W40" s="110">
        <f t="shared" si="13"/>
        <v>58.263153897711909</v>
      </c>
      <c r="X40" s="110">
        <f t="shared" si="13"/>
        <v>58.263153897711909</v>
      </c>
      <c r="Y40" s="110">
        <f t="shared" si="13"/>
        <v>46.610888924600751</v>
      </c>
      <c r="Z40" s="110">
        <f t="shared" si="13"/>
        <v>46.610888924600751</v>
      </c>
      <c r="AA40" s="110">
        <f t="shared" si="13"/>
        <v>46.610888924600751</v>
      </c>
      <c r="AB40" s="110">
        <f t="shared" si="13"/>
        <v>46.610888924600751</v>
      </c>
      <c r="AC40" s="110">
        <f t="shared" si="13"/>
        <v>69.915418870823075</v>
      </c>
      <c r="AD40" s="110">
        <f t="shared" si="13"/>
        <v>69.915418870823075</v>
      </c>
      <c r="AE40" s="110">
        <f t="shared" si="13"/>
        <v>69.915418870823075</v>
      </c>
      <c r="AF40" s="110">
        <f t="shared" si="13"/>
        <v>69.915418870823075</v>
      </c>
      <c r="AG40" s="110">
        <f t="shared" si="13"/>
        <v>58.263153897711909</v>
      </c>
      <c r="AH40" s="110">
        <f t="shared" si="13"/>
        <v>58.263153897711909</v>
      </c>
      <c r="AI40" s="110">
        <f t="shared" si="13"/>
        <v>58.263153897711909</v>
      </c>
      <c r="AJ40" s="110">
        <f t="shared" si="13"/>
        <v>58.263153897711909</v>
      </c>
      <c r="AK40" s="110">
        <f t="shared" si="13"/>
        <v>58.263153897711909</v>
      </c>
      <c r="AL40" s="110">
        <f t="shared" si="13"/>
        <v>58.263153897711909</v>
      </c>
      <c r="AM40" s="110">
        <f t="shared" si="13"/>
        <v>58.263153897711909</v>
      </c>
      <c r="AN40" s="110">
        <f t="shared" si="13"/>
        <v>58.263153897711909</v>
      </c>
      <c r="AO40" s="110">
        <f t="shared" si="13"/>
        <v>58.263153897711909</v>
      </c>
      <c r="AP40" s="110">
        <f t="shared" si="13"/>
        <v>0</v>
      </c>
      <c r="AQ40" s="110">
        <f t="shared" si="13"/>
        <v>116.52630779542382</v>
      </c>
      <c r="AR40" s="110">
        <f t="shared" si="13"/>
        <v>58.263153897711909</v>
      </c>
      <c r="AS40" s="110">
        <f t="shared" si="13"/>
        <v>58.263153897711909</v>
      </c>
      <c r="AT40" s="110">
        <f t="shared" si="13"/>
        <v>58.263153897711909</v>
      </c>
      <c r="AU40" s="110">
        <f t="shared" si="13"/>
        <v>58.263153897711909</v>
      </c>
      <c r="AV40" s="110">
        <f t="shared" si="13"/>
        <v>58.263153897711909</v>
      </c>
      <c r="AW40" s="110">
        <f t="shared" si="13"/>
        <v>58.263153897711909</v>
      </c>
      <c r="AX40" s="110">
        <f t="shared" si="13"/>
        <v>58.263153897711909</v>
      </c>
      <c r="AY40" s="110">
        <f t="shared" si="13"/>
        <v>58.263153897711909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1</v>
      </c>
      <c r="G41" s="110">
        <v>1</v>
      </c>
      <c r="H41" s="110">
        <v>2</v>
      </c>
      <c r="I41" s="110">
        <v>3</v>
      </c>
      <c r="J41" s="110">
        <v>2</v>
      </c>
      <c r="K41" s="110">
        <v>2</v>
      </c>
      <c r="L41" s="110">
        <v>2</v>
      </c>
      <c r="M41" s="110">
        <v>1</v>
      </c>
      <c r="N41" s="110">
        <v>2</v>
      </c>
      <c r="O41" s="110">
        <v>1</v>
      </c>
      <c r="P41" s="110">
        <v>2</v>
      </c>
      <c r="Q41" s="110">
        <v>1</v>
      </c>
      <c r="R41" s="110">
        <v>1</v>
      </c>
      <c r="S41" s="110">
        <v>1</v>
      </c>
      <c r="T41" s="110">
        <v>1</v>
      </c>
      <c r="U41" s="110">
        <v>2</v>
      </c>
      <c r="V41" s="110">
        <v>2</v>
      </c>
      <c r="W41" s="110">
        <v>3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1</v>
      </c>
      <c r="AE41" s="110">
        <v>2</v>
      </c>
      <c r="AF41" s="110">
        <v>3</v>
      </c>
      <c r="AG41" s="110">
        <v>1</v>
      </c>
      <c r="AH41" s="110">
        <v>1</v>
      </c>
      <c r="AI41" s="110">
        <v>2</v>
      </c>
      <c r="AJ41" s="110">
        <v>2</v>
      </c>
      <c r="AK41" s="110">
        <v>1</v>
      </c>
      <c r="AL41" s="110">
        <v>2</v>
      </c>
      <c r="AM41" s="110">
        <v>1</v>
      </c>
      <c r="AN41" s="110">
        <v>1</v>
      </c>
      <c r="AO41" s="110">
        <v>1</v>
      </c>
      <c r="AP41" s="110">
        <v>1</v>
      </c>
      <c r="AQ41" s="110">
        <v>1</v>
      </c>
      <c r="AR41" s="110">
        <v>3</v>
      </c>
      <c r="AS41" s="110">
        <v>3</v>
      </c>
      <c r="AT41" s="110">
        <v>1</v>
      </c>
      <c r="AU41" s="110">
        <v>1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92781.120519204225</v>
      </c>
      <c r="E43" s="110">
        <v>92478.569374435814</v>
      </c>
      <c r="F43" s="110">
        <v>92478.569374435814</v>
      </c>
      <c r="G43" s="110">
        <v>92478.569374435814</v>
      </c>
      <c r="H43" s="110">
        <v>92478.569374435814</v>
      </c>
      <c r="I43" s="110">
        <v>92478.569374435814</v>
      </c>
      <c r="J43" s="110">
        <v>92478.569374435814</v>
      </c>
      <c r="K43" s="110">
        <v>92478.569374435814</v>
      </c>
      <c r="L43" s="110">
        <v>92478.569374435814</v>
      </c>
      <c r="M43" s="110">
        <v>92478.569374435814</v>
      </c>
      <c r="N43" s="110">
        <v>92478.569374435814</v>
      </c>
      <c r="O43" s="110">
        <v>92478.569374435814</v>
      </c>
      <c r="P43" s="110">
        <v>92478.569374435814</v>
      </c>
      <c r="Q43" s="110">
        <v>92478.569374435814</v>
      </c>
      <c r="R43" s="110">
        <v>92478.569374435814</v>
      </c>
      <c r="S43" s="110">
        <v>92478.569374435814</v>
      </c>
      <c r="T43" s="110">
        <v>92478.569374435814</v>
      </c>
      <c r="U43" s="110">
        <v>92478.569374435814</v>
      </c>
      <c r="V43" s="110">
        <v>92478.569374435814</v>
      </c>
      <c r="W43" s="110">
        <v>92478.569374435814</v>
      </c>
      <c r="X43" s="110">
        <v>92478.569374435814</v>
      </c>
      <c r="Y43" s="110">
        <v>73983.436128182075</v>
      </c>
      <c r="Z43" s="110">
        <v>73983.436128182075</v>
      </c>
      <c r="AA43" s="110">
        <v>73983.436128182075</v>
      </c>
      <c r="AB43" s="110">
        <v>73983.436128182075</v>
      </c>
      <c r="AC43" s="110">
        <v>110973.70262068954</v>
      </c>
      <c r="AD43" s="110">
        <v>110973.70262068954</v>
      </c>
      <c r="AE43" s="110">
        <v>110973.70262068954</v>
      </c>
      <c r="AF43" s="110">
        <v>110973.70262068954</v>
      </c>
      <c r="AG43" s="110">
        <v>92478.569374435814</v>
      </c>
      <c r="AH43" s="110">
        <v>92478.569374435814</v>
      </c>
      <c r="AI43" s="110">
        <v>92478.569374435814</v>
      </c>
      <c r="AJ43" s="110">
        <v>92478.569374435814</v>
      </c>
      <c r="AK43" s="110">
        <v>92478.569374435814</v>
      </c>
      <c r="AL43" s="110">
        <v>92478.569374435814</v>
      </c>
      <c r="AM43" s="110">
        <v>92478.569374435814</v>
      </c>
      <c r="AN43" s="110">
        <v>92478.569374435814</v>
      </c>
      <c r="AO43" s="110">
        <v>92478.569374435814</v>
      </c>
      <c r="AP43" s="110">
        <v>0</v>
      </c>
      <c r="AQ43" s="110">
        <v>184957.13874887163</v>
      </c>
      <c r="AR43" s="110">
        <v>92478.569374435814</v>
      </c>
      <c r="AS43" s="110">
        <v>92478.569374435814</v>
      </c>
      <c r="AT43" s="110">
        <v>92478.569374435814</v>
      </c>
      <c r="AU43" s="110">
        <v>92478.569374435814</v>
      </c>
      <c r="AV43" s="110">
        <v>92478.569374435814</v>
      </c>
      <c r="AW43" s="110">
        <v>92478.569374435814</v>
      </c>
      <c r="AX43" s="110">
        <v>92478.569374435814</v>
      </c>
      <c r="AY43" s="110">
        <v>92478.569374435814</v>
      </c>
      <c r="AZ43" s="100">
        <f>SUM($D$43:$AY$43)</f>
        <v>4439273.8811176848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3</v>
      </c>
      <c r="H52" s="110">
        <v>1</v>
      </c>
      <c r="I52" s="110">
        <v>1</v>
      </c>
      <c r="J52" s="110">
        <v>3</v>
      </c>
      <c r="K52" s="110">
        <v>1</v>
      </c>
      <c r="L52" s="110">
        <v>1</v>
      </c>
      <c r="M52" s="110">
        <v>3</v>
      </c>
      <c r="N52" s="110">
        <v>2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2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1</v>
      </c>
      <c r="AB52" s="110">
        <v>2</v>
      </c>
      <c r="AC52" s="110">
        <v>1</v>
      </c>
      <c r="AD52" s="110">
        <v>1</v>
      </c>
      <c r="AE52" s="110">
        <v>1</v>
      </c>
      <c r="AF52" s="110">
        <v>1</v>
      </c>
      <c r="AG52" s="110">
        <v>1</v>
      </c>
      <c r="AH52" s="110">
        <v>1</v>
      </c>
      <c r="AI52" s="110">
        <v>1</v>
      </c>
      <c r="AJ52" s="110">
        <v>1</v>
      </c>
      <c r="AK52" s="110">
        <v>3</v>
      </c>
      <c r="AL52" s="110">
        <v>1</v>
      </c>
      <c r="AM52" s="110">
        <v>1</v>
      </c>
      <c r="AN52" s="110">
        <v>1</v>
      </c>
      <c r="AO52" s="110">
        <v>1</v>
      </c>
      <c r="AP52" s="110">
        <v>1</v>
      </c>
      <c r="AQ52" s="110">
        <v>1</v>
      </c>
      <c r="AR52" s="110">
        <v>3</v>
      </c>
      <c r="AS52" s="110">
        <v>1</v>
      </c>
      <c r="AT52" s="110">
        <v>1</v>
      </c>
      <c r="AU52" s="110">
        <v>1</v>
      </c>
      <c r="AV52" s="110">
        <v>2</v>
      </c>
      <c r="AW52" s="110">
        <v>1</v>
      </c>
      <c r="AX52" s="110">
        <v>3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610.28961581363296</v>
      </c>
      <c r="E55" s="124">
        <f>E$21*shipping_manufacturing!$F$29/100</f>
        <v>608.29951458537209</v>
      </c>
      <c r="F55" s="124">
        <f>F$21*shipping_manufacturing!$F$29/100</f>
        <v>608.29951458537209</v>
      </c>
      <c r="G55" s="124">
        <f>G$21*shipping_manufacturing!$F$29/100</f>
        <v>608.29951458537209</v>
      </c>
      <c r="H55" s="124">
        <f>H$21*shipping_manufacturing!$F$29/100</f>
        <v>608.29951458537209</v>
      </c>
      <c r="I55" s="124">
        <f>I$21*shipping_manufacturing!$F$29/100</f>
        <v>608.29951458537209</v>
      </c>
      <c r="J55" s="124">
        <f>J$21*shipping_manufacturing!$F$29/100</f>
        <v>608.29951458537209</v>
      </c>
      <c r="K55" s="124">
        <f>K$21*shipping_manufacturing!$F$29/100</f>
        <v>608.29951458537209</v>
      </c>
      <c r="L55" s="124">
        <f>L$21*shipping_manufacturing!$F$29/100</f>
        <v>608.29951458537209</v>
      </c>
      <c r="M55" s="124">
        <f>M$21*shipping_manufacturing!$F$29/100</f>
        <v>608.29951458537209</v>
      </c>
      <c r="N55" s="124">
        <f>N$21*shipping_manufacturing!$F$29/100</f>
        <v>608.29951458537209</v>
      </c>
      <c r="O55" s="124">
        <f>O$21*shipping_manufacturing!$F$29/100</f>
        <v>608.29951458537209</v>
      </c>
      <c r="P55" s="124">
        <f>P$21*shipping_manufacturing!$F$29/100</f>
        <v>608.29951458537209</v>
      </c>
      <c r="Q55" s="124">
        <f>Q$21*shipping_manufacturing!$F$29/100</f>
        <v>608.29951458537209</v>
      </c>
      <c r="R55" s="124">
        <f>R$21*shipping_manufacturing!$F$29/100</f>
        <v>608.29951458537209</v>
      </c>
      <c r="S55" s="124">
        <f>S$21*shipping_manufacturing!$F$29/100</f>
        <v>608.29951458537209</v>
      </c>
      <c r="T55" s="124">
        <f>T$21*shipping_manufacturing!$F$29/100</f>
        <v>608.29951458537209</v>
      </c>
      <c r="U55" s="124">
        <f>U$21*shipping_manufacturing!$F$29/100</f>
        <v>608.29951458537209</v>
      </c>
      <c r="V55" s="124">
        <f>V$21*shipping_manufacturing!$F$29/100</f>
        <v>608.29951458537209</v>
      </c>
      <c r="W55" s="124">
        <f>W$21*shipping_manufacturing!$F$29/100</f>
        <v>608.29951458537209</v>
      </c>
      <c r="X55" s="124">
        <f>X$21*shipping_manufacturing!$F$29/100</f>
        <v>608.29951458537209</v>
      </c>
      <c r="Y55" s="124">
        <f>Y$21*shipping_manufacturing!$F$29/100</f>
        <v>486.64343088953206</v>
      </c>
      <c r="Z55" s="124">
        <f>Z$21*shipping_manufacturing!$F$29/100</f>
        <v>486.64343088953206</v>
      </c>
      <c r="AA55" s="124">
        <f>AA$21*shipping_manufacturing!$F$29/100</f>
        <v>486.64343088953206</v>
      </c>
      <c r="AB55" s="124">
        <f>AB$21*shipping_manufacturing!$F$29/100</f>
        <v>486.64343088953206</v>
      </c>
      <c r="AC55" s="124">
        <f>AC$21*shipping_manufacturing!$F$29/100</f>
        <v>729.95559828121213</v>
      </c>
      <c r="AD55" s="124">
        <f>AD$21*shipping_manufacturing!$F$29/100</f>
        <v>729.95559828121213</v>
      </c>
      <c r="AE55" s="124">
        <f>AE$21*shipping_manufacturing!$F$29/100</f>
        <v>729.95559828121213</v>
      </c>
      <c r="AF55" s="124">
        <f>AF$21*shipping_manufacturing!$F$29/100</f>
        <v>729.95559828121213</v>
      </c>
      <c r="AG55" s="124">
        <f>AG$21*shipping_manufacturing!$F$29/100</f>
        <v>608.29951458537209</v>
      </c>
      <c r="AH55" s="124">
        <f>AH$21*shipping_manufacturing!$F$29/100</f>
        <v>608.29951458537209</v>
      </c>
      <c r="AI55" s="124">
        <f>AI$21*shipping_manufacturing!$F$29/100</f>
        <v>608.29951458537209</v>
      </c>
      <c r="AJ55" s="124">
        <f>AJ$21*shipping_manufacturing!$F$29/100</f>
        <v>608.29951458537209</v>
      </c>
      <c r="AK55" s="124">
        <f>AK$21*shipping_manufacturing!$F$29/100</f>
        <v>608.29951458537209</v>
      </c>
      <c r="AL55" s="124">
        <f>AL$21*shipping_manufacturing!$F$29/100</f>
        <v>608.29951458537209</v>
      </c>
      <c r="AM55" s="124">
        <f>AM$21*shipping_manufacturing!$F$29/100</f>
        <v>608.29951458537209</v>
      </c>
      <c r="AN55" s="124">
        <f>AN$21*shipping_manufacturing!$F$29/100</f>
        <v>608.29951458537209</v>
      </c>
      <c r="AO55" s="124">
        <f>AO$21*shipping_manufacturing!$F$29/100</f>
        <v>608.29951458537209</v>
      </c>
      <c r="AP55" s="124">
        <f>AP$21*shipping_manufacturing!$F$29/100</f>
        <v>0</v>
      </c>
      <c r="AQ55" s="124">
        <f>AQ$21*shipping_manufacturing!$F$29/100</f>
        <v>1216.5990291707442</v>
      </c>
      <c r="AR55" s="124">
        <f>AR$21*shipping_manufacturing!$F$29/100</f>
        <v>608.29951458537209</v>
      </c>
      <c r="AS55" s="124">
        <f>AS$21*shipping_manufacturing!$F$29/100</f>
        <v>608.29951458537209</v>
      </c>
      <c r="AT55" s="124">
        <f>AT$21*shipping_manufacturing!$F$29/100</f>
        <v>608.29951458537209</v>
      </c>
      <c r="AU55" s="124">
        <f>AU$21*shipping_manufacturing!$F$29/100</f>
        <v>608.29951458537209</v>
      </c>
      <c r="AV55" s="124">
        <f>AV$21*shipping_manufacturing!$F$29/100</f>
        <v>608.29951458537209</v>
      </c>
      <c r="AW55" s="124">
        <f>AW$21*shipping_manufacturing!$F$29/100</f>
        <v>608.29951458537209</v>
      </c>
      <c r="AX55" s="124">
        <f>AX$21*shipping_manufacturing!$F$29/100</f>
        <v>608.29951458537209</v>
      </c>
      <c r="AY55" s="124">
        <f>AY$21*shipping_manufacturing!$F$29/100</f>
        <v>608.29951458537209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831.79372538022403</v>
      </c>
      <c r="E56" s="110">
        <f>E$22*shipping_manufacturing!$G$29/100</f>
        <v>829.08131856279522</v>
      </c>
      <c r="F56" s="110">
        <f>F$22*shipping_manufacturing!$G$29/100</f>
        <v>829.08131856279522</v>
      </c>
      <c r="G56" s="110">
        <f>G$22*shipping_manufacturing!$G$29/100</f>
        <v>829.08131856279522</v>
      </c>
      <c r="H56" s="110">
        <f>H$22*shipping_manufacturing!$G$29/100</f>
        <v>829.08131856279522</v>
      </c>
      <c r="I56" s="110">
        <f>I$22*shipping_manufacturing!$G$29/100</f>
        <v>829.08131856279522</v>
      </c>
      <c r="J56" s="110">
        <f>J$22*shipping_manufacturing!$G$29/100</f>
        <v>829.08131856279522</v>
      </c>
      <c r="K56" s="110">
        <f>K$22*shipping_manufacturing!$G$29/100</f>
        <v>829.08131856279522</v>
      </c>
      <c r="L56" s="110">
        <f>L$22*shipping_manufacturing!$G$29/100</f>
        <v>829.08131856279522</v>
      </c>
      <c r="M56" s="110">
        <f>M$22*shipping_manufacturing!$G$29/100</f>
        <v>829.08131856279522</v>
      </c>
      <c r="N56" s="110">
        <f>N$22*shipping_manufacturing!$G$29/100</f>
        <v>829.08131856279522</v>
      </c>
      <c r="O56" s="110">
        <f>O$22*shipping_manufacturing!$G$29/100</f>
        <v>829.08131856279522</v>
      </c>
      <c r="P56" s="110">
        <f>P$22*shipping_manufacturing!$G$29/100</f>
        <v>829.08131856279522</v>
      </c>
      <c r="Q56" s="110">
        <f>Q$22*shipping_manufacturing!$G$29/100</f>
        <v>829.08131856279522</v>
      </c>
      <c r="R56" s="110">
        <f>R$22*shipping_manufacturing!$G$29/100</f>
        <v>829.08131856279522</v>
      </c>
      <c r="S56" s="110">
        <f>S$22*shipping_manufacturing!$G$29/100</f>
        <v>829.08131856279522</v>
      </c>
      <c r="T56" s="110">
        <f>T$22*shipping_manufacturing!$G$29/100</f>
        <v>829.08131856279522</v>
      </c>
      <c r="U56" s="110">
        <f>U$22*shipping_manufacturing!$G$29/100</f>
        <v>829.08131856279522</v>
      </c>
      <c r="V56" s="110">
        <f>V$22*shipping_manufacturing!$G$29/100</f>
        <v>829.08131856279522</v>
      </c>
      <c r="W56" s="110">
        <f>W$22*shipping_manufacturing!$G$29/100</f>
        <v>829.08131856279522</v>
      </c>
      <c r="X56" s="110">
        <f>X$22*shipping_manufacturing!$G$29/100</f>
        <v>829.08131856279522</v>
      </c>
      <c r="Y56" s="110">
        <f>Y$22*shipping_manufacturing!$G$29/100</f>
        <v>663.27026025464784</v>
      </c>
      <c r="Z56" s="110">
        <f>Z$22*shipping_manufacturing!$G$29/100</f>
        <v>663.27026025464784</v>
      </c>
      <c r="AA56" s="110">
        <f>AA$22*shipping_manufacturing!$G$29/100</f>
        <v>663.27026025464784</v>
      </c>
      <c r="AB56" s="110">
        <f>AB$22*shipping_manufacturing!$G$29/100</f>
        <v>663.27026025464784</v>
      </c>
      <c r="AC56" s="110">
        <f>AC$22*shipping_manufacturing!$G$29/100</f>
        <v>994.89237687094248</v>
      </c>
      <c r="AD56" s="110">
        <f>AD$22*shipping_manufacturing!$G$29/100</f>
        <v>994.89237687094248</v>
      </c>
      <c r="AE56" s="110">
        <f>AE$22*shipping_manufacturing!$G$29/100</f>
        <v>994.89237687094248</v>
      </c>
      <c r="AF56" s="110">
        <f>AF$22*shipping_manufacturing!$G$29/100</f>
        <v>994.89237687094248</v>
      </c>
      <c r="AG56" s="110">
        <f>AG$22*shipping_manufacturing!$G$29/100</f>
        <v>829.08131856279522</v>
      </c>
      <c r="AH56" s="110">
        <f>AH$22*shipping_manufacturing!$G$29/100</f>
        <v>829.08131856279522</v>
      </c>
      <c r="AI56" s="110">
        <f>AI$22*shipping_manufacturing!$G$29/100</f>
        <v>829.08131856279522</v>
      </c>
      <c r="AJ56" s="110">
        <f>AJ$22*shipping_manufacturing!$G$29/100</f>
        <v>829.08131856279522</v>
      </c>
      <c r="AK56" s="110">
        <f>AK$22*shipping_manufacturing!$G$29/100</f>
        <v>829.08131856279522</v>
      </c>
      <c r="AL56" s="110">
        <f>AL$22*shipping_manufacturing!$G$29/100</f>
        <v>829.08131856279522</v>
      </c>
      <c r="AM56" s="110">
        <f>AM$22*shipping_manufacturing!$G$29/100</f>
        <v>829.08131856279522</v>
      </c>
      <c r="AN56" s="110">
        <f>AN$22*shipping_manufacturing!$G$29/100</f>
        <v>829.08131856279522</v>
      </c>
      <c r="AO56" s="110">
        <f>AO$22*shipping_manufacturing!$G$29/100</f>
        <v>829.08131856279522</v>
      </c>
      <c r="AP56" s="110">
        <f>AP$22*shipping_manufacturing!$G$29/100</f>
        <v>0</v>
      </c>
      <c r="AQ56" s="110">
        <f>AQ$22*shipping_manufacturing!$G$29/100</f>
        <v>1658.1626371255904</v>
      </c>
      <c r="AR56" s="110">
        <f>AR$22*shipping_manufacturing!$G$29/100</f>
        <v>829.08131856279522</v>
      </c>
      <c r="AS56" s="110">
        <f>AS$22*shipping_manufacturing!$G$29/100</f>
        <v>829.08131856279522</v>
      </c>
      <c r="AT56" s="110">
        <f>AT$22*shipping_manufacturing!$G$29/100</f>
        <v>829.08131856279522</v>
      </c>
      <c r="AU56" s="110">
        <f>AU$22*shipping_manufacturing!$G$29/100</f>
        <v>829.08131856279522</v>
      </c>
      <c r="AV56" s="110">
        <f>AV$22*shipping_manufacturing!$G$29/100</f>
        <v>829.08131856279522</v>
      </c>
      <c r="AW56" s="110">
        <f>AW$22*shipping_manufacturing!$G$29/100</f>
        <v>829.08131856279522</v>
      </c>
      <c r="AX56" s="110">
        <f>AX$22*shipping_manufacturing!$G$29/100</f>
        <v>829.08131856279522</v>
      </c>
      <c r="AY56" s="110">
        <f>AY$22*shipping_manufacturing!$G$29/100</f>
        <v>829.08131856279522</v>
      </c>
    </row>
    <row r="57" spans="1:52">
      <c r="A57" s="110">
        <v>495</v>
      </c>
      <c r="B57" s="165" t="s">
        <v>343</v>
      </c>
      <c r="C57" s="110"/>
      <c r="D57" s="110">
        <f>SUM(D55:D56)</f>
        <v>1442.083341193857</v>
      </c>
      <c r="E57" s="110">
        <f t="shared" ref="E57:AY57" si="17">SUM(E55:E56)</f>
        <v>1437.3808331481673</v>
      </c>
      <c r="F57" s="110">
        <f t="shared" si="17"/>
        <v>1437.3808331481673</v>
      </c>
      <c r="G57" s="110">
        <f t="shared" si="17"/>
        <v>1437.3808331481673</v>
      </c>
      <c r="H57" s="110">
        <f t="shared" si="17"/>
        <v>1437.3808331481673</v>
      </c>
      <c r="I57" s="110">
        <f t="shared" si="17"/>
        <v>1437.3808331481673</v>
      </c>
      <c r="J57" s="110">
        <f t="shared" si="17"/>
        <v>1437.3808331481673</v>
      </c>
      <c r="K57" s="110">
        <f t="shared" si="17"/>
        <v>1437.3808331481673</v>
      </c>
      <c r="L57" s="110">
        <f t="shared" si="17"/>
        <v>1437.3808331481673</v>
      </c>
      <c r="M57" s="110">
        <f t="shared" si="17"/>
        <v>1437.3808331481673</v>
      </c>
      <c r="N57" s="110">
        <f t="shared" si="17"/>
        <v>1437.3808331481673</v>
      </c>
      <c r="O57" s="110">
        <f t="shared" si="17"/>
        <v>1437.3808331481673</v>
      </c>
      <c r="P57" s="110">
        <f t="shared" si="17"/>
        <v>1437.3808331481673</v>
      </c>
      <c r="Q57" s="110">
        <f t="shared" si="17"/>
        <v>1437.3808331481673</v>
      </c>
      <c r="R57" s="110">
        <f t="shared" si="17"/>
        <v>1437.3808331481673</v>
      </c>
      <c r="S57" s="110">
        <f t="shared" si="17"/>
        <v>1437.3808331481673</v>
      </c>
      <c r="T57" s="110">
        <f t="shared" si="17"/>
        <v>1437.3808331481673</v>
      </c>
      <c r="U57" s="110">
        <f t="shared" si="17"/>
        <v>1437.3808331481673</v>
      </c>
      <c r="V57" s="110">
        <f t="shared" si="17"/>
        <v>1437.3808331481673</v>
      </c>
      <c r="W57" s="110">
        <f t="shared" si="17"/>
        <v>1437.3808331481673</v>
      </c>
      <c r="X57" s="110">
        <f t="shared" si="17"/>
        <v>1437.3808331481673</v>
      </c>
      <c r="Y57" s="110">
        <f t="shared" si="17"/>
        <v>1149.9136911441799</v>
      </c>
      <c r="Z57" s="110">
        <f t="shared" si="17"/>
        <v>1149.9136911441799</v>
      </c>
      <c r="AA57" s="110">
        <f t="shared" si="17"/>
        <v>1149.9136911441799</v>
      </c>
      <c r="AB57" s="110">
        <f t="shared" si="17"/>
        <v>1149.9136911441799</v>
      </c>
      <c r="AC57" s="110">
        <f t="shared" si="17"/>
        <v>1724.8479751521545</v>
      </c>
      <c r="AD57" s="110">
        <f t="shared" si="17"/>
        <v>1724.8479751521545</v>
      </c>
      <c r="AE57" s="110">
        <f t="shared" si="17"/>
        <v>1724.8479751521545</v>
      </c>
      <c r="AF57" s="110">
        <f t="shared" si="17"/>
        <v>1724.8479751521545</v>
      </c>
      <c r="AG57" s="110">
        <f t="shared" si="17"/>
        <v>1437.3808331481673</v>
      </c>
      <c r="AH57" s="110">
        <f t="shared" si="17"/>
        <v>1437.3808331481673</v>
      </c>
      <c r="AI57" s="110">
        <f t="shared" si="17"/>
        <v>1437.3808331481673</v>
      </c>
      <c r="AJ57" s="110">
        <f t="shared" si="17"/>
        <v>1437.3808331481673</v>
      </c>
      <c r="AK57" s="110">
        <f t="shared" si="17"/>
        <v>1437.3808331481673</v>
      </c>
      <c r="AL57" s="110">
        <f t="shared" si="17"/>
        <v>1437.3808331481673</v>
      </c>
      <c r="AM57" s="110">
        <f t="shared" si="17"/>
        <v>1437.3808331481673</v>
      </c>
      <c r="AN57" s="110">
        <f t="shared" si="17"/>
        <v>1437.3808331481673</v>
      </c>
      <c r="AO57" s="110">
        <f t="shared" si="17"/>
        <v>1437.3808331481673</v>
      </c>
      <c r="AP57" s="110">
        <f t="shared" si="17"/>
        <v>0</v>
      </c>
      <c r="AQ57" s="110">
        <f t="shared" si="17"/>
        <v>2874.7616662963346</v>
      </c>
      <c r="AR57" s="110">
        <f t="shared" si="17"/>
        <v>1437.3808331481673</v>
      </c>
      <c r="AS57" s="110">
        <f t="shared" si="17"/>
        <v>1437.3808331481673</v>
      </c>
      <c r="AT57" s="110">
        <f t="shared" si="17"/>
        <v>1437.3808331481673</v>
      </c>
      <c r="AU57" s="110">
        <f t="shared" si="17"/>
        <v>1437.3808331481673</v>
      </c>
      <c r="AV57" s="110">
        <f t="shared" si="17"/>
        <v>1437.3808331481673</v>
      </c>
      <c r="AW57" s="110">
        <f t="shared" si="17"/>
        <v>1437.3808331481673</v>
      </c>
      <c r="AX57" s="110">
        <f t="shared" si="17"/>
        <v>1437.3808331481673</v>
      </c>
      <c r="AY57" s="110">
        <f t="shared" si="17"/>
        <v>1437.3808331481673</v>
      </c>
    </row>
    <row r="58" spans="1:52">
      <c r="A58" s="110"/>
      <c r="B58" s="165" t="s">
        <v>344</v>
      </c>
      <c r="C58" s="110"/>
      <c r="D58" s="110"/>
      <c r="E58" s="110">
        <v>190.43998309333273</v>
      </c>
      <c r="F58" s="110"/>
      <c r="G58" s="110">
        <v>190.43998309333273</v>
      </c>
      <c r="H58" s="110"/>
      <c r="I58" s="110">
        <v>190.43998309333273</v>
      </c>
      <c r="J58" s="110"/>
      <c r="K58" s="110">
        <v>190.43998309333273</v>
      </c>
      <c r="L58" s="110"/>
      <c r="M58" s="110">
        <v>190.43998309333273</v>
      </c>
      <c r="N58" s="110"/>
      <c r="O58" s="110">
        <v>190.43998309333273</v>
      </c>
      <c r="P58" s="110"/>
      <c r="Q58" s="110">
        <v>190.43998309333273</v>
      </c>
      <c r="R58" s="110"/>
      <c r="S58" s="110">
        <v>190.43998309333273</v>
      </c>
      <c r="T58" s="110"/>
      <c r="U58" s="110">
        <v>190.43998309333273</v>
      </c>
      <c r="V58" s="110"/>
      <c r="W58" s="110">
        <v>190.43998309333273</v>
      </c>
      <c r="X58" s="110"/>
      <c r="Y58" s="110">
        <v>190.43998309333276</v>
      </c>
      <c r="Z58" s="110"/>
      <c r="AA58" s="110">
        <v>190.43998309333276</v>
      </c>
      <c r="AB58" s="110"/>
      <c r="AC58" s="110">
        <v>190.43998309333276</v>
      </c>
      <c r="AD58" s="110"/>
      <c r="AE58" s="110">
        <v>190.43998309333276</v>
      </c>
      <c r="AF58" s="110"/>
      <c r="AG58" s="110">
        <v>190.43998309333273</v>
      </c>
      <c r="AH58" s="110"/>
      <c r="AI58" s="110">
        <v>190.43998309333273</v>
      </c>
      <c r="AJ58" s="110"/>
      <c r="AK58" s="110">
        <v>190.43998309333273</v>
      </c>
      <c r="AL58" s="110"/>
      <c r="AM58" s="110">
        <v>190.43998309333273</v>
      </c>
      <c r="AN58" s="110"/>
      <c r="AO58" s="110">
        <v>190.43998309333273</v>
      </c>
      <c r="AP58" s="110"/>
      <c r="AQ58" s="110">
        <v>190.43998309333273</v>
      </c>
      <c r="AR58" s="110"/>
      <c r="AS58" s="110">
        <v>190.43998309333273</v>
      </c>
      <c r="AT58" s="110"/>
      <c r="AU58" s="110">
        <v>190.43998309333273</v>
      </c>
      <c r="AV58" s="110"/>
      <c r="AW58" s="110">
        <v>190.43998309333273</v>
      </c>
      <c r="AX58" s="110"/>
      <c r="AY58" s="110">
        <v>190.43998309333273</v>
      </c>
    </row>
    <row r="59" spans="1:52">
      <c r="A59" s="110"/>
      <c r="B59" s="165" t="s">
        <v>345</v>
      </c>
      <c r="C59" s="110"/>
      <c r="D59" s="110"/>
      <c r="E59" s="110">
        <v>259.56001690666722</v>
      </c>
      <c r="F59" s="110"/>
      <c r="G59" s="110">
        <v>259.56001690666722</v>
      </c>
      <c r="H59" s="110"/>
      <c r="I59" s="110">
        <v>259.56001690666722</v>
      </c>
      <c r="J59" s="110"/>
      <c r="K59" s="110">
        <v>259.56001690666722</v>
      </c>
      <c r="L59" s="110"/>
      <c r="M59" s="110">
        <v>259.56001690666722</v>
      </c>
      <c r="N59" s="110"/>
      <c r="O59" s="110">
        <v>259.56001690666722</v>
      </c>
      <c r="P59" s="110"/>
      <c r="Q59" s="110">
        <v>259.56001690666722</v>
      </c>
      <c r="R59" s="110"/>
      <c r="S59" s="110">
        <v>259.56001690666722</v>
      </c>
      <c r="T59" s="110"/>
      <c r="U59" s="110">
        <v>259.56001690666722</v>
      </c>
      <c r="V59" s="110"/>
      <c r="W59" s="110">
        <v>259.56001690666722</v>
      </c>
      <c r="X59" s="110"/>
      <c r="Y59" s="110">
        <v>259.56001690666722</v>
      </c>
      <c r="Z59" s="110"/>
      <c r="AA59" s="110">
        <v>259.56001690666722</v>
      </c>
      <c r="AB59" s="110"/>
      <c r="AC59" s="110">
        <v>259.56001690666727</v>
      </c>
      <c r="AD59" s="110"/>
      <c r="AE59" s="110">
        <v>259.56001690666727</v>
      </c>
      <c r="AF59" s="110"/>
      <c r="AG59" s="110">
        <v>259.56001690666722</v>
      </c>
      <c r="AH59" s="110"/>
      <c r="AI59" s="110">
        <v>259.56001690666722</v>
      </c>
      <c r="AJ59" s="110"/>
      <c r="AK59" s="110">
        <v>259.56001690666722</v>
      </c>
      <c r="AL59" s="110"/>
      <c r="AM59" s="110">
        <v>259.56001690666722</v>
      </c>
      <c r="AN59" s="110"/>
      <c r="AO59" s="110">
        <v>259.56001690666722</v>
      </c>
      <c r="AP59" s="110"/>
      <c r="AQ59" s="110">
        <v>259.56001690666727</v>
      </c>
      <c r="AR59" s="110"/>
      <c r="AS59" s="110">
        <v>259.56001690666722</v>
      </c>
      <c r="AT59" s="110"/>
      <c r="AU59" s="110">
        <v>259.56001690666722</v>
      </c>
      <c r="AV59" s="110"/>
      <c r="AW59" s="110">
        <v>259.56001690666722</v>
      </c>
      <c r="AX59" s="110"/>
      <c r="AY59" s="110">
        <v>259.56001690666722</v>
      </c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610.28961581363296</v>
      </c>
      <c r="E61" s="110">
        <f t="shared" ref="E61:AY61" si="18">E55-E58</f>
        <v>417.85953149203937</v>
      </c>
      <c r="F61" s="110">
        <f t="shared" si="18"/>
        <v>608.29951458537209</v>
      </c>
      <c r="G61" s="110">
        <f t="shared" si="18"/>
        <v>417.85953149203937</v>
      </c>
      <c r="H61" s="110">
        <f t="shared" si="18"/>
        <v>608.29951458537209</v>
      </c>
      <c r="I61" s="110">
        <f t="shared" si="18"/>
        <v>417.85953149203937</v>
      </c>
      <c r="J61" s="110">
        <f t="shared" si="18"/>
        <v>608.29951458537209</v>
      </c>
      <c r="K61" s="110">
        <f t="shared" si="18"/>
        <v>417.85953149203937</v>
      </c>
      <c r="L61" s="110">
        <f t="shared" si="18"/>
        <v>608.29951458537209</v>
      </c>
      <c r="M61" s="110">
        <f t="shared" si="18"/>
        <v>417.85953149203937</v>
      </c>
      <c r="N61" s="110">
        <f t="shared" si="18"/>
        <v>608.29951458537209</v>
      </c>
      <c r="O61" s="110">
        <f t="shared" si="18"/>
        <v>417.85953149203937</v>
      </c>
      <c r="P61" s="110">
        <f t="shared" si="18"/>
        <v>608.29951458537209</v>
      </c>
      <c r="Q61" s="110">
        <f t="shared" si="18"/>
        <v>417.85953149203937</v>
      </c>
      <c r="R61" s="110">
        <f t="shared" si="18"/>
        <v>608.29951458537209</v>
      </c>
      <c r="S61" s="110">
        <f t="shared" si="18"/>
        <v>417.85953149203937</v>
      </c>
      <c r="T61" s="110">
        <f t="shared" si="18"/>
        <v>608.29951458537209</v>
      </c>
      <c r="U61" s="110">
        <f t="shared" si="18"/>
        <v>417.85953149203937</v>
      </c>
      <c r="V61" s="110">
        <f t="shared" si="18"/>
        <v>608.29951458537209</v>
      </c>
      <c r="W61" s="110">
        <f t="shared" si="18"/>
        <v>417.85953149203937</v>
      </c>
      <c r="X61" s="110">
        <f t="shared" si="18"/>
        <v>608.29951458537209</v>
      </c>
      <c r="Y61" s="110">
        <f t="shared" si="18"/>
        <v>296.20344779619927</v>
      </c>
      <c r="Z61" s="110">
        <f t="shared" si="18"/>
        <v>486.64343088953206</v>
      </c>
      <c r="AA61" s="110">
        <f t="shared" si="18"/>
        <v>296.20344779619927</v>
      </c>
      <c r="AB61" s="110">
        <f t="shared" si="18"/>
        <v>486.64343088953206</v>
      </c>
      <c r="AC61" s="110">
        <f t="shared" si="18"/>
        <v>539.51561518787935</v>
      </c>
      <c r="AD61" s="110">
        <f t="shared" si="18"/>
        <v>729.95559828121213</v>
      </c>
      <c r="AE61" s="110">
        <f t="shared" si="18"/>
        <v>539.51561518787935</v>
      </c>
      <c r="AF61" s="110">
        <f t="shared" si="18"/>
        <v>729.95559828121213</v>
      </c>
      <c r="AG61" s="110">
        <f t="shared" si="18"/>
        <v>417.85953149203937</v>
      </c>
      <c r="AH61" s="110">
        <f t="shared" si="18"/>
        <v>608.29951458537209</v>
      </c>
      <c r="AI61" s="110">
        <f t="shared" si="18"/>
        <v>417.85953149203937</v>
      </c>
      <c r="AJ61" s="110">
        <f t="shared" si="18"/>
        <v>608.29951458537209</v>
      </c>
      <c r="AK61" s="110">
        <f t="shared" si="18"/>
        <v>417.85953149203937</v>
      </c>
      <c r="AL61" s="110">
        <f t="shared" si="18"/>
        <v>608.29951458537209</v>
      </c>
      <c r="AM61" s="110">
        <f t="shared" si="18"/>
        <v>417.85953149203937</v>
      </c>
      <c r="AN61" s="110">
        <f t="shared" si="18"/>
        <v>608.29951458537209</v>
      </c>
      <c r="AO61" s="110">
        <f t="shared" si="18"/>
        <v>417.85953149203937</v>
      </c>
      <c r="AP61" s="110">
        <f t="shared" si="18"/>
        <v>0</v>
      </c>
      <c r="AQ61" s="110">
        <f t="shared" si="18"/>
        <v>1026.1590460774114</v>
      </c>
      <c r="AR61" s="110">
        <f t="shared" si="18"/>
        <v>608.29951458537209</v>
      </c>
      <c r="AS61" s="110">
        <f t="shared" si="18"/>
        <v>417.85953149203937</v>
      </c>
      <c r="AT61" s="110">
        <f t="shared" si="18"/>
        <v>608.29951458537209</v>
      </c>
      <c r="AU61" s="110">
        <f t="shared" si="18"/>
        <v>417.85953149203937</v>
      </c>
      <c r="AV61" s="110">
        <f t="shared" si="18"/>
        <v>608.29951458537209</v>
      </c>
      <c r="AW61" s="110">
        <f t="shared" si="18"/>
        <v>417.85953149203937</v>
      </c>
      <c r="AX61" s="110">
        <f t="shared" si="18"/>
        <v>608.29951458537209</v>
      </c>
      <c r="AY61" s="110">
        <f t="shared" si="18"/>
        <v>417.85953149203937</v>
      </c>
    </row>
    <row r="62" spans="1:52">
      <c r="A62" s="110"/>
      <c r="B62" s="165" t="s">
        <v>348</v>
      </c>
      <c r="C62" s="110"/>
      <c r="D62" s="110">
        <f>D56-D59</f>
        <v>831.79372538022403</v>
      </c>
      <c r="E62" s="110">
        <f t="shared" ref="E62:AY62" si="19">E56-E59</f>
        <v>569.521301656128</v>
      </c>
      <c r="F62" s="110">
        <f t="shared" si="19"/>
        <v>829.08131856279522</v>
      </c>
      <c r="G62" s="110">
        <f t="shared" si="19"/>
        <v>569.521301656128</v>
      </c>
      <c r="H62" s="110">
        <f t="shared" si="19"/>
        <v>829.08131856279522</v>
      </c>
      <c r="I62" s="110">
        <f t="shared" si="19"/>
        <v>569.521301656128</v>
      </c>
      <c r="J62" s="110">
        <f t="shared" si="19"/>
        <v>829.08131856279522</v>
      </c>
      <c r="K62" s="110">
        <f t="shared" si="19"/>
        <v>569.521301656128</v>
      </c>
      <c r="L62" s="110">
        <f t="shared" si="19"/>
        <v>829.08131856279522</v>
      </c>
      <c r="M62" s="110">
        <f t="shared" si="19"/>
        <v>569.521301656128</v>
      </c>
      <c r="N62" s="110">
        <f t="shared" si="19"/>
        <v>829.08131856279522</v>
      </c>
      <c r="O62" s="110">
        <f t="shared" si="19"/>
        <v>569.521301656128</v>
      </c>
      <c r="P62" s="110">
        <f t="shared" si="19"/>
        <v>829.08131856279522</v>
      </c>
      <c r="Q62" s="110">
        <f t="shared" si="19"/>
        <v>569.521301656128</v>
      </c>
      <c r="R62" s="110">
        <f t="shared" si="19"/>
        <v>829.08131856279522</v>
      </c>
      <c r="S62" s="110">
        <f t="shared" si="19"/>
        <v>569.521301656128</v>
      </c>
      <c r="T62" s="110">
        <f t="shared" si="19"/>
        <v>829.08131856279522</v>
      </c>
      <c r="U62" s="110">
        <f t="shared" si="19"/>
        <v>569.521301656128</v>
      </c>
      <c r="V62" s="110">
        <f t="shared" si="19"/>
        <v>829.08131856279522</v>
      </c>
      <c r="W62" s="110">
        <f t="shared" si="19"/>
        <v>569.521301656128</v>
      </c>
      <c r="X62" s="110">
        <f t="shared" si="19"/>
        <v>829.08131856279522</v>
      </c>
      <c r="Y62" s="110">
        <f t="shared" si="19"/>
        <v>403.71024334798062</v>
      </c>
      <c r="Z62" s="110">
        <f t="shared" si="19"/>
        <v>663.27026025464784</v>
      </c>
      <c r="AA62" s="110">
        <f t="shared" si="19"/>
        <v>403.71024334798062</v>
      </c>
      <c r="AB62" s="110">
        <f t="shared" si="19"/>
        <v>663.27026025464784</v>
      </c>
      <c r="AC62" s="110">
        <f t="shared" si="19"/>
        <v>735.33235996427516</v>
      </c>
      <c r="AD62" s="110">
        <f t="shared" si="19"/>
        <v>994.89237687094248</v>
      </c>
      <c r="AE62" s="110">
        <f t="shared" si="19"/>
        <v>735.33235996427516</v>
      </c>
      <c r="AF62" s="110">
        <f t="shared" si="19"/>
        <v>994.89237687094248</v>
      </c>
      <c r="AG62" s="110">
        <f t="shared" si="19"/>
        <v>569.521301656128</v>
      </c>
      <c r="AH62" s="110">
        <f t="shared" si="19"/>
        <v>829.08131856279522</v>
      </c>
      <c r="AI62" s="110">
        <f t="shared" si="19"/>
        <v>569.521301656128</v>
      </c>
      <c r="AJ62" s="110">
        <f t="shared" si="19"/>
        <v>829.08131856279522</v>
      </c>
      <c r="AK62" s="110">
        <f t="shared" si="19"/>
        <v>569.521301656128</v>
      </c>
      <c r="AL62" s="110">
        <f t="shared" si="19"/>
        <v>829.08131856279522</v>
      </c>
      <c r="AM62" s="110">
        <f t="shared" si="19"/>
        <v>569.521301656128</v>
      </c>
      <c r="AN62" s="110">
        <f t="shared" si="19"/>
        <v>829.08131856279522</v>
      </c>
      <c r="AO62" s="110">
        <f t="shared" si="19"/>
        <v>569.521301656128</v>
      </c>
      <c r="AP62" s="110">
        <f t="shared" si="19"/>
        <v>0</v>
      </c>
      <c r="AQ62" s="110">
        <f t="shared" si="19"/>
        <v>1398.6026202189232</v>
      </c>
      <c r="AR62" s="110">
        <f t="shared" si="19"/>
        <v>829.08131856279522</v>
      </c>
      <c r="AS62" s="110">
        <f t="shared" si="19"/>
        <v>569.521301656128</v>
      </c>
      <c r="AT62" s="110">
        <f t="shared" si="19"/>
        <v>829.08131856279522</v>
      </c>
      <c r="AU62" s="110">
        <f t="shared" si="19"/>
        <v>569.521301656128</v>
      </c>
      <c r="AV62" s="110">
        <f t="shared" si="19"/>
        <v>829.08131856279522</v>
      </c>
      <c r="AW62" s="110">
        <f t="shared" si="19"/>
        <v>569.521301656128</v>
      </c>
      <c r="AX62" s="110">
        <f t="shared" si="19"/>
        <v>829.08131856279522</v>
      </c>
      <c r="AY62" s="110">
        <f t="shared" si="19"/>
        <v>569.521301656128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2</v>
      </c>
      <c r="G63" s="110">
        <v>1</v>
      </c>
      <c r="H63" s="110">
        <v>2</v>
      </c>
      <c r="I63" s="110">
        <v>1</v>
      </c>
      <c r="J63" s="110">
        <v>1</v>
      </c>
      <c r="K63" s="110">
        <v>2</v>
      </c>
      <c r="L63" s="110">
        <v>2</v>
      </c>
      <c r="M63" s="110">
        <v>1</v>
      </c>
      <c r="N63" s="110">
        <v>2</v>
      </c>
      <c r="O63" s="110">
        <v>1</v>
      </c>
      <c r="P63" s="110">
        <v>1</v>
      </c>
      <c r="Q63" s="110">
        <v>2</v>
      </c>
      <c r="R63" s="110">
        <v>1</v>
      </c>
      <c r="S63" s="110">
        <v>2</v>
      </c>
      <c r="T63" s="110">
        <v>1</v>
      </c>
      <c r="U63" s="110">
        <v>1</v>
      </c>
      <c r="V63" s="110">
        <v>3</v>
      </c>
      <c r="W63" s="110">
        <v>1</v>
      </c>
      <c r="X63" s="110">
        <v>1</v>
      </c>
      <c r="Y63" s="110">
        <v>1</v>
      </c>
      <c r="Z63" s="110">
        <v>2</v>
      </c>
      <c r="AA63" s="110">
        <v>2</v>
      </c>
      <c r="AB63" s="110">
        <v>2</v>
      </c>
      <c r="AC63" s="110">
        <v>2</v>
      </c>
      <c r="AD63" s="110">
        <v>3</v>
      </c>
      <c r="AE63" s="110">
        <v>1</v>
      </c>
      <c r="AF63" s="110">
        <v>1</v>
      </c>
      <c r="AG63" s="110">
        <v>1</v>
      </c>
      <c r="AH63" s="110">
        <v>1</v>
      </c>
      <c r="AI63" s="110">
        <v>3</v>
      </c>
      <c r="AJ63" s="110">
        <v>2</v>
      </c>
      <c r="AK63" s="110">
        <v>1</v>
      </c>
      <c r="AL63" s="110">
        <v>2</v>
      </c>
      <c r="AM63" s="110">
        <v>2</v>
      </c>
      <c r="AN63" s="110">
        <v>1</v>
      </c>
      <c r="AO63" s="110">
        <v>3</v>
      </c>
      <c r="AP63" s="110">
        <v>2</v>
      </c>
      <c r="AQ63" s="110">
        <v>1</v>
      </c>
      <c r="AR63" s="110">
        <v>2</v>
      </c>
      <c r="AS63" s="110">
        <v>2</v>
      </c>
      <c r="AT63" s="110">
        <v>2</v>
      </c>
      <c r="AU63" s="110">
        <v>1</v>
      </c>
      <c r="AV63" s="110">
        <v>1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463990.31502912351</v>
      </c>
      <c r="E65" s="125">
        <v>317689.78306542285</v>
      </c>
      <c r="F65" s="125">
        <v>462477.28306542285</v>
      </c>
      <c r="G65" s="125">
        <v>317689.78306542285</v>
      </c>
      <c r="H65" s="125">
        <v>462477.28306542285</v>
      </c>
      <c r="I65" s="125">
        <v>317689.78306542285</v>
      </c>
      <c r="J65" s="125">
        <v>462477.28306542285</v>
      </c>
      <c r="K65" s="125">
        <v>317689.78306542285</v>
      </c>
      <c r="L65" s="125">
        <v>462477.28306542285</v>
      </c>
      <c r="M65" s="125">
        <v>317689.78306542285</v>
      </c>
      <c r="N65" s="125">
        <v>462477.28306542285</v>
      </c>
      <c r="O65" s="125">
        <v>317689.78306542285</v>
      </c>
      <c r="P65" s="125">
        <v>462477.28306542285</v>
      </c>
      <c r="Q65" s="125">
        <v>317689.78306542285</v>
      </c>
      <c r="R65" s="125">
        <v>462477.28306542285</v>
      </c>
      <c r="S65" s="125">
        <v>317689.78306542285</v>
      </c>
      <c r="T65" s="125">
        <v>462477.28306542285</v>
      </c>
      <c r="U65" s="125">
        <v>317689.78306542285</v>
      </c>
      <c r="V65" s="125">
        <v>462477.28306542285</v>
      </c>
      <c r="W65" s="125">
        <v>317689.78306542285</v>
      </c>
      <c r="X65" s="125">
        <v>462477.28306542285</v>
      </c>
      <c r="Y65" s="125">
        <v>225197.23012563988</v>
      </c>
      <c r="Z65" s="125">
        <v>369984.73012563988</v>
      </c>
      <c r="AA65" s="125">
        <v>225197.23012563988</v>
      </c>
      <c r="AB65" s="125">
        <v>369984.73012563988</v>
      </c>
      <c r="AC65" s="125">
        <v>410182.33600520575</v>
      </c>
      <c r="AD65" s="125">
        <v>554969.83600520575</v>
      </c>
      <c r="AE65" s="125">
        <v>410182.33600520575</v>
      </c>
      <c r="AF65" s="125">
        <v>554969.83600520575</v>
      </c>
      <c r="AG65" s="125">
        <v>317689.78306542285</v>
      </c>
      <c r="AH65" s="125">
        <v>462477.28306542285</v>
      </c>
      <c r="AI65" s="125">
        <v>317689.78306542285</v>
      </c>
      <c r="AJ65" s="125">
        <v>462477.28306542285</v>
      </c>
      <c r="AK65" s="125">
        <v>317689.78306542285</v>
      </c>
      <c r="AL65" s="125">
        <v>462477.28306542285</v>
      </c>
      <c r="AM65" s="125">
        <v>317689.78306542285</v>
      </c>
      <c r="AN65" s="125">
        <v>462477.28306542285</v>
      </c>
      <c r="AO65" s="125">
        <v>317689.78306542285</v>
      </c>
      <c r="AP65" s="125">
        <v>0</v>
      </c>
      <c r="AQ65" s="125">
        <v>780167.06613084569</v>
      </c>
      <c r="AR65" s="125">
        <v>462477.28306542285</v>
      </c>
      <c r="AS65" s="125">
        <v>317689.78306542285</v>
      </c>
      <c r="AT65" s="125">
        <v>462477.28306542285</v>
      </c>
      <c r="AU65" s="125">
        <v>317689.78306542285</v>
      </c>
      <c r="AV65" s="125">
        <v>462477.28306542285</v>
      </c>
      <c r="AW65" s="125">
        <v>317689.78306542285</v>
      </c>
      <c r="AX65" s="125">
        <v>462477.28306542285</v>
      </c>
      <c r="AY65" s="125">
        <v>317689.78306542285</v>
      </c>
      <c r="AZ65" s="100">
        <f>SUM($D$65:$AY$65)</f>
        <v>18725522.619103998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125</v>
      </c>
      <c r="E9" s="117">
        <v>125</v>
      </c>
      <c r="F9" s="117">
        <v>125</v>
      </c>
      <c r="G9" s="117">
        <v>125</v>
      </c>
      <c r="H9" s="117">
        <v>125</v>
      </c>
      <c r="I9" s="117">
        <v>125</v>
      </c>
      <c r="J9" s="117">
        <v>125</v>
      </c>
      <c r="K9" s="117">
        <v>125</v>
      </c>
      <c r="L9" s="117">
        <v>125</v>
      </c>
      <c r="M9" s="117">
        <v>125</v>
      </c>
      <c r="N9" s="117">
        <v>125</v>
      </c>
      <c r="O9" s="117">
        <v>125</v>
      </c>
      <c r="P9" s="117">
        <v>125</v>
      </c>
      <c r="Q9" s="117">
        <v>125</v>
      </c>
      <c r="R9" s="117">
        <v>125</v>
      </c>
      <c r="S9" s="117">
        <v>125</v>
      </c>
      <c r="T9" s="117">
        <v>125</v>
      </c>
      <c r="U9" s="117">
        <v>125</v>
      </c>
      <c r="V9" s="117">
        <v>125</v>
      </c>
      <c r="W9" s="117">
        <v>125</v>
      </c>
      <c r="X9" s="117">
        <v>125</v>
      </c>
      <c r="Y9" s="117">
        <v>125</v>
      </c>
      <c r="Z9" s="117">
        <v>125</v>
      </c>
      <c r="AA9" s="117">
        <v>125</v>
      </c>
      <c r="AB9" s="117">
        <v>125</v>
      </c>
      <c r="AC9" s="117">
        <v>125</v>
      </c>
      <c r="AD9" s="117">
        <v>125</v>
      </c>
      <c r="AE9" s="117">
        <v>125</v>
      </c>
      <c r="AF9" s="117">
        <v>125</v>
      </c>
      <c r="AG9" s="117">
        <v>125</v>
      </c>
      <c r="AH9" s="117">
        <v>125</v>
      </c>
      <c r="AI9" s="117">
        <v>125</v>
      </c>
      <c r="AJ9" s="117">
        <v>125</v>
      </c>
      <c r="AK9" s="117">
        <v>125</v>
      </c>
      <c r="AL9" s="117">
        <v>125</v>
      </c>
      <c r="AM9" s="117">
        <v>125</v>
      </c>
      <c r="AN9" s="117">
        <v>125</v>
      </c>
      <c r="AO9" s="117">
        <v>125</v>
      </c>
      <c r="AP9" s="117">
        <v>125</v>
      </c>
      <c r="AQ9" s="117">
        <v>125</v>
      </c>
      <c r="AR9" s="117">
        <v>6.8313698428973675E-19</v>
      </c>
      <c r="AS9" s="117">
        <v>6.8313698428973675E-19</v>
      </c>
      <c r="AT9" s="117">
        <v>6.8313698428973675E-19</v>
      </c>
      <c r="AU9" s="117">
        <v>6.8313698428973675E-19</v>
      </c>
      <c r="AV9" s="117">
        <v>125</v>
      </c>
      <c r="AW9" s="117">
        <v>125</v>
      </c>
      <c r="AX9" s="117">
        <v>125</v>
      </c>
      <c r="AY9" s="117">
        <v>125</v>
      </c>
    </row>
    <row r="10" spans="1:53">
      <c r="A10" s="118" t="s">
        <v>133</v>
      </c>
      <c r="B10" s="119">
        <v>1</v>
      </c>
      <c r="C10" s="106" t="s">
        <v>293</v>
      </c>
      <c r="D10" s="100">
        <v>171.2461720950968</v>
      </c>
      <c r="E10" s="100">
        <v>0</v>
      </c>
      <c r="F10" s="100">
        <v>171.79796037633415</v>
      </c>
      <c r="G10" s="100">
        <v>56.013731334831554</v>
      </c>
      <c r="H10" s="100">
        <v>171.79796037633415</v>
      </c>
      <c r="I10" s="100">
        <v>0</v>
      </c>
      <c r="J10" s="100">
        <v>115.78422904150258</v>
      </c>
      <c r="K10" s="100">
        <v>115.78422904150258</v>
      </c>
      <c r="L10" s="100">
        <v>115.78422904150258</v>
      </c>
      <c r="M10" s="100">
        <v>0</v>
      </c>
      <c r="N10" s="100">
        <v>171.79796037633415</v>
      </c>
      <c r="O10" s="100">
        <v>115.78422904150258</v>
      </c>
      <c r="P10" s="100">
        <v>171.79796037633415</v>
      </c>
      <c r="Q10" s="100">
        <v>115.78422904150258</v>
      </c>
      <c r="R10" s="100">
        <v>171.79796037633415</v>
      </c>
      <c r="S10" s="100">
        <v>171.79796037633415</v>
      </c>
      <c r="T10" s="100">
        <v>171.79796037633415</v>
      </c>
      <c r="U10" s="100">
        <v>171.79796037633415</v>
      </c>
      <c r="V10" s="100">
        <v>115.78422904150258</v>
      </c>
      <c r="W10" s="100">
        <v>0</v>
      </c>
      <c r="X10" s="100">
        <v>0</v>
      </c>
      <c r="Y10" s="100">
        <v>171.79796037633415</v>
      </c>
      <c r="Z10" s="100">
        <v>44.811336751249826</v>
      </c>
      <c r="AA10" s="100">
        <v>44.811336751249826</v>
      </c>
      <c r="AB10" s="100">
        <v>160.59556579275241</v>
      </c>
      <c r="AC10" s="100">
        <v>160.59556579275241</v>
      </c>
      <c r="AD10" s="100">
        <v>183.00035495991585</v>
      </c>
      <c r="AE10" s="100">
        <v>67.216125918413283</v>
      </c>
      <c r="AF10" s="100">
        <v>115.78422904150258</v>
      </c>
      <c r="AG10" s="100">
        <v>115.78422904150258</v>
      </c>
      <c r="AH10" s="100">
        <v>56.013731334831554</v>
      </c>
      <c r="AI10" s="100">
        <v>171.79796037633415</v>
      </c>
      <c r="AJ10" s="100">
        <v>0</v>
      </c>
      <c r="AK10" s="100">
        <v>115.78422904150258</v>
      </c>
      <c r="AL10" s="100">
        <v>171.79796037633415</v>
      </c>
      <c r="AM10" s="100">
        <v>47.171035376538057</v>
      </c>
      <c r="AN10" s="100">
        <v>115.43453631089213</v>
      </c>
      <c r="AO10" s="100">
        <v>171.79796037633415</v>
      </c>
      <c r="AP10" s="100">
        <v>115.43453631089213</v>
      </c>
      <c r="AQ10" s="100">
        <v>29.71040248803029</v>
      </c>
      <c r="AR10" s="100">
        <v>227.81169171116568</v>
      </c>
      <c r="AS10" s="100">
        <v>115.78422904150258</v>
      </c>
      <c r="AT10" s="100">
        <v>59.420804976060573</v>
      </c>
      <c r="AU10" s="100">
        <v>85.724133822861845</v>
      </c>
      <c r="AV10" s="100">
        <v>115.43453631089213</v>
      </c>
      <c r="AW10" s="100">
        <v>115.78422904150258</v>
      </c>
      <c r="AX10" s="100">
        <v>92.627383233202096</v>
      </c>
      <c r="AY10" s="100">
        <v>104.2129219105413</v>
      </c>
      <c r="AZ10" s="100">
        <v>74.276006220075729</v>
      </c>
    </row>
    <row r="11" spans="1:53">
      <c r="B11" s="119">
        <v>2</v>
      </c>
      <c r="C11" s="106" t="s">
        <v>293</v>
      </c>
      <c r="E11" s="100">
        <v>0</v>
      </c>
      <c r="F11" s="100">
        <v>171.98121384416717</v>
      </c>
      <c r="H11" s="100">
        <v>115.78422904150258</v>
      </c>
      <c r="J11" s="100">
        <v>171.79796037633415</v>
      </c>
      <c r="K11" s="100">
        <v>0</v>
      </c>
      <c r="L11" s="100">
        <v>56.013731334831554</v>
      </c>
      <c r="M11" s="100">
        <v>56.013731334831554</v>
      </c>
      <c r="N11" s="100">
        <v>56.013731334831554</v>
      </c>
      <c r="P11" s="100">
        <v>56.013731334831554</v>
      </c>
      <c r="Q11" s="100">
        <v>0</v>
      </c>
      <c r="R11" s="100">
        <v>56.013731334831554</v>
      </c>
      <c r="W11" s="100">
        <v>56.013731334831554</v>
      </c>
      <c r="X11" s="100">
        <v>56.013731334831554</v>
      </c>
      <c r="Y11" s="100">
        <v>0</v>
      </c>
      <c r="AA11" s="100">
        <v>0</v>
      </c>
      <c r="AB11" s="100">
        <v>0</v>
      </c>
      <c r="AC11" s="100">
        <v>0</v>
      </c>
      <c r="AF11" s="100">
        <v>115.78422904150258</v>
      </c>
      <c r="AG11" s="100">
        <v>67.216125918413283</v>
      </c>
      <c r="AK11" s="100">
        <v>56.013731334831554</v>
      </c>
      <c r="AL11" s="100">
        <v>56.013731334831554</v>
      </c>
      <c r="AN11" s="100">
        <v>56.013731334831554</v>
      </c>
      <c r="AO11" s="100">
        <v>56.363424065442011</v>
      </c>
      <c r="AQ11" s="100">
        <v>56.363424065442011</v>
      </c>
      <c r="AV11" s="100">
        <v>86.073826553472287</v>
      </c>
      <c r="AX11" s="100">
        <v>56.013731334831554</v>
      </c>
      <c r="AY11" s="100">
        <v>56.013731334831554</v>
      </c>
      <c r="AZ11" s="100">
        <v>0</v>
      </c>
      <c r="BA11" s="100">
        <v>74.365108347957914</v>
      </c>
    </row>
    <row r="12" spans="1:53">
      <c r="B12" s="120">
        <v>3</v>
      </c>
      <c r="C12" s="106" t="s">
        <v>293</v>
      </c>
      <c r="L12" s="100">
        <v>56.013731334831554</v>
      </c>
      <c r="O12" s="100">
        <v>115.78422904150258</v>
      </c>
      <c r="Y12" s="100">
        <v>115.78422904150258</v>
      </c>
      <c r="Z12" s="100">
        <v>56.013731334831554</v>
      </c>
      <c r="AI12" s="100">
        <v>67.216125918413283</v>
      </c>
      <c r="AL12" s="100">
        <v>115.78422904150258</v>
      </c>
      <c r="AO12" s="100">
        <v>0</v>
      </c>
      <c r="AS12" s="100">
        <v>86.073826553472287</v>
      </c>
      <c r="AU12" s="100">
        <v>56.013731334831554</v>
      </c>
      <c r="AV12" s="100">
        <v>112.37715540027357</v>
      </c>
      <c r="AX12" s="100">
        <v>56.363424065442011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79.694719304267011</v>
      </c>
      <c r="E14" s="117">
        <f t="shared" ref="E14:AZ14" si="0">D$172*SUM(D$122:D$169)</f>
        <v>72.413699916131762</v>
      </c>
      <c r="F14" s="117">
        <f t="shared" si="0"/>
        <v>6.0115720080860854E-3</v>
      </c>
      <c r="G14" s="117">
        <f t="shared" si="0"/>
        <v>143.59784392167248</v>
      </c>
      <c r="H14" s="117">
        <f t="shared" si="0"/>
        <v>46.029367423836817</v>
      </c>
      <c r="I14" s="117">
        <f t="shared" si="0"/>
        <v>119.80677309215761</v>
      </c>
      <c r="J14" s="117">
        <f t="shared" si="0"/>
        <v>18.414903908909682</v>
      </c>
      <c r="K14" s="117">
        <f t="shared" si="0"/>
        <v>119.80677309215761</v>
      </c>
      <c r="L14" s="117">
        <f t="shared" si="0"/>
        <v>65.821148902344518</v>
      </c>
      <c r="M14" s="117">
        <f t="shared" si="0"/>
        <v>95.476627664776558</v>
      </c>
      <c r="N14" s="117">
        <f t="shared" si="0"/>
        <v>23.719501793803893</v>
      </c>
      <c r="O14" s="117">
        <f t="shared" si="0"/>
        <v>95.476627664776558</v>
      </c>
      <c r="P14" s="117">
        <f t="shared" si="0"/>
        <v>102.46092559805788</v>
      </c>
      <c r="Q14" s="117">
        <f t="shared" si="0"/>
        <v>103.21276377284666</v>
      </c>
      <c r="R14" s="117">
        <f t="shared" si="0"/>
        <v>61.634354991263322</v>
      </c>
      <c r="S14" s="117">
        <f t="shared" si="0"/>
        <v>95.476627664776558</v>
      </c>
      <c r="T14" s="117">
        <f t="shared" si="0"/>
        <v>78.725334655678125</v>
      </c>
      <c r="U14" s="117">
        <f t="shared" si="0"/>
        <v>71.763137442980764</v>
      </c>
      <c r="V14" s="117">
        <f t="shared" si="0"/>
        <v>71.763137442980749</v>
      </c>
      <c r="W14" s="117">
        <f t="shared" si="0"/>
        <v>48.049647221184948</v>
      </c>
      <c r="X14" s="117">
        <f t="shared" si="0"/>
        <v>23.719501793803893</v>
      </c>
      <c r="Y14" s="117">
        <f t="shared" si="0"/>
        <v>23.719501793803897</v>
      </c>
      <c r="Z14" s="117">
        <f t="shared" si="0"/>
        <v>119.80677309215761</v>
      </c>
      <c r="AA14" s="117">
        <f t="shared" si="0"/>
        <v>44.196806062381519</v>
      </c>
      <c r="AB14" s="117">
        <f t="shared" si="0"/>
        <v>18.976952635089429</v>
      </c>
      <c r="AC14" s="117">
        <f t="shared" si="0"/>
        <v>67.020588284266282</v>
      </c>
      <c r="AD14" s="117">
        <f t="shared" si="0"/>
        <v>67.020588284266282</v>
      </c>
      <c r="AE14" s="117">
        <f t="shared" si="0"/>
        <v>76.505686601695231</v>
      </c>
      <c r="AF14" s="117">
        <f t="shared" si="0"/>
        <v>28.462050952518368</v>
      </c>
      <c r="AG14" s="117">
        <f t="shared" si="0"/>
        <v>96.093282870361776</v>
      </c>
      <c r="AH14" s="117">
        <f t="shared" si="0"/>
        <v>80.0229114119076</v>
      </c>
      <c r="AI14" s="117">
        <f t="shared" si="0"/>
        <v>26.808834063548417</v>
      </c>
      <c r="AJ14" s="117">
        <f t="shared" si="0"/>
        <v>100.21917682349104</v>
      </c>
      <c r="AK14" s="117">
        <f t="shared" si="0"/>
        <v>12.417528591277131</v>
      </c>
      <c r="AL14" s="117">
        <f t="shared" si="0"/>
        <v>71.763137442980764</v>
      </c>
      <c r="AM14" s="117">
        <f t="shared" si="0"/>
        <v>143.52026331395339</v>
      </c>
      <c r="AN14" s="117">
        <f t="shared" si="0"/>
        <v>37.936688695245969</v>
      </c>
      <c r="AO14" s="117">
        <f t="shared" si="0"/>
        <v>72.089126343076686</v>
      </c>
      <c r="AP14" s="117">
        <f t="shared" si="0"/>
        <v>100.04739529313412</v>
      </c>
      <c r="AQ14" s="117">
        <f t="shared" si="0"/>
        <v>53.571195223038679</v>
      </c>
      <c r="AR14" s="117">
        <f t="shared" si="0"/>
        <v>35.721580057446438</v>
      </c>
      <c r="AS14" s="117">
        <f t="shared" si="0"/>
        <v>95.476627664776558</v>
      </c>
      <c r="AT14" s="117">
        <f t="shared" si="0"/>
        <v>84.050541654977536</v>
      </c>
      <c r="AU14" s="117">
        <f t="shared" si="0"/>
        <v>24.662145899485068</v>
      </c>
      <c r="AV14" s="117">
        <f t="shared" si="0"/>
        <v>59.761059179338197</v>
      </c>
      <c r="AW14" s="117">
        <f t="shared" si="0"/>
        <v>131.1921961502149</v>
      </c>
      <c r="AX14" s="117">
        <f t="shared" si="0"/>
        <v>64.220238725884514</v>
      </c>
      <c r="AY14" s="117">
        <f t="shared" si="0"/>
        <v>85.772470017642817</v>
      </c>
      <c r="AZ14" s="110">
        <f t="shared" si="0"/>
        <v>69.047520043862747</v>
      </c>
      <c r="BA14" s="107">
        <f>SUM($E14:$AZ14)</f>
        <v>3347.4775767079709</v>
      </c>
    </row>
    <row r="15" spans="1:53">
      <c r="A15" s="122" t="s">
        <v>123</v>
      </c>
      <c r="B15" s="123">
        <v>1</v>
      </c>
      <c r="C15" s="124" t="s">
        <v>293</v>
      </c>
      <c r="D15" s="124">
        <v>177.91773809147887</v>
      </c>
      <c r="E15" s="124">
        <v>1.4770206401433393E-2</v>
      </c>
      <c r="F15" s="124">
        <v>176.31933055472439</v>
      </c>
      <c r="G15" s="124">
        <v>58.277924104113346</v>
      </c>
      <c r="H15" s="124">
        <v>176.31933055472439</v>
      </c>
      <c r="I15" s="124">
        <v>1.4770206401433393E-2</v>
      </c>
      <c r="J15" s="124">
        <v>118.05617665701247</v>
      </c>
      <c r="K15" s="124">
        <v>118.05617665701244</v>
      </c>
      <c r="L15" s="124">
        <v>118.05617665701247</v>
      </c>
      <c r="M15" s="124">
        <v>1.4770206401433393E-2</v>
      </c>
      <c r="N15" s="124">
        <v>176.31933055472439</v>
      </c>
      <c r="O15" s="124">
        <v>118.05617665701244</v>
      </c>
      <c r="P15" s="124">
        <v>176.31933055472439</v>
      </c>
      <c r="Q15" s="124">
        <v>118.05617665701244</v>
      </c>
      <c r="R15" s="124">
        <v>176.31933055472439</v>
      </c>
      <c r="S15" s="124">
        <v>176.31933055472436</v>
      </c>
      <c r="T15" s="124">
        <v>176.31933055472439</v>
      </c>
      <c r="U15" s="124">
        <v>176.31933055472436</v>
      </c>
      <c r="V15" s="124">
        <v>118.05617665701247</v>
      </c>
      <c r="W15" s="124">
        <v>1.4770206401433393E-2</v>
      </c>
      <c r="X15" s="124">
        <v>1.4770206401433393E-2</v>
      </c>
      <c r="Y15" s="124">
        <v>176.31933055472439</v>
      </c>
      <c r="Z15" s="124">
        <v>46.625659131002188</v>
      </c>
      <c r="AA15" s="124">
        <v>46.625659131002188</v>
      </c>
      <c r="AB15" s="124">
        <v>164.66706558161323</v>
      </c>
      <c r="AC15" s="124">
        <v>164.6670655816132</v>
      </c>
      <c r="AD15" s="124">
        <v>187.97159552783555</v>
      </c>
      <c r="AE15" s="124">
        <v>69.930189077224512</v>
      </c>
      <c r="AF15" s="124">
        <v>118.05617665701247</v>
      </c>
      <c r="AG15" s="124">
        <v>118.05617665701244</v>
      </c>
      <c r="AH15" s="124">
        <v>58.277924104113346</v>
      </c>
      <c r="AI15" s="124">
        <v>176.31933055472439</v>
      </c>
      <c r="AJ15" s="124">
        <v>1.4770206401433393E-2</v>
      </c>
      <c r="AK15" s="124">
        <v>118.05617665701247</v>
      </c>
      <c r="AL15" s="124">
        <v>176.31933055472436</v>
      </c>
      <c r="AM15" s="124">
        <v>48.105390195607328</v>
      </c>
      <c r="AN15" s="124">
        <v>118.85711912805277</v>
      </c>
      <c r="AO15" s="124">
        <v>176.31933055472433</v>
      </c>
      <c r="AP15" s="124">
        <v>118.85711912805277</v>
      </c>
      <c r="AQ15" s="124">
        <v>30.304367718371147</v>
      </c>
      <c r="AR15" s="124">
        <v>234.58248445243626</v>
      </c>
      <c r="AS15" s="124">
        <v>118.05617665701243</v>
      </c>
      <c r="AT15" s="124">
        <v>60.593965230340864</v>
      </c>
      <c r="AU15" s="124">
        <v>88.567521616083056</v>
      </c>
      <c r="AV15" s="124">
        <v>118.85711912805277</v>
      </c>
      <c r="AW15" s="124">
        <v>118.05617665701243</v>
      </c>
      <c r="AX15" s="124">
        <v>94.447895366890265</v>
      </c>
      <c r="AY15" s="124">
        <v>107.41674285721334</v>
      </c>
      <c r="AZ15" s="100">
        <v>75.723993779924285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176.49517298462138</v>
      </c>
      <c r="G16" s="110"/>
      <c r="H16" s="110">
        <v>118.04140645061101</v>
      </c>
      <c r="I16" s="110"/>
      <c r="J16" s="110">
        <v>176.30456034832292</v>
      </c>
      <c r="K16" s="110">
        <v>0</v>
      </c>
      <c r="L16" s="110">
        <v>58.263153897711909</v>
      </c>
      <c r="M16" s="110">
        <v>58.263153897711909</v>
      </c>
      <c r="N16" s="110">
        <v>58.263153897711909</v>
      </c>
      <c r="O16" s="110"/>
      <c r="P16" s="110">
        <v>58.263153897711909</v>
      </c>
      <c r="Q16" s="110">
        <v>0</v>
      </c>
      <c r="R16" s="110">
        <v>58.263153897711909</v>
      </c>
      <c r="S16" s="110"/>
      <c r="T16" s="110"/>
      <c r="U16" s="110"/>
      <c r="V16" s="110"/>
      <c r="W16" s="110">
        <v>58.263153897711909</v>
      </c>
      <c r="X16" s="110">
        <v>58.263153897711909</v>
      </c>
      <c r="Y16" s="110">
        <v>0</v>
      </c>
      <c r="Z16" s="110"/>
      <c r="AA16" s="110">
        <v>0</v>
      </c>
      <c r="AB16" s="110">
        <v>0</v>
      </c>
      <c r="AC16" s="110">
        <v>0</v>
      </c>
      <c r="AD16" s="110"/>
      <c r="AE16" s="110"/>
      <c r="AF16" s="110">
        <v>118.04140645061101</v>
      </c>
      <c r="AG16" s="110">
        <v>69.915418870823075</v>
      </c>
      <c r="AH16" s="110"/>
      <c r="AI16" s="110"/>
      <c r="AJ16" s="110"/>
      <c r="AK16" s="110">
        <v>58.263153897711909</v>
      </c>
      <c r="AL16" s="110">
        <v>58.263153897711909</v>
      </c>
      <c r="AM16" s="110"/>
      <c r="AN16" s="110">
        <v>58.263153897711909</v>
      </c>
      <c r="AO16" s="110">
        <v>57.46221142667158</v>
      </c>
      <c r="AP16" s="110"/>
      <c r="AQ16" s="110">
        <v>57.46221142667158</v>
      </c>
      <c r="AR16" s="110"/>
      <c r="AS16" s="110"/>
      <c r="AT16" s="110"/>
      <c r="AU16" s="110"/>
      <c r="AV16" s="110">
        <v>87.75180893864129</v>
      </c>
      <c r="AW16" s="110"/>
      <c r="AX16" s="110">
        <v>58.263153897711909</v>
      </c>
      <c r="AY16" s="110">
        <v>58.263153897711909</v>
      </c>
      <c r="AZ16" s="100">
        <v>0</v>
      </c>
      <c r="BA16" s="100">
        <v>76.972285278276445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>
        <v>58.263153897711909</v>
      </c>
      <c r="M17" s="110"/>
      <c r="N17" s="110"/>
      <c r="O17" s="110">
        <v>118.04140645061101</v>
      </c>
      <c r="P17" s="110"/>
      <c r="Q17" s="110"/>
      <c r="R17" s="110"/>
      <c r="S17" s="110"/>
      <c r="T17" s="110"/>
      <c r="U17" s="110"/>
      <c r="V17" s="110"/>
      <c r="W17" s="110"/>
      <c r="X17" s="110"/>
      <c r="Y17" s="110">
        <v>118.04140645061101</v>
      </c>
      <c r="Z17" s="110">
        <v>58.263153897711909</v>
      </c>
      <c r="AA17" s="110"/>
      <c r="AB17" s="110"/>
      <c r="AC17" s="110"/>
      <c r="AD17" s="110"/>
      <c r="AE17" s="110"/>
      <c r="AF17" s="110"/>
      <c r="AG17" s="110"/>
      <c r="AH17" s="110"/>
      <c r="AI17" s="110">
        <v>69.915418870823075</v>
      </c>
      <c r="AJ17" s="110"/>
      <c r="AK17" s="110"/>
      <c r="AL17" s="110">
        <v>118.04140645061101</v>
      </c>
      <c r="AM17" s="110"/>
      <c r="AN17" s="110"/>
      <c r="AO17" s="110">
        <v>0</v>
      </c>
      <c r="AP17" s="110"/>
      <c r="AQ17" s="110"/>
      <c r="AR17" s="110"/>
      <c r="AS17" s="110">
        <v>87.75180893864129</v>
      </c>
      <c r="AT17" s="110"/>
      <c r="AU17" s="110">
        <v>58.263153897711909</v>
      </c>
      <c r="AV17" s="110">
        <v>115.72536532438349</v>
      </c>
      <c r="AW17" s="110"/>
      <c r="AX17" s="110">
        <v>57.46221142667158</v>
      </c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197.02015937187835</v>
      </c>
      <c r="D95" s="110">
        <v>125</v>
      </c>
      <c r="E95" s="110">
        <v>125</v>
      </c>
      <c r="F95" s="110">
        <v>125</v>
      </c>
      <c r="G95" s="110">
        <v>125</v>
      </c>
      <c r="H95" s="110">
        <v>125</v>
      </c>
      <c r="I95" s="110">
        <v>125</v>
      </c>
      <c r="J95" s="110">
        <v>125</v>
      </c>
      <c r="K95" s="110">
        <v>125</v>
      </c>
      <c r="L95" s="110">
        <v>125</v>
      </c>
      <c r="M95" s="110">
        <v>125</v>
      </c>
      <c r="N95" s="110">
        <v>125</v>
      </c>
      <c r="O95" s="110">
        <v>125</v>
      </c>
      <c r="P95" s="110">
        <v>125</v>
      </c>
      <c r="Q95" s="110">
        <v>125</v>
      </c>
      <c r="R95" s="110">
        <v>125</v>
      </c>
      <c r="S95" s="110">
        <v>125</v>
      </c>
      <c r="T95" s="110">
        <v>125</v>
      </c>
      <c r="U95" s="110">
        <v>125</v>
      </c>
      <c r="V95" s="110">
        <v>125</v>
      </c>
      <c r="W95" s="110">
        <v>125</v>
      </c>
      <c r="X95" s="110">
        <v>125</v>
      </c>
      <c r="Y95" s="110">
        <v>125</v>
      </c>
      <c r="Z95" s="110">
        <v>125</v>
      </c>
      <c r="AA95" s="110">
        <v>125</v>
      </c>
      <c r="AB95" s="110">
        <v>125</v>
      </c>
      <c r="AC95" s="110">
        <v>125</v>
      </c>
      <c r="AD95" s="110">
        <v>125</v>
      </c>
      <c r="AE95" s="110">
        <v>125</v>
      </c>
      <c r="AF95" s="110">
        <v>125</v>
      </c>
      <c r="AG95" s="110">
        <v>125</v>
      </c>
      <c r="AH95" s="110">
        <v>125</v>
      </c>
      <c r="AI95" s="110">
        <v>125</v>
      </c>
      <c r="AJ95" s="110">
        <v>125</v>
      </c>
      <c r="AK95" s="110">
        <v>125</v>
      </c>
      <c r="AL95" s="110">
        <v>125</v>
      </c>
      <c r="AM95" s="110">
        <v>125</v>
      </c>
      <c r="AN95" s="110">
        <v>125</v>
      </c>
      <c r="AO95" s="110">
        <v>125</v>
      </c>
      <c r="AP95" s="110">
        <v>125</v>
      </c>
      <c r="AQ95" s="110">
        <v>125</v>
      </c>
      <c r="AR95" s="110">
        <v>6.8313698428973675E-19</v>
      </c>
      <c r="AS95" s="110">
        <v>6.8313698428973675E-19</v>
      </c>
      <c r="AT95" s="110">
        <v>6.8313698428973675E-19</v>
      </c>
      <c r="AU95" s="110">
        <v>6.8313698428973675E-19</v>
      </c>
      <c r="AV95" s="110">
        <v>125</v>
      </c>
      <c r="AW95" s="110">
        <v>125</v>
      </c>
      <c r="AX95" s="110">
        <v>125</v>
      </c>
      <c r="AY95" s="110">
        <v>125</v>
      </c>
    </row>
    <row r="96" spans="1:52">
      <c r="A96" s="109"/>
      <c r="B96" s="120">
        <v>2</v>
      </c>
      <c r="C96" s="110">
        <v>197.02015937187835</v>
      </c>
      <c r="D96" s="110">
        <v>197.02015937187835</v>
      </c>
      <c r="E96" s="110">
        <v>125</v>
      </c>
      <c r="F96" s="110">
        <v>125</v>
      </c>
      <c r="G96" s="110">
        <v>125</v>
      </c>
      <c r="H96" s="110">
        <v>125</v>
      </c>
      <c r="I96" s="110">
        <v>125</v>
      </c>
      <c r="J96" s="110">
        <v>125</v>
      </c>
      <c r="K96" s="110">
        <v>125</v>
      </c>
      <c r="L96" s="110">
        <v>125</v>
      </c>
      <c r="M96" s="110">
        <v>125</v>
      </c>
      <c r="N96" s="110">
        <v>125</v>
      </c>
      <c r="O96" s="110">
        <v>125</v>
      </c>
      <c r="P96" s="110">
        <v>125</v>
      </c>
      <c r="Q96" s="110">
        <v>125</v>
      </c>
      <c r="R96" s="110">
        <v>112</v>
      </c>
      <c r="S96" s="110">
        <v>120</v>
      </c>
      <c r="T96" s="110">
        <v>90</v>
      </c>
      <c r="U96" s="110">
        <v>40</v>
      </c>
      <c r="V96" s="110">
        <v>0</v>
      </c>
      <c r="W96" s="110">
        <v>0</v>
      </c>
      <c r="X96" s="110">
        <v>3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9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5</v>
      </c>
      <c r="AP96" s="110">
        <v>5</v>
      </c>
      <c r="AQ96" s="110">
        <v>0</v>
      </c>
      <c r="AR96" s="110">
        <v>9</v>
      </c>
      <c r="AS96" s="110">
        <v>6.8313698428973675E-19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197.02015937187835</v>
      </c>
      <c r="D97" s="110">
        <v>197.02015937187835</v>
      </c>
      <c r="E97" s="110">
        <v>197.02015937187835</v>
      </c>
      <c r="F97" s="110">
        <v>125</v>
      </c>
      <c r="G97" s="110">
        <v>125</v>
      </c>
      <c r="H97" s="110">
        <v>125</v>
      </c>
      <c r="I97" s="110">
        <v>125</v>
      </c>
      <c r="J97" s="110">
        <v>125</v>
      </c>
      <c r="K97" s="110">
        <v>125</v>
      </c>
      <c r="L97" s="110">
        <v>125</v>
      </c>
      <c r="M97" s="110">
        <v>125</v>
      </c>
      <c r="N97" s="110">
        <v>69</v>
      </c>
      <c r="O97" s="110">
        <v>58</v>
      </c>
      <c r="P97" s="110">
        <v>71</v>
      </c>
      <c r="Q97" s="110">
        <v>28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197.02015937187835</v>
      </c>
      <c r="D98" s="110">
        <v>197.02015937187835</v>
      </c>
      <c r="E98" s="110">
        <v>197.02015937187835</v>
      </c>
      <c r="F98" s="110">
        <v>197.02015937187835</v>
      </c>
      <c r="G98" s="110">
        <v>125</v>
      </c>
      <c r="H98" s="110">
        <v>125</v>
      </c>
      <c r="I98" s="110">
        <v>84</v>
      </c>
      <c r="J98" s="110">
        <v>75</v>
      </c>
      <c r="K98" s="110">
        <v>17</v>
      </c>
      <c r="L98" s="110">
        <v>13</v>
      </c>
      <c r="M98" s="110">
        <v>4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31.02015937187835</v>
      </c>
      <c r="D99" s="125">
        <v>79.02015937187835</v>
      </c>
      <c r="E99" s="125">
        <v>53.02015937187835</v>
      </c>
      <c r="F99" s="125">
        <v>75.02015937187835</v>
      </c>
      <c r="G99" s="125">
        <v>93.02015937187835</v>
      </c>
      <c r="H99" s="125">
        <v>6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306.0806374875134</v>
      </c>
    </row>
    <row r="100" spans="1:52">
      <c r="A100" s="131" t="s">
        <v>133</v>
      </c>
      <c r="B100" s="119">
        <v>1</v>
      </c>
      <c r="C100" s="106">
        <v>171.2461720950968</v>
      </c>
      <c r="D100" s="106">
        <v>171.2461720950968</v>
      </c>
      <c r="E100" s="106">
        <v>0</v>
      </c>
      <c r="F100" s="106">
        <v>171.79796037633415</v>
      </c>
      <c r="G100" s="106">
        <v>56.013731334831554</v>
      </c>
      <c r="H100" s="106">
        <v>171.79796037633415</v>
      </c>
      <c r="I100" s="106">
        <v>0</v>
      </c>
      <c r="J100" s="106">
        <v>115.78422904150258</v>
      </c>
      <c r="K100" s="106">
        <v>115.78422904150258</v>
      </c>
      <c r="L100" s="106">
        <v>115.78422904150258</v>
      </c>
      <c r="M100" s="106">
        <v>0</v>
      </c>
      <c r="N100" s="106">
        <v>171.79796037633415</v>
      </c>
      <c r="O100" s="106">
        <v>115.78422904150258</v>
      </c>
      <c r="P100" s="106">
        <v>171.79796037633415</v>
      </c>
      <c r="Q100" s="106">
        <v>115.78422904150258</v>
      </c>
      <c r="R100" s="106">
        <v>171.79796037633415</v>
      </c>
      <c r="S100" s="106">
        <v>171.79796037633415</v>
      </c>
      <c r="T100" s="106">
        <v>171.79796037633415</v>
      </c>
      <c r="U100" s="106">
        <v>171.79796037633415</v>
      </c>
      <c r="V100" s="106">
        <v>115.78422904150258</v>
      </c>
      <c r="W100" s="106">
        <v>0</v>
      </c>
      <c r="X100" s="106">
        <v>0</v>
      </c>
      <c r="Y100" s="106">
        <v>171.79796037633415</v>
      </c>
      <c r="Z100" s="106">
        <v>44.811336751249826</v>
      </c>
      <c r="AA100" s="106">
        <v>44.811336751249826</v>
      </c>
      <c r="AB100" s="106">
        <v>160.59556579275241</v>
      </c>
      <c r="AC100" s="106">
        <v>160.59556579275241</v>
      </c>
      <c r="AD100" s="106">
        <v>183.00035495991585</v>
      </c>
      <c r="AE100" s="106">
        <v>67.216125918413283</v>
      </c>
      <c r="AF100" s="106">
        <v>115.78422904150258</v>
      </c>
      <c r="AG100" s="106">
        <v>115.78422904150258</v>
      </c>
      <c r="AH100" s="106">
        <v>56.013731334831554</v>
      </c>
      <c r="AI100" s="106">
        <v>171.79796037633415</v>
      </c>
      <c r="AJ100" s="106">
        <v>0</v>
      </c>
      <c r="AK100" s="106">
        <v>115.78422904150258</v>
      </c>
      <c r="AL100" s="106">
        <v>171.79796037633415</v>
      </c>
      <c r="AM100" s="106">
        <v>47.171035376538057</v>
      </c>
      <c r="AN100" s="106">
        <v>115.43453631089213</v>
      </c>
      <c r="AO100" s="106">
        <v>171.79796037633415</v>
      </c>
      <c r="AP100" s="106">
        <v>115.43453631089213</v>
      </c>
      <c r="AQ100" s="106">
        <v>29.71040248803029</v>
      </c>
      <c r="AR100" s="106">
        <v>227.81169171116568</v>
      </c>
      <c r="AS100" s="106">
        <v>115.78422904150258</v>
      </c>
      <c r="AT100" s="106">
        <v>59.420804976060573</v>
      </c>
      <c r="AU100" s="106">
        <v>85.724133822861845</v>
      </c>
      <c r="AV100" s="106">
        <v>115.43453631089213</v>
      </c>
      <c r="AW100" s="106">
        <v>115.78422904150258</v>
      </c>
      <c r="AX100" s="106">
        <v>92.627383233202096</v>
      </c>
      <c r="AY100" s="106">
        <v>104.2129219105413</v>
      </c>
    </row>
    <row r="101" spans="1:52">
      <c r="A101" s="109"/>
      <c r="B101" s="119">
        <v>2</v>
      </c>
      <c r="C101" s="106">
        <v>56.546011736818713</v>
      </c>
      <c r="D101" s="106">
        <v>0</v>
      </c>
      <c r="E101" s="106">
        <v>19.246172095096796</v>
      </c>
      <c r="F101" s="106">
        <v>171.98121384416717</v>
      </c>
      <c r="G101" s="106">
        <v>170.77917422050132</v>
      </c>
      <c r="H101" s="106">
        <v>128.57713459683546</v>
      </c>
      <c r="I101" s="106">
        <v>70.37509497316961</v>
      </c>
      <c r="J101" s="106">
        <v>171.79796037633415</v>
      </c>
      <c r="K101" s="106">
        <v>115.78422904150258</v>
      </c>
      <c r="L101" s="106">
        <v>162.38014979417088</v>
      </c>
      <c r="M101" s="106">
        <v>160.19184150533658</v>
      </c>
      <c r="N101" s="106">
        <v>56.013731334831554</v>
      </c>
      <c r="O101" s="106">
        <v>75.003533216502291</v>
      </c>
      <c r="P101" s="106">
        <v>111.58572263433902</v>
      </c>
      <c r="Q101" s="106">
        <v>104.38368301067317</v>
      </c>
      <c r="R101" s="106">
        <v>141.18164338700731</v>
      </c>
      <c r="S101" s="106">
        <v>159.97960376334146</v>
      </c>
      <c r="T101" s="106">
        <v>102.7775641396756</v>
      </c>
      <c r="U101" s="106">
        <v>81.57552451600975</v>
      </c>
      <c r="V101" s="106">
        <v>70.373484892343896</v>
      </c>
      <c r="W101" s="106">
        <v>56.013731334831562</v>
      </c>
      <c r="X101" s="106">
        <v>56.013731334831554</v>
      </c>
      <c r="Y101" s="106">
        <v>0</v>
      </c>
      <c r="Z101" s="106">
        <v>120.58218941783673</v>
      </c>
      <c r="AA101" s="106">
        <v>44.811336751249826</v>
      </c>
      <c r="AB101" s="106">
        <v>0</v>
      </c>
      <c r="AC101" s="106">
        <v>0</v>
      </c>
      <c r="AD101" s="106">
        <v>25.59556579275241</v>
      </c>
      <c r="AE101" s="106">
        <v>57.595920752668263</v>
      </c>
      <c r="AF101" s="106">
        <v>115.78422904150257</v>
      </c>
      <c r="AG101" s="106">
        <v>151.78458400141841</v>
      </c>
      <c r="AH101" s="106">
        <v>60.568813042920993</v>
      </c>
      <c r="AI101" s="106">
        <v>0</v>
      </c>
      <c r="AJ101" s="106">
        <v>31.014086294747443</v>
      </c>
      <c r="AK101" s="106">
        <v>56.013731334831554</v>
      </c>
      <c r="AL101" s="106">
        <v>81.811691711165707</v>
      </c>
      <c r="AM101" s="106">
        <v>139.39388112900244</v>
      </c>
      <c r="AN101" s="106">
        <v>56.013731334831547</v>
      </c>
      <c r="AO101" s="106">
        <v>74.811691711165693</v>
      </c>
      <c r="AP101" s="106">
        <v>91.609652087499839</v>
      </c>
      <c r="AQ101" s="106">
        <v>57.407612463833985</v>
      </c>
      <c r="AR101" s="106">
        <v>7.1054273576010019E-15</v>
      </c>
      <c r="AS101" s="106">
        <v>58.811691711165679</v>
      </c>
      <c r="AT101" s="106">
        <v>2.6697473061405503</v>
      </c>
      <c r="AU101" s="106">
        <v>0</v>
      </c>
      <c r="AV101" s="106">
        <v>86.073826553472287</v>
      </c>
      <c r="AW101" s="106">
        <v>115.43453631089213</v>
      </c>
      <c r="AX101" s="106">
        <v>89.683478640972112</v>
      </c>
      <c r="AY101" s="106">
        <v>56.013731334831562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34.797960376334146</v>
      </c>
      <c r="L102" s="106">
        <v>56.013731334831562</v>
      </c>
      <c r="M102" s="106">
        <v>0</v>
      </c>
      <c r="N102" s="106">
        <v>12.191841505336583</v>
      </c>
      <c r="O102" s="106">
        <v>115.78422904150258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115.78422904150258</v>
      </c>
      <c r="Z102" s="106">
        <v>56.013731334831554</v>
      </c>
      <c r="AA102" s="106">
        <v>6.5959207526682917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67.216125918413283</v>
      </c>
      <c r="AJ102" s="106">
        <v>0</v>
      </c>
      <c r="AK102" s="106">
        <v>0</v>
      </c>
      <c r="AL102" s="106">
        <v>115.78422904150258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86.073826553472287</v>
      </c>
      <c r="AT102" s="106">
        <v>0</v>
      </c>
      <c r="AU102" s="106">
        <v>56.013731334831554</v>
      </c>
      <c r="AV102" s="106">
        <v>112.37715540027357</v>
      </c>
      <c r="AW102" s="106">
        <v>35.450981953745853</v>
      </c>
      <c r="AX102" s="106">
        <v>56.363424065442018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119.709842897317</v>
      </c>
      <c r="D109" s="106">
        <v>79.694719304267011</v>
      </c>
      <c r="E109" s="106">
        <v>72.413699916131762</v>
      </c>
      <c r="F109" s="106">
        <v>6.0115720080860854E-3</v>
      </c>
      <c r="G109" s="106">
        <v>143.59784392167248</v>
      </c>
      <c r="H109" s="106">
        <v>46.029367423836817</v>
      </c>
      <c r="I109" s="106">
        <v>119.80677309215761</v>
      </c>
      <c r="J109" s="106">
        <v>18.414903908909682</v>
      </c>
      <c r="K109" s="106">
        <v>119.80677309215761</v>
      </c>
      <c r="L109" s="106">
        <v>65.821148902344518</v>
      </c>
      <c r="M109" s="106">
        <v>95.476627664776558</v>
      </c>
      <c r="N109" s="106">
        <v>23.719501793803893</v>
      </c>
      <c r="O109" s="106">
        <v>95.476627664776558</v>
      </c>
      <c r="P109" s="106">
        <v>102.46092559805788</v>
      </c>
      <c r="Q109" s="106">
        <v>103.21276377284666</v>
      </c>
      <c r="R109" s="106">
        <v>61.634354991263322</v>
      </c>
      <c r="S109" s="106">
        <v>95.476627664776558</v>
      </c>
      <c r="T109" s="106">
        <v>78.725334655678125</v>
      </c>
      <c r="U109" s="106">
        <v>71.763137442980764</v>
      </c>
      <c r="V109" s="106">
        <v>71.763137442980749</v>
      </c>
      <c r="W109" s="106">
        <v>48.049647221184948</v>
      </c>
      <c r="X109" s="106">
        <v>23.719501793803893</v>
      </c>
      <c r="Y109" s="106">
        <v>23.719501793803897</v>
      </c>
      <c r="Z109" s="106">
        <v>119.80677309215761</v>
      </c>
      <c r="AA109" s="106">
        <v>44.196806062381519</v>
      </c>
      <c r="AB109" s="106">
        <v>18.976952635089429</v>
      </c>
      <c r="AC109" s="106">
        <v>67.020588284266282</v>
      </c>
      <c r="AD109" s="106">
        <v>67.020588284266282</v>
      </c>
      <c r="AE109" s="106">
        <v>76.505686601695231</v>
      </c>
      <c r="AF109" s="106">
        <v>28.462050952518368</v>
      </c>
      <c r="AG109" s="106">
        <v>96.093282870361776</v>
      </c>
      <c r="AH109" s="106">
        <v>80.0229114119076</v>
      </c>
      <c r="AI109" s="106">
        <v>26.808834063548417</v>
      </c>
      <c r="AJ109" s="106">
        <v>100.21917682349104</v>
      </c>
      <c r="AK109" s="106">
        <v>12.417528591277131</v>
      </c>
      <c r="AL109" s="106">
        <v>71.763137442980764</v>
      </c>
      <c r="AM109" s="106">
        <v>143.52026331395339</v>
      </c>
      <c r="AN109" s="106">
        <v>37.936688695245969</v>
      </c>
      <c r="AO109" s="106">
        <v>72.089126343076686</v>
      </c>
      <c r="AP109" s="106">
        <v>100.04739529313412</v>
      </c>
      <c r="AQ109" s="106">
        <v>53.571195223038679</v>
      </c>
      <c r="AR109" s="106">
        <v>35.721580057446438</v>
      </c>
      <c r="AS109" s="106">
        <v>95.476627664776558</v>
      </c>
      <c r="AT109" s="106">
        <v>84.050541654977536</v>
      </c>
      <c r="AU109" s="106">
        <v>24.662145899485068</v>
      </c>
      <c r="AV109" s="106">
        <v>59.761059179338197</v>
      </c>
      <c r="AW109" s="106">
        <v>131.1921961502149</v>
      </c>
      <c r="AX109" s="106">
        <v>64.220238725884514</v>
      </c>
      <c r="AY109" s="106">
        <v>85.772470017642817</v>
      </c>
    </row>
    <row r="110" spans="1:52">
      <c r="A110" s="109"/>
      <c r="B110" s="119">
        <v>2</v>
      </c>
      <c r="C110" s="106">
        <v>0</v>
      </c>
      <c r="D110" s="106">
        <v>12.673687429378205</v>
      </c>
      <c r="E110" s="106">
        <v>18.368406733645216</v>
      </c>
      <c r="F110" s="106">
        <v>12.312785195182315</v>
      </c>
      <c r="G110" s="106">
        <v>0</v>
      </c>
      <c r="H110" s="106">
        <v>36.597843921672478</v>
      </c>
      <c r="I110" s="106">
        <v>0</v>
      </c>
      <c r="J110" s="106">
        <v>12.20429994557081</v>
      </c>
      <c r="K110" s="106">
        <v>0</v>
      </c>
      <c r="L110" s="106">
        <v>19.806773092157613</v>
      </c>
      <c r="M110" s="106">
        <v>12.627921994502131</v>
      </c>
      <c r="N110" s="106">
        <v>22.104549659278689</v>
      </c>
      <c r="O110" s="106">
        <v>0</v>
      </c>
      <c r="P110" s="106">
        <v>0</v>
      </c>
      <c r="Q110" s="106">
        <v>18.460925598057884</v>
      </c>
      <c r="R110" s="106">
        <v>48.67368937090454</v>
      </c>
      <c r="S110" s="106">
        <v>18.308044362167863</v>
      </c>
      <c r="T110" s="106">
        <v>24.784672026944421</v>
      </c>
      <c r="U110" s="106">
        <v>47.510006682622546</v>
      </c>
      <c r="V110" s="106">
        <v>57.273144125603309</v>
      </c>
      <c r="W110" s="106">
        <v>36.036281568584059</v>
      </c>
      <c r="X110" s="106">
        <v>0</v>
      </c>
      <c r="Y110" s="106">
        <v>0</v>
      </c>
      <c r="Z110" s="106">
        <v>0</v>
      </c>
      <c r="AA110" s="106">
        <v>32.806773092157613</v>
      </c>
      <c r="AB110" s="106">
        <v>7.1054273576010019E-15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28.093282870361776</v>
      </c>
      <c r="AI110" s="106">
        <v>18.402745391951669</v>
      </c>
      <c r="AJ110" s="106">
        <v>0</v>
      </c>
      <c r="AK110" s="106">
        <v>2.8527713460181161</v>
      </c>
      <c r="AL110" s="106">
        <v>0</v>
      </c>
      <c r="AM110" s="106">
        <v>7.7631374429807636</v>
      </c>
      <c r="AN110" s="106">
        <v>76.948311598725496</v>
      </c>
      <c r="AO110" s="106">
        <v>37.936688695245969</v>
      </c>
      <c r="AP110" s="106">
        <v>10.974126637048151</v>
      </c>
      <c r="AQ110" s="106">
        <v>19.021521930182274</v>
      </c>
      <c r="AR110" s="106">
        <v>7.1054273576010019E-15</v>
      </c>
      <c r="AS110" s="106">
        <v>0</v>
      </c>
      <c r="AT110" s="106">
        <v>32.476627664776558</v>
      </c>
      <c r="AU110" s="106">
        <v>58.527169319754094</v>
      </c>
      <c r="AV110" s="106">
        <v>6.1893152192391625</v>
      </c>
      <c r="AW110" s="106">
        <v>0</v>
      </c>
      <c r="AX110" s="106">
        <v>37.192196150214897</v>
      </c>
      <c r="AY110" s="106">
        <v>16.412434876099411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2.9483115987254962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177.91780198735992</v>
      </c>
      <c r="D122" s="106">
        <v>177.91773809147887</v>
      </c>
      <c r="E122" s="106">
        <v>1.4770206401433393E-2</v>
      </c>
      <c r="F122" s="106">
        <v>176.31933055472439</v>
      </c>
      <c r="G122" s="106">
        <v>58.277924104113346</v>
      </c>
      <c r="H122" s="106">
        <v>176.31933055472439</v>
      </c>
      <c r="I122" s="106">
        <v>1.4770206401433393E-2</v>
      </c>
      <c r="J122" s="106">
        <v>118.05617665701247</v>
      </c>
      <c r="K122" s="106">
        <v>118.05617665701244</v>
      </c>
      <c r="L122" s="106">
        <v>118.05617665701247</v>
      </c>
      <c r="M122" s="106">
        <v>1.4770206401433393E-2</v>
      </c>
      <c r="N122" s="106">
        <v>176.31933055472439</v>
      </c>
      <c r="O122" s="106">
        <v>118.05617665701244</v>
      </c>
      <c r="P122" s="106">
        <v>176.31933055472439</v>
      </c>
      <c r="Q122" s="106">
        <v>118.05617665701244</v>
      </c>
      <c r="R122" s="106">
        <v>176.31933055472439</v>
      </c>
      <c r="S122" s="106">
        <v>176.31933055472436</v>
      </c>
      <c r="T122" s="106">
        <v>176.31933055472439</v>
      </c>
      <c r="U122" s="106">
        <v>176.31933055472436</v>
      </c>
      <c r="V122" s="106">
        <v>118.05617665701247</v>
      </c>
      <c r="W122" s="106">
        <v>1.4770206401433393E-2</v>
      </c>
      <c r="X122" s="106">
        <v>1.4770206401433393E-2</v>
      </c>
      <c r="Y122" s="106">
        <v>176.31933055472439</v>
      </c>
      <c r="Z122" s="106">
        <v>46.625659131002188</v>
      </c>
      <c r="AA122" s="106">
        <v>46.625659131002188</v>
      </c>
      <c r="AB122" s="106">
        <v>164.66706558161323</v>
      </c>
      <c r="AC122" s="106">
        <v>164.6670655816132</v>
      </c>
      <c r="AD122" s="106">
        <v>187.97159552783555</v>
      </c>
      <c r="AE122" s="106">
        <v>69.930189077224512</v>
      </c>
      <c r="AF122" s="106">
        <v>118.05617665701247</v>
      </c>
      <c r="AG122" s="106">
        <v>118.05617665701244</v>
      </c>
      <c r="AH122" s="106">
        <v>58.277924104113346</v>
      </c>
      <c r="AI122" s="106">
        <v>176.31933055472439</v>
      </c>
      <c r="AJ122" s="106">
        <v>1.4770206401433393E-2</v>
      </c>
      <c r="AK122" s="106">
        <v>118.05617665701247</v>
      </c>
      <c r="AL122" s="106">
        <v>176.31933055472436</v>
      </c>
      <c r="AM122" s="106">
        <v>48.105390195607328</v>
      </c>
      <c r="AN122" s="106">
        <v>118.85711912805277</v>
      </c>
      <c r="AO122" s="106">
        <v>176.31933055472433</v>
      </c>
      <c r="AP122" s="106">
        <v>118.85711912805277</v>
      </c>
      <c r="AQ122" s="106">
        <v>30.304367718371147</v>
      </c>
      <c r="AR122" s="106">
        <v>234.58248445243626</v>
      </c>
      <c r="AS122" s="106">
        <v>118.05617665701243</v>
      </c>
      <c r="AT122" s="106">
        <v>60.593965230340864</v>
      </c>
      <c r="AU122" s="106">
        <v>88.567521616083056</v>
      </c>
      <c r="AV122" s="106">
        <v>118.85711912805277</v>
      </c>
      <c r="AW122" s="106">
        <v>118.05617665701243</v>
      </c>
      <c r="AX122" s="106">
        <v>94.447895366890265</v>
      </c>
      <c r="AY122" s="106">
        <v>107.41674285721334</v>
      </c>
    </row>
    <row r="123" spans="1:52">
      <c r="A123" s="109"/>
      <c r="B123" s="119">
        <v>2</v>
      </c>
      <c r="C123" s="106">
        <v>18.830735221485412</v>
      </c>
      <c r="D123" s="106">
        <v>1.4210854715202004E-14</v>
      </c>
      <c r="E123" s="106">
        <v>0</v>
      </c>
      <c r="F123" s="106">
        <v>176.49517298462138</v>
      </c>
      <c r="G123" s="106">
        <v>54.814501049076071</v>
      </c>
      <c r="H123" s="106">
        <v>118.04140645061099</v>
      </c>
      <c r="I123" s="106">
        <v>45.229956336224333</v>
      </c>
      <c r="J123" s="106">
        <v>176.30456034832292</v>
      </c>
      <c r="K123" s="106">
        <v>43.663911459611143</v>
      </c>
      <c r="L123" s="106">
        <v>58.263153897711902</v>
      </c>
      <c r="M123" s="106">
        <v>58.263153897711902</v>
      </c>
      <c r="N123" s="106">
        <v>58.263153897711909</v>
      </c>
      <c r="O123" s="106">
        <v>15.645058772006792</v>
      </c>
      <c r="P123" s="106">
        <v>77.270549452831503</v>
      </c>
      <c r="Q123" s="106">
        <v>33.377116234709234</v>
      </c>
      <c r="R123" s="106">
        <v>58.263153897711902</v>
      </c>
      <c r="S123" s="106">
        <v>17.105856787659718</v>
      </c>
      <c r="T123" s="106">
        <v>0</v>
      </c>
      <c r="U123" s="106">
        <v>0</v>
      </c>
      <c r="V123" s="106">
        <v>0</v>
      </c>
      <c r="W123" s="106">
        <v>58.263153897711902</v>
      </c>
      <c r="X123" s="106">
        <v>58.263153897711909</v>
      </c>
      <c r="Y123" s="106">
        <v>0</v>
      </c>
      <c r="Z123" s="106">
        <v>3.7010777598235052</v>
      </c>
      <c r="AA123" s="106">
        <v>7.1054273576010019E-15</v>
      </c>
      <c r="AB123" s="106">
        <v>0</v>
      </c>
      <c r="AC123" s="106">
        <v>0</v>
      </c>
      <c r="AD123" s="106">
        <v>0</v>
      </c>
      <c r="AE123" s="106">
        <v>0</v>
      </c>
      <c r="AF123" s="106">
        <v>118.04140645061099</v>
      </c>
      <c r="AG123" s="106">
        <v>78.557107989276929</v>
      </c>
      <c r="AH123" s="106">
        <v>7.5903732343817651</v>
      </c>
      <c r="AI123" s="106">
        <v>7.1054273576010019E-15</v>
      </c>
      <c r="AJ123" s="106">
        <v>30.494630669469643</v>
      </c>
      <c r="AK123" s="106">
        <v>58.263153897711909</v>
      </c>
      <c r="AL123" s="106">
        <v>58.263153897711902</v>
      </c>
      <c r="AM123" s="106">
        <v>45.103627589093875</v>
      </c>
      <c r="AN123" s="106">
        <v>58.263153897711902</v>
      </c>
      <c r="AO123" s="106">
        <v>69.493358109359576</v>
      </c>
      <c r="AP123" s="106">
        <v>12.765293370949792</v>
      </c>
      <c r="AQ123" s="106">
        <v>57.462211426671587</v>
      </c>
      <c r="AR123" s="106">
        <v>3.5527136788005009E-15</v>
      </c>
      <c r="AS123" s="106">
        <v>0.70103512745225771</v>
      </c>
      <c r="AT123" s="106">
        <v>0</v>
      </c>
      <c r="AU123" s="106">
        <v>0</v>
      </c>
      <c r="AV123" s="106">
        <v>87.75180893864129</v>
      </c>
      <c r="AW123" s="106">
        <v>39.730535346896573</v>
      </c>
      <c r="AX123" s="106">
        <v>58.829627175736391</v>
      </c>
      <c r="AY123" s="106">
        <v>62.230417849367342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58.263153897711909</v>
      </c>
      <c r="M124" s="106">
        <v>0</v>
      </c>
      <c r="N124" s="106">
        <v>0</v>
      </c>
      <c r="O124" s="106">
        <v>118.04140645061102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118.04140645061102</v>
      </c>
      <c r="Z124" s="106">
        <v>58.263153897711909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69.915418870823075</v>
      </c>
      <c r="AJ124" s="106">
        <v>0</v>
      </c>
      <c r="AK124" s="106">
        <v>0</v>
      </c>
      <c r="AL124" s="106">
        <v>118.04140645061102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87.75180893864129</v>
      </c>
      <c r="AT124" s="106">
        <v>0</v>
      </c>
      <c r="AU124" s="106">
        <v>58.263153897711909</v>
      </c>
      <c r="AV124" s="106">
        <v>115.72536532438349</v>
      </c>
      <c r="AW124" s="106">
        <v>0</v>
      </c>
      <c r="AX124" s="106">
        <v>57.462211426671587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0.40505876401852164</v>
      </c>
      <c r="D172" s="134">
        <v>0.40700663516135327</v>
      </c>
      <c r="E172" s="134">
        <v>0.40700663516135327</v>
      </c>
      <c r="F172" s="134">
        <v>0.40700663516135327</v>
      </c>
      <c r="G172" s="134">
        <v>0.40700663516135327</v>
      </c>
      <c r="H172" s="134">
        <v>0.40700663516135327</v>
      </c>
      <c r="I172" s="134">
        <v>0.40700663516135327</v>
      </c>
      <c r="J172" s="134">
        <v>0.40700663516135327</v>
      </c>
      <c r="K172" s="134">
        <v>0.40700663516135327</v>
      </c>
      <c r="L172" s="134">
        <v>0.40700663516135327</v>
      </c>
      <c r="M172" s="134">
        <v>0.40700663516135327</v>
      </c>
      <c r="N172" s="134">
        <v>0.40700663516135327</v>
      </c>
      <c r="O172" s="134">
        <v>0.40700663516135327</v>
      </c>
      <c r="P172" s="134">
        <v>0.40700663516135327</v>
      </c>
      <c r="Q172" s="134">
        <v>0.40700663516135327</v>
      </c>
      <c r="R172" s="134">
        <v>0.40700663516135327</v>
      </c>
      <c r="S172" s="134">
        <v>0.40700663516135327</v>
      </c>
      <c r="T172" s="134">
        <v>0.40700663516135327</v>
      </c>
      <c r="U172" s="134">
        <v>0.40700663516135327</v>
      </c>
      <c r="V172" s="134">
        <v>0.40700663516135327</v>
      </c>
      <c r="W172" s="134">
        <v>0.40700663516135327</v>
      </c>
      <c r="X172" s="134">
        <v>0.40700663516135327</v>
      </c>
      <c r="Y172" s="134">
        <v>0.40700663516135327</v>
      </c>
      <c r="Z172" s="134">
        <v>0.40700663516135327</v>
      </c>
      <c r="AA172" s="134">
        <v>0.40700663516135327</v>
      </c>
      <c r="AB172" s="134">
        <v>0.40700663516135327</v>
      </c>
      <c r="AC172" s="134">
        <v>0.40700663516135327</v>
      </c>
      <c r="AD172" s="134">
        <v>0.40700663516135327</v>
      </c>
      <c r="AE172" s="134">
        <v>0.40700663516135327</v>
      </c>
      <c r="AF172" s="134">
        <v>0.40700663516135327</v>
      </c>
      <c r="AG172" s="134">
        <v>0.40700663516135327</v>
      </c>
      <c r="AH172" s="134">
        <v>0.40700663516135327</v>
      </c>
      <c r="AI172" s="134">
        <v>0.40700663516135327</v>
      </c>
      <c r="AJ172" s="134">
        <v>0.40700663516135327</v>
      </c>
      <c r="AK172" s="134">
        <v>0.40700663516135327</v>
      </c>
      <c r="AL172" s="134">
        <v>0.40700663516135327</v>
      </c>
      <c r="AM172" s="134">
        <v>0.40700663516135327</v>
      </c>
      <c r="AN172" s="134">
        <v>0.40700663516135327</v>
      </c>
      <c r="AO172" s="134">
        <v>0.40700663516135327</v>
      </c>
      <c r="AP172" s="134">
        <v>0.40700663516135327</v>
      </c>
      <c r="AQ172" s="134">
        <v>0.40700663516135327</v>
      </c>
      <c r="AR172" s="134">
        <v>0.40700663516135327</v>
      </c>
      <c r="AS172" s="134">
        <v>0.40700663516135327</v>
      </c>
      <c r="AT172" s="134">
        <v>0.40700663516135327</v>
      </c>
      <c r="AU172" s="134">
        <v>0.40700663516135327</v>
      </c>
      <c r="AV172" s="134">
        <v>0.40700663516135327</v>
      </c>
      <c r="AW172" s="134">
        <v>0.40700663516135327</v>
      </c>
      <c r="AX172" s="134">
        <v>0.40700663516135327</v>
      </c>
      <c r="AY172" s="134">
        <v>0.40700663516135327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716.06047811563496</v>
      </c>
      <c r="E175" s="124">
        <f t="shared" si="1"/>
        <v>644.04031874375664</v>
      </c>
      <c r="F175" s="124">
        <f t="shared" si="1"/>
        <v>572.02015937187832</v>
      </c>
      <c r="G175" s="124">
        <f t="shared" si="1"/>
        <v>500</v>
      </c>
      <c r="H175" s="124">
        <f t="shared" si="1"/>
        <v>500</v>
      </c>
      <c r="I175" s="124">
        <f t="shared" si="1"/>
        <v>459</v>
      </c>
      <c r="J175" s="124">
        <f t="shared" si="1"/>
        <v>450</v>
      </c>
      <c r="K175" s="124">
        <f t="shared" si="1"/>
        <v>392</v>
      </c>
      <c r="L175" s="124">
        <f t="shared" si="1"/>
        <v>388</v>
      </c>
      <c r="M175" s="124">
        <f t="shared" si="1"/>
        <v>379</v>
      </c>
      <c r="N175" s="124">
        <f t="shared" si="1"/>
        <v>319</v>
      </c>
      <c r="O175" s="124">
        <f t="shared" si="1"/>
        <v>308</v>
      </c>
      <c r="P175" s="124">
        <f t="shared" si="1"/>
        <v>321</v>
      </c>
      <c r="Q175" s="124">
        <f t="shared" si="1"/>
        <v>278</v>
      </c>
      <c r="R175" s="124">
        <f t="shared" si="1"/>
        <v>237</v>
      </c>
      <c r="S175" s="124">
        <f t="shared" si="1"/>
        <v>245</v>
      </c>
      <c r="T175" s="124">
        <f t="shared" si="1"/>
        <v>215</v>
      </c>
      <c r="U175" s="124">
        <f t="shared" si="1"/>
        <v>165</v>
      </c>
      <c r="V175" s="124">
        <f t="shared" si="1"/>
        <v>125</v>
      </c>
      <c r="W175" s="124">
        <f t="shared" si="1"/>
        <v>125</v>
      </c>
      <c r="X175" s="124">
        <f t="shared" si="1"/>
        <v>128</v>
      </c>
      <c r="Y175" s="124">
        <f t="shared" si="1"/>
        <v>125</v>
      </c>
      <c r="Z175" s="124">
        <f t="shared" si="1"/>
        <v>125</v>
      </c>
      <c r="AA175" s="124">
        <f t="shared" si="1"/>
        <v>125</v>
      </c>
      <c r="AB175" s="124">
        <f t="shared" si="1"/>
        <v>125</v>
      </c>
      <c r="AC175" s="124">
        <f t="shared" si="1"/>
        <v>125</v>
      </c>
      <c r="AD175" s="124">
        <f t="shared" si="1"/>
        <v>125</v>
      </c>
      <c r="AE175" s="124">
        <f t="shared" si="1"/>
        <v>125</v>
      </c>
      <c r="AF175" s="124">
        <f t="shared" si="1"/>
        <v>134</v>
      </c>
      <c r="AG175" s="124">
        <f t="shared" si="1"/>
        <v>125</v>
      </c>
      <c r="AH175" s="124">
        <f t="shared" si="1"/>
        <v>125</v>
      </c>
      <c r="AI175" s="124">
        <f t="shared" si="1"/>
        <v>125</v>
      </c>
      <c r="AJ175" s="124">
        <f t="shared" si="1"/>
        <v>125</v>
      </c>
      <c r="AK175" s="124">
        <f t="shared" si="1"/>
        <v>125</v>
      </c>
      <c r="AL175" s="124">
        <f t="shared" si="1"/>
        <v>125</v>
      </c>
      <c r="AM175" s="124">
        <f t="shared" si="1"/>
        <v>125</v>
      </c>
      <c r="AN175" s="124">
        <f t="shared" si="1"/>
        <v>125</v>
      </c>
      <c r="AO175" s="124">
        <f t="shared" si="1"/>
        <v>130</v>
      </c>
      <c r="AP175" s="124">
        <f t="shared" si="1"/>
        <v>130</v>
      </c>
      <c r="AQ175" s="124">
        <f t="shared" si="1"/>
        <v>125</v>
      </c>
      <c r="AR175" s="124">
        <f t="shared" si="1"/>
        <v>9</v>
      </c>
      <c r="AS175" s="124">
        <f t="shared" si="1"/>
        <v>1.3662739685794735E-18</v>
      </c>
      <c r="AT175" s="124">
        <f t="shared" si="1"/>
        <v>6.8313698428973675E-19</v>
      </c>
      <c r="AU175" s="124">
        <f t="shared" si="1"/>
        <v>6.8313698428973675E-19</v>
      </c>
      <c r="AV175" s="124">
        <f t="shared" si="1"/>
        <v>125</v>
      </c>
      <c r="AW175" s="124">
        <f t="shared" si="1"/>
        <v>125</v>
      </c>
      <c r="AX175" s="124">
        <f t="shared" si="1"/>
        <v>125</v>
      </c>
      <c r="AY175" s="124">
        <f t="shared" si="1"/>
        <v>125</v>
      </c>
    </row>
    <row r="176" spans="1:52">
      <c r="A176" s="125"/>
      <c r="B176" s="136" t="s">
        <v>299</v>
      </c>
      <c r="C176" s="125" t="s">
        <v>293</v>
      </c>
      <c r="D176" s="125">
        <v>144</v>
      </c>
      <c r="E176" s="125">
        <v>122</v>
      </c>
      <c r="F176" s="125">
        <v>104</v>
      </c>
      <c r="G176" s="125">
        <v>119</v>
      </c>
      <c r="H176" s="125">
        <v>166</v>
      </c>
      <c r="I176" s="125">
        <v>134</v>
      </c>
      <c r="J176" s="125">
        <v>183</v>
      </c>
      <c r="K176" s="125">
        <v>129</v>
      </c>
      <c r="L176" s="125">
        <v>134</v>
      </c>
      <c r="M176" s="125">
        <v>185</v>
      </c>
      <c r="N176" s="125">
        <v>136</v>
      </c>
      <c r="O176" s="125">
        <v>112</v>
      </c>
      <c r="P176" s="125">
        <v>168</v>
      </c>
      <c r="Q176" s="125">
        <v>166</v>
      </c>
      <c r="R176" s="125">
        <v>117</v>
      </c>
      <c r="S176" s="125">
        <v>155</v>
      </c>
      <c r="T176" s="125">
        <v>175</v>
      </c>
      <c r="U176" s="125">
        <v>165</v>
      </c>
      <c r="V176" s="125">
        <v>125</v>
      </c>
      <c r="W176" s="125">
        <v>122</v>
      </c>
      <c r="X176" s="125">
        <v>128</v>
      </c>
      <c r="Y176" s="125">
        <v>125</v>
      </c>
      <c r="Z176" s="125">
        <v>125</v>
      </c>
      <c r="AA176" s="125">
        <v>125</v>
      </c>
      <c r="AB176" s="125">
        <v>125</v>
      </c>
      <c r="AC176" s="125">
        <v>125</v>
      </c>
      <c r="AD176" s="125">
        <v>125</v>
      </c>
      <c r="AE176" s="125">
        <v>116</v>
      </c>
      <c r="AF176" s="125">
        <v>134</v>
      </c>
      <c r="AG176" s="125">
        <v>125</v>
      </c>
      <c r="AH176" s="125">
        <v>125</v>
      </c>
      <c r="AI176" s="125">
        <v>125</v>
      </c>
      <c r="AJ176" s="125">
        <v>125</v>
      </c>
      <c r="AK176" s="125">
        <v>125</v>
      </c>
      <c r="AL176" s="125">
        <v>125</v>
      </c>
      <c r="AM176" s="125">
        <v>125</v>
      </c>
      <c r="AN176" s="125">
        <v>120</v>
      </c>
      <c r="AO176" s="125">
        <v>125</v>
      </c>
      <c r="AP176" s="125">
        <v>130</v>
      </c>
      <c r="AQ176" s="125">
        <v>116</v>
      </c>
      <c r="AR176" s="125">
        <v>9</v>
      </c>
      <c r="AS176" s="125">
        <v>1.3662739685794735E-18</v>
      </c>
      <c r="AT176" s="125">
        <v>6.8313698428973675E-19</v>
      </c>
      <c r="AU176" s="125">
        <v>6.8313698428973675E-19</v>
      </c>
      <c r="AV176" s="125">
        <v>125</v>
      </c>
      <c r="AW176" s="125">
        <v>125</v>
      </c>
      <c r="AX176" s="125">
        <v>125</v>
      </c>
      <c r="AY176" s="125">
        <v>125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171.2461720950968</v>
      </c>
      <c r="E177" s="124">
        <f t="shared" si="2"/>
        <v>19.246172095096796</v>
      </c>
      <c r="F177" s="124">
        <f t="shared" si="2"/>
        <v>343.77917422050132</v>
      </c>
      <c r="G177" s="124">
        <f t="shared" si="2"/>
        <v>226.79290555533288</v>
      </c>
      <c r="H177" s="124">
        <f t="shared" si="2"/>
        <v>300.37509497316961</v>
      </c>
      <c r="I177" s="124">
        <f t="shared" si="2"/>
        <v>70.37509497316961</v>
      </c>
      <c r="J177" s="124">
        <f t="shared" si="2"/>
        <v>287.58218941783673</v>
      </c>
      <c r="K177" s="124">
        <f t="shared" si="2"/>
        <v>266.36641845933934</v>
      </c>
      <c r="L177" s="124">
        <f t="shared" si="2"/>
        <v>334.17811017050502</v>
      </c>
      <c r="M177" s="124">
        <f t="shared" si="2"/>
        <v>160.19184150533658</v>
      </c>
      <c r="N177" s="124">
        <f t="shared" si="2"/>
        <v>240.00353321650229</v>
      </c>
      <c r="O177" s="124">
        <f t="shared" si="2"/>
        <v>306.57199129950743</v>
      </c>
      <c r="P177" s="124">
        <f t="shared" si="2"/>
        <v>283.38368301067317</v>
      </c>
      <c r="Q177" s="124">
        <f t="shared" si="2"/>
        <v>220.16791205217575</v>
      </c>
      <c r="R177" s="124">
        <f t="shared" si="2"/>
        <v>312.97960376334146</v>
      </c>
      <c r="S177" s="124">
        <f t="shared" si="2"/>
        <v>331.77756413967563</v>
      </c>
      <c r="T177" s="124">
        <f t="shared" si="2"/>
        <v>274.57552451600975</v>
      </c>
      <c r="U177" s="124">
        <f t="shared" si="2"/>
        <v>253.3734848923439</v>
      </c>
      <c r="V177" s="124">
        <f t="shared" si="2"/>
        <v>186.15771393384648</v>
      </c>
      <c r="W177" s="124">
        <f t="shared" si="2"/>
        <v>56.013731334831562</v>
      </c>
      <c r="X177" s="124">
        <f t="shared" si="2"/>
        <v>56.013731334831554</v>
      </c>
      <c r="Y177" s="124">
        <f t="shared" si="2"/>
        <v>287.58218941783673</v>
      </c>
      <c r="Z177" s="124">
        <f t="shared" si="2"/>
        <v>221.40725750391812</v>
      </c>
      <c r="AA177" s="124">
        <f t="shared" si="2"/>
        <v>96.218594255167943</v>
      </c>
      <c r="AB177" s="124">
        <f t="shared" si="2"/>
        <v>160.59556579275241</v>
      </c>
      <c r="AC177" s="124">
        <f t="shared" si="2"/>
        <v>160.59556579275241</v>
      </c>
      <c r="AD177" s="124">
        <f t="shared" si="2"/>
        <v>208.59592075266826</v>
      </c>
      <c r="AE177" s="124">
        <f t="shared" si="2"/>
        <v>124.81204667108155</v>
      </c>
      <c r="AF177" s="124">
        <f t="shared" si="2"/>
        <v>231.56845808300517</v>
      </c>
      <c r="AG177" s="124">
        <f t="shared" si="2"/>
        <v>267.56881304292097</v>
      </c>
      <c r="AH177" s="124">
        <f t="shared" si="2"/>
        <v>116.58254437775255</v>
      </c>
      <c r="AI177" s="124">
        <f t="shared" si="2"/>
        <v>239.01408629474741</v>
      </c>
      <c r="AJ177" s="124">
        <f t="shared" si="2"/>
        <v>31.014086294747443</v>
      </c>
      <c r="AK177" s="124">
        <f t="shared" si="2"/>
        <v>171.79796037633415</v>
      </c>
      <c r="AL177" s="124">
        <f t="shared" si="2"/>
        <v>369.39388112900247</v>
      </c>
      <c r="AM177" s="124">
        <f t="shared" si="2"/>
        <v>186.56491650554051</v>
      </c>
      <c r="AN177" s="124">
        <f t="shared" si="2"/>
        <v>171.44826764572366</v>
      </c>
      <c r="AO177" s="124">
        <f t="shared" si="2"/>
        <v>246.60965208749985</v>
      </c>
      <c r="AP177" s="124">
        <f t="shared" si="2"/>
        <v>207.04418839839195</v>
      </c>
      <c r="AQ177" s="124">
        <f t="shared" si="2"/>
        <v>87.118014951864268</v>
      </c>
      <c r="AR177" s="124">
        <f t="shared" si="2"/>
        <v>227.81169171116568</v>
      </c>
      <c r="AS177" s="124">
        <f t="shared" si="2"/>
        <v>260.66974730614055</v>
      </c>
      <c r="AT177" s="124">
        <f t="shared" si="2"/>
        <v>62.090552282201124</v>
      </c>
      <c r="AU177" s="124">
        <f t="shared" si="2"/>
        <v>141.73786515769339</v>
      </c>
      <c r="AV177" s="124">
        <f t="shared" si="2"/>
        <v>313.88551826463799</v>
      </c>
      <c r="AW177" s="124">
        <f t="shared" si="2"/>
        <v>266.66974730614055</v>
      </c>
      <c r="AX177" s="124">
        <f t="shared" si="2"/>
        <v>238.67428593961623</v>
      </c>
      <c r="AY177" s="124">
        <f t="shared" si="2"/>
        <v>160.22665324537286</v>
      </c>
    </row>
    <row r="178" spans="1:51">
      <c r="A178" s="125"/>
      <c r="B178" s="136" t="s">
        <v>299</v>
      </c>
      <c r="C178" s="125" t="s">
        <v>293</v>
      </c>
      <c r="D178" s="125">
        <v>152</v>
      </c>
      <c r="E178" s="125">
        <v>19.246172095096796</v>
      </c>
      <c r="F178" s="125">
        <v>173</v>
      </c>
      <c r="G178" s="125">
        <v>214</v>
      </c>
      <c r="H178" s="125">
        <v>230</v>
      </c>
      <c r="I178" s="125">
        <v>70.37509497316961</v>
      </c>
      <c r="J178" s="125">
        <v>137</v>
      </c>
      <c r="K178" s="125">
        <v>160</v>
      </c>
      <c r="L178" s="125">
        <v>230</v>
      </c>
      <c r="M178" s="125">
        <v>148</v>
      </c>
      <c r="N178" s="125">
        <v>165</v>
      </c>
      <c r="O178" s="125">
        <v>251</v>
      </c>
      <c r="P178" s="125">
        <v>179</v>
      </c>
      <c r="Q178" s="125">
        <v>135</v>
      </c>
      <c r="R178" s="125">
        <v>153</v>
      </c>
      <c r="S178" s="125">
        <v>229</v>
      </c>
      <c r="T178" s="125">
        <v>193</v>
      </c>
      <c r="U178" s="125">
        <v>183</v>
      </c>
      <c r="V178" s="125">
        <v>186.15771393384648</v>
      </c>
      <c r="W178" s="125">
        <v>56.013731334831562</v>
      </c>
      <c r="X178" s="125">
        <v>56.013731334831554</v>
      </c>
      <c r="Y178" s="125">
        <v>167</v>
      </c>
      <c r="Z178" s="125">
        <v>170</v>
      </c>
      <c r="AA178" s="125">
        <v>96.218594255167943</v>
      </c>
      <c r="AB178" s="125">
        <v>160.59556579275241</v>
      </c>
      <c r="AC178" s="125">
        <v>135</v>
      </c>
      <c r="AD178" s="125">
        <v>151</v>
      </c>
      <c r="AE178" s="125">
        <v>124.81204667108155</v>
      </c>
      <c r="AF178" s="125">
        <v>147</v>
      </c>
      <c r="AG178" s="125">
        <v>207</v>
      </c>
      <c r="AH178" s="125">
        <v>116.58254437775255</v>
      </c>
      <c r="AI178" s="125">
        <v>208</v>
      </c>
      <c r="AJ178" s="125">
        <v>31.014086294747443</v>
      </c>
      <c r="AK178" s="125">
        <v>146</v>
      </c>
      <c r="AL178" s="125">
        <v>230</v>
      </c>
      <c r="AM178" s="125">
        <v>186.56491650554051</v>
      </c>
      <c r="AN178" s="125">
        <v>153</v>
      </c>
      <c r="AO178" s="125">
        <v>155</v>
      </c>
      <c r="AP178" s="125">
        <v>206</v>
      </c>
      <c r="AQ178" s="125">
        <v>87.118014951864268</v>
      </c>
      <c r="AR178" s="125">
        <v>169</v>
      </c>
      <c r="AS178" s="125">
        <v>258</v>
      </c>
      <c r="AT178" s="125">
        <v>62.090552282201124</v>
      </c>
      <c r="AU178" s="125">
        <v>141.73786515769339</v>
      </c>
      <c r="AV178" s="125">
        <v>163</v>
      </c>
      <c r="AW178" s="125">
        <v>233</v>
      </c>
      <c r="AX178" s="125">
        <v>238.67428593961623</v>
      </c>
      <c r="AY178" s="125">
        <v>149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92.368406733645216</v>
      </c>
      <c r="E179" s="124">
        <f t="shared" si="3"/>
        <v>90.782106649776978</v>
      </c>
      <c r="F179" s="124">
        <f t="shared" si="3"/>
        <v>12.318796767190401</v>
      </c>
      <c r="G179" s="124">
        <f t="shared" si="3"/>
        <v>143.59784392167248</v>
      </c>
      <c r="H179" s="124">
        <f t="shared" si="3"/>
        <v>82.627211345509295</v>
      </c>
      <c r="I179" s="124">
        <f t="shared" si="3"/>
        <v>119.80677309215761</v>
      </c>
      <c r="J179" s="124">
        <f t="shared" si="3"/>
        <v>30.619203854480492</v>
      </c>
      <c r="K179" s="124">
        <f t="shared" si="3"/>
        <v>119.80677309215761</v>
      </c>
      <c r="L179" s="124">
        <f t="shared" si="3"/>
        <v>85.627921994502131</v>
      </c>
      <c r="M179" s="124">
        <f t="shared" si="3"/>
        <v>108.10454965927869</v>
      </c>
      <c r="N179" s="124">
        <f t="shared" si="3"/>
        <v>45.824051453082582</v>
      </c>
      <c r="O179" s="124">
        <f t="shared" si="3"/>
        <v>95.476627664776558</v>
      </c>
      <c r="P179" s="124">
        <f t="shared" si="3"/>
        <v>102.46092559805788</v>
      </c>
      <c r="Q179" s="124">
        <f t="shared" si="3"/>
        <v>121.67368937090454</v>
      </c>
      <c r="R179" s="124">
        <f t="shared" si="3"/>
        <v>110.30804436216786</v>
      </c>
      <c r="S179" s="124">
        <f t="shared" si="3"/>
        <v>113.78467202694442</v>
      </c>
      <c r="T179" s="124">
        <f t="shared" si="3"/>
        <v>103.51000668262255</v>
      </c>
      <c r="U179" s="124">
        <f t="shared" si="3"/>
        <v>119.27314412560331</v>
      </c>
      <c r="V179" s="124">
        <f t="shared" si="3"/>
        <v>129.03628156858406</v>
      </c>
      <c r="W179" s="124">
        <f t="shared" si="3"/>
        <v>84.085928789769014</v>
      </c>
      <c r="X179" s="124">
        <f t="shared" si="3"/>
        <v>23.719501793803893</v>
      </c>
      <c r="Y179" s="124">
        <f t="shared" si="3"/>
        <v>23.719501793803897</v>
      </c>
      <c r="Z179" s="124">
        <f t="shared" si="3"/>
        <v>119.80677309215761</v>
      </c>
      <c r="AA179" s="124">
        <f t="shared" si="3"/>
        <v>77.003579154539125</v>
      </c>
      <c r="AB179" s="124">
        <f t="shared" si="3"/>
        <v>18.976952635089436</v>
      </c>
      <c r="AC179" s="124">
        <f t="shared" si="3"/>
        <v>67.020588284266282</v>
      </c>
      <c r="AD179" s="124">
        <f t="shared" si="3"/>
        <v>67.020588284266282</v>
      </c>
      <c r="AE179" s="124">
        <f t="shared" si="3"/>
        <v>76.505686601695231</v>
      </c>
      <c r="AF179" s="124">
        <f t="shared" si="3"/>
        <v>28.462050952518368</v>
      </c>
      <c r="AG179" s="124">
        <f t="shared" si="3"/>
        <v>96.093282870361776</v>
      </c>
      <c r="AH179" s="124">
        <f t="shared" si="3"/>
        <v>108.11619428226938</v>
      </c>
      <c r="AI179" s="124">
        <f t="shared" si="3"/>
        <v>45.211579455500086</v>
      </c>
      <c r="AJ179" s="124">
        <f t="shared" si="3"/>
        <v>100.21917682349104</v>
      </c>
      <c r="AK179" s="124">
        <f t="shared" si="3"/>
        <v>15.270299937295247</v>
      </c>
      <c r="AL179" s="124">
        <f t="shared" si="3"/>
        <v>71.763137442980764</v>
      </c>
      <c r="AM179" s="124">
        <f t="shared" si="3"/>
        <v>151.28340075693416</v>
      </c>
      <c r="AN179" s="124">
        <f t="shared" si="3"/>
        <v>114.88500029397147</v>
      </c>
      <c r="AO179" s="124">
        <f t="shared" si="3"/>
        <v>112.97412663704816</v>
      </c>
      <c r="AP179" s="124">
        <f t="shared" si="3"/>
        <v>111.02152193018227</v>
      </c>
      <c r="AQ179" s="124">
        <f t="shared" si="3"/>
        <v>72.592717153220946</v>
      </c>
      <c r="AR179" s="124">
        <f t="shared" si="3"/>
        <v>35.721580057446445</v>
      </c>
      <c r="AS179" s="124">
        <f t="shared" si="3"/>
        <v>95.476627664776558</v>
      </c>
      <c r="AT179" s="124">
        <f t="shared" si="3"/>
        <v>116.52716931975409</v>
      </c>
      <c r="AU179" s="124">
        <f t="shared" si="3"/>
        <v>83.189315219239163</v>
      </c>
      <c r="AV179" s="124">
        <f t="shared" si="3"/>
        <v>65.950374398577367</v>
      </c>
      <c r="AW179" s="124">
        <f t="shared" si="3"/>
        <v>131.1921961502149</v>
      </c>
      <c r="AX179" s="124">
        <f t="shared" si="3"/>
        <v>101.41243487609941</v>
      </c>
      <c r="AY179" s="124">
        <f t="shared" si="3"/>
        <v>102.18490489374223</v>
      </c>
    </row>
    <row r="180" spans="1:51">
      <c r="A180" s="125"/>
      <c r="B180" s="136" t="s">
        <v>299</v>
      </c>
      <c r="C180" s="125" t="s">
        <v>293</v>
      </c>
      <c r="D180" s="125">
        <v>74</v>
      </c>
      <c r="E180" s="125">
        <v>78.469321454594663</v>
      </c>
      <c r="F180" s="125">
        <v>12.318796767190401</v>
      </c>
      <c r="G180" s="125">
        <v>107</v>
      </c>
      <c r="H180" s="125">
        <v>82.627211345509295</v>
      </c>
      <c r="I180" s="125">
        <v>107.6024731465868</v>
      </c>
      <c r="J180" s="125">
        <v>30.619203854480492</v>
      </c>
      <c r="K180" s="125">
        <v>100</v>
      </c>
      <c r="L180" s="125">
        <v>73</v>
      </c>
      <c r="M180" s="125">
        <v>86</v>
      </c>
      <c r="N180" s="125">
        <v>45.824051453082582</v>
      </c>
      <c r="O180" s="125">
        <v>95.476627664776558</v>
      </c>
      <c r="P180" s="125">
        <v>84</v>
      </c>
      <c r="Q180" s="125">
        <v>73</v>
      </c>
      <c r="R180" s="125">
        <v>92</v>
      </c>
      <c r="S180" s="125">
        <v>89</v>
      </c>
      <c r="T180" s="125">
        <v>56</v>
      </c>
      <c r="U180" s="125">
        <v>62</v>
      </c>
      <c r="V180" s="125">
        <v>93</v>
      </c>
      <c r="W180" s="125">
        <v>84.085928789769014</v>
      </c>
      <c r="X180" s="125">
        <v>23.719501793803893</v>
      </c>
      <c r="Y180" s="125">
        <v>23.719501793803897</v>
      </c>
      <c r="Z180" s="125">
        <v>87</v>
      </c>
      <c r="AA180" s="125">
        <v>77.003579154539125</v>
      </c>
      <c r="AB180" s="125">
        <v>18.976952635089436</v>
      </c>
      <c r="AC180" s="125">
        <v>67.020588284266282</v>
      </c>
      <c r="AD180" s="125">
        <v>67.020588284266282</v>
      </c>
      <c r="AE180" s="125">
        <v>76.505686601695231</v>
      </c>
      <c r="AF180" s="125">
        <v>28.462050952518368</v>
      </c>
      <c r="AG180" s="125">
        <v>68</v>
      </c>
      <c r="AH180" s="125">
        <v>89.713448890317707</v>
      </c>
      <c r="AI180" s="125">
        <v>45.211579455500086</v>
      </c>
      <c r="AJ180" s="125">
        <v>97.366405477472924</v>
      </c>
      <c r="AK180" s="125">
        <v>15.270299937295247</v>
      </c>
      <c r="AL180" s="125">
        <v>64</v>
      </c>
      <c r="AM180" s="125">
        <v>74.33508915820866</v>
      </c>
      <c r="AN180" s="125">
        <v>74</v>
      </c>
      <c r="AO180" s="125">
        <v>102</v>
      </c>
      <c r="AP180" s="125">
        <v>92</v>
      </c>
      <c r="AQ180" s="125">
        <v>72.592717153220946</v>
      </c>
      <c r="AR180" s="125">
        <v>35.721580057446445</v>
      </c>
      <c r="AS180" s="125">
        <v>63</v>
      </c>
      <c r="AT180" s="125">
        <v>58</v>
      </c>
      <c r="AU180" s="125">
        <v>77</v>
      </c>
      <c r="AV180" s="125">
        <v>65.950374398577367</v>
      </c>
      <c r="AW180" s="125">
        <v>94</v>
      </c>
      <c r="AX180" s="125">
        <v>85</v>
      </c>
      <c r="AY180" s="125">
        <v>102.18490489374223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105.50403817534713</v>
      </c>
      <c r="E181" s="124">
        <f t="shared" si="4"/>
        <v>8.7586343933473074E-3</v>
      </c>
      <c r="F181" s="124">
        <f t="shared" si="4"/>
        <v>209.21665961767329</v>
      </c>
      <c r="G181" s="124">
        <f t="shared" si="4"/>
        <v>67.063057729352607</v>
      </c>
      <c r="H181" s="124">
        <f t="shared" si="4"/>
        <v>174.5539639131778</v>
      </c>
      <c r="I181" s="124">
        <f t="shared" si="4"/>
        <v>26.829822633716088</v>
      </c>
      <c r="J181" s="124">
        <f t="shared" si="4"/>
        <v>174.5539639131778</v>
      </c>
      <c r="K181" s="124">
        <f t="shared" si="4"/>
        <v>95.898939214279054</v>
      </c>
      <c r="L181" s="124">
        <f t="shared" si="4"/>
        <v>139.10585678765972</v>
      </c>
      <c r="M181" s="124">
        <f t="shared" si="4"/>
        <v>34.558422310309446</v>
      </c>
      <c r="N181" s="124">
        <f t="shared" si="4"/>
        <v>139.10585678765972</v>
      </c>
      <c r="O181" s="124">
        <f t="shared" si="4"/>
        <v>149.28171628157236</v>
      </c>
      <c r="P181" s="124">
        <f t="shared" si="4"/>
        <v>150.37711623470923</v>
      </c>
      <c r="Q181" s="124">
        <f t="shared" si="4"/>
        <v>89.79893790045837</v>
      </c>
      <c r="R181" s="124">
        <f t="shared" si="4"/>
        <v>139.10585678765972</v>
      </c>
      <c r="S181" s="124">
        <f t="shared" si="4"/>
        <v>114.69985268670595</v>
      </c>
      <c r="T181" s="124">
        <f t="shared" si="4"/>
        <v>104.55619311174362</v>
      </c>
      <c r="U181" s="124">
        <f t="shared" si="4"/>
        <v>104.55619311174361</v>
      </c>
      <c r="V181" s="124">
        <f t="shared" si="4"/>
        <v>70.006529435827531</v>
      </c>
      <c r="W181" s="124">
        <f t="shared" si="4"/>
        <v>34.558422310309446</v>
      </c>
      <c r="X181" s="124">
        <f t="shared" si="4"/>
        <v>34.558422310309453</v>
      </c>
      <c r="Y181" s="124">
        <f t="shared" si="4"/>
        <v>174.5539639131778</v>
      </c>
      <c r="Z181" s="124">
        <f t="shared" si="4"/>
        <v>64.393084726156076</v>
      </c>
      <c r="AA181" s="124">
        <f t="shared" si="4"/>
        <v>27.648706495912766</v>
      </c>
      <c r="AB181" s="124">
        <f t="shared" si="4"/>
        <v>97.646477297346948</v>
      </c>
      <c r="AC181" s="124">
        <f t="shared" si="4"/>
        <v>97.646477297346919</v>
      </c>
      <c r="AD181" s="124">
        <f t="shared" si="4"/>
        <v>111.46590892614032</v>
      </c>
      <c r="AE181" s="124">
        <f t="shared" si="4"/>
        <v>41.468138124706144</v>
      </c>
      <c r="AF181" s="124">
        <f t="shared" si="4"/>
        <v>140.00430023726167</v>
      </c>
      <c r="AG181" s="124">
        <f t="shared" si="4"/>
        <v>116.59037323438177</v>
      </c>
      <c r="AH181" s="124">
        <f t="shared" si="4"/>
        <v>39.059463274946694</v>
      </c>
      <c r="AI181" s="124">
        <f t="shared" si="4"/>
        <v>146.01557260205644</v>
      </c>
      <c r="AJ181" s="124">
        <f t="shared" si="4"/>
        <v>18.091872284593947</v>
      </c>
      <c r="AK181" s="124">
        <f t="shared" si="4"/>
        <v>104.55619311174362</v>
      </c>
      <c r="AL181" s="124">
        <f t="shared" si="4"/>
        <v>209.10362758909386</v>
      </c>
      <c r="AM181" s="124">
        <f t="shared" si="4"/>
        <v>55.272329089455233</v>
      </c>
      <c r="AN181" s="124">
        <f t="shared" si="4"/>
        <v>105.03114668268799</v>
      </c>
      <c r="AO181" s="124">
        <f t="shared" si="4"/>
        <v>145.76529337094979</v>
      </c>
      <c r="AP181" s="124">
        <f t="shared" si="4"/>
        <v>78.051217275963879</v>
      </c>
      <c r="AQ181" s="124">
        <f t="shared" si="4"/>
        <v>52.044999087596288</v>
      </c>
      <c r="AR181" s="124">
        <f t="shared" si="4"/>
        <v>139.10585678765972</v>
      </c>
      <c r="AS181" s="124">
        <f t="shared" si="4"/>
        <v>122.45847906812844</v>
      </c>
      <c r="AT181" s="124">
        <f t="shared" si="4"/>
        <v>35.931819330855795</v>
      </c>
      <c r="AU181" s="124">
        <f t="shared" si="4"/>
        <v>87.069616334456768</v>
      </c>
      <c r="AV181" s="124">
        <f t="shared" si="4"/>
        <v>191.14209724086265</v>
      </c>
      <c r="AW181" s="124">
        <f t="shared" si="4"/>
        <v>93.566473278024489</v>
      </c>
      <c r="AX181" s="124">
        <f t="shared" si="4"/>
        <v>124.96726395165543</v>
      </c>
      <c r="AY181" s="124">
        <f t="shared" si="4"/>
        <v>100.59964066271793</v>
      </c>
    </row>
    <row r="182" spans="1:51">
      <c r="A182" s="125"/>
      <c r="B182" s="136" t="s">
        <v>299</v>
      </c>
      <c r="C182" s="125" t="s">
        <v>293</v>
      </c>
      <c r="D182" s="125">
        <v>105.50403817534713</v>
      </c>
      <c r="E182" s="125">
        <v>8.7586343933473074E-3</v>
      </c>
      <c r="F182" s="125">
        <v>154.4021585685972</v>
      </c>
      <c r="G182" s="125">
        <v>67.063057729352607</v>
      </c>
      <c r="H182" s="125">
        <v>129.32400757695345</v>
      </c>
      <c r="I182" s="125">
        <v>26.829822633716088</v>
      </c>
      <c r="J182" s="125">
        <v>130.89005245356665</v>
      </c>
      <c r="K182" s="125">
        <v>95.898939214279054</v>
      </c>
      <c r="L182" s="125">
        <v>139.10585678765972</v>
      </c>
      <c r="M182" s="125">
        <v>34.558422310309446</v>
      </c>
      <c r="N182" s="125">
        <v>123.46079801565293</v>
      </c>
      <c r="O182" s="125">
        <v>130.27432072645277</v>
      </c>
      <c r="P182" s="125">
        <v>117</v>
      </c>
      <c r="Q182" s="125">
        <v>89.79893790045837</v>
      </c>
      <c r="R182" s="125">
        <v>122</v>
      </c>
      <c r="S182" s="125">
        <v>114.69985268670595</v>
      </c>
      <c r="T182" s="125">
        <v>104.55619311174362</v>
      </c>
      <c r="U182" s="125">
        <v>104.55619311174361</v>
      </c>
      <c r="V182" s="125">
        <v>70.006529435827531</v>
      </c>
      <c r="W182" s="125">
        <v>34.558422310309446</v>
      </c>
      <c r="X182" s="125">
        <v>34.558422310309453</v>
      </c>
      <c r="Y182" s="125">
        <v>170.85288615335429</v>
      </c>
      <c r="Z182" s="125">
        <v>64.393084726156076</v>
      </c>
      <c r="AA182" s="125">
        <v>27.648706495912766</v>
      </c>
      <c r="AB182" s="125">
        <v>97.646477297346948</v>
      </c>
      <c r="AC182" s="125">
        <v>97.646477297346919</v>
      </c>
      <c r="AD182" s="125">
        <v>111.46590892614032</v>
      </c>
      <c r="AE182" s="125">
        <v>41.468138124706144</v>
      </c>
      <c r="AF182" s="125">
        <v>131.36261111880785</v>
      </c>
      <c r="AG182" s="125">
        <v>109</v>
      </c>
      <c r="AH182" s="125">
        <v>39.059463274946694</v>
      </c>
      <c r="AI182" s="125">
        <v>115.52094193258678</v>
      </c>
      <c r="AJ182" s="125">
        <v>18.091872284593947</v>
      </c>
      <c r="AK182" s="125">
        <v>104.55619311174362</v>
      </c>
      <c r="AL182" s="125">
        <v>164</v>
      </c>
      <c r="AM182" s="125">
        <v>55.272329089455233</v>
      </c>
      <c r="AN182" s="125">
        <v>93</v>
      </c>
      <c r="AO182" s="125">
        <v>133</v>
      </c>
      <c r="AP182" s="125">
        <v>78.051217275963879</v>
      </c>
      <c r="AQ182" s="125">
        <v>52.044999087596288</v>
      </c>
      <c r="AR182" s="125">
        <v>138.40482166020746</v>
      </c>
      <c r="AS182" s="125">
        <v>122.45847906812844</v>
      </c>
      <c r="AT182" s="125">
        <v>35.931819330855795</v>
      </c>
      <c r="AU182" s="125">
        <v>87.069616334456768</v>
      </c>
      <c r="AV182" s="125">
        <v>151.41156189396608</v>
      </c>
      <c r="AW182" s="125">
        <v>93</v>
      </c>
      <c r="AX182" s="125">
        <v>121</v>
      </c>
      <c r="AY182" s="125">
        <v>100.59964066271793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13</v>
      </c>
      <c r="R185" s="124">
        <v>5</v>
      </c>
      <c r="S185" s="124">
        <v>35</v>
      </c>
      <c r="T185" s="124">
        <v>85</v>
      </c>
      <c r="U185" s="124">
        <v>125</v>
      </c>
      <c r="V185" s="124">
        <v>125</v>
      </c>
      <c r="W185" s="124">
        <v>122</v>
      </c>
      <c r="X185" s="124">
        <v>125</v>
      </c>
      <c r="Y185" s="124">
        <v>125</v>
      </c>
      <c r="Z185" s="124">
        <v>125</v>
      </c>
      <c r="AA185" s="124">
        <v>125</v>
      </c>
      <c r="AB185" s="124">
        <v>125</v>
      </c>
      <c r="AC185" s="124">
        <v>125</v>
      </c>
      <c r="AD185" s="124">
        <v>125</v>
      </c>
      <c r="AE185" s="124">
        <v>116</v>
      </c>
      <c r="AF185" s="124">
        <v>125</v>
      </c>
      <c r="AG185" s="124">
        <v>125</v>
      </c>
      <c r="AH185" s="124">
        <v>125</v>
      </c>
      <c r="AI185" s="124">
        <v>125</v>
      </c>
      <c r="AJ185" s="124">
        <v>125</v>
      </c>
      <c r="AK185" s="124">
        <v>125</v>
      </c>
      <c r="AL185" s="124">
        <v>125</v>
      </c>
      <c r="AM185" s="124">
        <v>125</v>
      </c>
      <c r="AN185" s="124">
        <v>120</v>
      </c>
      <c r="AO185" s="124">
        <v>120</v>
      </c>
      <c r="AP185" s="124">
        <v>125</v>
      </c>
      <c r="AQ185" s="124">
        <v>116</v>
      </c>
      <c r="AR185" s="124">
        <v>0</v>
      </c>
      <c r="AS185" s="124">
        <v>6.8313698428973675E-19</v>
      </c>
      <c r="AT185" s="124">
        <v>6.8313698428973675E-19</v>
      </c>
      <c r="AU185" s="124">
        <v>6.8313698428973675E-19</v>
      </c>
      <c r="AV185" s="124">
        <v>125</v>
      </c>
      <c r="AW185" s="124">
        <v>125</v>
      </c>
      <c r="AX185" s="124">
        <v>125</v>
      </c>
      <c r="AY185" s="124">
        <v>125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56</v>
      </c>
      <c r="N186" s="106">
        <v>67</v>
      </c>
      <c r="O186" s="106">
        <v>54</v>
      </c>
      <c r="P186" s="106">
        <v>97</v>
      </c>
      <c r="Q186" s="106">
        <v>125</v>
      </c>
      <c r="R186" s="106">
        <v>112</v>
      </c>
      <c r="S186" s="106">
        <v>120</v>
      </c>
      <c r="T186" s="106">
        <v>90</v>
      </c>
      <c r="U186" s="106">
        <v>40</v>
      </c>
      <c r="V186" s="106">
        <v>0</v>
      </c>
      <c r="W186" s="106">
        <v>0</v>
      </c>
      <c r="X186" s="106">
        <v>3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9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5</v>
      </c>
      <c r="AP186" s="106">
        <v>5</v>
      </c>
      <c r="AQ186" s="106">
        <v>0</v>
      </c>
      <c r="AR186" s="106">
        <v>9</v>
      </c>
      <c r="AS186" s="106">
        <v>6.8313698428973675E-19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41</v>
      </c>
      <c r="I187" s="106">
        <v>50</v>
      </c>
      <c r="J187" s="106">
        <v>108</v>
      </c>
      <c r="K187" s="106">
        <v>112</v>
      </c>
      <c r="L187" s="106">
        <v>121</v>
      </c>
      <c r="M187" s="106">
        <v>125</v>
      </c>
      <c r="N187" s="106">
        <v>69</v>
      </c>
      <c r="O187" s="106">
        <v>58</v>
      </c>
      <c r="P187" s="106">
        <v>71</v>
      </c>
      <c r="Q187" s="106">
        <v>28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118</v>
      </c>
      <c r="D188" s="106">
        <v>144</v>
      </c>
      <c r="E188" s="106">
        <v>122</v>
      </c>
      <c r="F188" s="106">
        <v>104</v>
      </c>
      <c r="G188" s="106">
        <v>119</v>
      </c>
      <c r="H188" s="106">
        <v>125</v>
      </c>
      <c r="I188" s="106">
        <v>84</v>
      </c>
      <c r="J188" s="106">
        <v>75</v>
      </c>
      <c r="K188" s="106">
        <v>17</v>
      </c>
      <c r="L188" s="106">
        <v>13</v>
      </c>
      <c r="M188" s="106">
        <v>4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171.2461720950968</v>
      </c>
      <c r="D189" s="124">
        <v>152</v>
      </c>
      <c r="E189" s="124">
        <v>0</v>
      </c>
      <c r="F189" s="124">
        <v>1.0187861558328279</v>
      </c>
      <c r="G189" s="124">
        <v>43.220825779498682</v>
      </c>
      <c r="H189" s="124">
        <v>101.42286540316454</v>
      </c>
      <c r="I189" s="124">
        <v>0</v>
      </c>
      <c r="J189" s="124">
        <v>0</v>
      </c>
      <c r="K189" s="124">
        <v>9.4178105821632698</v>
      </c>
      <c r="L189" s="124">
        <v>11.606118870997562</v>
      </c>
      <c r="M189" s="124">
        <v>0</v>
      </c>
      <c r="N189" s="124">
        <v>96.794427159831855</v>
      </c>
      <c r="O189" s="124">
        <v>60.212237741995125</v>
      </c>
      <c r="P189" s="124">
        <v>67.414277365660979</v>
      </c>
      <c r="Q189" s="124">
        <v>30.616316989326833</v>
      </c>
      <c r="R189" s="124">
        <v>11.818356612992687</v>
      </c>
      <c r="S189" s="124">
        <v>69.020396236658542</v>
      </c>
      <c r="T189" s="124">
        <v>90.222435860324396</v>
      </c>
      <c r="U189" s="124">
        <v>101.42447548399025</v>
      </c>
      <c r="V189" s="124">
        <v>115.78422904150258</v>
      </c>
      <c r="W189" s="124">
        <v>0</v>
      </c>
      <c r="X189" s="124">
        <v>0</v>
      </c>
      <c r="Y189" s="124">
        <v>51.215770958497416</v>
      </c>
      <c r="Z189" s="124">
        <v>0</v>
      </c>
      <c r="AA189" s="124">
        <v>44.811336751249826</v>
      </c>
      <c r="AB189" s="124">
        <v>160.59556579275241</v>
      </c>
      <c r="AC189" s="124">
        <v>135</v>
      </c>
      <c r="AD189" s="124">
        <v>125.40443420724759</v>
      </c>
      <c r="AE189" s="124">
        <v>67.216125918413283</v>
      </c>
      <c r="AF189" s="124">
        <v>31.21577095849743</v>
      </c>
      <c r="AG189" s="124">
        <v>55.215415998581591</v>
      </c>
      <c r="AH189" s="124">
        <v>56.013731334831554</v>
      </c>
      <c r="AI189" s="124">
        <v>140.7838740815867</v>
      </c>
      <c r="AJ189" s="124">
        <v>0</v>
      </c>
      <c r="AK189" s="124">
        <v>89.986268665168438</v>
      </c>
      <c r="AL189" s="124">
        <v>32.404079247331708</v>
      </c>
      <c r="AM189" s="124">
        <v>47.171035376538057</v>
      </c>
      <c r="AN189" s="124">
        <v>96.986268665168453</v>
      </c>
      <c r="AO189" s="124">
        <v>80.188308288834307</v>
      </c>
      <c r="AP189" s="124">
        <v>114.39034791250016</v>
      </c>
      <c r="AQ189" s="124">
        <v>29.710402488030283</v>
      </c>
      <c r="AR189" s="124">
        <v>169</v>
      </c>
      <c r="AS189" s="124">
        <v>113.11448173536203</v>
      </c>
      <c r="AT189" s="124">
        <v>59.420804976060573</v>
      </c>
      <c r="AU189" s="124">
        <v>85.72413382286183</v>
      </c>
      <c r="AV189" s="124">
        <v>0</v>
      </c>
      <c r="AW189" s="124">
        <v>82.114481735362034</v>
      </c>
      <c r="AX189" s="124">
        <v>92.627383233202096</v>
      </c>
      <c r="AY189" s="124">
        <v>92.986268665168438</v>
      </c>
    </row>
    <row r="190" spans="1:51">
      <c r="A190" s="109"/>
      <c r="B190" s="119">
        <v>2</v>
      </c>
      <c r="C190" s="106">
        <v>56.546011736818713</v>
      </c>
      <c r="D190" s="106">
        <v>0</v>
      </c>
      <c r="E190" s="106">
        <v>19.246172095096796</v>
      </c>
      <c r="F190" s="106">
        <v>171.98121384416717</v>
      </c>
      <c r="G190" s="106">
        <v>170.77917422050132</v>
      </c>
      <c r="H190" s="106">
        <v>128.57713459683546</v>
      </c>
      <c r="I190" s="106">
        <v>70.37509497316961</v>
      </c>
      <c r="J190" s="106">
        <v>137</v>
      </c>
      <c r="K190" s="106">
        <v>115.78422904150258</v>
      </c>
      <c r="L190" s="106">
        <v>162.38014979417088</v>
      </c>
      <c r="M190" s="106">
        <v>148</v>
      </c>
      <c r="N190" s="106">
        <v>56.013731334831554</v>
      </c>
      <c r="O190" s="106">
        <v>75.003533216502291</v>
      </c>
      <c r="P190" s="106">
        <v>111.58572263433902</v>
      </c>
      <c r="Q190" s="106">
        <v>104.38368301067317</v>
      </c>
      <c r="R190" s="106">
        <v>141.18164338700731</v>
      </c>
      <c r="S190" s="106">
        <v>159.97960376334146</v>
      </c>
      <c r="T190" s="106">
        <v>102.7775641396756</v>
      </c>
      <c r="U190" s="106">
        <v>81.57552451600975</v>
      </c>
      <c r="V190" s="106">
        <v>70.373484892343896</v>
      </c>
      <c r="W190" s="106">
        <v>56.013731334831562</v>
      </c>
      <c r="X190" s="106">
        <v>56.013731334831554</v>
      </c>
      <c r="Y190" s="106">
        <v>0</v>
      </c>
      <c r="Z190" s="106">
        <v>113.98626866516844</v>
      </c>
      <c r="AA190" s="106">
        <v>44.811336751249826</v>
      </c>
      <c r="AB190" s="106">
        <v>0</v>
      </c>
      <c r="AC190" s="106">
        <v>0</v>
      </c>
      <c r="AD190" s="106">
        <v>25.59556579275241</v>
      </c>
      <c r="AE190" s="106">
        <v>57.595920752668263</v>
      </c>
      <c r="AF190" s="106">
        <v>115.78422904150257</v>
      </c>
      <c r="AG190" s="106">
        <v>151.78458400141841</v>
      </c>
      <c r="AH190" s="106">
        <v>60.568813042920993</v>
      </c>
      <c r="AI190" s="106">
        <v>0</v>
      </c>
      <c r="AJ190" s="106">
        <v>31.014086294747443</v>
      </c>
      <c r="AK190" s="106">
        <v>56.013731334831554</v>
      </c>
      <c r="AL190" s="106">
        <v>81.811691711165707</v>
      </c>
      <c r="AM190" s="106">
        <v>139.39388112900244</v>
      </c>
      <c r="AN190" s="106">
        <v>56.013731334831547</v>
      </c>
      <c r="AO190" s="106">
        <v>74.811691711165693</v>
      </c>
      <c r="AP190" s="106">
        <v>91.609652087499839</v>
      </c>
      <c r="AQ190" s="106">
        <v>57.407612463833985</v>
      </c>
      <c r="AR190" s="106">
        <v>7.1054273576010019E-15</v>
      </c>
      <c r="AS190" s="106">
        <v>58.811691711165679</v>
      </c>
      <c r="AT190" s="106">
        <v>2.6697473061405503</v>
      </c>
      <c r="AU190" s="106">
        <v>0</v>
      </c>
      <c r="AV190" s="106">
        <v>50.622844599726434</v>
      </c>
      <c r="AW190" s="106">
        <v>115.43453631089213</v>
      </c>
      <c r="AX190" s="106">
        <v>89.683478640972112</v>
      </c>
      <c r="AY190" s="106">
        <v>56.013731334831562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34.797960376334146</v>
      </c>
      <c r="L191" s="106">
        <v>56.013731334831562</v>
      </c>
      <c r="M191" s="106">
        <v>0</v>
      </c>
      <c r="N191" s="106">
        <v>12.191841505336583</v>
      </c>
      <c r="O191" s="106">
        <v>115.78422904150258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115.78422904150258</v>
      </c>
      <c r="Z191" s="106">
        <v>56.013731334831554</v>
      </c>
      <c r="AA191" s="106">
        <v>6.5959207526682917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67.216125918413283</v>
      </c>
      <c r="AJ191" s="106">
        <v>0</v>
      </c>
      <c r="AK191" s="106">
        <v>0</v>
      </c>
      <c r="AL191" s="106">
        <v>115.78422904150258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86.073826553472287</v>
      </c>
      <c r="AT191" s="106">
        <v>0</v>
      </c>
      <c r="AU191" s="106">
        <v>56.013731334831554</v>
      </c>
      <c r="AV191" s="106">
        <v>112.37715540027357</v>
      </c>
      <c r="AW191" s="106">
        <v>35.450981953745853</v>
      </c>
      <c r="AX191" s="106">
        <v>56.363424065442018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107.0361554679388</v>
      </c>
      <c r="D197" s="106">
        <v>61.326312570621795</v>
      </c>
      <c r="E197" s="106">
        <v>60.100914720949447</v>
      </c>
      <c r="F197" s="106">
        <v>6.0115720080860854E-3</v>
      </c>
      <c r="G197" s="106">
        <v>107</v>
      </c>
      <c r="H197" s="106">
        <v>46.029367423836817</v>
      </c>
      <c r="I197" s="106">
        <v>107.6024731465868</v>
      </c>
      <c r="J197" s="106">
        <v>18.414903908909682</v>
      </c>
      <c r="K197" s="106">
        <v>100</v>
      </c>
      <c r="L197" s="106">
        <v>53.193226907842387</v>
      </c>
      <c r="M197" s="106">
        <v>73.372078005497869</v>
      </c>
      <c r="N197" s="106">
        <v>23.719501793803893</v>
      </c>
      <c r="O197" s="106">
        <v>95.476627664776558</v>
      </c>
      <c r="P197" s="106">
        <v>84</v>
      </c>
      <c r="Q197" s="106">
        <v>54.539074401942116</v>
      </c>
      <c r="R197" s="106">
        <v>43.32631062909546</v>
      </c>
      <c r="S197" s="106">
        <v>70.691955637832137</v>
      </c>
      <c r="T197" s="106">
        <v>31.215327973055579</v>
      </c>
      <c r="U197" s="106">
        <v>14.489993317377454</v>
      </c>
      <c r="V197" s="106">
        <v>35.726855874396691</v>
      </c>
      <c r="W197" s="106">
        <v>48.049647221184948</v>
      </c>
      <c r="X197" s="106">
        <v>23.719501793803893</v>
      </c>
      <c r="Y197" s="106">
        <v>23.719501793803897</v>
      </c>
      <c r="Z197" s="106">
        <v>87</v>
      </c>
      <c r="AA197" s="106">
        <v>44.196806062381512</v>
      </c>
      <c r="AB197" s="106">
        <v>18.976952635089429</v>
      </c>
      <c r="AC197" s="106">
        <v>67.020588284266282</v>
      </c>
      <c r="AD197" s="106">
        <v>67.020588284266282</v>
      </c>
      <c r="AE197" s="106">
        <v>76.505686601695231</v>
      </c>
      <c r="AF197" s="106">
        <v>28.462050952518368</v>
      </c>
      <c r="AG197" s="106">
        <v>68</v>
      </c>
      <c r="AH197" s="106">
        <v>61.620166019955931</v>
      </c>
      <c r="AI197" s="106">
        <v>26.808834063548417</v>
      </c>
      <c r="AJ197" s="106">
        <v>97.366405477472924</v>
      </c>
      <c r="AK197" s="106">
        <v>12.417528591277131</v>
      </c>
      <c r="AL197" s="106">
        <v>64</v>
      </c>
      <c r="AM197" s="106">
        <v>66.571951715227897</v>
      </c>
      <c r="AN197" s="106">
        <v>0</v>
      </c>
      <c r="AO197" s="106">
        <v>61.114999706028534</v>
      </c>
      <c r="AP197" s="106">
        <v>81.025873362951842</v>
      </c>
      <c r="AQ197" s="106">
        <v>53.571195223038671</v>
      </c>
      <c r="AR197" s="106">
        <v>35.721580057446438</v>
      </c>
      <c r="AS197" s="106">
        <v>63</v>
      </c>
      <c r="AT197" s="106">
        <v>25.523372335223442</v>
      </c>
      <c r="AU197" s="106">
        <v>18.472830680245906</v>
      </c>
      <c r="AV197" s="106">
        <v>59.761059179338197</v>
      </c>
      <c r="AW197" s="106">
        <v>94</v>
      </c>
      <c r="AX197" s="106">
        <v>47.807803849785103</v>
      </c>
      <c r="AY197" s="106">
        <v>85.772470017642817</v>
      </c>
    </row>
    <row r="198" spans="1:51">
      <c r="A198" s="109"/>
      <c r="B198" s="119">
        <v>2</v>
      </c>
      <c r="C198" s="106">
        <v>0</v>
      </c>
      <c r="D198" s="106">
        <v>12.673687429378205</v>
      </c>
      <c r="E198" s="106">
        <v>18.368406733645216</v>
      </c>
      <c r="F198" s="106">
        <v>12.312785195182315</v>
      </c>
      <c r="G198" s="106">
        <v>0</v>
      </c>
      <c r="H198" s="106">
        <v>36.597843921672478</v>
      </c>
      <c r="I198" s="106">
        <v>0</v>
      </c>
      <c r="J198" s="106">
        <v>12.20429994557081</v>
      </c>
      <c r="K198" s="106">
        <v>0</v>
      </c>
      <c r="L198" s="106">
        <v>19.806773092157613</v>
      </c>
      <c r="M198" s="106">
        <v>12.627921994502131</v>
      </c>
      <c r="N198" s="106">
        <v>22.104549659278689</v>
      </c>
      <c r="O198" s="106">
        <v>0</v>
      </c>
      <c r="P198" s="106">
        <v>0</v>
      </c>
      <c r="Q198" s="106">
        <v>18.460925598057884</v>
      </c>
      <c r="R198" s="106">
        <v>48.67368937090454</v>
      </c>
      <c r="S198" s="106">
        <v>18.308044362167863</v>
      </c>
      <c r="T198" s="106">
        <v>24.784672026944421</v>
      </c>
      <c r="U198" s="106">
        <v>47.510006682622546</v>
      </c>
      <c r="V198" s="106">
        <v>57.273144125603309</v>
      </c>
      <c r="W198" s="106">
        <v>36.036281568584059</v>
      </c>
      <c r="X198" s="106">
        <v>0</v>
      </c>
      <c r="Y198" s="106">
        <v>0</v>
      </c>
      <c r="Z198" s="106">
        <v>0</v>
      </c>
      <c r="AA198" s="106">
        <v>32.806773092157613</v>
      </c>
      <c r="AB198" s="106">
        <v>7.1054273576010019E-15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28.093282870361776</v>
      </c>
      <c r="AI198" s="106">
        <v>18.402745391951669</v>
      </c>
      <c r="AJ198" s="106">
        <v>0</v>
      </c>
      <c r="AK198" s="106">
        <v>2.8527713460181161</v>
      </c>
      <c r="AL198" s="106">
        <v>0</v>
      </c>
      <c r="AM198" s="106">
        <v>7.7631374429807636</v>
      </c>
      <c r="AN198" s="106">
        <v>74</v>
      </c>
      <c r="AO198" s="106">
        <v>37.936688695245969</v>
      </c>
      <c r="AP198" s="106">
        <v>10.974126637048151</v>
      </c>
      <c r="AQ198" s="106">
        <v>19.021521930182274</v>
      </c>
      <c r="AR198" s="106">
        <v>7.1054273576010019E-15</v>
      </c>
      <c r="AS198" s="106">
        <v>0</v>
      </c>
      <c r="AT198" s="106">
        <v>32.476627664776558</v>
      </c>
      <c r="AU198" s="106">
        <v>58.527169319754094</v>
      </c>
      <c r="AV198" s="106">
        <v>6.1893152192391625</v>
      </c>
      <c r="AW198" s="106">
        <v>0</v>
      </c>
      <c r="AX198" s="106">
        <v>37.192196150214897</v>
      </c>
      <c r="AY198" s="106">
        <v>16.412434876099411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2.9483115987254962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105.85063701746782</v>
      </c>
      <c r="D209" s="124">
        <v>105.50403817534712</v>
      </c>
      <c r="E209" s="124">
        <v>8.7586343933473074E-3</v>
      </c>
      <c r="F209" s="124">
        <v>49.741692062667553</v>
      </c>
      <c r="G209" s="124">
        <v>34.558422310309453</v>
      </c>
      <c r="H209" s="124">
        <v>59.326236775519291</v>
      </c>
      <c r="I209" s="124">
        <v>8.7586343933473074E-3</v>
      </c>
      <c r="J209" s="124">
        <v>26.342617976216388</v>
      </c>
      <c r="K209" s="124">
        <v>70.006529435827503</v>
      </c>
      <c r="L209" s="124">
        <v>70.006529435827531</v>
      </c>
      <c r="M209" s="124">
        <v>8.7586343933473074E-3</v>
      </c>
      <c r="N209" s="124">
        <v>88.911134339736833</v>
      </c>
      <c r="O209" s="124">
        <v>50.999133880707902</v>
      </c>
      <c r="P209" s="124">
        <v>71.17907687703439</v>
      </c>
      <c r="Q209" s="124">
        <v>70.006529435827503</v>
      </c>
      <c r="R209" s="124">
        <v>87.450336324083906</v>
      </c>
      <c r="S209" s="124">
        <v>104.55619311174361</v>
      </c>
      <c r="T209" s="124">
        <v>104.55619311174362</v>
      </c>
      <c r="U209" s="124">
        <v>104.55619311174361</v>
      </c>
      <c r="V209" s="124">
        <v>70.006529435827531</v>
      </c>
      <c r="W209" s="124">
        <v>8.7586343933473074E-3</v>
      </c>
      <c r="X209" s="124">
        <v>8.7586343933473074E-3</v>
      </c>
      <c r="Y209" s="124">
        <v>100.85511535192012</v>
      </c>
      <c r="Z209" s="124">
        <v>27.648706495912755</v>
      </c>
      <c r="AA209" s="124">
        <v>27.648706495912762</v>
      </c>
      <c r="AB209" s="124">
        <v>97.646477297346948</v>
      </c>
      <c r="AC209" s="124">
        <v>97.646477297346919</v>
      </c>
      <c r="AD209" s="124">
        <v>111.46590892614032</v>
      </c>
      <c r="AE209" s="124">
        <v>41.468138124706144</v>
      </c>
      <c r="AF209" s="124">
        <v>61.364840317373691</v>
      </c>
      <c r="AG209" s="124">
        <v>62.416156201445737</v>
      </c>
      <c r="AH209" s="124">
        <v>34.558422310309446</v>
      </c>
      <c r="AI209" s="124">
        <v>74.061562442273981</v>
      </c>
      <c r="AJ209" s="124">
        <v>8.7586343933473074E-3</v>
      </c>
      <c r="AK209" s="124">
        <v>70.006529435827531</v>
      </c>
      <c r="AL209" s="124">
        <v>59.452565522649735</v>
      </c>
      <c r="AM209" s="124">
        <v>28.526177198969236</v>
      </c>
      <c r="AN209" s="124">
        <v>58.450336324083906</v>
      </c>
      <c r="AO209" s="124">
        <v>91.790899740793805</v>
      </c>
      <c r="AP209" s="124">
        <v>70.481483006771896</v>
      </c>
      <c r="AQ209" s="124">
        <v>17.970288982624567</v>
      </c>
      <c r="AR209" s="124">
        <v>138.40482166020746</v>
      </c>
      <c r="AS209" s="124">
        <v>70.006529435827503</v>
      </c>
      <c r="AT209" s="124">
        <v>35.931819330855795</v>
      </c>
      <c r="AU209" s="124">
        <v>52.519952658540667</v>
      </c>
      <c r="AV209" s="124">
        <v>30.750947659875322</v>
      </c>
      <c r="AW209" s="124">
        <v>69.440056157803014</v>
      </c>
      <c r="AX209" s="124">
        <v>52.039711323885257</v>
      </c>
      <c r="AY209" s="124">
        <v>63.69741578690661</v>
      </c>
    </row>
    <row r="210" spans="1:51">
      <c r="A210" s="109"/>
      <c r="B210" s="119">
        <v>2</v>
      </c>
      <c r="C210" s="106">
        <v>11.203180887110488</v>
      </c>
      <c r="D210" s="110">
        <v>8.426942554800785E-15</v>
      </c>
      <c r="E210" s="110">
        <v>0</v>
      </c>
      <c r="F210" s="110">
        <v>104.66046650592965</v>
      </c>
      <c r="G210" s="110">
        <v>32.504635419043147</v>
      </c>
      <c r="H210" s="110">
        <v>69.997770801434157</v>
      </c>
      <c r="I210" s="110">
        <v>26.821063999322739</v>
      </c>
      <c r="J210" s="110">
        <v>104.54743447735027</v>
      </c>
      <c r="K210" s="110">
        <v>25.892409778451558</v>
      </c>
      <c r="L210" s="110">
        <v>34.549663675916094</v>
      </c>
      <c r="M210" s="110">
        <v>34.549663675916094</v>
      </c>
      <c r="N210" s="110">
        <v>34.549663675916101</v>
      </c>
      <c r="O210" s="110">
        <v>9.2774160443106943</v>
      </c>
      <c r="P210" s="110">
        <v>45.820923122965603</v>
      </c>
      <c r="Q210" s="110">
        <v>19.792408464630853</v>
      </c>
      <c r="R210" s="110">
        <v>34.549663675916094</v>
      </c>
      <c r="S210" s="110">
        <v>10.14365957496234</v>
      </c>
      <c r="T210" s="110">
        <v>0</v>
      </c>
      <c r="U210" s="110">
        <v>0</v>
      </c>
      <c r="V210" s="110">
        <v>0</v>
      </c>
      <c r="W210" s="110">
        <v>34.549663675916094</v>
      </c>
      <c r="X210" s="110">
        <v>34.549663675916101</v>
      </c>
      <c r="Y210" s="110">
        <v>0</v>
      </c>
      <c r="Z210" s="110">
        <v>2.1947145543272213</v>
      </c>
      <c r="AA210" s="110">
        <v>4.2134712774003925E-15</v>
      </c>
      <c r="AB210" s="110">
        <v>0</v>
      </c>
      <c r="AC210" s="110">
        <v>0</v>
      </c>
      <c r="AD210" s="110">
        <v>0</v>
      </c>
      <c r="AE210" s="110">
        <v>0</v>
      </c>
      <c r="AF210" s="110">
        <v>69.997770801434157</v>
      </c>
      <c r="AG210" s="110">
        <v>46.583843798554263</v>
      </c>
      <c r="AH210" s="110">
        <v>4.5010409646372453</v>
      </c>
      <c r="AI210" s="110">
        <v>4.2134712774003925E-15</v>
      </c>
      <c r="AJ210" s="110">
        <v>18.083113650200598</v>
      </c>
      <c r="AK210" s="110">
        <v>34.549663675916101</v>
      </c>
      <c r="AL210" s="110">
        <v>34.549663675916094</v>
      </c>
      <c r="AM210" s="110">
        <v>26.746151890485997</v>
      </c>
      <c r="AN210" s="110">
        <v>34.549663675916094</v>
      </c>
      <c r="AO210" s="110">
        <v>41.209100259206195</v>
      </c>
      <c r="AP210" s="110">
        <v>7.5697342691919882</v>
      </c>
      <c r="AQ210" s="110">
        <v>34.074710104971722</v>
      </c>
      <c r="AR210" s="110">
        <v>2.1067356387001962E-15</v>
      </c>
      <c r="AS210" s="110">
        <v>0.41570917909800387</v>
      </c>
      <c r="AT210" s="110">
        <v>0</v>
      </c>
      <c r="AU210" s="110">
        <v>0</v>
      </c>
      <c r="AV210" s="110">
        <v>52.036240453202936</v>
      </c>
      <c r="AW210" s="110">
        <v>23.55994384219699</v>
      </c>
      <c r="AX210" s="110">
        <v>34.885578571143014</v>
      </c>
      <c r="AY210" s="110">
        <v>36.902224875811321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34.549663675916101</v>
      </c>
      <c r="M211" s="110">
        <v>0</v>
      </c>
      <c r="N211" s="110">
        <v>0</v>
      </c>
      <c r="O211" s="110">
        <v>69.997770801434172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69.997770801434172</v>
      </c>
      <c r="Z211" s="110">
        <v>34.549663675916101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41.459379490312791</v>
      </c>
      <c r="AJ211" s="110">
        <v>0</v>
      </c>
      <c r="AK211" s="110">
        <v>0</v>
      </c>
      <c r="AL211" s="110">
        <v>69.997770801434172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52.036240453202936</v>
      </c>
      <c r="AT211" s="110">
        <v>0</v>
      </c>
      <c r="AU211" s="110">
        <v>34.549663675916101</v>
      </c>
      <c r="AV211" s="110">
        <v>68.624373780887822</v>
      </c>
      <c r="AW211" s="110">
        <v>0</v>
      </c>
      <c r="AX211" s="110">
        <v>34.074710104971722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47068.904945485643</v>
      </c>
      <c r="E259" s="124">
        <f t="shared" ref="E259:AX259" si="5">F$14*$B$259</f>
        <v>3.9075218052559553</v>
      </c>
      <c r="F259" s="124">
        <f t="shared" si="5"/>
        <v>93338.59854908711</v>
      </c>
      <c r="G259" s="124">
        <f t="shared" si="5"/>
        <v>29919.088825493931</v>
      </c>
      <c r="H259" s="124">
        <f t="shared" si="5"/>
        <v>77874.402509902444</v>
      </c>
      <c r="I259" s="124">
        <f t="shared" si="5"/>
        <v>11969.687540791294</v>
      </c>
      <c r="J259" s="124">
        <f t="shared" si="5"/>
        <v>77874.402509902444</v>
      </c>
      <c r="K259" s="124">
        <f t="shared" si="5"/>
        <v>42783.746786523938</v>
      </c>
      <c r="L259" s="124">
        <f t="shared" si="5"/>
        <v>62059.807982104765</v>
      </c>
      <c r="M259" s="124">
        <f t="shared" si="5"/>
        <v>15417.676165972531</v>
      </c>
      <c r="N259" s="124">
        <f t="shared" si="5"/>
        <v>62059.807982104765</v>
      </c>
      <c r="O259" s="124">
        <f t="shared" si="5"/>
        <v>66599.601638737629</v>
      </c>
      <c r="P259" s="124">
        <f t="shared" si="5"/>
        <v>67088.296452350332</v>
      </c>
      <c r="Q259" s="124">
        <f t="shared" si="5"/>
        <v>40062.33074432116</v>
      </c>
      <c r="R259" s="124">
        <f t="shared" si="5"/>
        <v>62059.807982104765</v>
      </c>
      <c r="S259" s="124">
        <f t="shared" si="5"/>
        <v>51171.467526190783</v>
      </c>
      <c r="T259" s="124">
        <f t="shared" si="5"/>
        <v>46646.039337937495</v>
      </c>
      <c r="U259" s="124">
        <f t="shared" si="5"/>
        <v>46646.039337937487</v>
      </c>
      <c r="V259" s="124">
        <f t="shared" si="5"/>
        <v>31232.270693770217</v>
      </c>
      <c r="W259" s="124">
        <f t="shared" si="5"/>
        <v>15417.676165972531</v>
      </c>
      <c r="X259" s="124">
        <f t="shared" si="5"/>
        <v>15417.676165972533</v>
      </c>
      <c r="Y259" s="124">
        <f t="shared" si="5"/>
        <v>77874.402509902444</v>
      </c>
      <c r="Z259" s="124">
        <f t="shared" si="5"/>
        <v>28727.923940547986</v>
      </c>
      <c r="AA259" s="124">
        <f t="shared" si="5"/>
        <v>12335.019212808129</v>
      </c>
      <c r="AB259" s="124">
        <f t="shared" si="5"/>
        <v>43563.382384773082</v>
      </c>
      <c r="AC259" s="124">
        <f t="shared" si="5"/>
        <v>43563.382384773082</v>
      </c>
      <c r="AD259" s="124">
        <f t="shared" si="5"/>
        <v>49728.6962911019</v>
      </c>
      <c r="AE259" s="124">
        <f t="shared" si="5"/>
        <v>18500.33311913694</v>
      </c>
      <c r="AF259" s="124">
        <f t="shared" si="5"/>
        <v>62460.633865735152</v>
      </c>
      <c r="AG259" s="124">
        <f t="shared" si="5"/>
        <v>52014.892417739939</v>
      </c>
      <c r="AH259" s="124">
        <f t="shared" si="5"/>
        <v>17425.742141306469</v>
      </c>
      <c r="AI259" s="124">
        <f t="shared" si="5"/>
        <v>65142.464935269178</v>
      </c>
      <c r="AJ259" s="124">
        <f t="shared" si="5"/>
        <v>8071.3935843301351</v>
      </c>
      <c r="AK259" s="124">
        <f t="shared" si="5"/>
        <v>46646.039337937495</v>
      </c>
      <c r="AL259" s="124">
        <f t="shared" si="5"/>
        <v>93288.1711540697</v>
      </c>
      <c r="AM259" s="124">
        <f t="shared" si="5"/>
        <v>24658.84765190988</v>
      </c>
      <c r="AN259" s="124">
        <f t="shared" si="5"/>
        <v>46857.932122999846</v>
      </c>
      <c r="AO259" s="124">
        <f t="shared" si="5"/>
        <v>65030.806940537179</v>
      </c>
      <c r="AP259" s="124">
        <f t="shared" si="5"/>
        <v>34821.276894975141</v>
      </c>
      <c r="AQ259" s="124">
        <f t="shared" si="5"/>
        <v>23219.027037340184</v>
      </c>
      <c r="AR259" s="124">
        <f t="shared" si="5"/>
        <v>62059.807982104765</v>
      </c>
      <c r="AS259" s="124">
        <f t="shared" si="5"/>
        <v>54632.852075735398</v>
      </c>
      <c r="AT259" s="124">
        <f t="shared" si="5"/>
        <v>16030.394834665294</v>
      </c>
      <c r="AU259" s="124">
        <f t="shared" si="5"/>
        <v>38844.688466569831</v>
      </c>
      <c r="AV259" s="124">
        <f t="shared" si="5"/>
        <v>85274.927497639685</v>
      </c>
      <c r="AW259" s="124">
        <f t="shared" si="5"/>
        <v>41743.155171824932</v>
      </c>
      <c r="AX259" s="124">
        <f t="shared" si="5"/>
        <v>55752.105511467831</v>
      </c>
      <c r="AY259" s="124">
        <f>AZ$14*$B$259</f>
        <v>44880.888028510788</v>
      </c>
      <c r="AZ259" s="139">
        <f>SUM($D259:$AY259)</f>
        <v>2175860.4248601818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36580.503416662614</v>
      </c>
      <c r="E260" s="125">
        <f t="shared" ref="E260:AY260" si="6">(E$175-E$176+E$177-E$178+E$179-E$180+E$181-E$182)*$B$260</f>
        <v>32061.186236336336</v>
      </c>
      <c r="F260" s="125">
        <f t="shared" si="6"/>
        <v>41616.830078487343</v>
      </c>
      <c r="G260" s="125">
        <f t="shared" si="6"/>
        <v>25823.444968620326</v>
      </c>
      <c r="H260" s="125">
        <f t="shared" si="6"/>
        <v>26976.303078563629</v>
      </c>
      <c r="I260" s="125">
        <f t="shared" si="6"/>
        <v>20232.25799673425</v>
      </c>
      <c r="J260" s="125">
        <f t="shared" si="6"/>
        <v>27674.766052646868</v>
      </c>
      <c r="K260" s="125">
        <f t="shared" si="6"/>
        <v>23350.391493089817</v>
      </c>
      <c r="L260" s="125">
        <f t="shared" si="6"/>
        <v>22248.361929900431</v>
      </c>
      <c r="M260" s="125">
        <f t="shared" si="6"/>
        <v>13697.783469876915</v>
      </c>
      <c r="N260" s="125">
        <f t="shared" si="6"/>
        <v>16418.915519310547</v>
      </c>
      <c r="O260" s="125">
        <f t="shared" si="6"/>
        <v>16234.763211277623</v>
      </c>
      <c r="P260" s="125">
        <f t="shared" si="6"/>
        <v>18553.303490606417</v>
      </c>
      <c r="Q260" s="125">
        <f t="shared" si="6"/>
        <v>14750.496085384819</v>
      </c>
      <c r="R260" s="125">
        <f t="shared" si="6"/>
        <v>18923.610294790145</v>
      </c>
      <c r="S260" s="125">
        <f t="shared" si="6"/>
        <v>13053.7341699972</v>
      </c>
      <c r="T260" s="125">
        <f t="shared" si="6"/>
        <v>10145.131871917938</v>
      </c>
      <c r="U260" s="125">
        <f t="shared" si="6"/>
        <v>7658.7977410768308</v>
      </c>
      <c r="V260" s="125">
        <f t="shared" si="6"/>
        <v>2162.1768941150435</v>
      </c>
      <c r="W260" s="125">
        <f t="shared" si="6"/>
        <v>180</v>
      </c>
      <c r="X260" s="125">
        <f t="shared" si="6"/>
        <v>0</v>
      </c>
      <c r="Y260" s="125">
        <f t="shared" si="6"/>
        <v>7456.9960306596122</v>
      </c>
      <c r="Z260" s="125">
        <f t="shared" si="6"/>
        <v>5052.8418357645442</v>
      </c>
      <c r="AA260" s="125">
        <f t="shared" si="6"/>
        <v>0</v>
      </c>
      <c r="AB260" s="125">
        <f t="shared" si="6"/>
        <v>0</v>
      </c>
      <c r="AC260" s="125">
        <f t="shared" si="6"/>
        <v>1535.7339475651447</v>
      </c>
      <c r="AD260" s="125">
        <f t="shared" si="6"/>
        <v>3455.7552451600959</v>
      </c>
      <c r="AE260" s="125">
        <f t="shared" si="6"/>
        <v>539.99999999999909</v>
      </c>
      <c r="AF260" s="125">
        <f t="shared" si="6"/>
        <v>5592.6088320875397</v>
      </c>
      <c r="AG260" s="125">
        <f t="shared" si="6"/>
        <v>5775.1481488598702</v>
      </c>
      <c r="AH260" s="125">
        <f t="shared" si="6"/>
        <v>1104.1647235171001</v>
      </c>
      <c r="AI260" s="125">
        <f t="shared" si="6"/>
        <v>3690.5230178530242</v>
      </c>
      <c r="AJ260" s="125">
        <f t="shared" si="6"/>
        <v>171.16628076108697</v>
      </c>
      <c r="AK260" s="125">
        <f t="shared" si="6"/>
        <v>1547.8776225800489</v>
      </c>
      <c r="AL260" s="125">
        <f t="shared" si="6"/>
        <v>11535.638769664625</v>
      </c>
      <c r="AM260" s="125">
        <f t="shared" si="6"/>
        <v>4616.8986959235299</v>
      </c>
      <c r="AN260" s="125">
        <f t="shared" si="6"/>
        <v>4581.8648773429877</v>
      </c>
      <c r="AO260" s="125">
        <f t="shared" si="6"/>
        <v>7220.9443257298681</v>
      </c>
      <c r="AP260" s="125">
        <f t="shared" si="6"/>
        <v>1203.9426197144535</v>
      </c>
      <c r="AQ260" s="125">
        <f t="shared" si="6"/>
        <v>540</v>
      </c>
      <c r="AR260" s="125">
        <f t="shared" si="6"/>
        <v>3570.7636103170762</v>
      </c>
      <c r="AS260" s="125">
        <f t="shared" si="6"/>
        <v>2108.7824982550273</v>
      </c>
      <c r="AT260" s="125">
        <f t="shared" si="6"/>
        <v>3511.6301591852452</v>
      </c>
      <c r="AU260" s="125">
        <f t="shared" si="6"/>
        <v>371.35891315434975</v>
      </c>
      <c r="AV260" s="125">
        <f t="shared" si="6"/>
        <v>11436.963216692075</v>
      </c>
      <c r="AW260" s="125">
        <f t="shared" si="6"/>
        <v>4285.7050040627964</v>
      </c>
      <c r="AX260" s="125">
        <f t="shared" si="6"/>
        <v>1222.781929665291</v>
      </c>
      <c r="AY260" s="125">
        <f t="shared" si="6"/>
        <v>673.59919472237152</v>
      </c>
      <c r="AZ260" s="141">
        <f>SUM($D260:$AY260)</f>
        <v>481146.44749863277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77.406886894152407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152</v>
      </c>
      <c r="AW9" s="117">
        <v>79.094072527807228</v>
      </c>
      <c r="AX9" s="117">
        <v>152</v>
      </c>
      <c r="AY9" s="117">
        <v>152</v>
      </c>
    </row>
    <row r="10" spans="1:53">
      <c r="A10" s="118" t="s">
        <v>133</v>
      </c>
      <c r="B10" s="119">
        <v>1</v>
      </c>
      <c r="C10" s="106" t="s">
        <v>293</v>
      </c>
      <c r="D10" s="100">
        <v>153.1990657896915</v>
      </c>
      <c r="E10" s="100">
        <v>153.12381541842149</v>
      </c>
      <c r="F10" s="100">
        <v>153.12381541842146</v>
      </c>
      <c r="G10" s="100">
        <v>12.545155826859389</v>
      </c>
      <c r="H10" s="100">
        <v>153.12381541842146</v>
      </c>
      <c r="I10" s="100">
        <v>153.12381541842149</v>
      </c>
      <c r="J10" s="100">
        <v>153.12381541842146</v>
      </c>
      <c r="K10" s="100">
        <v>12.545155826859389</v>
      </c>
      <c r="L10" s="100">
        <v>153.12381541842146</v>
      </c>
      <c r="M10" s="100">
        <v>153.12381541842149</v>
      </c>
      <c r="N10" s="100">
        <v>153.12381541842146</v>
      </c>
      <c r="O10" s="100">
        <v>12.545155826859389</v>
      </c>
      <c r="P10" s="100">
        <v>153.12381541842146</v>
      </c>
      <c r="Q10" s="100">
        <v>12.545155826859389</v>
      </c>
      <c r="R10" s="100">
        <v>153.12381541842146</v>
      </c>
      <c r="S10" s="100">
        <v>12.545155826859389</v>
      </c>
      <c r="T10" s="100">
        <v>153.12381541842146</v>
      </c>
      <c r="U10" s="100">
        <v>12.545155826859389</v>
      </c>
      <c r="V10" s="100">
        <v>153.12381541842146</v>
      </c>
      <c r="W10" s="100">
        <v>153.12381541842149</v>
      </c>
      <c r="X10" s="100">
        <v>0</v>
      </c>
      <c r="Y10" s="100">
        <v>153.12381541842146</v>
      </c>
      <c r="Z10" s="100">
        <v>0</v>
      </c>
      <c r="AA10" s="100">
        <v>0</v>
      </c>
      <c r="AB10" s="100">
        <v>153.12381541842146</v>
      </c>
      <c r="AC10" s="100">
        <v>12.545155826859389</v>
      </c>
      <c r="AD10" s="100">
        <v>153.12381541842146</v>
      </c>
      <c r="AE10" s="100">
        <v>12.545155826859389</v>
      </c>
      <c r="AF10" s="100">
        <v>153.12381541842146</v>
      </c>
      <c r="AG10" s="100">
        <v>153.12381541842149</v>
      </c>
      <c r="AH10" s="100">
        <v>0</v>
      </c>
      <c r="AI10" s="100">
        <v>153.12381541842146</v>
      </c>
      <c r="AJ10" s="100">
        <v>153.12381541842149</v>
      </c>
      <c r="AK10" s="100">
        <v>153.12381541842146</v>
      </c>
      <c r="AL10" s="100">
        <v>12.545155826859389</v>
      </c>
      <c r="AM10" s="100">
        <v>62.383357162604341</v>
      </c>
      <c r="AN10" s="100">
        <v>112.90640244173449</v>
      </c>
      <c r="AO10" s="100">
        <v>153.12381541842149</v>
      </c>
      <c r="AP10" s="100">
        <v>153.12381541842149</v>
      </c>
      <c r="AQ10" s="100">
        <v>87.816090788015714</v>
      </c>
      <c r="AR10" s="100">
        <v>153.12381541842149</v>
      </c>
      <c r="AS10" s="100">
        <v>87.816090788015714</v>
      </c>
      <c r="AT10" s="100">
        <v>112.90640244173449</v>
      </c>
      <c r="AU10" s="100">
        <v>153.12381541842149</v>
      </c>
      <c r="AV10" s="100">
        <v>153.12381541842149</v>
      </c>
      <c r="AW10" s="100">
        <v>87.816090788015714</v>
      </c>
      <c r="AX10" s="100">
        <v>100.36124661487516</v>
      </c>
      <c r="AY10" s="100">
        <v>62.72577913429695</v>
      </c>
      <c r="AZ10" s="100">
        <v>122.49905233473723</v>
      </c>
    </row>
    <row r="11" spans="1:53">
      <c r="B11" s="119">
        <v>2</v>
      </c>
      <c r="C11" s="106" t="s">
        <v>293</v>
      </c>
      <c r="D11" s="100">
        <v>140.71275933798117</v>
      </c>
      <c r="E11" s="100">
        <v>0</v>
      </c>
      <c r="H11" s="100">
        <v>140.57865959156209</v>
      </c>
      <c r="I11" s="100">
        <v>0</v>
      </c>
      <c r="K11" s="100">
        <v>0</v>
      </c>
      <c r="L11" s="100">
        <v>140.57865959156209</v>
      </c>
      <c r="P11" s="100">
        <v>140.57865959156209</v>
      </c>
      <c r="R11" s="100">
        <v>140.57865959156209</v>
      </c>
      <c r="S11" s="100">
        <v>0</v>
      </c>
      <c r="T11" s="100">
        <v>140.57865959156209</v>
      </c>
      <c r="V11" s="100">
        <v>140.57865959156209</v>
      </c>
      <c r="AB11" s="100">
        <v>0</v>
      </c>
      <c r="AC11" s="100">
        <v>0</v>
      </c>
      <c r="AD11" s="100">
        <v>140.57865959156209</v>
      </c>
      <c r="AF11" s="100">
        <v>140.57865959156209</v>
      </c>
      <c r="AM11" s="100">
        <v>140.57865959156209</v>
      </c>
      <c r="AO11" s="100">
        <v>40.217412976687001</v>
      </c>
      <c r="AT11" s="100">
        <v>65.307724630405772</v>
      </c>
      <c r="AU11" s="100">
        <v>40.217412976687001</v>
      </c>
      <c r="AX11" s="100">
        <v>0</v>
      </c>
      <c r="AY11" s="100">
        <v>22.137805719862072</v>
      </c>
      <c r="AZ11" s="100">
        <v>1.0173059311725083</v>
      </c>
    </row>
    <row r="12" spans="1:53">
      <c r="B12" s="120">
        <v>3</v>
      </c>
      <c r="C12" s="106" t="s">
        <v>293</v>
      </c>
      <c r="J12" s="100">
        <v>0</v>
      </c>
      <c r="M12" s="100">
        <v>0</v>
      </c>
      <c r="P12" s="100">
        <v>0</v>
      </c>
      <c r="AN12" s="100">
        <v>0</v>
      </c>
      <c r="AS12" s="100">
        <v>65.307724630405772</v>
      </c>
      <c r="AU12" s="100">
        <v>0</v>
      </c>
      <c r="AY12" s="100">
        <v>65.307724630405772</v>
      </c>
      <c r="BA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87.432887981515094</v>
      </c>
      <c r="E14" s="117">
        <f t="shared" ref="E14:AZ14" si="0">D$172*SUM(D$122:D$169)</f>
        <v>167.61537199856761</v>
      </c>
      <c r="F14" s="117">
        <f t="shared" si="0"/>
        <v>103.90311198080217</v>
      </c>
      <c r="G14" s="117">
        <f t="shared" si="0"/>
        <v>86.62699837681977</v>
      </c>
      <c r="H14" s="117">
        <f t="shared" si="0"/>
        <v>7.1038546770732731</v>
      </c>
      <c r="I14" s="117">
        <f t="shared" si="0"/>
        <v>166.15014207656628</v>
      </c>
      <c r="J14" s="117">
        <f t="shared" si="0"/>
        <v>107.2609963629443</v>
      </c>
      <c r="K14" s="117">
        <f t="shared" si="0"/>
        <v>86.62699837681977</v>
      </c>
      <c r="L14" s="117">
        <f t="shared" si="0"/>
        <v>7.1038546770732678</v>
      </c>
      <c r="M14" s="117">
        <f t="shared" si="0"/>
        <v>166.15014207656628</v>
      </c>
      <c r="N14" s="117">
        <f t="shared" si="0"/>
        <v>107.27883223380972</v>
      </c>
      <c r="O14" s="117">
        <f t="shared" si="0"/>
        <v>92.556793291457751</v>
      </c>
      <c r="P14" s="117">
        <f t="shared" si="0"/>
        <v>7.1038546770732678</v>
      </c>
      <c r="Q14" s="117">
        <f t="shared" si="0"/>
        <v>166.15014207656628</v>
      </c>
      <c r="R14" s="117">
        <f t="shared" si="0"/>
        <v>37.53490722999797</v>
      </c>
      <c r="S14" s="117">
        <f t="shared" si="0"/>
        <v>166.15014207656628</v>
      </c>
      <c r="T14" s="117">
        <f t="shared" si="0"/>
        <v>40.552918028863637</v>
      </c>
      <c r="U14" s="117">
        <f t="shared" si="0"/>
        <v>166.15014207656628</v>
      </c>
      <c r="V14" s="117">
        <f t="shared" si="0"/>
        <v>29.191506393502838</v>
      </c>
      <c r="W14" s="117">
        <f t="shared" si="0"/>
        <v>166.15014207656628</v>
      </c>
      <c r="X14" s="117">
        <f t="shared" si="0"/>
        <v>113.57080397539826</v>
      </c>
      <c r="Y14" s="117">
        <f t="shared" si="0"/>
        <v>7.2567122500793819E-3</v>
      </c>
      <c r="Z14" s="117">
        <f t="shared" si="0"/>
        <v>86.62699837681977</v>
      </c>
      <c r="AA14" s="117">
        <f t="shared" si="0"/>
        <v>7.2567122500793819E-3</v>
      </c>
      <c r="AB14" s="117">
        <f t="shared" si="0"/>
        <v>7.2567122500793819E-3</v>
      </c>
      <c r="AC14" s="117">
        <f t="shared" si="0"/>
        <v>86.62699837681977</v>
      </c>
      <c r="AD14" s="117">
        <f t="shared" si="0"/>
        <v>7.1038546770732678</v>
      </c>
      <c r="AE14" s="117">
        <f t="shared" si="0"/>
        <v>166.15014207656628</v>
      </c>
      <c r="AF14" s="117">
        <f t="shared" si="0"/>
        <v>41.564914462209217</v>
      </c>
      <c r="AG14" s="117">
        <f t="shared" si="0"/>
        <v>166.15014207656628</v>
      </c>
      <c r="AH14" s="117">
        <f t="shared" si="0"/>
        <v>109.1656191255299</v>
      </c>
      <c r="AI14" s="117">
        <f t="shared" si="0"/>
        <v>7.2567122500793819E-3</v>
      </c>
      <c r="AJ14" s="117">
        <f t="shared" si="0"/>
        <v>86.62699837681977</v>
      </c>
      <c r="AK14" s="117">
        <f t="shared" si="0"/>
        <v>86.62699837681977</v>
      </c>
      <c r="AL14" s="117">
        <f t="shared" si="0"/>
        <v>86.62699837681977</v>
      </c>
      <c r="AM14" s="117">
        <f t="shared" si="0"/>
        <v>7.1038546770732678</v>
      </c>
      <c r="AN14" s="117">
        <f t="shared" si="0"/>
        <v>114.81968749531262</v>
      </c>
      <c r="AO14" s="117">
        <f t="shared" si="0"/>
        <v>64.631897429272783</v>
      </c>
      <c r="AP14" s="117">
        <f t="shared" si="0"/>
        <v>109.37735835798077</v>
      </c>
      <c r="AQ14" s="117">
        <f t="shared" si="0"/>
        <v>86.62699837681977</v>
      </c>
      <c r="AR14" s="117">
        <f t="shared" si="0"/>
        <v>49.683442466012416</v>
      </c>
      <c r="AS14" s="117">
        <f t="shared" si="0"/>
        <v>86.62699837681977</v>
      </c>
      <c r="AT14" s="117">
        <f t="shared" si="0"/>
        <v>86.62699837681977</v>
      </c>
      <c r="AU14" s="117">
        <f t="shared" si="0"/>
        <v>100.82019430646614</v>
      </c>
      <c r="AV14" s="117">
        <f t="shared" si="0"/>
        <v>109.37735835798077</v>
      </c>
      <c r="AW14" s="117">
        <f t="shared" si="0"/>
        <v>86.62699837681977</v>
      </c>
      <c r="AX14" s="117">
        <f t="shared" si="0"/>
        <v>49.683442466012416</v>
      </c>
      <c r="AY14" s="117">
        <f t="shared" si="0"/>
        <v>56.780040430835591</v>
      </c>
      <c r="AZ14" s="110">
        <f t="shared" si="0"/>
        <v>84.956812060243635</v>
      </c>
      <c r="BA14" s="107">
        <f>SUM($E14:$AZ14)</f>
        <v>4007.9724274451146</v>
      </c>
    </row>
    <row r="15" spans="1:53">
      <c r="A15" s="122" t="s">
        <v>123</v>
      </c>
      <c r="B15" s="123">
        <v>1</v>
      </c>
      <c r="C15" s="124" t="s">
        <v>293</v>
      </c>
      <c r="D15" s="124">
        <v>214.89976754705808</v>
      </c>
      <c r="E15" s="124">
        <v>213.06839775190309</v>
      </c>
      <c r="F15" s="124">
        <v>213.06839775190315</v>
      </c>
      <c r="G15" s="124">
        <v>17.472692835578908</v>
      </c>
      <c r="H15" s="124">
        <v>213.06839775190315</v>
      </c>
      <c r="I15" s="124">
        <v>213.06839775190315</v>
      </c>
      <c r="J15" s="124">
        <v>213.06839775190315</v>
      </c>
      <c r="K15" s="124">
        <v>17.472692835578908</v>
      </c>
      <c r="L15" s="124">
        <v>213.06839775190315</v>
      </c>
      <c r="M15" s="124">
        <v>213.06839775190315</v>
      </c>
      <c r="N15" s="124">
        <v>213.06839775190315</v>
      </c>
      <c r="O15" s="124">
        <v>17.472692835578908</v>
      </c>
      <c r="P15" s="124">
        <v>213.06839775190315</v>
      </c>
      <c r="Q15" s="124">
        <v>17.472692835578908</v>
      </c>
      <c r="R15" s="124">
        <v>213.06839775190315</v>
      </c>
      <c r="S15" s="124">
        <v>17.472692835578908</v>
      </c>
      <c r="T15" s="124">
        <v>213.06839775190315</v>
      </c>
      <c r="U15" s="124">
        <v>17.472692835578908</v>
      </c>
      <c r="V15" s="124">
        <v>213.06839775190315</v>
      </c>
      <c r="W15" s="124">
        <v>213.06839775190315</v>
      </c>
      <c r="X15" s="124">
        <v>1.7848662438300043E-2</v>
      </c>
      <c r="Y15" s="124">
        <v>213.06839775190315</v>
      </c>
      <c r="Z15" s="124">
        <v>1.7848662438300043E-2</v>
      </c>
      <c r="AA15" s="124">
        <v>1.7848662438300043E-2</v>
      </c>
      <c r="AB15" s="124">
        <v>213.06839775190315</v>
      </c>
      <c r="AC15" s="124">
        <v>17.472692835578908</v>
      </c>
      <c r="AD15" s="124">
        <v>213.06839775190315</v>
      </c>
      <c r="AE15" s="124">
        <v>17.472692835578908</v>
      </c>
      <c r="AF15" s="124">
        <v>213.06839775190315</v>
      </c>
      <c r="AG15" s="124">
        <v>213.06839775190315</v>
      </c>
      <c r="AH15" s="124">
        <v>1.7848662438300043E-2</v>
      </c>
      <c r="AI15" s="124">
        <v>213.06839775190315</v>
      </c>
      <c r="AJ15" s="124">
        <v>213.06839775190315</v>
      </c>
      <c r="AK15" s="124">
        <v>213.06839775190315</v>
      </c>
      <c r="AL15" s="124">
        <v>17.472692835578908</v>
      </c>
      <c r="AM15" s="124">
        <v>86.815636852466042</v>
      </c>
      <c r="AN15" s="124">
        <v>157.11144622070378</v>
      </c>
      <c r="AO15" s="124">
        <v>213.06839775190315</v>
      </c>
      <c r="AP15" s="124">
        <v>213.06839775190315</v>
      </c>
      <c r="AQ15" s="124">
        <v>122.20175787442258</v>
      </c>
      <c r="AR15" s="124">
        <v>213.06839775190315</v>
      </c>
      <c r="AS15" s="124">
        <v>122.20175787442258</v>
      </c>
      <c r="AT15" s="124">
        <v>157.11144622070378</v>
      </c>
      <c r="AU15" s="124">
        <v>213.06839775190315</v>
      </c>
      <c r="AV15" s="124">
        <v>213.06839775190315</v>
      </c>
      <c r="AW15" s="124">
        <v>122.20175787442258</v>
      </c>
      <c r="AX15" s="124">
        <v>139.65660204756318</v>
      </c>
      <c r="AY15" s="124">
        <v>87.29206952814134</v>
      </c>
      <c r="AZ15" s="100">
        <v>170.44043927157193</v>
      </c>
    </row>
    <row r="16" spans="1:53">
      <c r="A16" s="110"/>
      <c r="B16" s="119">
        <v>2</v>
      </c>
      <c r="C16" s="109" t="s">
        <v>293</v>
      </c>
      <c r="D16" s="106">
        <v>197.36822533633011</v>
      </c>
      <c r="E16" s="110">
        <v>0</v>
      </c>
      <c r="F16" s="110"/>
      <c r="G16" s="110"/>
      <c r="H16" s="110">
        <v>195.59570491632425</v>
      </c>
      <c r="I16" s="110">
        <v>0</v>
      </c>
      <c r="J16" s="110"/>
      <c r="K16" s="110">
        <v>0</v>
      </c>
      <c r="L16" s="110">
        <v>195.59570491632425</v>
      </c>
      <c r="M16" s="110"/>
      <c r="N16" s="110"/>
      <c r="O16" s="110"/>
      <c r="P16" s="110">
        <v>195.59570491632425</v>
      </c>
      <c r="Q16" s="110"/>
      <c r="R16" s="110">
        <v>195.59570491632425</v>
      </c>
      <c r="S16" s="110">
        <v>0</v>
      </c>
      <c r="T16" s="110">
        <v>195.59570491632425</v>
      </c>
      <c r="U16" s="110"/>
      <c r="V16" s="110">
        <v>195.59570491632425</v>
      </c>
      <c r="W16" s="110"/>
      <c r="X16" s="110"/>
      <c r="Y16" s="110"/>
      <c r="Z16" s="110"/>
      <c r="AA16" s="110"/>
      <c r="AB16" s="110">
        <v>0</v>
      </c>
      <c r="AC16" s="110">
        <v>0</v>
      </c>
      <c r="AD16" s="110">
        <v>195.59570491632425</v>
      </c>
      <c r="AE16" s="110"/>
      <c r="AF16" s="110">
        <v>195.59570491632425</v>
      </c>
      <c r="AG16" s="110"/>
      <c r="AH16" s="110"/>
      <c r="AI16" s="110"/>
      <c r="AJ16" s="110"/>
      <c r="AK16" s="110"/>
      <c r="AL16" s="110"/>
      <c r="AM16" s="110">
        <v>195.59570491632425</v>
      </c>
      <c r="AN16" s="110"/>
      <c r="AO16" s="110">
        <v>55.956951531199365</v>
      </c>
      <c r="AP16" s="110"/>
      <c r="AQ16" s="110"/>
      <c r="AR16" s="110"/>
      <c r="AS16" s="110"/>
      <c r="AT16" s="110">
        <v>90.866639877480566</v>
      </c>
      <c r="AU16" s="110">
        <v>55.956951531199365</v>
      </c>
      <c r="AV16" s="110"/>
      <c r="AW16" s="110"/>
      <c r="AX16" s="110">
        <v>0</v>
      </c>
      <c r="AY16" s="110">
        <v>30.801685886447046</v>
      </c>
      <c r="AZ16" s="100">
        <v>1.4154400909879428</v>
      </c>
    </row>
    <row r="17" spans="1:53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>
        <v>0</v>
      </c>
      <c r="K17" s="110"/>
      <c r="L17" s="110"/>
      <c r="M17" s="110">
        <v>0</v>
      </c>
      <c r="N17" s="110"/>
      <c r="O17" s="110"/>
      <c r="P17" s="110">
        <v>0</v>
      </c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>
        <v>0</v>
      </c>
      <c r="AO17" s="110"/>
      <c r="AP17" s="110"/>
      <c r="AQ17" s="110"/>
      <c r="AR17" s="110"/>
      <c r="AS17" s="110">
        <v>90.866639877480566</v>
      </c>
      <c r="AT17" s="110"/>
      <c r="AU17" s="110">
        <v>0</v>
      </c>
      <c r="AV17" s="110"/>
      <c r="AW17" s="110"/>
      <c r="AX17" s="110"/>
      <c r="AY17" s="110">
        <v>90.866639877480566</v>
      </c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77.406886894152407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152</v>
      </c>
      <c r="AW95" s="110">
        <v>79.094072527807228</v>
      </c>
      <c r="AX95" s="110">
        <v>152</v>
      </c>
      <c r="AY95" s="110">
        <v>152</v>
      </c>
    </row>
    <row r="96" spans="1:52">
      <c r="A96" s="109"/>
      <c r="B96" s="120">
        <v>2</v>
      </c>
      <c r="C96" s="110">
        <v>190</v>
      </c>
      <c r="D96" s="110">
        <v>190</v>
      </c>
      <c r="E96" s="110">
        <v>190</v>
      </c>
      <c r="F96" s="110">
        <v>190</v>
      </c>
      <c r="G96" s="110">
        <v>190</v>
      </c>
      <c r="H96" s="110">
        <v>190</v>
      </c>
      <c r="I96" s="110">
        <v>190</v>
      </c>
      <c r="J96" s="110">
        <v>190</v>
      </c>
      <c r="K96" s="110">
        <v>190</v>
      </c>
      <c r="L96" s="110">
        <v>190</v>
      </c>
      <c r="M96" s="110">
        <v>190</v>
      </c>
      <c r="N96" s="110">
        <v>190</v>
      </c>
      <c r="O96" s="110">
        <v>190</v>
      </c>
      <c r="P96" s="110">
        <v>190</v>
      </c>
      <c r="Q96" s="110">
        <v>190</v>
      </c>
      <c r="R96" s="110">
        <v>190</v>
      </c>
      <c r="S96" s="110">
        <v>190</v>
      </c>
      <c r="T96" s="110">
        <v>190</v>
      </c>
      <c r="U96" s="110">
        <v>190</v>
      </c>
      <c r="V96" s="110">
        <v>190</v>
      </c>
      <c r="W96" s="110">
        <v>190</v>
      </c>
      <c r="X96" s="110">
        <v>190</v>
      </c>
      <c r="Y96" s="110">
        <v>190</v>
      </c>
      <c r="Z96" s="110">
        <v>190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190</v>
      </c>
      <c r="AG96" s="110">
        <v>190</v>
      </c>
      <c r="AH96" s="110">
        <v>190</v>
      </c>
      <c r="AI96" s="110">
        <v>190</v>
      </c>
      <c r="AJ96" s="110">
        <v>190</v>
      </c>
      <c r="AK96" s="110">
        <v>190</v>
      </c>
      <c r="AL96" s="110">
        <v>77.406886894152407</v>
      </c>
      <c r="AM96" s="110">
        <v>190</v>
      </c>
      <c r="AN96" s="110">
        <v>190</v>
      </c>
      <c r="AO96" s="110">
        <v>190</v>
      </c>
      <c r="AP96" s="110">
        <v>190</v>
      </c>
      <c r="AQ96" s="110">
        <v>190</v>
      </c>
      <c r="AR96" s="110">
        <v>190</v>
      </c>
      <c r="AS96" s="110">
        <v>190</v>
      </c>
      <c r="AT96" s="110">
        <v>190</v>
      </c>
      <c r="AU96" s="110">
        <v>190</v>
      </c>
      <c r="AV96" s="110">
        <v>190</v>
      </c>
      <c r="AW96" s="110">
        <v>152</v>
      </c>
      <c r="AX96" s="110">
        <v>79.094072527807228</v>
      </c>
      <c r="AY96" s="110">
        <v>65.500959421959649</v>
      </c>
    </row>
    <row r="97" spans="1:52">
      <c r="A97" s="109"/>
      <c r="B97" s="127">
        <v>3</v>
      </c>
      <c r="C97" s="110">
        <v>135</v>
      </c>
      <c r="D97" s="110">
        <v>143</v>
      </c>
      <c r="E97" s="110">
        <v>136</v>
      </c>
      <c r="F97" s="110">
        <v>132</v>
      </c>
      <c r="G97" s="110">
        <v>144</v>
      </c>
      <c r="H97" s="110">
        <v>166</v>
      </c>
      <c r="I97" s="110">
        <v>188</v>
      </c>
      <c r="J97" s="110">
        <v>162</v>
      </c>
      <c r="K97" s="110">
        <v>118</v>
      </c>
      <c r="L97" s="110">
        <v>92</v>
      </c>
      <c r="M97" s="110">
        <v>126</v>
      </c>
      <c r="N97" s="110">
        <v>136</v>
      </c>
      <c r="O97" s="110">
        <v>121</v>
      </c>
      <c r="P97" s="110">
        <v>100</v>
      </c>
      <c r="Q97" s="110">
        <v>92</v>
      </c>
      <c r="R97" s="110">
        <v>115</v>
      </c>
      <c r="S97" s="110">
        <v>166</v>
      </c>
      <c r="T97" s="110">
        <v>172</v>
      </c>
      <c r="U97" s="110">
        <v>190</v>
      </c>
      <c r="V97" s="110">
        <v>190</v>
      </c>
      <c r="W97" s="110">
        <v>190</v>
      </c>
      <c r="X97" s="110">
        <v>190</v>
      </c>
      <c r="Y97" s="110">
        <v>190</v>
      </c>
      <c r="Z97" s="110">
        <v>190</v>
      </c>
      <c r="AA97" s="110">
        <v>190</v>
      </c>
      <c r="AB97" s="110">
        <v>190</v>
      </c>
      <c r="AC97" s="110">
        <v>190</v>
      </c>
      <c r="AD97" s="110">
        <v>190</v>
      </c>
      <c r="AE97" s="110">
        <v>190</v>
      </c>
      <c r="AF97" s="110">
        <v>190</v>
      </c>
      <c r="AG97" s="110">
        <v>190</v>
      </c>
      <c r="AH97" s="110">
        <v>190</v>
      </c>
      <c r="AI97" s="110">
        <v>190</v>
      </c>
      <c r="AJ97" s="110">
        <v>190</v>
      </c>
      <c r="AK97" s="110">
        <v>190</v>
      </c>
      <c r="AL97" s="110">
        <v>190</v>
      </c>
      <c r="AM97" s="110">
        <v>77.406886894152407</v>
      </c>
      <c r="AN97" s="110">
        <v>121.40688689415241</v>
      </c>
      <c r="AO97" s="110">
        <v>109.40688689415241</v>
      </c>
      <c r="AP97" s="110">
        <v>105.40688689415241</v>
      </c>
      <c r="AQ97" s="110">
        <v>106.40688689415241</v>
      </c>
      <c r="AR97" s="110">
        <v>127.40688689415241</v>
      </c>
      <c r="AS97" s="110">
        <v>115.40688689415241</v>
      </c>
      <c r="AT97" s="110">
        <v>126.40688689415241</v>
      </c>
      <c r="AU97" s="110">
        <v>117.40688689415241</v>
      </c>
      <c r="AV97" s="110">
        <v>97.406886894152407</v>
      </c>
      <c r="AW97" s="110">
        <v>57.406886894152422</v>
      </c>
      <c r="AX97" s="110">
        <v>18.406886894152422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9</v>
      </c>
      <c r="V98" s="110">
        <v>53</v>
      </c>
      <c r="W98" s="110">
        <v>33</v>
      </c>
      <c r="X98" s="110">
        <v>21</v>
      </c>
      <c r="Y98" s="110">
        <v>21</v>
      </c>
      <c r="Z98" s="110">
        <v>62</v>
      </c>
      <c r="AA98" s="110">
        <v>66</v>
      </c>
      <c r="AB98" s="110">
        <v>100</v>
      </c>
      <c r="AC98" s="110">
        <v>112</v>
      </c>
      <c r="AD98" s="110">
        <v>75</v>
      </c>
      <c r="AE98" s="110">
        <v>85</v>
      </c>
      <c r="AF98" s="110">
        <v>63</v>
      </c>
      <c r="AG98" s="110">
        <v>105</v>
      </c>
      <c r="AH98" s="110">
        <v>109</v>
      </c>
      <c r="AI98" s="110">
        <v>116</v>
      </c>
      <c r="AJ98" s="110">
        <v>148</v>
      </c>
      <c r="AK98" s="110">
        <v>136</v>
      </c>
      <c r="AL98" s="110">
        <v>95</v>
      </c>
      <c r="AM98" s="110">
        <v>63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12.486306451710334</v>
      </c>
      <c r="D100" s="106">
        <v>153.1990657896915</v>
      </c>
      <c r="E100" s="106">
        <v>153.12381541842149</v>
      </c>
      <c r="F100" s="106">
        <v>153.12381541842146</v>
      </c>
      <c r="G100" s="106">
        <v>12.545155826859389</v>
      </c>
      <c r="H100" s="106">
        <v>153.12381541842146</v>
      </c>
      <c r="I100" s="106">
        <v>153.12381541842149</v>
      </c>
      <c r="J100" s="106">
        <v>153.12381541842146</v>
      </c>
      <c r="K100" s="106">
        <v>12.545155826859389</v>
      </c>
      <c r="L100" s="106">
        <v>153.12381541842146</v>
      </c>
      <c r="M100" s="106">
        <v>153.12381541842149</v>
      </c>
      <c r="N100" s="106">
        <v>153.12381541842146</v>
      </c>
      <c r="O100" s="106">
        <v>12.545155826859389</v>
      </c>
      <c r="P100" s="106">
        <v>153.12381541842146</v>
      </c>
      <c r="Q100" s="106">
        <v>12.545155826859389</v>
      </c>
      <c r="R100" s="106">
        <v>153.12381541842146</v>
      </c>
      <c r="S100" s="106">
        <v>12.545155826859389</v>
      </c>
      <c r="T100" s="106">
        <v>153.12381541842146</v>
      </c>
      <c r="U100" s="106">
        <v>12.545155826859389</v>
      </c>
      <c r="V100" s="106">
        <v>153.12381541842146</v>
      </c>
      <c r="W100" s="106">
        <v>153.12381541842149</v>
      </c>
      <c r="X100" s="106">
        <v>0</v>
      </c>
      <c r="Y100" s="106">
        <v>153.12381541842146</v>
      </c>
      <c r="Z100" s="106">
        <v>0</v>
      </c>
      <c r="AA100" s="106">
        <v>0</v>
      </c>
      <c r="AB100" s="106">
        <v>153.12381541842146</v>
      </c>
      <c r="AC100" s="106">
        <v>12.545155826859389</v>
      </c>
      <c r="AD100" s="106">
        <v>153.12381541842146</v>
      </c>
      <c r="AE100" s="106">
        <v>12.545155826859389</v>
      </c>
      <c r="AF100" s="106">
        <v>153.12381541842146</v>
      </c>
      <c r="AG100" s="106">
        <v>153.12381541842149</v>
      </c>
      <c r="AH100" s="106">
        <v>0</v>
      </c>
      <c r="AI100" s="106">
        <v>153.12381541842146</v>
      </c>
      <c r="AJ100" s="106">
        <v>153.12381541842149</v>
      </c>
      <c r="AK100" s="106">
        <v>153.12381541842146</v>
      </c>
      <c r="AL100" s="106">
        <v>12.545155826859389</v>
      </c>
      <c r="AM100" s="106">
        <v>62.383357162604341</v>
      </c>
      <c r="AN100" s="106">
        <v>112.90640244173449</v>
      </c>
      <c r="AO100" s="106">
        <v>153.12381541842149</v>
      </c>
      <c r="AP100" s="106">
        <v>153.12381541842149</v>
      </c>
      <c r="AQ100" s="106">
        <v>87.816090788015714</v>
      </c>
      <c r="AR100" s="106">
        <v>153.12381541842149</v>
      </c>
      <c r="AS100" s="106">
        <v>87.816090788015714</v>
      </c>
      <c r="AT100" s="106">
        <v>112.90640244173449</v>
      </c>
      <c r="AU100" s="106">
        <v>153.12381541842149</v>
      </c>
      <c r="AV100" s="106">
        <v>153.12381541842149</v>
      </c>
      <c r="AW100" s="106">
        <v>87.816090788015714</v>
      </c>
      <c r="AX100" s="106">
        <v>100.36124661487516</v>
      </c>
      <c r="AY100" s="106">
        <v>62.72577913429695</v>
      </c>
    </row>
    <row r="101" spans="1:52">
      <c r="A101" s="109"/>
      <c r="B101" s="119">
        <v>2</v>
      </c>
      <c r="C101" s="106">
        <v>0</v>
      </c>
      <c r="D101" s="106">
        <v>140.71275933798117</v>
      </c>
      <c r="E101" s="106">
        <v>127.91182512767267</v>
      </c>
      <c r="F101" s="106">
        <v>62.035640546094157</v>
      </c>
      <c r="G101" s="106">
        <v>0</v>
      </c>
      <c r="H101" s="106">
        <v>140.57865959156209</v>
      </c>
      <c r="I101" s="106">
        <v>153.12381541842146</v>
      </c>
      <c r="J101" s="106">
        <v>153.12381541842149</v>
      </c>
      <c r="K101" s="106">
        <v>94.950105846826489</v>
      </c>
      <c r="L101" s="106">
        <v>140.57865959156209</v>
      </c>
      <c r="M101" s="106">
        <v>125.70247500998354</v>
      </c>
      <c r="N101" s="106">
        <v>44.826290428405031</v>
      </c>
      <c r="O101" s="106">
        <v>27.950105846826489</v>
      </c>
      <c r="P101" s="106">
        <v>140.57865959156209</v>
      </c>
      <c r="Q101" s="106">
        <v>146.70247500998354</v>
      </c>
      <c r="R101" s="106">
        <v>140.57865959156209</v>
      </c>
      <c r="S101" s="106">
        <v>92.702475009983544</v>
      </c>
      <c r="T101" s="106">
        <v>140.57865959156209</v>
      </c>
      <c r="U101" s="106">
        <v>57.702475009983544</v>
      </c>
      <c r="V101" s="106">
        <v>140.57865959156209</v>
      </c>
      <c r="W101" s="106">
        <v>126.70247500998354</v>
      </c>
      <c r="X101" s="106">
        <v>45.826290428405031</v>
      </c>
      <c r="Y101" s="106">
        <v>0</v>
      </c>
      <c r="Z101" s="106">
        <v>0</v>
      </c>
      <c r="AA101" s="106">
        <v>0</v>
      </c>
      <c r="AB101" s="106">
        <v>0</v>
      </c>
      <c r="AC101" s="106">
        <v>5.1238154184214579</v>
      </c>
      <c r="AD101" s="106">
        <v>140.57865959156209</v>
      </c>
      <c r="AE101" s="106">
        <v>89.702475009983544</v>
      </c>
      <c r="AF101" s="106">
        <v>140.57865959156209</v>
      </c>
      <c r="AG101" s="106">
        <v>103.70247500998354</v>
      </c>
      <c r="AH101" s="106">
        <v>81.826290428405031</v>
      </c>
      <c r="AI101" s="106">
        <v>0</v>
      </c>
      <c r="AJ101" s="106">
        <v>0</v>
      </c>
      <c r="AK101" s="106">
        <v>0</v>
      </c>
      <c r="AL101" s="106">
        <v>0</v>
      </c>
      <c r="AM101" s="106">
        <v>140.57865959156209</v>
      </c>
      <c r="AN101" s="106">
        <v>44.962016754166427</v>
      </c>
      <c r="AO101" s="106">
        <v>40.217412976687001</v>
      </c>
      <c r="AP101" s="106">
        <v>0</v>
      </c>
      <c r="AQ101" s="106">
        <v>0</v>
      </c>
      <c r="AR101" s="106">
        <v>0</v>
      </c>
      <c r="AS101" s="106">
        <v>0</v>
      </c>
      <c r="AT101" s="106">
        <v>65.307724630405772</v>
      </c>
      <c r="AU101" s="106">
        <v>40.217412976687001</v>
      </c>
      <c r="AV101" s="106">
        <v>0</v>
      </c>
      <c r="AW101" s="106">
        <v>0</v>
      </c>
      <c r="AX101" s="106">
        <v>0</v>
      </c>
      <c r="AY101" s="106">
        <v>22.137805719862072</v>
      </c>
    </row>
    <row r="102" spans="1:52">
      <c r="A102" s="109"/>
      <c r="B102" s="120">
        <v>3</v>
      </c>
      <c r="C102" s="106">
        <v>140.71275933798117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4.5786595915620865</v>
      </c>
      <c r="J102" s="106">
        <v>1.7024750099835444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65.307724630405772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65.307724630405772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87.432887981515094</v>
      </c>
      <c r="D109" s="106">
        <v>87.432887981515094</v>
      </c>
      <c r="E109" s="106">
        <v>167.61537199856761</v>
      </c>
      <c r="F109" s="106">
        <v>103.90311198080217</v>
      </c>
      <c r="G109" s="106">
        <v>86.62699837681977</v>
      </c>
      <c r="H109" s="106">
        <v>7.1038546770732731</v>
      </c>
      <c r="I109" s="106">
        <v>166.15014207656628</v>
      </c>
      <c r="J109" s="106">
        <v>107.2609963629443</v>
      </c>
      <c r="K109" s="106">
        <v>86.62699837681977</v>
      </c>
      <c r="L109" s="106">
        <v>7.1038546770732678</v>
      </c>
      <c r="M109" s="106">
        <v>166.15014207656628</v>
      </c>
      <c r="N109" s="106">
        <v>107.27883223380972</v>
      </c>
      <c r="O109" s="106">
        <v>92.556793291457751</v>
      </c>
      <c r="P109" s="106">
        <v>7.1038546770732678</v>
      </c>
      <c r="Q109" s="106">
        <v>166.15014207656628</v>
      </c>
      <c r="R109" s="106">
        <v>37.53490722999797</v>
      </c>
      <c r="S109" s="106">
        <v>166.15014207656628</v>
      </c>
      <c r="T109" s="106">
        <v>40.552918028863637</v>
      </c>
      <c r="U109" s="106">
        <v>166.15014207656628</v>
      </c>
      <c r="V109" s="106">
        <v>29.191506393502838</v>
      </c>
      <c r="W109" s="106">
        <v>166.15014207656628</v>
      </c>
      <c r="X109" s="106">
        <v>113.57080397539826</v>
      </c>
      <c r="Y109" s="106">
        <v>7.2567122500793819E-3</v>
      </c>
      <c r="Z109" s="106">
        <v>86.62699837681977</v>
      </c>
      <c r="AA109" s="106">
        <v>7.2567122500793819E-3</v>
      </c>
      <c r="AB109" s="106">
        <v>7.2567122500793819E-3</v>
      </c>
      <c r="AC109" s="106">
        <v>86.62699837681977</v>
      </c>
      <c r="AD109" s="106">
        <v>7.1038546770732678</v>
      </c>
      <c r="AE109" s="106">
        <v>166.15014207656628</v>
      </c>
      <c r="AF109" s="106">
        <v>41.564914462209217</v>
      </c>
      <c r="AG109" s="106">
        <v>166.15014207656628</v>
      </c>
      <c r="AH109" s="106">
        <v>109.1656191255299</v>
      </c>
      <c r="AI109" s="106">
        <v>7.2567122500793819E-3</v>
      </c>
      <c r="AJ109" s="106">
        <v>86.62699837681977</v>
      </c>
      <c r="AK109" s="106">
        <v>86.62699837681977</v>
      </c>
      <c r="AL109" s="106">
        <v>86.62699837681977</v>
      </c>
      <c r="AM109" s="106">
        <v>7.1038546770732678</v>
      </c>
      <c r="AN109" s="106">
        <v>114.81968749531262</v>
      </c>
      <c r="AO109" s="106">
        <v>64.631897429272783</v>
      </c>
      <c r="AP109" s="106">
        <v>109.37735835798077</v>
      </c>
      <c r="AQ109" s="106">
        <v>86.62699837681977</v>
      </c>
      <c r="AR109" s="106">
        <v>49.683442466012416</v>
      </c>
      <c r="AS109" s="106">
        <v>86.62699837681977</v>
      </c>
      <c r="AT109" s="106">
        <v>86.62699837681977</v>
      </c>
      <c r="AU109" s="106">
        <v>100.82019430646614</v>
      </c>
      <c r="AV109" s="106">
        <v>109.37735835798077</v>
      </c>
      <c r="AW109" s="106">
        <v>86.62699837681977</v>
      </c>
      <c r="AX109" s="106">
        <v>49.683442466012416</v>
      </c>
      <c r="AY109" s="106">
        <v>56.780040430835591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6.6153719985676105</v>
      </c>
      <c r="G110" s="106">
        <v>0</v>
      </c>
      <c r="H110" s="106">
        <v>0</v>
      </c>
      <c r="I110" s="106">
        <v>0</v>
      </c>
      <c r="J110" s="106">
        <v>15.150142076566283</v>
      </c>
      <c r="K110" s="106">
        <v>0</v>
      </c>
      <c r="L110" s="106">
        <v>0</v>
      </c>
      <c r="M110" s="106">
        <v>0</v>
      </c>
      <c r="N110" s="106">
        <v>34.150142076566283</v>
      </c>
      <c r="O110" s="106">
        <v>12.428974310376006</v>
      </c>
      <c r="P110" s="106">
        <v>0</v>
      </c>
      <c r="Q110" s="106">
        <v>0</v>
      </c>
      <c r="R110" s="106">
        <v>0.36045870517560274</v>
      </c>
      <c r="S110" s="106">
        <v>0</v>
      </c>
      <c r="T110" s="106">
        <v>43.600202446418905</v>
      </c>
      <c r="U110" s="106">
        <v>0</v>
      </c>
      <c r="V110" s="106">
        <v>36.267872074841023</v>
      </c>
      <c r="W110" s="106">
        <v>3.5527136788005009E-15</v>
      </c>
      <c r="X110" s="106">
        <v>49.150142076566283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31.207729488843228</v>
      </c>
      <c r="AG110" s="106">
        <v>0</v>
      </c>
      <c r="AH110" s="106">
        <v>12.150142076566283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17.531611070415828</v>
      </c>
      <c r="D122" s="106">
        <v>214.89976754705808</v>
      </c>
      <c r="E122" s="106">
        <v>213.06839775190309</v>
      </c>
      <c r="F122" s="106">
        <v>213.06839775190315</v>
      </c>
      <c r="G122" s="106">
        <v>17.472692835578908</v>
      </c>
      <c r="H122" s="106">
        <v>213.06839775190315</v>
      </c>
      <c r="I122" s="106">
        <v>213.06839775190315</v>
      </c>
      <c r="J122" s="106">
        <v>213.06839775190315</v>
      </c>
      <c r="K122" s="106">
        <v>17.472692835578908</v>
      </c>
      <c r="L122" s="106">
        <v>213.06839775190315</v>
      </c>
      <c r="M122" s="106">
        <v>213.06839775190315</v>
      </c>
      <c r="N122" s="106">
        <v>213.06839775190315</v>
      </c>
      <c r="O122" s="106">
        <v>17.472692835578908</v>
      </c>
      <c r="P122" s="106">
        <v>213.06839775190315</v>
      </c>
      <c r="Q122" s="106">
        <v>17.472692835578908</v>
      </c>
      <c r="R122" s="106">
        <v>213.06839775190315</v>
      </c>
      <c r="S122" s="106">
        <v>17.472692835578908</v>
      </c>
      <c r="T122" s="106">
        <v>213.06839775190315</v>
      </c>
      <c r="U122" s="106">
        <v>17.472692835578908</v>
      </c>
      <c r="V122" s="106">
        <v>213.06839775190315</v>
      </c>
      <c r="W122" s="106">
        <v>213.06839775190315</v>
      </c>
      <c r="X122" s="106">
        <v>1.7848662438300043E-2</v>
      </c>
      <c r="Y122" s="106">
        <v>213.06839775190315</v>
      </c>
      <c r="Z122" s="106">
        <v>1.7848662438300043E-2</v>
      </c>
      <c r="AA122" s="106">
        <v>1.7848662438300043E-2</v>
      </c>
      <c r="AB122" s="106">
        <v>213.06839775190315</v>
      </c>
      <c r="AC122" s="106">
        <v>17.472692835578908</v>
      </c>
      <c r="AD122" s="106">
        <v>213.06839775190315</v>
      </c>
      <c r="AE122" s="106">
        <v>17.472692835578908</v>
      </c>
      <c r="AF122" s="106">
        <v>213.06839775190315</v>
      </c>
      <c r="AG122" s="106">
        <v>213.06839775190315</v>
      </c>
      <c r="AH122" s="106">
        <v>1.7848662438300043E-2</v>
      </c>
      <c r="AI122" s="106">
        <v>213.06839775190315</v>
      </c>
      <c r="AJ122" s="106">
        <v>213.06839775190315</v>
      </c>
      <c r="AK122" s="106">
        <v>213.06839775190315</v>
      </c>
      <c r="AL122" s="106">
        <v>17.472692835578908</v>
      </c>
      <c r="AM122" s="106">
        <v>86.815636852466042</v>
      </c>
      <c r="AN122" s="106">
        <v>157.11144622070378</v>
      </c>
      <c r="AO122" s="106">
        <v>213.06839775190315</v>
      </c>
      <c r="AP122" s="106">
        <v>213.06839775190315</v>
      </c>
      <c r="AQ122" s="106">
        <v>122.20175787442258</v>
      </c>
      <c r="AR122" s="106">
        <v>213.06839775190315</v>
      </c>
      <c r="AS122" s="106">
        <v>122.20175787442258</v>
      </c>
      <c r="AT122" s="106">
        <v>157.11144622070378</v>
      </c>
      <c r="AU122" s="106">
        <v>213.06839775190315</v>
      </c>
      <c r="AV122" s="106">
        <v>213.06839775190315</v>
      </c>
      <c r="AW122" s="106">
        <v>122.20175787442258</v>
      </c>
      <c r="AX122" s="106">
        <v>139.65660204756318</v>
      </c>
      <c r="AY122" s="106">
        <v>87.29206952814134</v>
      </c>
    </row>
    <row r="123" spans="1:52">
      <c r="A123" s="109"/>
      <c r="B123" s="119">
        <v>2</v>
      </c>
      <c r="C123" s="106">
        <v>0</v>
      </c>
      <c r="D123" s="106">
        <v>197.36822533633011</v>
      </c>
      <c r="E123" s="106">
        <v>42.492455169327172</v>
      </c>
      <c r="F123" s="106">
        <v>1.4210854715202004E-14</v>
      </c>
      <c r="G123" s="106">
        <v>1.4210854715202004E-14</v>
      </c>
      <c r="H123" s="106">
        <v>195.59570491632425</v>
      </c>
      <c r="I123" s="106">
        <v>50.751532114680572</v>
      </c>
      <c r="J123" s="106">
        <v>0</v>
      </c>
      <c r="K123" s="106">
        <v>0</v>
      </c>
      <c r="L123" s="106">
        <v>195.59570491632425</v>
      </c>
      <c r="M123" s="106">
        <v>50.795401352897471</v>
      </c>
      <c r="N123" s="106">
        <v>14.584966870990883</v>
      </c>
      <c r="O123" s="106">
        <v>0</v>
      </c>
      <c r="P123" s="106">
        <v>195.59570491632425</v>
      </c>
      <c r="Q123" s="106">
        <v>74.848439064588803</v>
      </c>
      <c r="R123" s="106">
        <v>195.59570491632425</v>
      </c>
      <c r="S123" s="106">
        <v>82.271560462782361</v>
      </c>
      <c r="T123" s="106">
        <v>195.59570491632425</v>
      </c>
      <c r="U123" s="106">
        <v>54.326949444216609</v>
      </c>
      <c r="V123" s="106">
        <v>195.59570491632425</v>
      </c>
      <c r="W123" s="106">
        <v>66.271180992045714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195.59570491632425</v>
      </c>
      <c r="AE123" s="106">
        <v>84.760674279766249</v>
      </c>
      <c r="AF123" s="106">
        <v>195.59570491632425</v>
      </c>
      <c r="AG123" s="106">
        <v>55.436156168958149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195.59570491632425</v>
      </c>
      <c r="AN123" s="106">
        <v>1.8576406339255911</v>
      </c>
      <c r="AO123" s="106">
        <v>55.956951531199365</v>
      </c>
      <c r="AP123" s="106">
        <v>1.4210854715202004E-14</v>
      </c>
      <c r="AQ123" s="106">
        <v>1.4210854715202004E-14</v>
      </c>
      <c r="AR123" s="106">
        <v>0</v>
      </c>
      <c r="AS123" s="106">
        <v>0</v>
      </c>
      <c r="AT123" s="106">
        <v>90.866639877480551</v>
      </c>
      <c r="AU123" s="106">
        <v>55.956951531199365</v>
      </c>
      <c r="AV123" s="106">
        <v>1.4210854715202004E-14</v>
      </c>
      <c r="AW123" s="106">
        <v>1.4210854715202004E-14</v>
      </c>
      <c r="AX123" s="106">
        <v>0</v>
      </c>
      <c r="AY123" s="106">
        <v>30.801685886447046</v>
      </c>
    </row>
    <row r="124" spans="1:52">
      <c r="A124" s="109"/>
      <c r="B124" s="119">
        <v>3</v>
      </c>
      <c r="C124" s="106">
        <v>197.36822533633011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90.866639877480566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90.866639877480566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0.40685413932111525</v>
      </c>
      <c r="D172" s="134">
        <v>0.40656896701165535</v>
      </c>
      <c r="E172" s="134">
        <v>0.40656896701165535</v>
      </c>
      <c r="F172" s="134">
        <v>0.40656896701165535</v>
      </c>
      <c r="G172" s="134">
        <v>0.40656896701165535</v>
      </c>
      <c r="H172" s="134">
        <v>0.40656896701165535</v>
      </c>
      <c r="I172" s="134">
        <v>0.40656896701165535</v>
      </c>
      <c r="J172" s="134">
        <v>0.40656896701165535</v>
      </c>
      <c r="K172" s="134">
        <v>0.40656896701165535</v>
      </c>
      <c r="L172" s="134">
        <v>0.40656896701165535</v>
      </c>
      <c r="M172" s="134">
        <v>0.40656896701165535</v>
      </c>
      <c r="N172" s="134">
        <v>0.40656896701165535</v>
      </c>
      <c r="O172" s="134">
        <v>0.40656896701165535</v>
      </c>
      <c r="P172" s="134">
        <v>0.40656896701165535</v>
      </c>
      <c r="Q172" s="134">
        <v>0.40656896701165535</v>
      </c>
      <c r="R172" s="134">
        <v>0.40656896701165535</v>
      </c>
      <c r="S172" s="134">
        <v>0.40656896701165535</v>
      </c>
      <c r="T172" s="134">
        <v>0.40656896701165535</v>
      </c>
      <c r="U172" s="134">
        <v>0.40656896701165535</v>
      </c>
      <c r="V172" s="134">
        <v>0.40656896701165535</v>
      </c>
      <c r="W172" s="134">
        <v>0.40656896701165535</v>
      </c>
      <c r="X172" s="134">
        <v>0.40656896701165535</v>
      </c>
      <c r="Y172" s="134">
        <v>0.40656896701165535</v>
      </c>
      <c r="Z172" s="134">
        <v>0.40656896701165535</v>
      </c>
      <c r="AA172" s="134">
        <v>0.40656896701165535</v>
      </c>
      <c r="AB172" s="134">
        <v>0.40656896701165535</v>
      </c>
      <c r="AC172" s="134">
        <v>0.40656896701165535</v>
      </c>
      <c r="AD172" s="134">
        <v>0.40656896701165535</v>
      </c>
      <c r="AE172" s="134">
        <v>0.40656896701165535</v>
      </c>
      <c r="AF172" s="134">
        <v>0.40656896701165535</v>
      </c>
      <c r="AG172" s="134">
        <v>0.40656896701165535</v>
      </c>
      <c r="AH172" s="134">
        <v>0.40656896701165535</v>
      </c>
      <c r="AI172" s="134">
        <v>0.40656896701165535</v>
      </c>
      <c r="AJ172" s="134">
        <v>0.40656896701165535</v>
      </c>
      <c r="AK172" s="134">
        <v>0.40656896701165535</v>
      </c>
      <c r="AL172" s="134">
        <v>0.40656896701165535</v>
      </c>
      <c r="AM172" s="134">
        <v>0.40656896701165535</v>
      </c>
      <c r="AN172" s="134">
        <v>0.40656896701165535</v>
      </c>
      <c r="AO172" s="134">
        <v>0.40656896701165535</v>
      </c>
      <c r="AP172" s="134">
        <v>0.40656896701165535</v>
      </c>
      <c r="AQ172" s="134">
        <v>0.40656896701165535</v>
      </c>
      <c r="AR172" s="134">
        <v>0.40656896701165535</v>
      </c>
      <c r="AS172" s="134">
        <v>0.40656896701165535</v>
      </c>
      <c r="AT172" s="134">
        <v>0.40656896701165535</v>
      </c>
      <c r="AU172" s="134">
        <v>0.40656896701165535</v>
      </c>
      <c r="AV172" s="134">
        <v>0.40656896701165535</v>
      </c>
      <c r="AW172" s="134">
        <v>0.40656896701165535</v>
      </c>
      <c r="AX172" s="134">
        <v>0.40656896701165535</v>
      </c>
      <c r="AY172" s="134">
        <v>0.40656896701165535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523</v>
      </c>
      <c r="E175" s="124">
        <f t="shared" si="1"/>
        <v>516</v>
      </c>
      <c r="F175" s="124">
        <f t="shared" si="1"/>
        <v>512</v>
      </c>
      <c r="G175" s="124">
        <f t="shared" si="1"/>
        <v>524</v>
      </c>
      <c r="H175" s="124">
        <f t="shared" si="1"/>
        <v>546</v>
      </c>
      <c r="I175" s="124">
        <f t="shared" si="1"/>
        <v>568</v>
      </c>
      <c r="J175" s="124">
        <f t="shared" si="1"/>
        <v>542</v>
      </c>
      <c r="K175" s="124">
        <f t="shared" si="1"/>
        <v>498</v>
      </c>
      <c r="L175" s="124">
        <f t="shared" si="1"/>
        <v>472</v>
      </c>
      <c r="M175" s="124">
        <f t="shared" si="1"/>
        <v>506</v>
      </c>
      <c r="N175" s="124">
        <f t="shared" si="1"/>
        <v>516</v>
      </c>
      <c r="O175" s="124">
        <f t="shared" si="1"/>
        <v>501</v>
      </c>
      <c r="P175" s="124">
        <f t="shared" si="1"/>
        <v>480</v>
      </c>
      <c r="Q175" s="124">
        <f t="shared" si="1"/>
        <v>472</v>
      </c>
      <c r="R175" s="124">
        <f t="shared" si="1"/>
        <v>495</v>
      </c>
      <c r="S175" s="124">
        <f t="shared" si="1"/>
        <v>546</v>
      </c>
      <c r="T175" s="124">
        <f t="shared" si="1"/>
        <v>552</v>
      </c>
      <c r="U175" s="124">
        <f t="shared" si="1"/>
        <v>579</v>
      </c>
      <c r="V175" s="124">
        <f t="shared" si="1"/>
        <v>623</v>
      </c>
      <c r="W175" s="124">
        <f t="shared" si="1"/>
        <v>603</v>
      </c>
      <c r="X175" s="124">
        <f t="shared" si="1"/>
        <v>591</v>
      </c>
      <c r="Y175" s="124">
        <f t="shared" si="1"/>
        <v>591</v>
      </c>
      <c r="Z175" s="124">
        <f t="shared" si="1"/>
        <v>632</v>
      </c>
      <c r="AA175" s="124">
        <f t="shared" si="1"/>
        <v>636</v>
      </c>
      <c r="AB175" s="124">
        <f t="shared" si="1"/>
        <v>670</v>
      </c>
      <c r="AC175" s="124">
        <f t="shared" si="1"/>
        <v>682</v>
      </c>
      <c r="AD175" s="124">
        <f t="shared" si="1"/>
        <v>645</v>
      </c>
      <c r="AE175" s="124">
        <f t="shared" si="1"/>
        <v>655</v>
      </c>
      <c r="AF175" s="124">
        <f t="shared" si="1"/>
        <v>633</v>
      </c>
      <c r="AG175" s="124">
        <f t="shared" si="1"/>
        <v>675</v>
      </c>
      <c r="AH175" s="124">
        <f t="shared" si="1"/>
        <v>679</v>
      </c>
      <c r="AI175" s="124">
        <f t="shared" si="1"/>
        <v>686</v>
      </c>
      <c r="AJ175" s="124">
        <f t="shared" si="1"/>
        <v>718</v>
      </c>
      <c r="AK175" s="124">
        <f t="shared" si="1"/>
        <v>593.40688689415242</v>
      </c>
      <c r="AL175" s="124">
        <f t="shared" si="1"/>
        <v>552.40688689415242</v>
      </c>
      <c r="AM175" s="124">
        <f t="shared" si="1"/>
        <v>520.40688689415242</v>
      </c>
      <c r="AN175" s="124">
        <f t="shared" si="1"/>
        <v>501.40688689415242</v>
      </c>
      <c r="AO175" s="124">
        <f t="shared" si="1"/>
        <v>489.40688689415242</v>
      </c>
      <c r="AP175" s="124">
        <f t="shared" si="1"/>
        <v>485.40688689415242</v>
      </c>
      <c r="AQ175" s="124">
        <f t="shared" si="1"/>
        <v>486.40688689415242</v>
      </c>
      <c r="AR175" s="124">
        <f t="shared" si="1"/>
        <v>507.40688689415242</v>
      </c>
      <c r="AS175" s="124">
        <f t="shared" si="1"/>
        <v>495.40688689415242</v>
      </c>
      <c r="AT175" s="124">
        <f t="shared" si="1"/>
        <v>506.40688689415242</v>
      </c>
      <c r="AU175" s="124">
        <f t="shared" si="1"/>
        <v>497.40688689415242</v>
      </c>
      <c r="AV175" s="124">
        <f t="shared" si="1"/>
        <v>439.40688689415242</v>
      </c>
      <c r="AW175" s="124">
        <f t="shared" si="1"/>
        <v>288.50095942195964</v>
      </c>
      <c r="AX175" s="124">
        <f t="shared" si="1"/>
        <v>249.50095942195964</v>
      </c>
      <c r="AY175" s="124">
        <f t="shared" si="1"/>
        <v>217.50095942195964</v>
      </c>
    </row>
    <row r="176" spans="1:52">
      <c r="A176" s="125"/>
      <c r="B176" s="136" t="s">
        <v>299</v>
      </c>
      <c r="C176" s="125" t="s">
        <v>293</v>
      </c>
      <c r="D176" s="125">
        <v>197</v>
      </c>
      <c r="E176" s="125">
        <v>194</v>
      </c>
      <c r="F176" s="125">
        <v>178</v>
      </c>
      <c r="G176" s="125">
        <v>168</v>
      </c>
      <c r="H176" s="125">
        <v>168</v>
      </c>
      <c r="I176" s="125">
        <v>216</v>
      </c>
      <c r="J176" s="125">
        <v>234</v>
      </c>
      <c r="K176" s="125">
        <v>216</v>
      </c>
      <c r="L176" s="125">
        <v>156</v>
      </c>
      <c r="M176" s="125">
        <v>180</v>
      </c>
      <c r="N176" s="125">
        <v>205</v>
      </c>
      <c r="O176" s="125">
        <v>211</v>
      </c>
      <c r="P176" s="125">
        <v>198</v>
      </c>
      <c r="Q176" s="125">
        <v>167</v>
      </c>
      <c r="R176" s="125">
        <v>139</v>
      </c>
      <c r="S176" s="125">
        <v>184</v>
      </c>
      <c r="T176" s="125">
        <v>163</v>
      </c>
      <c r="U176" s="125">
        <v>146</v>
      </c>
      <c r="V176" s="125">
        <v>210</v>
      </c>
      <c r="W176" s="125">
        <v>202</v>
      </c>
      <c r="X176" s="125">
        <v>190</v>
      </c>
      <c r="Y176" s="125">
        <v>149</v>
      </c>
      <c r="Z176" s="125">
        <v>186</v>
      </c>
      <c r="AA176" s="125">
        <v>156</v>
      </c>
      <c r="AB176" s="125">
        <v>178</v>
      </c>
      <c r="AC176" s="125">
        <v>227</v>
      </c>
      <c r="AD176" s="125">
        <v>180</v>
      </c>
      <c r="AE176" s="125">
        <v>212</v>
      </c>
      <c r="AF176" s="125">
        <v>148</v>
      </c>
      <c r="AG176" s="125">
        <v>186</v>
      </c>
      <c r="AH176" s="125">
        <v>183</v>
      </c>
      <c r="AI176" s="125">
        <v>158</v>
      </c>
      <c r="AJ176" s="125">
        <v>202</v>
      </c>
      <c r="AK176" s="125">
        <v>231</v>
      </c>
      <c r="AL176" s="125">
        <v>222</v>
      </c>
      <c r="AM176" s="125">
        <v>209</v>
      </c>
      <c r="AN176" s="125">
        <v>202</v>
      </c>
      <c r="AO176" s="125">
        <v>194</v>
      </c>
      <c r="AP176" s="125">
        <v>189</v>
      </c>
      <c r="AQ176" s="125">
        <v>169</v>
      </c>
      <c r="AR176" s="125">
        <v>202</v>
      </c>
      <c r="AS176" s="125">
        <v>179</v>
      </c>
      <c r="AT176" s="125">
        <v>199</v>
      </c>
      <c r="AU176" s="125">
        <v>210</v>
      </c>
      <c r="AV176" s="125">
        <v>230</v>
      </c>
      <c r="AW176" s="125">
        <v>191</v>
      </c>
      <c r="AX176" s="125">
        <v>184</v>
      </c>
      <c r="AY176" s="125">
        <v>162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293.91182512767267</v>
      </c>
      <c r="E177" s="124">
        <f t="shared" si="2"/>
        <v>281.03564054609416</v>
      </c>
      <c r="F177" s="124">
        <f t="shared" si="2"/>
        <v>215.15945596451562</v>
      </c>
      <c r="G177" s="124">
        <f t="shared" si="2"/>
        <v>12.545155826859389</v>
      </c>
      <c r="H177" s="124">
        <f t="shared" si="2"/>
        <v>293.70247500998357</v>
      </c>
      <c r="I177" s="124">
        <f t="shared" si="2"/>
        <v>310.82629042840506</v>
      </c>
      <c r="J177" s="124">
        <f t="shared" si="2"/>
        <v>307.95010584682655</v>
      </c>
      <c r="K177" s="124">
        <f t="shared" si="2"/>
        <v>107.49526167368587</v>
      </c>
      <c r="L177" s="124">
        <f t="shared" si="2"/>
        <v>293.70247500998357</v>
      </c>
      <c r="M177" s="124">
        <f t="shared" si="2"/>
        <v>278.82629042840506</v>
      </c>
      <c r="N177" s="124">
        <f t="shared" si="2"/>
        <v>197.95010584682649</v>
      </c>
      <c r="O177" s="124">
        <f t="shared" si="2"/>
        <v>40.495261673685874</v>
      </c>
      <c r="P177" s="124">
        <f t="shared" si="2"/>
        <v>293.70247500998357</v>
      </c>
      <c r="Q177" s="124">
        <f t="shared" si="2"/>
        <v>159.24763083684294</v>
      </c>
      <c r="R177" s="124">
        <f t="shared" si="2"/>
        <v>293.70247500998357</v>
      </c>
      <c r="S177" s="124">
        <f t="shared" si="2"/>
        <v>105.24763083684293</v>
      </c>
      <c r="T177" s="124">
        <f t="shared" si="2"/>
        <v>293.70247500998357</v>
      </c>
      <c r="U177" s="124">
        <f t="shared" si="2"/>
        <v>70.24763083684293</v>
      </c>
      <c r="V177" s="124">
        <f t="shared" si="2"/>
        <v>293.70247500998357</v>
      </c>
      <c r="W177" s="124">
        <f t="shared" si="2"/>
        <v>279.82629042840506</v>
      </c>
      <c r="X177" s="124">
        <f t="shared" si="2"/>
        <v>45.826290428405031</v>
      </c>
      <c r="Y177" s="124">
        <f t="shared" si="2"/>
        <v>153.12381541842146</v>
      </c>
      <c r="Z177" s="124">
        <f t="shared" si="2"/>
        <v>0</v>
      </c>
      <c r="AA177" s="124">
        <f t="shared" si="2"/>
        <v>0</v>
      </c>
      <c r="AB177" s="124">
        <f t="shared" si="2"/>
        <v>153.12381541842146</v>
      </c>
      <c r="AC177" s="124">
        <f t="shared" si="2"/>
        <v>17.668971245280847</v>
      </c>
      <c r="AD177" s="124">
        <f t="shared" si="2"/>
        <v>293.70247500998357</v>
      </c>
      <c r="AE177" s="124">
        <f t="shared" si="2"/>
        <v>102.24763083684293</v>
      </c>
      <c r="AF177" s="124">
        <f t="shared" si="2"/>
        <v>293.70247500998357</v>
      </c>
      <c r="AG177" s="124">
        <f t="shared" si="2"/>
        <v>256.82629042840506</v>
      </c>
      <c r="AH177" s="124">
        <f t="shared" si="2"/>
        <v>81.826290428405031</v>
      </c>
      <c r="AI177" s="124">
        <f t="shared" si="2"/>
        <v>153.12381541842146</v>
      </c>
      <c r="AJ177" s="124">
        <f t="shared" si="2"/>
        <v>153.12381541842149</v>
      </c>
      <c r="AK177" s="124">
        <f t="shared" si="2"/>
        <v>153.12381541842146</v>
      </c>
      <c r="AL177" s="124">
        <f t="shared" si="2"/>
        <v>12.545155826859389</v>
      </c>
      <c r="AM177" s="124">
        <f t="shared" si="2"/>
        <v>202.96201675416643</v>
      </c>
      <c r="AN177" s="124">
        <f t="shared" si="2"/>
        <v>157.86841919590091</v>
      </c>
      <c r="AO177" s="124">
        <f t="shared" si="2"/>
        <v>193.34122839510849</v>
      </c>
      <c r="AP177" s="124">
        <f t="shared" si="2"/>
        <v>153.12381541842149</v>
      </c>
      <c r="AQ177" s="124">
        <f t="shared" si="2"/>
        <v>87.816090788015714</v>
      </c>
      <c r="AR177" s="124">
        <f t="shared" si="2"/>
        <v>153.12381541842149</v>
      </c>
      <c r="AS177" s="124">
        <f t="shared" si="2"/>
        <v>153.12381541842149</v>
      </c>
      <c r="AT177" s="124">
        <f t="shared" si="2"/>
        <v>178.21412707214026</v>
      </c>
      <c r="AU177" s="124">
        <f t="shared" si="2"/>
        <v>193.34122839510849</v>
      </c>
      <c r="AV177" s="124">
        <f t="shared" si="2"/>
        <v>153.12381541842149</v>
      </c>
      <c r="AW177" s="124">
        <f t="shared" si="2"/>
        <v>87.816090788015714</v>
      </c>
      <c r="AX177" s="124">
        <f t="shared" si="2"/>
        <v>100.36124661487516</v>
      </c>
      <c r="AY177" s="124">
        <f t="shared" si="2"/>
        <v>150.1713094845648</v>
      </c>
    </row>
    <row r="178" spans="1:51">
      <c r="A178" s="125"/>
      <c r="B178" s="136" t="s">
        <v>299</v>
      </c>
      <c r="C178" s="125" t="s">
        <v>293</v>
      </c>
      <c r="D178" s="125">
        <v>166</v>
      </c>
      <c r="E178" s="125">
        <v>219</v>
      </c>
      <c r="F178" s="125">
        <v>215.15945596451562</v>
      </c>
      <c r="G178" s="125">
        <v>12.545155826859389</v>
      </c>
      <c r="H178" s="125">
        <v>136</v>
      </c>
      <c r="I178" s="125">
        <v>156</v>
      </c>
      <c r="J178" s="125">
        <v>213</v>
      </c>
      <c r="K178" s="125">
        <v>107.49526167368587</v>
      </c>
      <c r="L178" s="125">
        <v>168</v>
      </c>
      <c r="M178" s="125">
        <v>234</v>
      </c>
      <c r="N178" s="125">
        <v>170</v>
      </c>
      <c r="O178" s="125">
        <v>40.495261673685874</v>
      </c>
      <c r="P178" s="125">
        <v>147</v>
      </c>
      <c r="Q178" s="125">
        <v>159.24763083684294</v>
      </c>
      <c r="R178" s="125">
        <v>201</v>
      </c>
      <c r="S178" s="125">
        <v>105.24763083684293</v>
      </c>
      <c r="T178" s="125">
        <v>236</v>
      </c>
      <c r="U178" s="125">
        <v>70.24763083684293</v>
      </c>
      <c r="V178" s="125">
        <v>167</v>
      </c>
      <c r="W178" s="125">
        <v>234</v>
      </c>
      <c r="X178" s="125">
        <v>45.826290428405031</v>
      </c>
      <c r="Y178" s="125">
        <v>153.12381541842146</v>
      </c>
      <c r="Z178" s="125">
        <v>0</v>
      </c>
      <c r="AA178" s="125">
        <v>0</v>
      </c>
      <c r="AB178" s="125">
        <v>148</v>
      </c>
      <c r="AC178" s="125">
        <v>17.668971245280847</v>
      </c>
      <c r="AD178" s="125">
        <v>204</v>
      </c>
      <c r="AE178" s="125">
        <v>102.24763083684293</v>
      </c>
      <c r="AF178" s="125">
        <v>190</v>
      </c>
      <c r="AG178" s="125">
        <v>175</v>
      </c>
      <c r="AH178" s="125">
        <v>81.826290428405031</v>
      </c>
      <c r="AI178" s="125">
        <v>153.12381541842146</v>
      </c>
      <c r="AJ178" s="125">
        <v>153.12381541842149</v>
      </c>
      <c r="AK178" s="125">
        <v>153.12381541842146</v>
      </c>
      <c r="AL178" s="125">
        <v>12.545155826859389</v>
      </c>
      <c r="AM178" s="125">
        <v>158</v>
      </c>
      <c r="AN178" s="125">
        <v>157.86841919590091</v>
      </c>
      <c r="AO178" s="125">
        <v>193.34122839510849</v>
      </c>
      <c r="AP178" s="125">
        <v>153.12381541842149</v>
      </c>
      <c r="AQ178" s="125">
        <v>87.816090788015714</v>
      </c>
      <c r="AR178" s="125">
        <v>153.12381541842149</v>
      </c>
      <c r="AS178" s="125">
        <v>153.12381541842149</v>
      </c>
      <c r="AT178" s="125">
        <v>178.21412707214026</v>
      </c>
      <c r="AU178" s="125">
        <v>193.34122839510849</v>
      </c>
      <c r="AV178" s="125">
        <v>153.12381541842149</v>
      </c>
      <c r="AW178" s="125">
        <v>87.816090788015714</v>
      </c>
      <c r="AX178" s="125">
        <v>100.36124661487516</v>
      </c>
      <c r="AY178" s="125">
        <v>150.1713094845648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87.432887981515094</v>
      </c>
      <c r="E179" s="124">
        <f t="shared" si="3"/>
        <v>167.61537199856761</v>
      </c>
      <c r="F179" s="124">
        <f t="shared" si="3"/>
        <v>110.51848397936978</v>
      </c>
      <c r="G179" s="124">
        <f t="shared" si="3"/>
        <v>86.62699837681977</v>
      </c>
      <c r="H179" s="124">
        <f t="shared" si="3"/>
        <v>7.1038546770732731</v>
      </c>
      <c r="I179" s="124">
        <f t="shared" si="3"/>
        <v>166.15014207656628</v>
      </c>
      <c r="J179" s="124">
        <f t="shared" si="3"/>
        <v>122.41113843951058</v>
      </c>
      <c r="K179" s="124">
        <f t="shared" si="3"/>
        <v>86.62699837681977</v>
      </c>
      <c r="L179" s="124">
        <f t="shared" si="3"/>
        <v>7.1038546770732678</v>
      </c>
      <c r="M179" s="124">
        <f t="shared" si="3"/>
        <v>166.15014207656628</v>
      </c>
      <c r="N179" s="124">
        <f t="shared" si="3"/>
        <v>141.42897431037602</v>
      </c>
      <c r="O179" s="124">
        <f t="shared" si="3"/>
        <v>104.98576760183376</v>
      </c>
      <c r="P179" s="124">
        <f t="shared" si="3"/>
        <v>7.1038546770732678</v>
      </c>
      <c r="Q179" s="124">
        <f t="shared" si="3"/>
        <v>166.15014207656628</v>
      </c>
      <c r="R179" s="124">
        <f t="shared" si="3"/>
        <v>37.895365935173572</v>
      </c>
      <c r="S179" s="124">
        <f t="shared" si="3"/>
        <v>166.15014207656628</v>
      </c>
      <c r="T179" s="124">
        <f t="shared" si="3"/>
        <v>84.153120475282549</v>
      </c>
      <c r="U179" s="124">
        <f t="shared" si="3"/>
        <v>166.15014207656628</v>
      </c>
      <c r="V179" s="124">
        <f t="shared" si="3"/>
        <v>65.459378468343857</v>
      </c>
      <c r="W179" s="124">
        <f t="shared" si="3"/>
        <v>166.15014207656628</v>
      </c>
      <c r="X179" s="124">
        <f t="shared" si="3"/>
        <v>162.72094605196455</v>
      </c>
      <c r="Y179" s="124">
        <f t="shared" si="3"/>
        <v>7.2567122500793819E-3</v>
      </c>
      <c r="Z179" s="124">
        <f t="shared" si="3"/>
        <v>86.62699837681977</v>
      </c>
      <c r="AA179" s="124">
        <f t="shared" si="3"/>
        <v>7.2567122500793819E-3</v>
      </c>
      <c r="AB179" s="124">
        <f t="shared" si="3"/>
        <v>7.2567122500793819E-3</v>
      </c>
      <c r="AC179" s="124">
        <f t="shared" si="3"/>
        <v>86.62699837681977</v>
      </c>
      <c r="AD179" s="124">
        <f t="shared" si="3"/>
        <v>7.1038546770732678</v>
      </c>
      <c r="AE179" s="124">
        <f t="shared" si="3"/>
        <v>166.15014207656628</v>
      </c>
      <c r="AF179" s="124">
        <f t="shared" si="3"/>
        <v>72.772643951052444</v>
      </c>
      <c r="AG179" s="124">
        <f t="shared" si="3"/>
        <v>166.15014207656628</v>
      </c>
      <c r="AH179" s="124">
        <f t="shared" si="3"/>
        <v>121.31576120209618</v>
      </c>
      <c r="AI179" s="124">
        <f t="shared" si="3"/>
        <v>7.2567122500793819E-3</v>
      </c>
      <c r="AJ179" s="124">
        <f t="shared" si="3"/>
        <v>86.62699837681977</v>
      </c>
      <c r="AK179" s="124">
        <f t="shared" si="3"/>
        <v>86.62699837681977</v>
      </c>
      <c r="AL179" s="124">
        <f t="shared" si="3"/>
        <v>86.62699837681977</v>
      </c>
      <c r="AM179" s="124">
        <f t="shared" si="3"/>
        <v>7.1038546770732678</v>
      </c>
      <c r="AN179" s="124">
        <f t="shared" si="3"/>
        <v>114.81968749531262</v>
      </c>
      <c r="AO179" s="124">
        <f t="shared" si="3"/>
        <v>64.631897429272783</v>
      </c>
      <c r="AP179" s="124">
        <f t="shared" si="3"/>
        <v>109.37735835798077</v>
      </c>
      <c r="AQ179" s="124">
        <f t="shared" si="3"/>
        <v>86.62699837681977</v>
      </c>
      <c r="AR179" s="124">
        <f t="shared" si="3"/>
        <v>49.683442466012416</v>
      </c>
      <c r="AS179" s="124">
        <f t="shared" si="3"/>
        <v>86.62699837681977</v>
      </c>
      <c r="AT179" s="124">
        <f t="shared" si="3"/>
        <v>86.62699837681977</v>
      </c>
      <c r="AU179" s="124">
        <f t="shared" si="3"/>
        <v>100.82019430646614</v>
      </c>
      <c r="AV179" s="124">
        <f t="shared" si="3"/>
        <v>109.37735835798077</v>
      </c>
      <c r="AW179" s="124">
        <f t="shared" si="3"/>
        <v>86.62699837681977</v>
      </c>
      <c r="AX179" s="124">
        <f t="shared" si="3"/>
        <v>49.683442466012416</v>
      </c>
      <c r="AY179" s="124">
        <f t="shared" si="3"/>
        <v>56.780040430835591</v>
      </c>
    </row>
    <row r="180" spans="1:51">
      <c r="A180" s="125"/>
      <c r="B180" s="136" t="s">
        <v>299</v>
      </c>
      <c r="C180" s="125" t="s">
        <v>293</v>
      </c>
      <c r="D180" s="125">
        <v>87.432887981515094</v>
      </c>
      <c r="E180" s="125">
        <v>161</v>
      </c>
      <c r="F180" s="125">
        <v>110.51848397936978</v>
      </c>
      <c r="G180" s="125">
        <v>86.62699837681977</v>
      </c>
      <c r="H180" s="125">
        <v>7.1038546770732731</v>
      </c>
      <c r="I180" s="125">
        <v>151</v>
      </c>
      <c r="J180" s="125">
        <v>122.41113843951058</v>
      </c>
      <c r="K180" s="125">
        <v>86.62699837681977</v>
      </c>
      <c r="L180" s="125">
        <v>7.1038546770732678</v>
      </c>
      <c r="M180" s="125">
        <v>132</v>
      </c>
      <c r="N180" s="125">
        <v>129</v>
      </c>
      <c r="O180" s="125">
        <v>104.98576760183376</v>
      </c>
      <c r="P180" s="125">
        <v>7.1038546770732678</v>
      </c>
      <c r="Q180" s="125">
        <v>165.78968337139068</v>
      </c>
      <c r="R180" s="125">
        <v>37.895365935173572</v>
      </c>
      <c r="S180" s="125">
        <v>122.54993963014738</v>
      </c>
      <c r="T180" s="125">
        <v>84.153120475282549</v>
      </c>
      <c r="U180" s="125">
        <v>129.88227000172526</v>
      </c>
      <c r="V180" s="125">
        <v>65.459378468343857</v>
      </c>
      <c r="W180" s="125">
        <v>117</v>
      </c>
      <c r="X180" s="125">
        <v>162.72094605196455</v>
      </c>
      <c r="Y180" s="125">
        <v>7.2567122500793819E-3</v>
      </c>
      <c r="Z180" s="125">
        <v>86.62699837681977</v>
      </c>
      <c r="AA180" s="125">
        <v>7.2567122500793819E-3</v>
      </c>
      <c r="AB180" s="125">
        <v>7.2567122500793819E-3</v>
      </c>
      <c r="AC180" s="125">
        <v>86.62699837681977</v>
      </c>
      <c r="AD180" s="125">
        <v>7.1038546770732678</v>
      </c>
      <c r="AE180" s="125">
        <v>134.94241258772306</v>
      </c>
      <c r="AF180" s="125">
        <v>72.772643951052444</v>
      </c>
      <c r="AG180" s="125">
        <v>154</v>
      </c>
      <c r="AH180" s="125">
        <v>121.31576120209618</v>
      </c>
      <c r="AI180" s="125">
        <v>7.2567122500793819E-3</v>
      </c>
      <c r="AJ180" s="125">
        <v>86.62699837681977</v>
      </c>
      <c r="AK180" s="125">
        <v>86.62699837681977</v>
      </c>
      <c r="AL180" s="125">
        <v>86.62699837681977</v>
      </c>
      <c r="AM180" s="125">
        <v>7.1038546770732678</v>
      </c>
      <c r="AN180" s="125">
        <v>114.81968749531262</v>
      </c>
      <c r="AO180" s="125">
        <v>64.631897429272783</v>
      </c>
      <c r="AP180" s="125">
        <v>109.37735835798077</v>
      </c>
      <c r="AQ180" s="125">
        <v>86.62699837681977</v>
      </c>
      <c r="AR180" s="125">
        <v>49.683442466012416</v>
      </c>
      <c r="AS180" s="125">
        <v>86.62699837681977</v>
      </c>
      <c r="AT180" s="125">
        <v>86.62699837681977</v>
      </c>
      <c r="AU180" s="125">
        <v>100.82019430646614</v>
      </c>
      <c r="AV180" s="125">
        <v>109.37735835798077</v>
      </c>
      <c r="AW180" s="125">
        <v>86.62699837681977</v>
      </c>
      <c r="AX180" s="125">
        <v>49.683442466012416</v>
      </c>
      <c r="AY180" s="125">
        <v>56.780040430835591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244.65262088482055</v>
      </c>
      <c r="E181" s="124">
        <f t="shared" si="4"/>
        <v>151.65774094042808</v>
      </c>
      <c r="F181" s="124">
        <f t="shared" si="4"/>
        <v>126.44139937508338</v>
      </c>
      <c r="G181" s="124">
        <f t="shared" si="4"/>
        <v>10.368838158505648</v>
      </c>
      <c r="H181" s="124">
        <f t="shared" si="4"/>
        <v>242.51396059166115</v>
      </c>
      <c r="I181" s="124">
        <f t="shared" si="4"/>
        <v>156.55893350363942</v>
      </c>
      <c r="J181" s="124">
        <f t="shared" si="4"/>
        <v>126.44139937508338</v>
      </c>
      <c r="K181" s="124">
        <f t="shared" si="4"/>
        <v>10.368838158505641</v>
      </c>
      <c r="L181" s="124">
        <f t="shared" si="4"/>
        <v>242.51396059166115</v>
      </c>
      <c r="M181" s="124">
        <f t="shared" si="4"/>
        <v>156.58496687099085</v>
      </c>
      <c r="N181" s="124">
        <f t="shared" si="4"/>
        <v>135.09657133143628</v>
      </c>
      <c r="O181" s="124">
        <f t="shared" si="4"/>
        <v>10.368838158505641</v>
      </c>
      <c r="P181" s="124">
        <f t="shared" si="4"/>
        <v>242.51396059166115</v>
      </c>
      <c r="Q181" s="124">
        <f t="shared" si="4"/>
        <v>54.786224670169744</v>
      </c>
      <c r="R181" s="124">
        <f t="shared" si="4"/>
        <v>242.51396059166115</v>
      </c>
      <c r="S181" s="124">
        <f t="shared" si="4"/>
        <v>59.191335269497635</v>
      </c>
      <c r="T181" s="124">
        <f t="shared" si="4"/>
        <v>242.51396059166115</v>
      </c>
      <c r="U181" s="124">
        <f t="shared" si="4"/>
        <v>42.608135886292679</v>
      </c>
      <c r="V181" s="124">
        <f t="shared" si="4"/>
        <v>242.51396059166115</v>
      </c>
      <c r="W181" s="124">
        <f t="shared" si="4"/>
        <v>165.76877476855063</v>
      </c>
      <c r="X181" s="124">
        <f t="shared" si="4"/>
        <v>1.0591950188220661E-2</v>
      </c>
      <c r="Y181" s="124">
        <f t="shared" si="4"/>
        <v>126.44139937508338</v>
      </c>
      <c r="Z181" s="124">
        <f t="shared" si="4"/>
        <v>1.0591950188220661E-2</v>
      </c>
      <c r="AA181" s="124">
        <f t="shared" si="4"/>
        <v>1.0591950188220661E-2</v>
      </c>
      <c r="AB181" s="124">
        <f t="shared" si="4"/>
        <v>126.44139937508338</v>
      </c>
      <c r="AC181" s="124">
        <f t="shared" si="4"/>
        <v>10.368838158505641</v>
      </c>
      <c r="AD181" s="124">
        <f t="shared" si="4"/>
        <v>242.51396059166115</v>
      </c>
      <c r="AE181" s="124">
        <f t="shared" si="4"/>
        <v>60.668452653135944</v>
      </c>
      <c r="AF181" s="124">
        <f t="shared" si="4"/>
        <v>242.51396059166115</v>
      </c>
      <c r="AG181" s="124">
        <f t="shared" si="4"/>
        <v>159.33893479533143</v>
      </c>
      <c r="AH181" s="124">
        <f t="shared" si="4"/>
        <v>1.0591950188220661E-2</v>
      </c>
      <c r="AI181" s="124">
        <f t="shared" si="4"/>
        <v>126.44139937508338</v>
      </c>
      <c r="AJ181" s="124">
        <f t="shared" si="4"/>
        <v>126.44139937508338</v>
      </c>
      <c r="AK181" s="124">
        <f t="shared" si="4"/>
        <v>126.44139937508338</v>
      </c>
      <c r="AL181" s="124">
        <f t="shared" si="4"/>
        <v>10.368838158505641</v>
      </c>
      <c r="AM181" s="124">
        <f t="shared" si="4"/>
        <v>167.59165427347767</v>
      </c>
      <c r="AN181" s="124">
        <f t="shared" si="4"/>
        <v>94.337189425356598</v>
      </c>
      <c r="AO181" s="124">
        <f t="shared" si="4"/>
        <v>159.64799092512175</v>
      </c>
      <c r="AP181" s="124">
        <f t="shared" si="4"/>
        <v>126.44139937508338</v>
      </c>
      <c r="AQ181" s="124">
        <f t="shared" si="4"/>
        <v>72.518315408410189</v>
      </c>
      <c r="AR181" s="124">
        <f t="shared" si="4"/>
        <v>126.44139937508338</v>
      </c>
      <c r="AS181" s="124">
        <f t="shared" si="4"/>
        <v>126.44139937508338</v>
      </c>
      <c r="AT181" s="124">
        <f t="shared" si="4"/>
        <v>147.15789179171821</v>
      </c>
      <c r="AU181" s="124">
        <f t="shared" si="4"/>
        <v>159.64799092512175</v>
      </c>
      <c r="AV181" s="124">
        <f t="shared" si="4"/>
        <v>126.44139937508338</v>
      </c>
      <c r="AW181" s="124">
        <f t="shared" si="4"/>
        <v>72.518315408410189</v>
      </c>
      <c r="AX181" s="124">
        <f t="shared" si="4"/>
        <v>82.876561616727585</v>
      </c>
      <c r="AY181" s="124">
        <f t="shared" si="4"/>
        <v>124.0035832318253</v>
      </c>
    </row>
    <row r="182" spans="1:51">
      <c r="A182" s="125"/>
      <c r="B182" s="136" t="s">
        <v>299</v>
      </c>
      <c r="C182" s="125" t="s">
        <v>293</v>
      </c>
      <c r="D182" s="125">
        <v>202.16016571549341</v>
      </c>
      <c r="E182" s="125">
        <v>151.65774094042808</v>
      </c>
      <c r="F182" s="125">
        <v>126.44139937508338</v>
      </c>
      <c r="G182" s="125">
        <v>10.368838158505648</v>
      </c>
      <c r="H182" s="125">
        <v>191.76242847698055</v>
      </c>
      <c r="I182" s="125">
        <v>156.55893350363942</v>
      </c>
      <c r="J182" s="125">
        <v>126.44139937508338</v>
      </c>
      <c r="K182" s="125">
        <v>10.368838158505641</v>
      </c>
      <c r="L182" s="125">
        <v>191.71855923876365</v>
      </c>
      <c r="M182" s="125">
        <v>142</v>
      </c>
      <c r="N182" s="125">
        <v>135.09657133143628</v>
      </c>
      <c r="O182" s="125">
        <v>10.368838158505641</v>
      </c>
      <c r="P182" s="125">
        <v>167.66552152707231</v>
      </c>
      <c r="Q182" s="125">
        <v>54.786224670169744</v>
      </c>
      <c r="R182" s="125">
        <v>160.24240012887876</v>
      </c>
      <c r="S182" s="125">
        <v>59.191335269497635</v>
      </c>
      <c r="T182" s="125">
        <v>188.18701114744451</v>
      </c>
      <c r="U182" s="125">
        <v>42.608135886292679</v>
      </c>
      <c r="V182" s="125">
        <v>176.2427795996154</v>
      </c>
      <c r="W182" s="125">
        <v>165.76877476855063</v>
      </c>
      <c r="X182" s="125">
        <v>1.0591950188220661E-2</v>
      </c>
      <c r="Y182" s="125">
        <v>126.44139937508338</v>
      </c>
      <c r="Z182" s="125">
        <v>1.0591950188220661E-2</v>
      </c>
      <c r="AA182" s="125">
        <v>1.0591950188220661E-2</v>
      </c>
      <c r="AB182" s="125">
        <v>126.44139937508338</v>
      </c>
      <c r="AC182" s="125">
        <v>10.368838158505641</v>
      </c>
      <c r="AD182" s="125">
        <v>157.75328631189487</v>
      </c>
      <c r="AE182" s="125">
        <v>60.668452653135944</v>
      </c>
      <c r="AF182" s="125">
        <v>187.07780442270297</v>
      </c>
      <c r="AG182" s="125">
        <v>159.33893479533143</v>
      </c>
      <c r="AH182" s="125">
        <v>1.0591950188220661E-2</v>
      </c>
      <c r="AI182" s="125">
        <v>126.44139937508338</v>
      </c>
      <c r="AJ182" s="125">
        <v>126.44139937508338</v>
      </c>
      <c r="AK182" s="125">
        <v>126.44139937508338</v>
      </c>
      <c r="AL182" s="125">
        <v>10.368838158505641</v>
      </c>
      <c r="AM182" s="125">
        <v>165.73401363955207</v>
      </c>
      <c r="AN182" s="125">
        <v>94.337189425356598</v>
      </c>
      <c r="AO182" s="125">
        <v>159.64799092512175</v>
      </c>
      <c r="AP182" s="125">
        <v>126.44139937508338</v>
      </c>
      <c r="AQ182" s="125">
        <v>72.518315408410189</v>
      </c>
      <c r="AR182" s="125">
        <v>126.44139937508338</v>
      </c>
      <c r="AS182" s="125">
        <v>126.44139937508338</v>
      </c>
      <c r="AT182" s="125">
        <v>147.15789179171821</v>
      </c>
      <c r="AU182" s="125">
        <v>159.64799092512175</v>
      </c>
      <c r="AV182" s="125">
        <v>126.44139937508338</v>
      </c>
      <c r="AW182" s="125">
        <v>72.518315408410189</v>
      </c>
      <c r="AX182" s="125">
        <v>82.876561616727585</v>
      </c>
      <c r="AY182" s="125">
        <v>124.0035832318253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86.499040578040351</v>
      </c>
      <c r="AY185" s="124">
        <v>96.499040578040351</v>
      </c>
    </row>
    <row r="186" spans="1:51">
      <c r="A186" s="109"/>
      <c r="B186" s="120">
        <v>2</v>
      </c>
      <c r="C186" s="106">
        <v>47</v>
      </c>
      <c r="D186" s="106">
        <v>54</v>
      </c>
      <c r="E186" s="106">
        <v>58</v>
      </c>
      <c r="F186" s="106">
        <v>46</v>
      </c>
      <c r="G186" s="106">
        <v>24</v>
      </c>
      <c r="H186" s="106">
        <v>2</v>
      </c>
      <c r="I186" s="106">
        <v>28</v>
      </c>
      <c r="J186" s="106">
        <v>72</v>
      </c>
      <c r="K186" s="106">
        <v>98</v>
      </c>
      <c r="L186" s="106">
        <v>64</v>
      </c>
      <c r="M186" s="106">
        <v>54</v>
      </c>
      <c r="N186" s="106">
        <v>69</v>
      </c>
      <c r="O186" s="106">
        <v>90</v>
      </c>
      <c r="P186" s="106">
        <v>98</v>
      </c>
      <c r="Q186" s="106">
        <v>75</v>
      </c>
      <c r="R186" s="106">
        <v>24</v>
      </c>
      <c r="S186" s="106">
        <v>18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68.593113105847593</v>
      </c>
      <c r="AN186" s="106">
        <v>80.593113105847593</v>
      </c>
      <c r="AO186" s="106">
        <v>84.593113105847593</v>
      </c>
      <c r="AP186" s="106">
        <v>83.593113105847593</v>
      </c>
      <c r="AQ186" s="106">
        <v>62.593113105847593</v>
      </c>
      <c r="AR186" s="106">
        <v>74.593113105847593</v>
      </c>
      <c r="AS186" s="106">
        <v>63.593113105847593</v>
      </c>
      <c r="AT186" s="106">
        <v>72.593113105847593</v>
      </c>
      <c r="AU186" s="106">
        <v>92.593113105847593</v>
      </c>
      <c r="AV186" s="106">
        <v>132.59311310584758</v>
      </c>
      <c r="AW186" s="106">
        <v>133.59311310584758</v>
      </c>
      <c r="AX186" s="106">
        <v>79.094072527807228</v>
      </c>
      <c r="AY186" s="106">
        <v>65.500959421959649</v>
      </c>
    </row>
    <row r="187" spans="1:51">
      <c r="A187" s="109"/>
      <c r="B187" s="127">
        <v>3</v>
      </c>
      <c r="C187" s="106">
        <v>135</v>
      </c>
      <c r="D187" s="106">
        <v>143</v>
      </c>
      <c r="E187" s="106">
        <v>136</v>
      </c>
      <c r="F187" s="106">
        <v>132</v>
      </c>
      <c r="G187" s="106">
        <v>144</v>
      </c>
      <c r="H187" s="106">
        <v>166</v>
      </c>
      <c r="I187" s="106">
        <v>188</v>
      </c>
      <c r="J187" s="106">
        <v>162</v>
      </c>
      <c r="K187" s="106">
        <v>118</v>
      </c>
      <c r="L187" s="106">
        <v>92</v>
      </c>
      <c r="M187" s="106">
        <v>126</v>
      </c>
      <c r="N187" s="106">
        <v>136</v>
      </c>
      <c r="O187" s="106">
        <v>121</v>
      </c>
      <c r="P187" s="106">
        <v>100</v>
      </c>
      <c r="Q187" s="106">
        <v>92</v>
      </c>
      <c r="R187" s="106">
        <v>115</v>
      </c>
      <c r="S187" s="106">
        <v>166</v>
      </c>
      <c r="T187" s="106">
        <v>163</v>
      </c>
      <c r="U187" s="106">
        <v>137</v>
      </c>
      <c r="V187" s="106">
        <v>157</v>
      </c>
      <c r="W187" s="106">
        <v>169</v>
      </c>
      <c r="X187" s="106">
        <v>169</v>
      </c>
      <c r="Y187" s="106">
        <v>128</v>
      </c>
      <c r="Z187" s="106">
        <v>124</v>
      </c>
      <c r="AA187" s="106">
        <v>90</v>
      </c>
      <c r="AB187" s="106">
        <v>78</v>
      </c>
      <c r="AC187" s="106">
        <v>115</v>
      </c>
      <c r="AD187" s="106">
        <v>105</v>
      </c>
      <c r="AE187" s="106">
        <v>127</v>
      </c>
      <c r="AF187" s="106">
        <v>85</v>
      </c>
      <c r="AG187" s="106">
        <v>81</v>
      </c>
      <c r="AH187" s="106">
        <v>74</v>
      </c>
      <c r="AI187" s="106">
        <v>42</v>
      </c>
      <c r="AJ187" s="106">
        <v>54</v>
      </c>
      <c r="AK187" s="106">
        <v>95</v>
      </c>
      <c r="AL187" s="106">
        <v>127</v>
      </c>
      <c r="AM187" s="106">
        <v>77.406886894152407</v>
      </c>
      <c r="AN187" s="106">
        <v>121.40688689415241</v>
      </c>
      <c r="AO187" s="106">
        <v>109.40688689415241</v>
      </c>
      <c r="AP187" s="106">
        <v>105.40688689415241</v>
      </c>
      <c r="AQ187" s="106">
        <v>106.40688689415241</v>
      </c>
      <c r="AR187" s="106">
        <v>127.40688689415241</v>
      </c>
      <c r="AS187" s="106">
        <v>115.40688689415241</v>
      </c>
      <c r="AT187" s="106">
        <v>126.40688689415241</v>
      </c>
      <c r="AU187" s="106">
        <v>117.40688689415241</v>
      </c>
      <c r="AV187" s="106">
        <v>97.406886894152407</v>
      </c>
      <c r="AW187" s="106">
        <v>57.406886894152422</v>
      </c>
      <c r="AX187" s="106">
        <v>18.406886894152422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9</v>
      </c>
      <c r="V188" s="106">
        <v>53</v>
      </c>
      <c r="W188" s="106">
        <v>33</v>
      </c>
      <c r="X188" s="106">
        <v>21</v>
      </c>
      <c r="Y188" s="106">
        <v>21</v>
      </c>
      <c r="Z188" s="106">
        <v>62</v>
      </c>
      <c r="AA188" s="106">
        <v>66</v>
      </c>
      <c r="AB188" s="106">
        <v>100</v>
      </c>
      <c r="AC188" s="106">
        <v>112</v>
      </c>
      <c r="AD188" s="106">
        <v>75</v>
      </c>
      <c r="AE188" s="106">
        <v>85</v>
      </c>
      <c r="AF188" s="106">
        <v>63</v>
      </c>
      <c r="AG188" s="106">
        <v>105</v>
      </c>
      <c r="AH188" s="106">
        <v>109</v>
      </c>
      <c r="AI188" s="106">
        <v>116</v>
      </c>
      <c r="AJ188" s="106">
        <v>148</v>
      </c>
      <c r="AK188" s="106">
        <v>136</v>
      </c>
      <c r="AL188" s="106">
        <v>95</v>
      </c>
      <c r="AM188" s="106">
        <v>63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12.486306451710334</v>
      </c>
      <c r="D189" s="124">
        <v>25.287240662018831</v>
      </c>
      <c r="E189" s="124">
        <v>91.088174872327329</v>
      </c>
      <c r="F189" s="124">
        <v>153.12381541842146</v>
      </c>
      <c r="G189" s="124">
        <v>12.545155826859389</v>
      </c>
      <c r="H189" s="124">
        <v>0</v>
      </c>
      <c r="I189" s="124">
        <v>0</v>
      </c>
      <c r="J189" s="124">
        <v>58.173709571594969</v>
      </c>
      <c r="K189" s="124">
        <v>12.545155826859386</v>
      </c>
      <c r="L189" s="124">
        <v>27.421340408437914</v>
      </c>
      <c r="M189" s="124">
        <v>108.29752499001646</v>
      </c>
      <c r="N189" s="124">
        <v>125.17370957159497</v>
      </c>
      <c r="O189" s="124">
        <v>12.545155826859386</v>
      </c>
      <c r="P189" s="124">
        <v>6.4213404084379135</v>
      </c>
      <c r="Q189" s="124">
        <v>12.545155826859389</v>
      </c>
      <c r="R189" s="124">
        <v>60.421340408437914</v>
      </c>
      <c r="S189" s="124">
        <v>12.545155826859386</v>
      </c>
      <c r="T189" s="124">
        <v>95.421340408437914</v>
      </c>
      <c r="U189" s="124">
        <v>12.545155826859386</v>
      </c>
      <c r="V189" s="124">
        <v>26.421340408437914</v>
      </c>
      <c r="W189" s="124">
        <v>107.29752499001646</v>
      </c>
      <c r="X189" s="124">
        <v>0</v>
      </c>
      <c r="Y189" s="124">
        <v>153.12381541842146</v>
      </c>
      <c r="Z189" s="124">
        <v>0</v>
      </c>
      <c r="AA189" s="124">
        <v>0</v>
      </c>
      <c r="AB189" s="124">
        <v>148</v>
      </c>
      <c r="AC189" s="124">
        <v>12.545155826859389</v>
      </c>
      <c r="AD189" s="124">
        <v>63.421340408437914</v>
      </c>
      <c r="AE189" s="124">
        <v>12.545155826859386</v>
      </c>
      <c r="AF189" s="124">
        <v>49.421340408437914</v>
      </c>
      <c r="AG189" s="124">
        <v>71.297524990016456</v>
      </c>
      <c r="AH189" s="124">
        <v>0</v>
      </c>
      <c r="AI189" s="124">
        <v>153.12381541842146</v>
      </c>
      <c r="AJ189" s="124">
        <v>153.12381541842149</v>
      </c>
      <c r="AK189" s="124">
        <v>153.12381541842146</v>
      </c>
      <c r="AL189" s="124">
        <v>12.545155826859389</v>
      </c>
      <c r="AM189" s="124">
        <v>17.421340408437914</v>
      </c>
      <c r="AN189" s="124">
        <v>112.90640244173449</v>
      </c>
      <c r="AO189" s="124">
        <v>153.12381541842149</v>
      </c>
      <c r="AP189" s="124">
        <v>153.12381541842149</v>
      </c>
      <c r="AQ189" s="124">
        <v>87.816090788015714</v>
      </c>
      <c r="AR189" s="124">
        <v>153.12381541842149</v>
      </c>
      <c r="AS189" s="124">
        <v>87.816090788015714</v>
      </c>
      <c r="AT189" s="124">
        <v>112.90640244173449</v>
      </c>
      <c r="AU189" s="124">
        <v>153.12381541842149</v>
      </c>
      <c r="AV189" s="124">
        <v>153.12381541842149</v>
      </c>
      <c r="AW189" s="124">
        <v>87.816090788015714</v>
      </c>
      <c r="AX189" s="124">
        <v>100.36124661487516</v>
      </c>
      <c r="AY189" s="124">
        <v>62.72577913429695</v>
      </c>
    </row>
    <row r="190" spans="1:51">
      <c r="A190" s="109"/>
      <c r="B190" s="119">
        <v>2</v>
      </c>
      <c r="C190" s="106">
        <v>0</v>
      </c>
      <c r="D190" s="106">
        <v>140.71275933798117</v>
      </c>
      <c r="E190" s="106">
        <v>127.91182512767267</v>
      </c>
      <c r="F190" s="106">
        <v>62.035640546094157</v>
      </c>
      <c r="G190" s="106">
        <v>0</v>
      </c>
      <c r="H190" s="106">
        <v>136</v>
      </c>
      <c r="I190" s="106">
        <v>151.42134040843791</v>
      </c>
      <c r="J190" s="106">
        <v>153.12381541842149</v>
      </c>
      <c r="K190" s="106">
        <v>94.950105846826489</v>
      </c>
      <c r="L190" s="106">
        <v>140.57865959156209</v>
      </c>
      <c r="M190" s="106">
        <v>125.70247500998354</v>
      </c>
      <c r="N190" s="106">
        <v>44.826290428405031</v>
      </c>
      <c r="O190" s="106">
        <v>27.950105846826489</v>
      </c>
      <c r="P190" s="106">
        <v>140.57865959156209</v>
      </c>
      <c r="Q190" s="106">
        <v>146.70247500998354</v>
      </c>
      <c r="R190" s="106">
        <v>140.57865959156209</v>
      </c>
      <c r="S190" s="106">
        <v>92.702475009983544</v>
      </c>
      <c r="T190" s="106">
        <v>140.57865959156209</v>
      </c>
      <c r="U190" s="106">
        <v>57.702475009983544</v>
      </c>
      <c r="V190" s="106">
        <v>140.57865959156209</v>
      </c>
      <c r="W190" s="106">
        <v>126.70247500998354</v>
      </c>
      <c r="X190" s="106">
        <v>45.826290428405031</v>
      </c>
      <c r="Y190" s="106">
        <v>0</v>
      </c>
      <c r="Z190" s="106">
        <v>0</v>
      </c>
      <c r="AA190" s="106">
        <v>0</v>
      </c>
      <c r="AB190" s="106">
        <v>0</v>
      </c>
      <c r="AC190" s="106">
        <v>5.1238154184214579</v>
      </c>
      <c r="AD190" s="106">
        <v>140.57865959156209</v>
      </c>
      <c r="AE190" s="106">
        <v>89.702475009983544</v>
      </c>
      <c r="AF190" s="106">
        <v>140.57865959156209</v>
      </c>
      <c r="AG190" s="106">
        <v>103.70247500998354</v>
      </c>
      <c r="AH190" s="106">
        <v>81.826290428405031</v>
      </c>
      <c r="AI190" s="106">
        <v>0</v>
      </c>
      <c r="AJ190" s="106">
        <v>0</v>
      </c>
      <c r="AK190" s="106">
        <v>0</v>
      </c>
      <c r="AL190" s="106">
        <v>0</v>
      </c>
      <c r="AM190" s="106">
        <v>140.57865959156209</v>
      </c>
      <c r="AN190" s="106">
        <v>44.962016754166427</v>
      </c>
      <c r="AO190" s="106">
        <v>40.217412976687001</v>
      </c>
      <c r="AP190" s="106">
        <v>0</v>
      </c>
      <c r="AQ190" s="106">
        <v>0</v>
      </c>
      <c r="AR190" s="106">
        <v>0</v>
      </c>
      <c r="AS190" s="106">
        <v>0</v>
      </c>
      <c r="AT190" s="106">
        <v>65.307724630405772</v>
      </c>
      <c r="AU190" s="106">
        <v>40.217412976687001</v>
      </c>
      <c r="AV190" s="106">
        <v>0</v>
      </c>
      <c r="AW190" s="106">
        <v>0</v>
      </c>
      <c r="AX190" s="106">
        <v>0</v>
      </c>
      <c r="AY190" s="106">
        <v>22.137805719862072</v>
      </c>
    </row>
    <row r="191" spans="1:51">
      <c r="A191" s="109"/>
      <c r="B191" s="120">
        <v>3</v>
      </c>
      <c r="C191" s="106">
        <v>140.71275933798117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4.5786595915620865</v>
      </c>
      <c r="J191" s="106">
        <v>1.7024750099835444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65.307724630405772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65.307724630405772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87.432887981515094</v>
      </c>
      <c r="D197" s="106">
        <v>87.432887981515094</v>
      </c>
      <c r="E197" s="106">
        <v>161</v>
      </c>
      <c r="F197" s="106">
        <v>103.90311198080217</v>
      </c>
      <c r="G197" s="106">
        <v>86.62699837681977</v>
      </c>
      <c r="H197" s="106">
        <v>7.1038546770732731</v>
      </c>
      <c r="I197" s="106">
        <v>151</v>
      </c>
      <c r="J197" s="106">
        <v>107.2609963629443</v>
      </c>
      <c r="K197" s="106">
        <v>86.62699837681977</v>
      </c>
      <c r="L197" s="106">
        <v>7.1038546770732678</v>
      </c>
      <c r="M197" s="106">
        <v>132</v>
      </c>
      <c r="N197" s="106">
        <v>94.849857923433717</v>
      </c>
      <c r="O197" s="106">
        <v>92.556793291457751</v>
      </c>
      <c r="P197" s="106">
        <v>7.1038546770732678</v>
      </c>
      <c r="Q197" s="106">
        <v>165.78968337139068</v>
      </c>
      <c r="R197" s="106">
        <v>37.53490722999797</v>
      </c>
      <c r="S197" s="106">
        <v>122.54993963014738</v>
      </c>
      <c r="T197" s="106">
        <v>40.552918028863637</v>
      </c>
      <c r="U197" s="106">
        <v>129.88227000172526</v>
      </c>
      <c r="V197" s="106">
        <v>29.191506393502834</v>
      </c>
      <c r="W197" s="106">
        <v>117</v>
      </c>
      <c r="X197" s="106">
        <v>113.57080397539826</v>
      </c>
      <c r="Y197" s="106">
        <v>7.2567122500793819E-3</v>
      </c>
      <c r="Z197" s="106">
        <v>86.62699837681977</v>
      </c>
      <c r="AA197" s="106">
        <v>7.2567122500793819E-3</v>
      </c>
      <c r="AB197" s="106">
        <v>7.2567122500793819E-3</v>
      </c>
      <c r="AC197" s="106">
        <v>86.62699837681977</v>
      </c>
      <c r="AD197" s="106">
        <v>7.1038546770732678</v>
      </c>
      <c r="AE197" s="106">
        <v>134.94241258772306</v>
      </c>
      <c r="AF197" s="106">
        <v>41.564914462209217</v>
      </c>
      <c r="AG197" s="106">
        <v>154</v>
      </c>
      <c r="AH197" s="106">
        <v>109.1656191255299</v>
      </c>
      <c r="AI197" s="106">
        <v>7.2567122500793819E-3</v>
      </c>
      <c r="AJ197" s="106">
        <v>86.62699837681977</v>
      </c>
      <c r="AK197" s="106">
        <v>86.62699837681977</v>
      </c>
      <c r="AL197" s="106">
        <v>86.62699837681977</v>
      </c>
      <c r="AM197" s="106">
        <v>7.1038546770732678</v>
      </c>
      <c r="AN197" s="106">
        <v>114.81968749531262</v>
      </c>
      <c r="AO197" s="106">
        <v>64.631897429272783</v>
      </c>
      <c r="AP197" s="106">
        <v>109.37735835798077</v>
      </c>
      <c r="AQ197" s="106">
        <v>86.62699837681977</v>
      </c>
      <c r="AR197" s="106">
        <v>49.683442466012416</v>
      </c>
      <c r="AS197" s="106">
        <v>86.62699837681977</v>
      </c>
      <c r="AT197" s="106">
        <v>86.62699837681977</v>
      </c>
      <c r="AU197" s="106">
        <v>100.82019430646614</v>
      </c>
      <c r="AV197" s="106">
        <v>109.37735835798077</v>
      </c>
      <c r="AW197" s="106">
        <v>86.62699837681977</v>
      </c>
      <c r="AX197" s="106">
        <v>49.683442466012416</v>
      </c>
      <c r="AY197" s="106">
        <v>56.780040430835591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6.6153719985676105</v>
      </c>
      <c r="G198" s="106">
        <v>0</v>
      </c>
      <c r="H198" s="106">
        <v>0</v>
      </c>
      <c r="I198" s="106">
        <v>0</v>
      </c>
      <c r="J198" s="106">
        <v>15.150142076566283</v>
      </c>
      <c r="K198" s="106">
        <v>0</v>
      </c>
      <c r="L198" s="106">
        <v>0</v>
      </c>
      <c r="M198" s="106">
        <v>0</v>
      </c>
      <c r="N198" s="106">
        <v>34.150142076566283</v>
      </c>
      <c r="O198" s="106">
        <v>12.428974310376006</v>
      </c>
      <c r="P198" s="106">
        <v>0</v>
      </c>
      <c r="Q198" s="106">
        <v>0</v>
      </c>
      <c r="R198" s="106">
        <v>0.36045870517560274</v>
      </c>
      <c r="S198" s="106">
        <v>0</v>
      </c>
      <c r="T198" s="106">
        <v>43.600202446418905</v>
      </c>
      <c r="U198" s="106">
        <v>0</v>
      </c>
      <c r="V198" s="106">
        <v>36.267872074841023</v>
      </c>
      <c r="W198" s="106">
        <v>3.5527136788005009E-15</v>
      </c>
      <c r="X198" s="106">
        <v>49.150142076566283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31.207729488843228</v>
      </c>
      <c r="AG198" s="106">
        <v>0</v>
      </c>
      <c r="AH198" s="106">
        <v>12.150142076566283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10.398802537449257</v>
      </c>
      <c r="D209" s="124">
        <v>85.035735875078643</v>
      </c>
      <c r="E209" s="124">
        <v>126.44139937508334</v>
      </c>
      <c r="F209" s="124">
        <v>126.44139937508336</v>
      </c>
      <c r="G209" s="124">
        <v>10.368838158505639</v>
      </c>
      <c r="H209" s="124">
        <v>75.689867260402806</v>
      </c>
      <c r="I209" s="124">
        <v>126.44139937508338</v>
      </c>
      <c r="J209" s="124">
        <v>126.44139937508338</v>
      </c>
      <c r="K209" s="124">
        <v>10.368838158505641</v>
      </c>
      <c r="L209" s="124">
        <v>75.645998022185907</v>
      </c>
      <c r="M209" s="124">
        <v>111.8564325040925</v>
      </c>
      <c r="N209" s="124">
        <v>126.44139937508338</v>
      </c>
      <c r="O209" s="124">
        <v>10.368838158505641</v>
      </c>
      <c r="P209" s="124">
        <v>51.592960310494576</v>
      </c>
      <c r="Q209" s="124">
        <v>10.368838158505639</v>
      </c>
      <c r="R209" s="124">
        <v>44.169838912301017</v>
      </c>
      <c r="S209" s="124">
        <v>10.368838158505641</v>
      </c>
      <c r="T209" s="124">
        <v>72.114449930866769</v>
      </c>
      <c r="U209" s="124">
        <v>10.368838158505639</v>
      </c>
      <c r="V209" s="124">
        <v>60.170218383037664</v>
      </c>
      <c r="W209" s="124">
        <v>126.44139937508338</v>
      </c>
      <c r="X209" s="124">
        <v>1.0591950188220661E-2</v>
      </c>
      <c r="Y209" s="124">
        <v>126.44139937508338</v>
      </c>
      <c r="Z209" s="124">
        <v>1.0591950188220661E-2</v>
      </c>
      <c r="AA209" s="124">
        <v>1.0591950188220661E-2</v>
      </c>
      <c r="AB209" s="124">
        <v>126.44139937508338</v>
      </c>
      <c r="AC209" s="124">
        <v>10.368838158505641</v>
      </c>
      <c r="AD209" s="124">
        <v>41.680725095317129</v>
      </c>
      <c r="AE209" s="124">
        <v>10.368838158505641</v>
      </c>
      <c r="AF209" s="124">
        <v>71.005243206125229</v>
      </c>
      <c r="AG209" s="124">
        <v>126.44139937508338</v>
      </c>
      <c r="AH209" s="124">
        <v>1.0591950188220661E-2</v>
      </c>
      <c r="AI209" s="124">
        <v>126.44139937508338</v>
      </c>
      <c r="AJ209" s="124">
        <v>126.44139937508338</v>
      </c>
      <c r="AK209" s="124">
        <v>126.44139937508338</v>
      </c>
      <c r="AL209" s="124">
        <v>10.368838158505641</v>
      </c>
      <c r="AM209" s="124">
        <v>49.661452422974335</v>
      </c>
      <c r="AN209" s="124">
        <v>93.23480782504501</v>
      </c>
      <c r="AO209" s="124">
        <v>126.44139937508336</v>
      </c>
      <c r="AP209" s="124">
        <v>126.44139937508336</v>
      </c>
      <c r="AQ209" s="124">
        <v>72.518315408410174</v>
      </c>
      <c r="AR209" s="124">
        <v>126.44139937508338</v>
      </c>
      <c r="AS209" s="124">
        <v>72.518315408410174</v>
      </c>
      <c r="AT209" s="124">
        <v>93.23480782504501</v>
      </c>
      <c r="AU209" s="124">
        <v>126.44139937508336</v>
      </c>
      <c r="AV209" s="124">
        <v>126.44139937508336</v>
      </c>
      <c r="AW209" s="124">
        <v>72.518315408410174</v>
      </c>
      <c r="AX209" s="124">
        <v>82.876561616727585</v>
      </c>
      <c r="AY209" s="124">
        <v>51.80182299177531</v>
      </c>
    </row>
    <row r="210" spans="1:51">
      <c r="A210" s="109"/>
      <c r="B210" s="119">
        <v>2</v>
      </c>
      <c r="C210" s="106">
        <v>0</v>
      </c>
      <c r="D210" s="110">
        <v>117.12442984041476</v>
      </c>
      <c r="E210" s="110">
        <v>25.216341565344749</v>
      </c>
      <c r="F210" s="110">
        <v>8.4331621932896134E-15</v>
      </c>
      <c r="G210" s="110">
        <v>8.4331621932896134E-15</v>
      </c>
      <c r="H210" s="110">
        <v>116.07256121657774</v>
      </c>
      <c r="I210" s="110">
        <v>30.117534128556038</v>
      </c>
      <c r="J210" s="110">
        <v>0</v>
      </c>
      <c r="K210" s="110">
        <v>0</v>
      </c>
      <c r="L210" s="110">
        <v>116.07256121657774</v>
      </c>
      <c r="M210" s="110">
        <v>30.143567495907504</v>
      </c>
      <c r="N210" s="110">
        <v>8.6551719563529037</v>
      </c>
      <c r="O210" s="110">
        <v>0</v>
      </c>
      <c r="P210" s="110">
        <v>116.07256121657774</v>
      </c>
      <c r="Q210" s="110">
        <v>44.417386511664105</v>
      </c>
      <c r="R210" s="110">
        <v>116.07256121657774</v>
      </c>
      <c r="S210" s="110">
        <v>48.822497110991989</v>
      </c>
      <c r="T210" s="110">
        <v>116.07256121657774</v>
      </c>
      <c r="U210" s="110">
        <v>32.23929772778704</v>
      </c>
      <c r="V210" s="110">
        <v>116.07256121657774</v>
      </c>
      <c r="W210" s="110">
        <v>39.327375393467243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116.07256121657774</v>
      </c>
      <c r="AE210" s="110">
        <v>50.299614494630298</v>
      </c>
      <c r="AF210" s="110">
        <v>116.07256121657774</v>
      </c>
      <c r="AG210" s="110">
        <v>32.897535420248026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116.07256121657774</v>
      </c>
      <c r="AN210" s="110">
        <v>1.1023816003115869</v>
      </c>
      <c r="AO210" s="110">
        <v>33.206591550038375</v>
      </c>
      <c r="AP210" s="110">
        <v>8.4331621932896134E-15</v>
      </c>
      <c r="AQ210" s="110">
        <v>8.4331621932896134E-15</v>
      </c>
      <c r="AR210" s="110">
        <v>0</v>
      </c>
      <c r="AS210" s="110">
        <v>0</v>
      </c>
      <c r="AT210" s="110">
        <v>53.923083966673197</v>
      </c>
      <c r="AU210" s="110">
        <v>33.206591550038375</v>
      </c>
      <c r="AV210" s="110">
        <v>8.4331621932896134E-15</v>
      </c>
      <c r="AW210" s="110">
        <v>8.4331621932896134E-15</v>
      </c>
      <c r="AX210" s="110">
        <v>0</v>
      </c>
      <c r="AY210" s="110">
        <v>18.278676273376789</v>
      </c>
    </row>
    <row r="211" spans="1:51">
      <c r="A211" s="109"/>
      <c r="B211" s="119">
        <v>3</v>
      </c>
      <c r="C211" s="106">
        <v>117.0681458877816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53.923083966673204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53.923083966673204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108949.99179906894</v>
      </c>
      <c r="E259" s="124">
        <f t="shared" ref="E259:AX259" si="5">F$14*$B$259</f>
        <v>67537.022787521404</v>
      </c>
      <c r="F259" s="124">
        <f t="shared" si="5"/>
        <v>56307.548944932852</v>
      </c>
      <c r="G259" s="124">
        <f t="shared" si="5"/>
        <v>4617.5055400976271</v>
      </c>
      <c r="H259" s="124">
        <f t="shared" si="5"/>
        <v>107997.59234976808</v>
      </c>
      <c r="I259" s="124">
        <f t="shared" si="5"/>
        <v>69719.647635913789</v>
      </c>
      <c r="J259" s="124">
        <f t="shared" si="5"/>
        <v>56307.548944932852</v>
      </c>
      <c r="K259" s="124">
        <f t="shared" si="5"/>
        <v>4617.5055400976244</v>
      </c>
      <c r="L259" s="124">
        <f t="shared" si="5"/>
        <v>107997.59234976808</v>
      </c>
      <c r="M259" s="124">
        <f t="shared" si="5"/>
        <v>69731.240951976317</v>
      </c>
      <c r="N259" s="124">
        <f t="shared" si="5"/>
        <v>60161.915639447536</v>
      </c>
      <c r="O259" s="124">
        <f t="shared" si="5"/>
        <v>4617.5055400976244</v>
      </c>
      <c r="P259" s="124">
        <f t="shared" si="5"/>
        <v>107997.59234976808</v>
      </c>
      <c r="Q259" s="124">
        <f t="shared" si="5"/>
        <v>24397.689699498682</v>
      </c>
      <c r="R259" s="124">
        <f t="shared" si="5"/>
        <v>107997.59234976808</v>
      </c>
      <c r="S259" s="124">
        <f t="shared" si="5"/>
        <v>26359.396718761363</v>
      </c>
      <c r="T259" s="124">
        <f t="shared" si="5"/>
        <v>107997.59234976808</v>
      </c>
      <c r="U259" s="124">
        <f t="shared" si="5"/>
        <v>18974.479155776844</v>
      </c>
      <c r="V259" s="124">
        <f t="shared" si="5"/>
        <v>107997.59234976808</v>
      </c>
      <c r="W259" s="124">
        <f t="shared" si="5"/>
        <v>73821.022584008868</v>
      </c>
      <c r="X259" s="124">
        <f t="shared" si="5"/>
        <v>4.7168629625515983</v>
      </c>
      <c r="Y259" s="124">
        <f t="shared" si="5"/>
        <v>56307.548944932852</v>
      </c>
      <c r="Z259" s="124">
        <f t="shared" si="5"/>
        <v>4.7168629625515983</v>
      </c>
      <c r="AA259" s="124">
        <f t="shared" si="5"/>
        <v>4.7168629625515983</v>
      </c>
      <c r="AB259" s="124">
        <f t="shared" si="5"/>
        <v>56307.548944932852</v>
      </c>
      <c r="AC259" s="124">
        <f t="shared" si="5"/>
        <v>4617.5055400976244</v>
      </c>
      <c r="AD259" s="124">
        <f t="shared" si="5"/>
        <v>107997.59234976808</v>
      </c>
      <c r="AE259" s="124">
        <f t="shared" si="5"/>
        <v>27017.19440043599</v>
      </c>
      <c r="AF259" s="124">
        <f t="shared" si="5"/>
        <v>107997.59234976808</v>
      </c>
      <c r="AG259" s="124">
        <f t="shared" si="5"/>
        <v>70957.652431594441</v>
      </c>
      <c r="AH259" s="124">
        <f t="shared" si="5"/>
        <v>4.7168629625515983</v>
      </c>
      <c r="AI259" s="124">
        <f t="shared" si="5"/>
        <v>56307.548944932852</v>
      </c>
      <c r="AJ259" s="124">
        <f t="shared" si="5"/>
        <v>56307.548944932852</v>
      </c>
      <c r="AK259" s="124">
        <f t="shared" si="5"/>
        <v>56307.548944932852</v>
      </c>
      <c r="AL259" s="124">
        <f t="shared" si="5"/>
        <v>4617.5055400976244</v>
      </c>
      <c r="AM259" s="124">
        <f t="shared" si="5"/>
        <v>74632.796871953207</v>
      </c>
      <c r="AN259" s="124">
        <f t="shared" si="5"/>
        <v>42010.733329027309</v>
      </c>
      <c r="AO259" s="124">
        <f t="shared" si="5"/>
        <v>71095.282932687493</v>
      </c>
      <c r="AP259" s="124">
        <f t="shared" si="5"/>
        <v>56307.548944932852</v>
      </c>
      <c r="AQ259" s="124">
        <f t="shared" si="5"/>
        <v>32294.23760290807</v>
      </c>
      <c r="AR259" s="124">
        <f t="shared" si="5"/>
        <v>56307.548944932852</v>
      </c>
      <c r="AS259" s="124">
        <f t="shared" si="5"/>
        <v>56307.548944932852</v>
      </c>
      <c r="AT259" s="124">
        <f t="shared" si="5"/>
        <v>65533.126299202988</v>
      </c>
      <c r="AU259" s="124">
        <f t="shared" si="5"/>
        <v>71095.282932687493</v>
      </c>
      <c r="AV259" s="124">
        <f t="shared" si="5"/>
        <v>56307.548944932852</v>
      </c>
      <c r="AW259" s="124">
        <f t="shared" si="5"/>
        <v>32294.23760290807</v>
      </c>
      <c r="AX259" s="124">
        <f t="shared" si="5"/>
        <v>36907.026280043137</v>
      </c>
      <c r="AY259" s="124">
        <f>AZ$14*$B$259</f>
        <v>55221.927839158365</v>
      </c>
      <c r="AZ259" s="139">
        <f>SUM($D259:$AY259)</f>
        <v>2605182.0778393256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29784.256817819998</v>
      </c>
      <c r="E260" s="125">
        <f t="shared" ref="E260:AY260" si="6">(E$175-E$176+E$177-E$178+E$179-E$180+E$181-E$182)*$B$260</f>
        <v>23439.060752679703</v>
      </c>
      <c r="F260" s="125">
        <f t="shared" si="6"/>
        <v>20040</v>
      </c>
      <c r="G260" s="125">
        <f t="shared" si="6"/>
        <v>21360</v>
      </c>
      <c r="H260" s="125">
        <f t="shared" si="6"/>
        <v>35187.240427479846</v>
      </c>
      <c r="I260" s="125">
        <f t="shared" si="6"/>
        <v>31318.585950298286</v>
      </c>
      <c r="J260" s="125">
        <f t="shared" si="6"/>
        <v>24177.006350809585</v>
      </c>
      <c r="K260" s="125">
        <f t="shared" si="6"/>
        <v>16920</v>
      </c>
      <c r="L260" s="125">
        <f t="shared" si="6"/>
        <v>29549.872581772863</v>
      </c>
      <c r="M260" s="125">
        <f t="shared" si="6"/>
        <v>25173.683962557738</v>
      </c>
      <c r="N260" s="125">
        <f t="shared" si="6"/>
        <v>21082.744809432152</v>
      </c>
      <c r="O260" s="125">
        <f t="shared" si="6"/>
        <v>17400</v>
      </c>
      <c r="P260" s="125">
        <f t="shared" si="6"/>
        <v>30213.05484447434</v>
      </c>
      <c r="Q260" s="125">
        <f t="shared" si="6"/>
        <v>18321.627522310533</v>
      </c>
      <c r="R260" s="125">
        <f t="shared" si="6"/>
        <v>31858.442128365954</v>
      </c>
      <c r="S260" s="125">
        <f t="shared" si="6"/>
        <v>24336.012146785131</v>
      </c>
      <c r="T260" s="125">
        <f t="shared" si="6"/>
        <v>30061.765467252008</v>
      </c>
      <c r="U260" s="125">
        <f t="shared" si="6"/>
        <v>28156.072324490458</v>
      </c>
      <c r="V260" s="125">
        <f t="shared" si="6"/>
        <v>36358.419360121756</v>
      </c>
      <c r="W260" s="125">
        <f t="shared" si="6"/>
        <v>29758.585950298286</v>
      </c>
      <c r="X260" s="125">
        <f t="shared" si="6"/>
        <v>24060</v>
      </c>
      <c r="Y260" s="125">
        <f t="shared" si="6"/>
        <v>26520</v>
      </c>
      <c r="Z260" s="125">
        <f t="shared" si="6"/>
        <v>26760</v>
      </c>
      <c r="AA260" s="125">
        <f t="shared" si="6"/>
        <v>28800</v>
      </c>
      <c r="AB260" s="125">
        <f t="shared" si="6"/>
        <v>29827.428925105291</v>
      </c>
      <c r="AC260" s="125">
        <f t="shared" si="6"/>
        <v>27300</v>
      </c>
      <c r="AD260" s="125">
        <f t="shared" si="6"/>
        <v>38367.78895738499</v>
      </c>
      <c r="AE260" s="125">
        <f t="shared" si="6"/>
        <v>28452.463769330592</v>
      </c>
      <c r="AF260" s="125">
        <f t="shared" si="6"/>
        <v>38648.317870736508</v>
      </c>
      <c r="AG260" s="125">
        <f t="shared" si="6"/>
        <v>34978.585950298286</v>
      </c>
      <c r="AH260" s="125">
        <f t="shared" si="6"/>
        <v>29760</v>
      </c>
      <c r="AI260" s="125">
        <f t="shared" si="6"/>
        <v>31680</v>
      </c>
      <c r="AJ260" s="125">
        <f t="shared" si="6"/>
        <v>30960</v>
      </c>
      <c r="AK260" s="125">
        <f t="shared" si="6"/>
        <v>21744.413213649146</v>
      </c>
      <c r="AL260" s="125">
        <f t="shared" si="6"/>
        <v>19824.413213649146</v>
      </c>
      <c r="AM260" s="125">
        <f t="shared" si="6"/>
        <v>21493.592656934659</v>
      </c>
      <c r="AN260" s="125">
        <f t="shared" si="6"/>
        <v>17964.413213649146</v>
      </c>
      <c r="AO260" s="125">
        <f t="shared" si="6"/>
        <v>17724.413213649146</v>
      </c>
      <c r="AP260" s="125">
        <f t="shared" si="6"/>
        <v>17784.413213649146</v>
      </c>
      <c r="AQ260" s="125">
        <f t="shared" si="6"/>
        <v>19044.413213649146</v>
      </c>
      <c r="AR260" s="125">
        <f t="shared" si="6"/>
        <v>18324.413213649146</v>
      </c>
      <c r="AS260" s="125">
        <f t="shared" si="6"/>
        <v>18984.413213649146</v>
      </c>
      <c r="AT260" s="125">
        <f t="shared" si="6"/>
        <v>18444.413213649146</v>
      </c>
      <c r="AU260" s="125">
        <f t="shared" si="6"/>
        <v>17244.413213649146</v>
      </c>
      <c r="AV260" s="125">
        <f t="shared" si="6"/>
        <v>12564.413213649146</v>
      </c>
      <c r="AW260" s="125">
        <f t="shared" si="6"/>
        <v>5850.0575653175765</v>
      </c>
      <c r="AX260" s="125">
        <f t="shared" si="6"/>
        <v>3930.0575653175756</v>
      </c>
      <c r="AY260" s="125">
        <f t="shared" si="6"/>
        <v>3330.0575653175783</v>
      </c>
      <c r="AZ260" s="141">
        <f>SUM($D260:$AY260)</f>
        <v>1154863.3275728317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1053.1213038796031</v>
      </c>
      <c r="E9" s="117">
        <v>1053.1213038796031</v>
      </c>
      <c r="F9" s="117">
        <v>1053.1213038796031</v>
      </c>
      <c r="G9" s="117">
        <v>1053.1213038796031</v>
      </c>
      <c r="H9" s="117">
        <v>1053.1213038796031</v>
      </c>
      <c r="I9" s="117">
        <v>1053.1213038796031</v>
      </c>
      <c r="J9" s="117">
        <v>1053.1213038796031</v>
      </c>
      <c r="K9" s="117">
        <v>1053.1213038796031</v>
      </c>
      <c r="L9" s="117">
        <v>1053.1213038796031</v>
      </c>
      <c r="M9" s="117">
        <v>1053.1213038796031</v>
      </c>
      <c r="N9" s="117">
        <v>1053.1213038796031</v>
      </c>
      <c r="O9" s="117">
        <v>1053.1213038796031</v>
      </c>
      <c r="P9" s="117">
        <v>1053.1213038796031</v>
      </c>
      <c r="Q9" s="117">
        <v>1053.1213038796031</v>
      </c>
      <c r="R9" s="117">
        <v>1053.1213038796031</v>
      </c>
      <c r="S9" s="117">
        <v>1053.1213038796031</v>
      </c>
      <c r="T9" s="117">
        <v>1053.1213038796031</v>
      </c>
      <c r="U9" s="117">
        <v>1053.1213038796031</v>
      </c>
      <c r="V9" s="117">
        <v>1053.1213038796031</v>
      </c>
      <c r="W9" s="117">
        <v>1053.1213038796031</v>
      </c>
      <c r="X9" s="117">
        <v>842.50365514783141</v>
      </c>
      <c r="Y9" s="117">
        <v>842.50365514783141</v>
      </c>
      <c r="Z9" s="117">
        <v>842.50365514783141</v>
      </c>
      <c r="AA9" s="117">
        <v>842.50365514783141</v>
      </c>
      <c r="AB9" s="117">
        <v>1263.738952611375</v>
      </c>
      <c r="AC9" s="117">
        <v>1263.738952611375</v>
      </c>
      <c r="AD9" s="117">
        <v>1263.738952611375</v>
      </c>
      <c r="AE9" s="117">
        <v>1263.738952611375</v>
      </c>
      <c r="AF9" s="117">
        <v>1053.1213038796031</v>
      </c>
      <c r="AG9" s="117">
        <v>1053.1213038796031</v>
      </c>
      <c r="AH9" s="117">
        <v>1053.1213038796031</v>
      </c>
      <c r="AI9" s="117">
        <v>1053.1213038796031</v>
      </c>
      <c r="AJ9" s="117">
        <v>1053.1213038796031</v>
      </c>
      <c r="AK9" s="117">
        <v>1053.1213038796031</v>
      </c>
      <c r="AL9" s="117">
        <v>1053.1213038796031</v>
      </c>
      <c r="AM9" s="117">
        <v>1053.1213038796031</v>
      </c>
      <c r="AN9" s="117">
        <v>1053.1213038796031</v>
      </c>
      <c r="AO9" s="117">
        <v>1053.1213038796031</v>
      </c>
      <c r="AP9" s="117">
        <v>1053.1213038796031</v>
      </c>
      <c r="AQ9" s="117">
        <v>1053.1213038796031</v>
      </c>
      <c r="AR9" s="117">
        <v>1053.1213038796031</v>
      </c>
      <c r="AS9" s="117">
        <v>1053.1213038796031</v>
      </c>
      <c r="AT9" s="117">
        <v>1053.1213038796031</v>
      </c>
      <c r="AU9" s="117">
        <v>1053.1213038796031</v>
      </c>
      <c r="AV9" s="117">
        <v>1053.1213038796031</v>
      </c>
      <c r="AW9" s="117">
        <v>1053.1213038796031</v>
      </c>
      <c r="AX9" s="117">
        <v>1053.1213038796031</v>
      </c>
      <c r="AY9" s="117">
        <v>1053.1213038796031</v>
      </c>
    </row>
    <row r="10" spans="1:54">
      <c r="A10" s="118" t="s">
        <v>133</v>
      </c>
      <c r="B10" s="119">
        <v>1</v>
      </c>
      <c r="C10" s="106" t="s">
        <v>293</v>
      </c>
      <c r="D10" s="100">
        <v>607.911371034681</v>
      </c>
      <c r="E10" s="100">
        <v>610.28961581363296</v>
      </c>
      <c r="F10" s="100">
        <v>608.29951458537209</v>
      </c>
      <c r="G10" s="100">
        <v>0</v>
      </c>
      <c r="H10" s="100">
        <v>608.29951458537209</v>
      </c>
      <c r="I10" s="100">
        <v>0</v>
      </c>
      <c r="J10" s="100">
        <v>608.29951458537209</v>
      </c>
      <c r="K10" s="100">
        <v>608.29951458537209</v>
      </c>
      <c r="L10" s="100">
        <v>190.43998309333273</v>
      </c>
      <c r="M10" s="100">
        <v>0</v>
      </c>
      <c r="N10" s="100">
        <v>608.29951458537209</v>
      </c>
      <c r="O10" s="100">
        <v>0</v>
      </c>
      <c r="P10" s="100">
        <v>608.29951458537209</v>
      </c>
      <c r="Q10" s="100">
        <v>608.29951458537209</v>
      </c>
      <c r="R10" s="100">
        <v>190.43998309333273</v>
      </c>
      <c r="S10" s="100">
        <v>608.29951458537209</v>
      </c>
      <c r="T10" s="100">
        <v>190.43998309333273</v>
      </c>
      <c r="U10" s="100">
        <v>608.29951458537209</v>
      </c>
      <c r="V10" s="100">
        <v>608.29951458537209</v>
      </c>
      <c r="W10" s="100">
        <v>0</v>
      </c>
      <c r="X10" s="100">
        <v>608.29951458537209</v>
      </c>
      <c r="Y10" s="100">
        <v>608.29951458537209</v>
      </c>
      <c r="Z10" s="100">
        <v>486.64343088953206</v>
      </c>
      <c r="AA10" s="100">
        <v>0</v>
      </c>
      <c r="AB10" s="100">
        <v>190.43998309333276</v>
      </c>
      <c r="AC10" s="100">
        <v>0</v>
      </c>
      <c r="AD10" s="100">
        <v>190.43998309333276</v>
      </c>
      <c r="AE10" s="100">
        <v>0</v>
      </c>
      <c r="AF10" s="100">
        <v>729.95559828121213</v>
      </c>
      <c r="AG10" s="100">
        <v>729.95559828121213</v>
      </c>
      <c r="AH10" s="100">
        <v>608.29951458537209</v>
      </c>
      <c r="AI10" s="100">
        <v>608.29951458537209</v>
      </c>
      <c r="AJ10" s="100">
        <v>190.43998309333273</v>
      </c>
      <c r="AK10" s="100">
        <v>0</v>
      </c>
      <c r="AL10" s="100">
        <v>608.29951458537209</v>
      </c>
      <c r="AM10" s="100">
        <v>0</v>
      </c>
      <c r="AN10" s="100">
        <v>190.43998309333273</v>
      </c>
      <c r="AO10" s="100">
        <v>608.29951458537209</v>
      </c>
      <c r="AP10" s="100">
        <v>190.43998309333273</v>
      </c>
      <c r="AQ10" s="100">
        <v>0</v>
      </c>
      <c r="AR10" s="100">
        <v>1216.5990291707442</v>
      </c>
      <c r="AS10" s="100">
        <v>0</v>
      </c>
      <c r="AT10" s="100">
        <v>190.43998309333273</v>
      </c>
      <c r="AU10" s="100">
        <v>0</v>
      </c>
      <c r="AV10" s="100">
        <v>608.29951458537209</v>
      </c>
      <c r="AW10" s="100">
        <v>608.29951458537209</v>
      </c>
      <c r="AX10" s="100">
        <v>608.29951458537209</v>
      </c>
      <c r="AY10" s="100">
        <v>608.29951458537209</v>
      </c>
      <c r="AZ10" s="100">
        <v>608.29951458537209</v>
      </c>
    </row>
    <row r="11" spans="1:54">
      <c r="B11" s="119">
        <v>2</v>
      </c>
      <c r="C11" s="106" t="s">
        <v>293</v>
      </c>
      <c r="E11" s="100">
        <v>0</v>
      </c>
      <c r="F11" s="100">
        <v>0</v>
      </c>
      <c r="G11" s="100">
        <v>0</v>
      </c>
      <c r="H11" s="100">
        <v>608.29951458537209</v>
      </c>
      <c r="I11" s="100">
        <v>0</v>
      </c>
      <c r="J11" s="100">
        <v>608.29951458537209</v>
      </c>
      <c r="K11" s="100">
        <v>0</v>
      </c>
      <c r="M11" s="100">
        <v>417.85953149203937</v>
      </c>
      <c r="N11" s="100">
        <v>608.29951458537209</v>
      </c>
      <c r="P11" s="100">
        <v>608.29951458537209</v>
      </c>
      <c r="Q11" s="100">
        <v>0</v>
      </c>
      <c r="S11" s="100">
        <v>417.85953149203937</v>
      </c>
      <c r="T11" s="100">
        <v>0</v>
      </c>
      <c r="U11" s="100">
        <v>417.85953149203937</v>
      </c>
      <c r="W11" s="100">
        <v>0</v>
      </c>
      <c r="Z11" s="100">
        <v>0</v>
      </c>
      <c r="AA11" s="100">
        <v>0</v>
      </c>
      <c r="AB11" s="100">
        <v>486.64343088953206</v>
      </c>
      <c r="AC11" s="100">
        <v>296.20344779619927</v>
      </c>
      <c r="AD11" s="100">
        <v>486.64343088953206</v>
      </c>
      <c r="AE11" s="100">
        <v>539.51561518787935</v>
      </c>
      <c r="AF11" s="100">
        <v>0</v>
      </c>
      <c r="AH11" s="100">
        <v>0</v>
      </c>
      <c r="AI11" s="100">
        <v>0</v>
      </c>
      <c r="AL11" s="100">
        <v>608.29951458537209</v>
      </c>
      <c r="AM11" s="100">
        <v>0</v>
      </c>
      <c r="AN11" s="100">
        <v>608.29951458537209</v>
      </c>
      <c r="AO11" s="100">
        <v>417.85953149203937</v>
      </c>
      <c r="AQ11" s="100">
        <v>0</v>
      </c>
      <c r="AR11" s="100">
        <v>0</v>
      </c>
      <c r="AS11" s="100">
        <v>0</v>
      </c>
      <c r="AT11" s="100">
        <v>608.29951458537209</v>
      </c>
      <c r="AU11" s="100">
        <v>417.85953149203937</v>
      </c>
      <c r="AV11" s="100">
        <v>608.29951458537209</v>
      </c>
      <c r="AW11" s="100">
        <v>0</v>
      </c>
    </row>
    <row r="12" spans="1:54">
      <c r="B12" s="120">
        <v>3</v>
      </c>
      <c r="C12" s="106" t="s">
        <v>293</v>
      </c>
      <c r="E12" s="100">
        <v>0</v>
      </c>
      <c r="M12" s="100">
        <v>0</v>
      </c>
      <c r="N12" s="100">
        <v>0</v>
      </c>
      <c r="P12" s="100">
        <v>0</v>
      </c>
      <c r="Q12" s="100">
        <v>0</v>
      </c>
      <c r="S12" s="100">
        <v>0</v>
      </c>
      <c r="V12" s="100">
        <v>0</v>
      </c>
      <c r="W12" s="100">
        <v>0</v>
      </c>
      <c r="Y12" s="100">
        <v>608.29951458537209</v>
      </c>
      <c r="AG12" s="100">
        <v>729.95559828121213</v>
      </c>
      <c r="AH12" s="100">
        <v>0</v>
      </c>
      <c r="AK12" s="100">
        <v>0</v>
      </c>
      <c r="AL12" s="100">
        <v>417.85953149203937</v>
      </c>
      <c r="AQ12" s="100">
        <v>0</v>
      </c>
      <c r="AR12" s="100">
        <v>417.85953149203937</v>
      </c>
      <c r="AS12" s="100">
        <v>0</v>
      </c>
      <c r="AY12" s="100">
        <v>0</v>
      </c>
      <c r="AZ12" s="100">
        <v>0</v>
      </c>
      <c r="BA12" s="100">
        <v>0</v>
      </c>
      <c r="BB12" s="100">
        <v>0</v>
      </c>
    </row>
    <row r="13" spans="1:54">
      <c r="B13" s="120">
        <v>4</v>
      </c>
      <c r="C13" s="106" t="s">
        <v>293</v>
      </c>
      <c r="AA13" s="100">
        <v>0</v>
      </c>
      <c r="AG13" s="100">
        <v>0</v>
      </c>
      <c r="AM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732.24415517841032</v>
      </c>
      <c r="E14" s="117">
        <f t="shared" ref="E14:AZ14" si="0">D$172*SUM(D$122:D$169)</f>
        <v>538.00700900559548</v>
      </c>
      <c r="F14" s="117">
        <f t="shared" si="0"/>
        <v>401.72707204557776</v>
      </c>
      <c r="G14" s="117">
        <f t="shared" si="0"/>
        <v>366.70089092312679</v>
      </c>
      <c r="H14" s="117">
        <f t="shared" si="0"/>
        <v>3.0718400696555976E-2</v>
      </c>
      <c r="I14" s="117">
        <f t="shared" si="0"/>
        <v>733.37106344555696</v>
      </c>
      <c r="J14" s="117">
        <f t="shared" si="0"/>
        <v>114.46257299343242</v>
      </c>
      <c r="K14" s="117">
        <f t="shared" si="0"/>
        <v>733.37106344555696</v>
      </c>
      <c r="L14" s="117">
        <f t="shared" si="0"/>
        <v>476.76237132618212</v>
      </c>
      <c r="M14" s="117">
        <f t="shared" si="0"/>
        <v>114.82394078818675</v>
      </c>
      <c r="N14" s="117">
        <f t="shared" si="0"/>
        <v>251.90766853563656</v>
      </c>
      <c r="O14" s="117">
        <f t="shared" si="0"/>
        <v>733.37106344555696</v>
      </c>
      <c r="P14" s="117">
        <f t="shared" si="0"/>
        <v>154.13090520460571</v>
      </c>
      <c r="Q14" s="117">
        <f t="shared" si="0"/>
        <v>733.37106344555696</v>
      </c>
      <c r="R14" s="117">
        <f t="shared" si="0"/>
        <v>527.72235954219127</v>
      </c>
      <c r="S14" s="117">
        <f t="shared" si="0"/>
        <v>157.50898519747884</v>
      </c>
      <c r="T14" s="117">
        <f t="shared" si="0"/>
        <v>618.57784105806684</v>
      </c>
      <c r="U14" s="117">
        <f t="shared" si="0"/>
        <v>198.45291045098296</v>
      </c>
      <c r="V14" s="117">
        <f t="shared" si="0"/>
        <v>618.57784105806684</v>
      </c>
      <c r="W14" s="117">
        <f t="shared" si="0"/>
        <v>424.48604147912164</v>
      </c>
      <c r="X14" s="117">
        <f t="shared" si="0"/>
        <v>3.0718400696530836E-2</v>
      </c>
      <c r="Y14" s="117">
        <f t="shared" si="0"/>
        <v>366.70089092312679</v>
      </c>
      <c r="Z14" s="117">
        <f t="shared" si="0"/>
        <v>733.37106344555696</v>
      </c>
      <c r="AA14" s="117">
        <f t="shared" si="0"/>
        <v>371.72033722129959</v>
      </c>
      <c r="AB14" s="117">
        <f t="shared" si="0"/>
        <v>3.0718400696530836E-2</v>
      </c>
      <c r="AC14" s="117">
        <f t="shared" si="0"/>
        <v>408.16238095248372</v>
      </c>
      <c r="AD14" s="117">
        <f t="shared" si="0"/>
        <v>178.57593617750325</v>
      </c>
      <c r="AE14" s="117">
        <f t="shared" si="0"/>
        <v>408.16238095248377</v>
      </c>
      <c r="AF14" s="117">
        <f t="shared" si="0"/>
        <v>325.23940089376975</v>
      </c>
      <c r="AG14" s="117">
        <f t="shared" si="0"/>
        <v>440.03262328125999</v>
      </c>
      <c r="AH14" s="117">
        <f t="shared" si="0"/>
        <v>880.03452816182346</v>
      </c>
      <c r="AI14" s="117">
        <f t="shared" si="0"/>
        <v>552.06689653116314</v>
      </c>
      <c r="AJ14" s="117">
        <f t="shared" si="0"/>
        <v>392.44784211919983</v>
      </c>
      <c r="AK14" s="117">
        <f t="shared" si="0"/>
        <v>114.82394078818675</v>
      </c>
      <c r="AL14" s="117">
        <f t="shared" si="0"/>
        <v>3.0718400696530836E-2</v>
      </c>
      <c r="AM14" s="117">
        <f t="shared" si="0"/>
        <v>985.24801358049694</v>
      </c>
      <c r="AN14" s="117">
        <f t="shared" si="0"/>
        <v>281.96485389621529</v>
      </c>
      <c r="AO14" s="117">
        <f t="shared" si="0"/>
        <v>481.49411331061702</v>
      </c>
      <c r="AP14" s="117">
        <f t="shared" si="0"/>
        <v>618.57784105806684</v>
      </c>
      <c r="AQ14" s="117">
        <f t="shared" si="0"/>
        <v>170.59047964750388</v>
      </c>
      <c r="AR14" s="117">
        <f t="shared" si="0"/>
        <v>3.0718400696530836E-2</v>
      </c>
      <c r="AS14" s="117">
        <f t="shared" si="0"/>
        <v>985.24801358049717</v>
      </c>
      <c r="AT14" s="117">
        <f t="shared" si="0"/>
        <v>276.29771321568495</v>
      </c>
      <c r="AU14" s="117">
        <f t="shared" si="0"/>
        <v>481.49411331061702</v>
      </c>
      <c r="AV14" s="117">
        <f t="shared" si="0"/>
        <v>260.84871365511322</v>
      </c>
      <c r="AW14" s="117">
        <f t="shared" si="0"/>
        <v>733.37106344555696</v>
      </c>
      <c r="AX14" s="117">
        <f t="shared" si="0"/>
        <v>494.44692370262646</v>
      </c>
      <c r="AY14" s="117">
        <f t="shared" si="0"/>
        <v>402.32570154723408</v>
      </c>
      <c r="AZ14" s="110">
        <f t="shared" si="0"/>
        <v>366.70089092312679</v>
      </c>
      <c r="BA14" s="107">
        <f>SUM($E14:$AZ14)</f>
        <v>19607.432911715172</v>
      </c>
    </row>
    <row r="15" spans="1:54">
      <c r="A15" s="122" t="s">
        <v>123</v>
      </c>
      <c r="B15" s="123">
        <v>1</v>
      </c>
      <c r="C15" s="124" t="s">
        <v>293</v>
      </c>
      <c r="D15" s="124">
        <v>831.66205450130656</v>
      </c>
      <c r="E15" s="124">
        <v>831.86318304016515</v>
      </c>
      <c r="F15" s="124">
        <v>829.15077622273634</v>
      </c>
      <c r="G15" s="124">
        <v>6.9457659941134481E-2</v>
      </c>
      <c r="H15" s="124">
        <v>829.15077622273634</v>
      </c>
      <c r="I15" s="124">
        <v>6.9457659941134481E-2</v>
      </c>
      <c r="J15" s="124">
        <v>829.15077622273634</v>
      </c>
      <c r="K15" s="124">
        <v>829.15077622273634</v>
      </c>
      <c r="L15" s="124">
        <v>259.62947456660834</v>
      </c>
      <c r="M15" s="124">
        <v>6.9457659941134481E-2</v>
      </c>
      <c r="N15" s="124">
        <v>829.15077622273634</v>
      </c>
      <c r="O15" s="124">
        <v>6.9457659941134481E-2</v>
      </c>
      <c r="P15" s="124">
        <v>829.15077622273634</v>
      </c>
      <c r="Q15" s="124">
        <v>829.15077622273634</v>
      </c>
      <c r="R15" s="124">
        <v>259.62947456660834</v>
      </c>
      <c r="S15" s="124">
        <v>829.15077622273634</v>
      </c>
      <c r="T15" s="124">
        <v>259.62947456660834</v>
      </c>
      <c r="U15" s="124">
        <v>829.15077622273634</v>
      </c>
      <c r="V15" s="124">
        <v>829.15077622273634</v>
      </c>
      <c r="W15" s="124">
        <v>6.9457659941134481E-2</v>
      </c>
      <c r="X15" s="124">
        <v>829.15077622273634</v>
      </c>
      <c r="Y15" s="124">
        <v>829.15077622273634</v>
      </c>
      <c r="Z15" s="124">
        <v>663.33971791458896</v>
      </c>
      <c r="AA15" s="124">
        <v>6.9457659941134481E-2</v>
      </c>
      <c r="AB15" s="124">
        <v>259.62947456660834</v>
      </c>
      <c r="AC15" s="124">
        <v>6.9457659941134481E-2</v>
      </c>
      <c r="AD15" s="124">
        <v>259.62947456660839</v>
      </c>
      <c r="AE15" s="124">
        <v>6.9457659941134481E-2</v>
      </c>
      <c r="AF15" s="124">
        <v>994.96183453088361</v>
      </c>
      <c r="AG15" s="124">
        <v>994.96183453088361</v>
      </c>
      <c r="AH15" s="124">
        <v>829.15077622273634</v>
      </c>
      <c r="AI15" s="124">
        <v>829.15077622273634</v>
      </c>
      <c r="AJ15" s="124">
        <v>259.62947456660834</v>
      </c>
      <c r="AK15" s="124">
        <v>6.9457659941134481E-2</v>
      </c>
      <c r="AL15" s="124">
        <v>829.15077622273634</v>
      </c>
      <c r="AM15" s="124">
        <v>6.9457659941134481E-2</v>
      </c>
      <c r="AN15" s="124">
        <v>259.62947456660834</v>
      </c>
      <c r="AO15" s="124">
        <v>829.15077622273634</v>
      </c>
      <c r="AP15" s="124">
        <v>259.62947456660834</v>
      </c>
      <c r="AQ15" s="124">
        <v>6.9457659941134481E-2</v>
      </c>
      <c r="AR15" s="124">
        <v>1658.2320947855317</v>
      </c>
      <c r="AS15" s="124">
        <v>6.9457659941134481E-2</v>
      </c>
      <c r="AT15" s="124">
        <v>259.62947456660834</v>
      </c>
      <c r="AU15" s="124">
        <v>6.9457659941134481E-2</v>
      </c>
      <c r="AV15" s="124">
        <v>829.15077622273634</v>
      </c>
      <c r="AW15" s="124">
        <v>829.15077622273634</v>
      </c>
      <c r="AX15" s="124">
        <v>829.15077622273634</v>
      </c>
      <c r="AY15" s="124">
        <v>829.15077622273634</v>
      </c>
      <c r="AZ15" s="100">
        <v>829.08131856279522</v>
      </c>
    </row>
    <row r="16" spans="1:54">
      <c r="A16" s="110"/>
      <c r="B16" s="119">
        <v>2</v>
      </c>
      <c r="C16" s="109" t="s">
        <v>293</v>
      </c>
      <c r="D16" s="106"/>
      <c r="E16" s="110">
        <v>0</v>
      </c>
      <c r="F16" s="110">
        <v>0</v>
      </c>
      <c r="G16" s="110">
        <v>0</v>
      </c>
      <c r="H16" s="110">
        <v>829.08131856279522</v>
      </c>
      <c r="I16" s="110">
        <v>0</v>
      </c>
      <c r="J16" s="110">
        <v>829.08131856279522</v>
      </c>
      <c r="K16" s="110">
        <v>0</v>
      </c>
      <c r="L16" s="110"/>
      <c r="M16" s="110">
        <v>569.521301656128</v>
      </c>
      <c r="N16" s="110">
        <v>829.08131856279522</v>
      </c>
      <c r="O16" s="110"/>
      <c r="P16" s="110">
        <v>829.08131856279522</v>
      </c>
      <c r="Q16" s="110">
        <v>0</v>
      </c>
      <c r="R16" s="110"/>
      <c r="S16" s="110">
        <v>569.521301656128</v>
      </c>
      <c r="T16" s="110">
        <v>0</v>
      </c>
      <c r="U16" s="110">
        <v>569.521301656128</v>
      </c>
      <c r="V16" s="110"/>
      <c r="W16" s="110">
        <v>0</v>
      </c>
      <c r="X16" s="110"/>
      <c r="Y16" s="110"/>
      <c r="Z16" s="110">
        <v>0</v>
      </c>
      <c r="AA16" s="110">
        <v>0</v>
      </c>
      <c r="AB16" s="110">
        <v>663.27026025464784</v>
      </c>
      <c r="AC16" s="110">
        <v>403.71024334798062</v>
      </c>
      <c r="AD16" s="110">
        <v>663.27026025464784</v>
      </c>
      <c r="AE16" s="110">
        <v>735.33235996427516</v>
      </c>
      <c r="AF16" s="110">
        <v>0</v>
      </c>
      <c r="AG16" s="110"/>
      <c r="AH16" s="110">
        <v>0</v>
      </c>
      <c r="AI16" s="110">
        <v>0</v>
      </c>
      <c r="AJ16" s="110"/>
      <c r="AK16" s="110"/>
      <c r="AL16" s="110">
        <v>829.08131856279522</v>
      </c>
      <c r="AM16" s="110">
        <v>0</v>
      </c>
      <c r="AN16" s="110">
        <v>829.08131856279522</v>
      </c>
      <c r="AO16" s="110">
        <v>569.521301656128</v>
      </c>
      <c r="AP16" s="110"/>
      <c r="AQ16" s="110">
        <v>0</v>
      </c>
      <c r="AR16" s="110">
        <v>0</v>
      </c>
      <c r="AS16" s="110">
        <v>0</v>
      </c>
      <c r="AT16" s="110">
        <v>829.08131856279522</v>
      </c>
      <c r="AU16" s="110">
        <v>569.521301656128</v>
      </c>
      <c r="AV16" s="110">
        <v>829.08131856279522</v>
      </c>
      <c r="AW16" s="110">
        <v>0</v>
      </c>
      <c r="AX16" s="110"/>
      <c r="AY16" s="110"/>
    </row>
    <row r="17" spans="1:54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/>
      <c r="J17" s="110"/>
      <c r="K17" s="110"/>
      <c r="L17" s="110"/>
      <c r="M17" s="110">
        <v>0</v>
      </c>
      <c r="N17" s="110">
        <v>0</v>
      </c>
      <c r="O17" s="110"/>
      <c r="P17" s="110">
        <v>0</v>
      </c>
      <c r="Q17" s="110">
        <v>0</v>
      </c>
      <c r="R17" s="110"/>
      <c r="S17" s="110">
        <v>0</v>
      </c>
      <c r="T17" s="110"/>
      <c r="U17" s="110"/>
      <c r="V17" s="110">
        <v>0</v>
      </c>
      <c r="W17" s="110">
        <v>0</v>
      </c>
      <c r="X17" s="110"/>
      <c r="Y17" s="110">
        <v>829.08131856279522</v>
      </c>
      <c r="Z17" s="110"/>
      <c r="AA17" s="110"/>
      <c r="AB17" s="110"/>
      <c r="AC17" s="110"/>
      <c r="AD17" s="110"/>
      <c r="AE17" s="110"/>
      <c r="AF17" s="110"/>
      <c r="AG17" s="110">
        <v>994.89237687094248</v>
      </c>
      <c r="AH17" s="110">
        <v>0</v>
      </c>
      <c r="AI17" s="110"/>
      <c r="AJ17" s="110"/>
      <c r="AK17" s="110">
        <v>0</v>
      </c>
      <c r="AL17" s="110">
        <v>569.521301656128</v>
      </c>
      <c r="AM17" s="110"/>
      <c r="AN17" s="110"/>
      <c r="AO17" s="110"/>
      <c r="AP17" s="110"/>
      <c r="AQ17" s="110">
        <v>0</v>
      </c>
      <c r="AR17" s="110">
        <v>569.521301656128</v>
      </c>
      <c r="AS17" s="110">
        <v>0</v>
      </c>
      <c r="AT17" s="110"/>
      <c r="AU17" s="110"/>
      <c r="AV17" s="110"/>
      <c r="AW17" s="110"/>
      <c r="AX17" s="110"/>
      <c r="AY17" s="110">
        <v>0</v>
      </c>
      <c r="AZ17" s="100">
        <v>0</v>
      </c>
      <c r="BA17" s="10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>
        <v>0</v>
      </c>
      <c r="AB18" s="125"/>
      <c r="AC18" s="125"/>
      <c r="AD18" s="125"/>
      <c r="AE18" s="125"/>
      <c r="AF18" s="125"/>
      <c r="AG18" s="125">
        <v>0</v>
      </c>
      <c r="AH18" s="125"/>
      <c r="AI18" s="125"/>
      <c r="AJ18" s="125"/>
      <c r="AK18" s="125"/>
      <c r="AL18" s="125"/>
      <c r="AM18" s="125">
        <v>0</v>
      </c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>
        <v>265.95204773142905</v>
      </c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>
        <v>0</v>
      </c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>
        <v>0</v>
      </c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>
        <v>0</v>
      </c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>
        <v>0</v>
      </c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>
        <v>0</v>
      </c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>
        <v>0</v>
      </c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>
        <v>0</v>
      </c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265.95204773142905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1048.2924055233429</v>
      </c>
      <c r="D95" s="110">
        <v>1053.1213038796031</v>
      </c>
      <c r="E95" s="110">
        <v>1053.1213038796031</v>
      </c>
      <c r="F95" s="110">
        <v>1053.1213038796031</v>
      </c>
      <c r="G95" s="110">
        <v>1053.1213038796031</v>
      </c>
      <c r="H95" s="110">
        <v>1053.1213038796031</v>
      </c>
      <c r="I95" s="110">
        <v>1053.1213038796031</v>
      </c>
      <c r="J95" s="110">
        <v>1053.1213038796031</v>
      </c>
      <c r="K95" s="110">
        <v>1053.1213038796031</v>
      </c>
      <c r="L95" s="110">
        <v>1053.1213038796031</v>
      </c>
      <c r="M95" s="110">
        <v>1053.1213038796031</v>
      </c>
      <c r="N95" s="110">
        <v>1053.1213038796031</v>
      </c>
      <c r="O95" s="110">
        <v>1053.1213038796031</v>
      </c>
      <c r="P95" s="110">
        <v>1053.1213038796031</v>
      </c>
      <c r="Q95" s="110">
        <v>1053.1213038796031</v>
      </c>
      <c r="R95" s="110">
        <v>1053.1213038796031</v>
      </c>
      <c r="S95" s="110">
        <v>1053.1213038796031</v>
      </c>
      <c r="T95" s="110">
        <v>1053.1213038796031</v>
      </c>
      <c r="U95" s="110">
        <v>1053.1213038796031</v>
      </c>
      <c r="V95" s="110">
        <v>1053.1213038796031</v>
      </c>
      <c r="W95" s="110">
        <v>1053.1213038796031</v>
      </c>
      <c r="X95" s="110">
        <v>842.50365514783141</v>
      </c>
      <c r="Y95" s="110">
        <v>842.50365514783141</v>
      </c>
      <c r="Z95" s="110">
        <v>842.50365514783141</v>
      </c>
      <c r="AA95" s="110">
        <v>842.50365514783141</v>
      </c>
      <c r="AB95" s="110">
        <v>1263.738952611375</v>
      </c>
      <c r="AC95" s="110">
        <v>1263.738952611375</v>
      </c>
      <c r="AD95" s="110">
        <v>1263.738952611375</v>
      </c>
      <c r="AE95" s="110">
        <v>1263.738952611375</v>
      </c>
      <c r="AF95" s="110">
        <v>1053.1213038796031</v>
      </c>
      <c r="AG95" s="110">
        <v>1053.1213038796031</v>
      </c>
      <c r="AH95" s="110">
        <v>1053.1213038796031</v>
      </c>
      <c r="AI95" s="110">
        <v>1053.1213038796031</v>
      </c>
      <c r="AJ95" s="110">
        <v>1053.1213038796031</v>
      </c>
      <c r="AK95" s="110">
        <v>1053.1213038796031</v>
      </c>
      <c r="AL95" s="110">
        <v>1053.1213038796031</v>
      </c>
      <c r="AM95" s="110">
        <v>1053.1213038796031</v>
      </c>
      <c r="AN95" s="110">
        <v>1053.1213038796031</v>
      </c>
      <c r="AO95" s="110">
        <v>1053.1213038796031</v>
      </c>
      <c r="AP95" s="110">
        <v>1053.1213038796031</v>
      </c>
      <c r="AQ95" s="110">
        <v>1053.1213038796031</v>
      </c>
      <c r="AR95" s="110">
        <v>1053.1213038796031</v>
      </c>
      <c r="AS95" s="110">
        <v>1053.1213038796031</v>
      </c>
      <c r="AT95" s="110">
        <v>1053.1213038796031</v>
      </c>
      <c r="AU95" s="110">
        <v>1053.1213038796031</v>
      </c>
      <c r="AV95" s="110">
        <v>1053.1213038796031</v>
      </c>
      <c r="AW95" s="110">
        <v>1053.1213038796031</v>
      </c>
      <c r="AX95" s="110">
        <v>1053.1213038796031</v>
      </c>
      <c r="AY95" s="110">
        <v>1053.1213038796031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140.12130387960315</v>
      </c>
      <c r="F96" s="110">
        <v>119.24260775920629</v>
      </c>
      <c r="G96" s="110">
        <v>249.36391163880944</v>
      </c>
      <c r="H96" s="110">
        <v>497.48521551841259</v>
      </c>
      <c r="I96" s="110">
        <v>409.60651939801573</v>
      </c>
      <c r="J96" s="110">
        <v>514.72782327761888</v>
      </c>
      <c r="K96" s="110">
        <v>575.84912715722203</v>
      </c>
      <c r="L96" s="110">
        <v>561.97043103682518</v>
      </c>
      <c r="M96" s="110">
        <v>588.09173491642832</v>
      </c>
      <c r="N96" s="110">
        <v>614.21303879603147</v>
      </c>
      <c r="O96" s="110">
        <v>550.33434267563462</v>
      </c>
      <c r="P96" s="110">
        <v>587.45564655523776</v>
      </c>
      <c r="Q96" s="110">
        <v>588.57695043484091</v>
      </c>
      <c r="R96" s="110">
        <v>713.69825431444406</v>
      </c>
      <c r="S96" s="110">
        <v>823.8195581940472</v>
      </c>
      <c r="T96" s="110">
        <v>883.94086207365035</v>
      </c>
      <c r="U96" s="110">
        <v>964.0621659532535</v>
      </c>
      <c r="V96" s="110">
        <v>890.18346983285664</v>
      </c>
      <c r="W96" s="110">
        <v>953.30477371245979</v>
      </c>
      <c r="X96" s="110">
        <v>874.42607759206294</v>
      </c>
      <c r="Y96" s="110">
        <v>675.92973273989435</v>
      </c>
      <c r="Z96" s="110">
        <v>549.43338788772576</v>
      </c>
      <c r="AA96" s="110">
        <v>274.93704303555717</v>
      </c>
      <c r="AB96" s="110">
        <v>0</v>
      </c>
      <c r="AC96" s="110">
        <v>214.738952611375</v>
      </c>
      <c r="AD96" s="110">
        <v>342.47790522275</v>
      </c>
      <c r="AE96" s="110">
        <v>367.21685783412499</v>
      </c>
      <c r="AF96" s="110">
        <v>533.95581044549999</v>
      </c>
      <c r="AG96" s="110">
        <v>392.12506659367409</v>
      </c>
      <c r="AH96" s="110">
        <v>330.24637047327724</v>
      </c>
      <c r="AI96" s="110">
        <v>48.367674352880385</v>
      </c>
      <c r="AJ96" s="110">
        <v>0</v>
      </c>
      <c r="AK96" s="110">
        <v>27.121303879603147</v>
      </c>
      <c r="AL96" s="110">
        <v>0</v>
      </c>
      <c r="AM96" s="110">
        <v>0</v>
      </c>
      <c r="AN96" s="110">
        <v>4.1213038796031469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607.911371034681</v>
      </c>
      <c r="D100" s="106">
        <v>607.911371034681</v>
      </c>
      <c r="E100" s="106">
        <v>610.28961581363296</v>
      </c>
      <c r="F100" s="106">
        <v>608.29951458537209</v>
      </c>
      <c r="G100" s="106">
        <v>0</v>
      </c>
      <c r="H100" s="106">
        <v>608.29951458537209</v>
      </c>
      <c r="I100" s="106">
        <v>0</v>
      </c>
      <c r="J100" s="106">
        <v>608.29951458537209</v>
      </c>
      <c r="K100" s="106">
        <v>608.29951458537209</v>
      </c>
      <c r="L100" s="106">
        <v>190.43998309333273</v>
      </c>
      <c r="M100" s="106">
        <v>0</v>
      </c>
      <c r="N100" s="106">
        <v>608.29951458537209</v>
      </c>
      <c r="O100" s="106">
        <v>0</v>
      </c>
      <c r="P100" s="106">
        <v>608.29951458537209</v>
      </c>
      <c r="Q100" s="106">
        <v>608.29951458537209</v>
      </c>
      <c r="R100" s="106">
        <v>190.43998309333273</v>
      </c>
      <c r="S100" s="106">
        <v>608.29951458537209</v>
      </c>
      <c r="T100" s="106">
        <v>190.43998309333273</v>
      </c>
      <c r="U100" s="106">
        <v>608.29951458537209</v>
      </c>
      <c r="V100" s="106">
        <v>608.29951458537209</v>
      </c>
      <c r="W100" s="106">
        <v>0</v>
      </c>
      <c r="X100" s="106">
        <v>608.29951458537209</v>
      </c>
      <c r="Y100" s="106">
        <v>608.29951458537209</v>
      </c>
      <c r="Z100" s="106">
        <v>486.64343088953206</v>
      </c>
      <c r="AA100" s="106">
        <v>0</v>
      </c>
      <c r="AB100" s="106">
        <v>190.43998309333276</v>
      </c>
      <c r="AC100" s="106">
        <v>0</v>
      </c>
      <c r="AD100" s="106">
        <v>190.43998309333276</v>
      </c>
      <c r="AE100" s="106">
        <v>0</v>
      </c>
      <c r="AF100" s="106">
        <v>729.95559828121213</v>
      </c>
      <c r="AG100" s="106">
        <v>729.95559828121213</v>
      </c>
      <c r="AH100" s="106">
        <v>608.29951458537209</v>
      </c>
      <c r="AI100" s="106">
        <v>608.29951458537209</v>
      </c>
      <c r="AJ100" s="106">
        <v>190.43998309333273</v>
      </c>
      <c r="AK100" s="106">
        <v>0</v>
      </c>
      <c r="AL100" s="106">
        <v>608.29951458537209</v>
      </c>
      <c r="AM100" s="106">
        <v>0</v>
      </c>
      <c r="AN100" s="106">
        <v>190.43998309333273</v>
      </c>
      <c r="AO100" s="106">
        <v>608.29951458537209</v>
      </c>
      <c r="AP100" s="106">
        <v>190.43998309333273</v>
      </c>
      <c r="AQ100" s="106">
        <v>0</v>
      </c>
      <c r="AR100" s="106">
        <v>1216.5990291707442</v>
      </c>
      <c r="AS100" s="106">
        <v>0</v>
      </c>
      <c r="AT100" s="106">
        <v>190.43998309333273</v>
      </c>
      <c r="AU100" s="106">
        <v>0</v>
      </c>
      <c r="AV100" s="106">
        <v>608.29951458537209</v>
      </c>
      <c r="AW100" s="106">
        <v>608.29951458537209</v>
      </c>
      <c r="AX100" s="106">
        <v>608.29951458537209</v>
      </c>
      <c r="AY100" s="106">
        <v>608.29951458537209</v>
      </c>
    </row>
    <row r="101" spans="1:52">
      <c r="A101" s="109"/>
      <c r="B101" s="119">
        <v>2</v>
      </c>
      <c r="C101" s="106">
        <v>0</v>
      </c>
      <c r="D101" s="106">
        <v>443.82274206936199</v>
      </c>
      <c r="E101" s="106">
        <v>434.73411310404299</v>
      </c>
      <c r="F101" s="106">
        <v>435.02372891767595</v>
      </c>
      <c r="G101" s="106">
        <v>405.32324350304805</v>
      </c>
      <c r="H101" s="106">
        <v>608.29951458537209</v>
      </c>
      <c r="I101" s="106">
        <v>608.29951458537209</v>
      </c>
      <c r="J101" s="106">
        <v>608.29951458537209</v>
      </c>
      <c r="K101" s="106">
        <v>608.29951458537209</v>
      </c>
      <c r="L101" s="106">
        <v>608.29951458537209</v>
      </c>
      <c r="M101" s="106">
        <v>536.79708751223257</v>
      </c>
      <c r="N101" s="106">
        <v>608.29951458537209</v>
      </c>
      <c r="O101" s="106">
        <v>564.59902917074419</v>
      </c>
      <c r="P101" s="106">
        <v>608.29951458537209</v>
      </c>
      <c r="Q101" s="106">
        <v>549.59902917074419</v>
      </c>
      <c r="R101" s="106">
        <v>430.89854375611628</v>
      </c>
      <c r="S101" s="106">
        <v>417.85953149203942</v>
      </c>
      <c r="T101" s="106">
        <v>411.15904607741152</v>
      </c>
      <c r="U101" s="106">
        <v>417.85953149203942</v>
      </c>
      <c r="V101" s="106">
        <v>250.15904607741152</v>
      </c>
      <c r="W101" s="106">
        <v>245.45856066278361</v>
      </c>
      <c r="X101" s="106">
        <v>0</v>
      </c>
      <c r="Y101" s="106">
        <v>17.299514585372094</v>
      </c>
      <c r="Z101" s="106">
        <v>526.89854375611628</v>
      </c>
      <c r="AA101" s="106">
        <v>290.54197464564834</v>
      </c>
      <c r="AB101" s="106">
        <v>486.64343088953206</v>
      </c>
      <c r="AC101" s="106">
        <v>350.28686177906411</v>
      </c>
      <c r="AD101" s="106">
        <v>486.64343088953206</v>
      </c>
      <c r="AE101" s="106">
        <v>539.51561518787935</v>
      </c>
      <c r="AF101" s="106">
        <v>0</v>
      </c>
      <c r="AG101" s="106">
        <v>164.95559828121213</v>
      </c>
      <c r="AH101" s="106">
        <v>729.95559828121213</v>
      </c>
      <c r="AI101" s="106">
        <v>608.29951458537209</v>
      </c>
      <c r="AJ101" s="106">
        <v>608.29951458537209</v>
      </c>
      <c r="AK101" s="106">
        <v>190.43998309333273</v>
      </c>
      <c r="AL101" s="106">
        <v>608.29951458537209</v>
      </c>
      <c r="AM101" s="106">
        <v>608.29951458537209</v>
      </c>
      <c r="AN101" s="106">
        <v>608.29951458537209</v>
      </c>
      <c r="AO101" s="106">
        <v>608.29951458537209</v>
      </c>
      <c r="AP101" s="106">
        <v>580.35710441889978</v>
      </c>
      <c r="AQ101" s="106">
        <v>46.797087512232508</v>
      </c>
      <c r="AR101" s="106">
        <v>0</v>
      </c>
      <c r="AS101" s="106">
        <v>978.45856066278361</v>
      </c>
      <c r="AT101" s="106">
        <v>608.29951458537209</v>
      </c>
      <c r="AU101" s="106">
        <v>608.29951458537209</v>
      </c>
      <c r="AV101" s="106">
        <v>608.29951458537209</v>
      </c>
      <c r="AW101" s="106">
        <v>430.59902917074419</v>
      </c>
      <c r="AX101" s="106">
        <v>285.89854375611628</v>
      </c>
      <c r="AY101" s="106">
        <v>60.198058341488377</v>
      </c>
    </row>
    <row r="102" spans="1:52">
      <c r="A102" s="109"/>
      <c r="B102" s="120">
        <v>3</v>
      </c>
      <c r="C102" s="106">
        <v>607.911371034681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17.299514585372094</v>
      </c>
      <c r="J102" s="106">
        <v>68.599029170744188</v>
      </c>
      <c r="K102" s="106">
        <v>93.898543756116283</v>
      </c>
      <c r="L102" s="106">
        <v>28.198058341488377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608.29951458537209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729.95559828121213</v>
      </c>
      <c r="AH102" s="106">
        <v>145.91119656242427</v>
      </c>
      <c r="AI102" s="106">
        <v>238.8667948436364</v>
      </c>
      <c r="AJ102" s="106">
        <v>161.16630942900849</v>
      </c>
      <c r="AK102" s="106">
        <v>21.465824014380587</v>
      </c>
      <c r="AL102" s="106">
        <v>417.85953149203937</v>
      </c>
      <c r="AM102" s="106">
        <v>314.15904607741146</v>
      </c>
      <c r="AN102" s="106">
        <v>240.45856066278355</v>
      </c>
      <c r="AO102" s="106">
        <v>104.75807524815565</v>
      </c>
      <c r="AP102" s="106">
        <v>0</v>
      </c>
      <c r="AQ102" s="106">
        <v>0</v>
      </c>
      <c r="AR102" s="106">
        <v>417.85953149203937</v>
      </c>
      <c r="AS102" s="106">
        <v>0</v>
      </c>
      <c r="AT102" s="106">
        <v>284.45856066278361</v>
      </c>
      <c r="AU102" s="106">
        <v>56.758075248155706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366.13734115110674</v>
      </c>
      <c r="D109" s="106">
        <v>732.24415517841032</v>
      </c>
      <c r="E109" s="106">
        <v>538.00700900559548</v>
      </c>
      <c r="F109" s="106">
        <v>401.72707204557776</v>
      </c>
      <c r="G109" s="106">
        <v>366.70089092312679</v>
      </c>
      <c r="H109" s="106">
        <v>3.0718400696555976E-2</v>
      </c>
      <c r="I109" s="106">
        <v>733.37106344555696</v>
      </c>
      <c r="J109" s="106">
        <v>114.46257299343242</v>
      </c>
      <c r="K109" s="106">
        <v>733.37106344555696</v>
      </c>
      <c r="L109" s="106">
        <v>476.76237132618212</v>
      </c>
      <c r="M109" s="106">
        <v>114.82394078818675</v>
      </c>
      <c r="N109" s="106">
        <v>251.90766853563656</v>
      </c>
      <c r="O109" s="106">
        <v>733.37106344555696</v>
      </c>
      <c r="P109" s="106">
        <v>154.13090520460571</v>
      </c>
      <c r="Q109" s="106">
        <v>733.37106344555696</v>
      </c>
      <c r="R109" s="106">
        <v>527.72235954219127</v>
      </c>
      <c r="S109" s="106">
        <v>157.50898519747884</v>
      </c>
      <c r="T109" s="106">
        <v>618.57784105806684</v>
      </c>
      <c r="U109" s="106">
        <v>198.45291045098296</v>
      </c>
      <c r="V109" s="106">
        <v>618.57784105806684</v>
      </c>
      <c r="W109" s="106">
        <v>424.48604147912164</v>
      </c>
      <c r="X109" s="106">
        <v>3.0718400696530836E-2</v>
      </c>
      <c r="Y109" s="106">
        <v>366.70089092312679</v>
      </c>
      <c r="Z109" s="106">
        <v>733.37106344555696</v>
      </c>
      <c r="AA109" s="106">
        <v>371.72033722129959</v>
      </c>
      <c r="AB109" s="106">
        <v>3.0718400696530836E-2</v>
      </c>
      <c r="AC109" s="106">
        <v>408.16238095248372</v>
      </c>
      <c r="AD109" s="106">
        <v>178.57593617750325</v>
      </c>
      <c r="AE109" s="106">
        <v>408.16238095248377</v>
      </c>
      <c r="AF109" s="106">
        <v>325.23940089376975</v>
      </c>
      <c r="AG109" s="106">
        <v>440.03262328125999</v>
      </c>
      <c r="AH109" s="106">
        <v>880.03452816182346</v>
      </c>
      <c r="AI109" s="106">
        <v>552.06689653116314</v>
      </c>
      <c r="AJ109" s="106">
        <v>392.44784211919983</v>
      </c>
      <c r="AK109" s="106">
        <v>114.82394078818675</v>
      </c>
      <c r="AL109" s="106">
        <v>3.0718400696530836E-2</v>
      </c>
      <c r="AM109" s="106">
        <v>985.24801358049694</v>
      </c>
      <c r="AN109" s="106">
        <v>281.96485389621529</v>
      </c>
      <c r="AO109" s="106">
        <v>481.49411331061702</v>
      </c>
      <c r="AP109" s="106">
        <v>618.57784105806684</v>
      </c>
      <c r="AQ109" s="106">
        <v>170.59047964750388</v>
      </c>
      <c r="AR109" s="106">
        <v>3.0718400696530836E-2</v>
      </c>
      <c r="AS109" s="106">
        <v>985.24801358049717</v>
      </c>
      <c r="AT109" s="106">
        <v>276.29771321568495</v>
      </c>
      <c r="AU109" s="106">
        <v>481.49411331061702</v>
      </c>
      <c r="AV109" s="106">
        <v>260.84871365511322</v>
      </c>
      <c r="AW109" s="106">
        <v>733.37106344555696</v>
      </c>
      <c r="AX109" s="106">
        <v>494.44692370262646</v>
      </c>
      <c r="AY109" s="106">
        <v>402.32570154723408</v>
      </c>
    </row>
    <row r="110" spans="1:52">
      <c r="A110" s="109"/>
      <c r="B110" s="119">
        <v>2</v>
      </c>
      <c r="C110" s="106">
        <v>142.85052513217437</v>
      </c>
      <c r="D110" s="106">
        <v>0</v>
      </c>
      <c r="E110" s="106">
        <v>342.24415517841032</v>
      </c>
      <c r="F110" s="106">
        <v>404.2511641840058</v>
      </c>
      <c r="G110" s="106">
        <v>354.97823622958356</v>
      </c>
      <c r="H110" s="106">
        <v>192.984680771348</v>
      </c>
      <c r="I110" s="106">
        <v>1.3117978925336615E-14</v>
      </c>
      <c r="J110" s="106">
        <v>300.37106344555696</v>
      </c>
      <c r="K110" s="106">
        <v>37.833636438989373</v>
      </c>
      <c r="L110" s="106">
        <v>302.20469988454636</v>
      </c>
      <c r="M110" s="106">
        <v>291.96707121072848</v>
      </c>
      <c r="N110" s="106">
        <v>0</v>
      </c>
      <c r="O110" s="106">
        <v>0</v>
      </c>
      <c r="P110" s="106">
        <v>233.92724031953333</v>
      </c>
      <c r="Q110" s="106">
        <v>0</v>
      </c>
      <c r="R110" s="106">
        <v>219.37106344555696</v>
      </c>
      <c r="S110" s="106">
        <v>282.65780558526677</v>
      </c>
      <c r="T110" s="106">
        <v>54.166790782745608</v>
      </c>
      <c r="U110" s="106">
        <v>154.22518290388973</v>
      </c>
      <c r="V110" s="106">
        <v>2.8421709430404007E-14</v>
      </c>
      <c r="W110" s="106">
        <v>130.57784105806684</v>
      </c>
      <c r="X110" s="106">
        <v>111.43793391066907</v>
      </c>
      <c r="Y110" s="106">
        <v>2.1892210266827306E-15</v>
      </c>
      <c r="Z110" s="106">
        <v>0</v>
      </c>
      <c r="AA110" s="106">
        <v>286.37106344555696</v>
      </c>
      <c r="AB110" s="106">
        <v>72.036906673218368</v>
      </c>
      <c r="AC110" s="106">
        <v>2.1892210266827306E-15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431.03452816182346</v>
      </c>
      <c r="AJ110" s="106">
        <v>407.1014246929866</v>
      </c>
      <c r="AK110" s="106">
        <v>369.54926681218643</v>
      </c>
      <c r="AL110" s="106">
        <v>0</v>
      </c>
      <c r="AM110" s="106">
        <v>0</v>
      </c>
      <c r="AN110" s="106">
        <v>464.24801358049694</v>
      </c>
      <c r="AO110" s="106">
        <v>255.21286747671223</v>
      </c>
      <c r="AP110" s="106">
        <v>265.70698078732926</v>
      </c>
      <c r="AQ110" s="106">
        <v>302.2848218453961</v>
      </c>
      <c r="AR110" s="106">
        <v>19.055284827800136</v>
      </c>
      <c r="AS110" s="106">
        <v>0</v>
      </c>
      <c r="AT110" s="106">
        <v>547.24801358049717</v>
      </c>
      <c r="AU110" s="106">
        <v>276.29771321568495</v>
      </c>
      <c r="AV110" s="106">
        <v>207.00341018950644</v>
      </c>
      <c r="AW110" s="106">
        <v>0</v>
      </c>
      <c r="AX110" s="106">
        <v>196.37106344555696</v>
      </c>
      <c r="AY110" s="106">
        <v>250.81798714818342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47.248013580497172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831.66193761620218</v>
      </c>
      <c r="D122" s="106">
        <v>831.66205450130656</v>
      </c>
      <c r="E122" s="106">
        <v>831.86318304016515</v>
      </c>
      <c r="F122" s="106">
        <v>829.15077622273634</v>
      </c>
      <c r="G122" s="106">
        <v>6.9457659941134481E-2</v>
      </c>
      <c r="H122" s="106">
        <v>829.15077622273634</v>
      </c>
      <c r="I122" s="106">
        <v>6.9457659941134481E-2</v>
      </c>
      <c r="J122" s="106">
        <v>829.15077622273634</v>
      </c>
      <c r="K122" s="106">
        <v>829.15077622273634</v>
      </c>
      <c r="L122" s="106">
        <v>259.62947456660834</v>
      </c>
      <c r="M122" s="106">
        <v>6.9457659941134481E-2</v>
      </c>
      <c r="N122" s="106">
        <v>829.15077622273634</v>
      </c>
      <c r="O122" s="106">
        <v>6.9457659941134481E-2</v>
      </c>
      <c r="P122" s="106">
        <v>829.15077622273634</v>
      </c>
      <c r="Q122" s="106">
        <v>829.15077622273634</v>
      </c>
      <c r="R122" s="106">
        <v>259.62947456660834</v>
      </c>
      <c r="S122" s="106">
        <v>829.15077622273634</v>
      </c>
      <c r="T122" s="106">
        <v>259.62947456660834</v>
      </c>
      <c r="U122" s="106">
        <v>829.15077622273634</v>
      </c>
      <c r="V122" s="106">
        <v>829.15077622273634</v>
      </c>
      <c r="W122" s="106">
        <v>6.9457659941134481E-2</v>
      </c>
      <c r="X122" s="106">
        <v>829.15077622273634</v>
      </c>
      <c r="Y122" s="106">
        <v>829.15077622273634</v>
      </c>
      <c r="Z122" s="106">
        <v>663.33971791458896</v>
      </c>
      <c r="AA122" s="106">
        <v>6.9457659941134481E-2</v>
      </c>
      <c r="AB122" s="106">
        <v>259.62947456660834</v>
      </c>
      <c r="AC122" s="106">
        <v>6.9457659941134481E-2</v>
      </c>
      <c r="AD122" s="106">
        <v>259.62947456660839</v>
      </c>
      <c r="AE122" s="106">
        <v>6.9457659941134481E-2</v>
      </c>
      <c r="AF122" s="106">
        <v>994.96183453088361</v>
      </c>
      <c r="AG122" s="106">
        <v>994.96183453088361</v>
      </c>
      <c r="AH122" s="106">
        <v>829.15077622273634</v>
      </c>
      <c r="AI122" s="106">
        <v>829.15077622273634</v>
      </c>
      <c r="AJ122" s="106">
        <v>259.62947456660834</v>
      </c>
      <c r="AK122" s="106">
        <v>6.9457659941134481E-2</v>
      </c>
      <c r="AL122" s="106">
        <v>829.15077622273634</v>
      </c>
      <c r="AM122" s="106">
        <v>6.9457659941134481E-2</v>
      </c>
      <c r="AN122" s="106">
        <v>259.62947456660834</v>
      </c>
      <c r="AO122" s="106">
        <v>829.15077622273634</v>
      </c>
      <c r="AP122" s="106">
        <v>259.62947456660834</v>
      </c>
      <c r="AQ122" s="106">
        <v>6.9457659941134481E-2</v>
      </c>
      <c r="AR122" s="106">
        <v>1658.2320947855317</v>
      </c>
      <c r="AS122" s="106">
        <v>6.9457659941134481E-2</v>
      </c>
      <c r="AT122" s="106">
        <v>259.62947456660834</v>
      </c>
      <c r="AU122" s="106">
        <v>6.9457659941134481E-2</v>
      </c>
      <c r="AV122" s="106">
        <v>829.15077622273634</v>
      </c>
      <c r="AW122" s="106">
        <v>829.15077622273634</v>
      </c>
      <c r="AX122" s="106">
        <v>829.15077622273634</v>
      </c>
      <c r="AY122" s="106">
        <v>829.15077622273634</v>
      </c>
    </row>
    <row r="123" spans="1:52">
      <c r="A123" s="109"/>
      <c r="B123" s="119">
        <v>2</v>
      </c>
      <c r="C123" s="106">
        <v>0</v>
      </c>
      <c r="D123" s="106">
        <v>384.83056979334742</v>
      </c>
      <c r="E123" s="106">
        <v>76.485615289058501</v>
      </c>
      <c r="F123" s="106">
        <v>5.6843418860808015E-14</v>
      </c>
      <c r="G123" s="106">
        <v>5.6843418860808015E-14</v>
      </c>
      <c r="H123" s="106">
        <v>829.08131856279522</v>
      </c>
      <c r="I123" s="106">
        <v>258.74292484351957</v>
      </c>
      <c r="J123" s="106">
        <v>829.08131856279522</v>
      </c>
      <c r="K123" s="106">
        <v>248.86103133997443</v>
      </c>
      <c r="L123" s="106">
        <v>0</v>
      </c>
      <c r="M123" s="106">
        <v>569.521301656128</v>
      </c>
      <c r="N123" s="106">
        <v>829.08131856279522</v>
      </c>
      <c r="O123" s="106">
        <v>348.43735771374355</v>
      </c>
      <c r="P123" s="106">
        <v>829.08131856279522</v>
      </c>
      <c r="Q123" s="106">
        <v>364.08713204356746</v>
      </c>
      <c r="R123" s="106">
        <v>96.515548724112477</v>
      </c>
      <c r="S123" s="106">
        <v>569.521301656128</v>
      </c>
      <c r="T123" s="106">
        <v>189.09423682079745</v>
      </c>
      <c r="U123" s="106">
        <v>569.521301656128</v>
      </c>
      <c r="V123" s="106">
        <v>130.65853839906521</v>
      </c>
      <c r="W123" s="106">
        <v>0</v>
      </c>
      <c r="X123" s="106">
        <v>0</v>
      </c>
      <c r="Y123" s="106">
        <v>0</v>
      </c>
      <c r="Z123" s="106">
        <v>177.16057475971996</v>
      </c>
      <c r="AA123" s="106">
        <v>0</v>
      </c>
      <c r="AB123" s="106">
        <v>663.27026025464784</v>
      </c>
      <c r="AC123" s="106">
        <v>403.71024334798062</v>
      </c>
      <c r="AD123" s="106">
        <v>663.27026025464784</v>
      </c>
      <c r="AE123" s="106">
        <v>735.33235996427516</v>
      </c>
      <c r="AF123" s="106">
        <v>0</v>
      </c>
      <c r="AG123" s="106">
        <v>0</v>
      </c>
      <c r="AH123" s="106">
        <v>419.13278980124289</v>
      </c>
      <c r="AI123" s="106">
        <v>58.216669492816095</v>
      </c>
      <c r="AJ123" s="106">
        <v>0</v>
      </c>
      <c r="AK123" s="106">
        <v>0</v>
      </c>
      <c r="AL123" s="106">
        <v>829.08131856279522</v>
      </c>
      <c r="AM123" s="106">
        <v>462.44988529960949</v>
      </c>
      <c r="AN123" s="106">
        <v>829.08131856279533</v>
      </c>
      <c r="AO123" s="106">
        <v>569.52130165612812</v>
      </c>
      <c r="AP123" s="106">
        <v>126.09423682079751</v>
      </c>
      <c r="AQ123" s="106">
        <v>0</v>
      </c>
      <c r="AR123" s="106">
        <v>0</v>
      </c>
      <c r="AS123" s="106">
        <v>624.66985727501469</v>
      </c>
      <c r="AT123" s="106">
        <v>829.08131856279522</v>
      </c>
      <c r="AU123" s="106">
        <v>589.73798147491448</v>
      </c>
      <c r="AV123" s="106">
        <v>829.08131856279522</v>
      </c>
      <c r="AW123" s="106">
        <v>288.84773628952536</v>
      </c>
      <c r="AX123" s="106">
        <v>80.551588809635064</v>
      </c>
      <c r="AY123" s="106">
        <v>0</v>
      </c>
    </row>
    <row r="124" spans="1:52">
      <c r="A124" s="109"/>
      <c r="B124" s="119">
        <v>3</v>
      </c>
      <c r="C124" s="106">
        <v>831.59259684136543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829.08131856279522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994.89237687094248</v>
      </c>
      <c r="AH124" s="106">
        <v>0</v>
      </c>
      <c r="AI124" s="106">
        <v>0</v>
      </c>
      <c r="AJ124" s="106">
        <v>0</v>
      </c>
      <c r="AK124" s="106">
        <v>0</v>
      </c>
      <c r="AL124" s="106">
        <v>569.521301656128</v>
      </c>
      <c r="AM124" s="106">
        <v>175.03399618569881</v>
      </c>
      <c r="AN124" s="106">
        <v>0</v>
      </c>
      <c r="AO124" s="106">
        <v>0</v>
      </c>
      <c r="AP124" s="106">
        <v>0</v>
      </c>
      <c r="AQ124" s="106">
        <v>0</v>
      </c>
      <c r="AR124" s="106">
        <v>569.521301656128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0.44024780333288854</v>
      </c>
      <c r="D172" s="134">
        <v>0.44226080640443038</v>
      </c>
      <c r="E172" s="134">
        <v>0.44226080640443038</v>
      </c>
      <c r="F172" s="134">
        <v>0.44226080640443038</v>
      </c>
      <c r="G172" s="134">
        <v>0.44226080640443038</v>
      </c>
      <c r="H172" s="134">
        <v>0.44226080640443038</v>
      </c>
      <c r="I172" s="134">
        <v>0.44226080640443038</v>
      </c>
      <c r="J172" s="134">
        <v>0.44226080640443038</v>
      </c>
      <c r="K172" s="134">
        <v>0.44226080640443038</v>
      </c>
      <c r="L172" s="134">
        <v>0.44226080640443038</v>
      </c>
      <c r="M172" s="134">
        <v>0.44226080640443038</v>
      </c>
      <c r="N172" s="134">
        <v>0.44226080640443038</v>
      </c>
      <c r="O172" s="134">
        <v>0.44226080640443038</v>
      </c>
      <c r="P172" s="134">
        <v>0.44226080640443038</v>
      </c>
      <c r="Q172" s="134">
        <v>0.44226080640443038</v>
      </c>
      <c r="R172" s="134">
        <v>0.44226080640443038</v>
      </c>
      <c r="S172" s="134">
        <v>0.44226080640443038</v>
      </c>
      <c r="T172" s="134">
        <v>0.44226080640443038</v>
      </c>
      <c r="U172" s="134">
        <v>0.44226080640443038</v>
      </c>
      <c r="V172" s="134">
        <v>0.44226080640443038</v>
      </c>
      <c r="W172" s="134">
        <v>0.44226080640443038</v>
      </c>
      <c r="X172" s="134">
        <v>0.44226080640443038</v>
      </c>
      <c r="Y172" s="134">
        <v>0.44226080640443038</v>
      </c>
      <c r="Z172" s="134">
        <v>0.44226080640443038</v>
      </c>
      <c r="AA172" s="134">
        <v>0.44226080640443038</v>
      </c>
      <c r="AB172" s="134">
        <v>0.44226080640443038</v>
      </c>
      <c r="AC172" s="134">
        <v>0.44226080640443038</v>
      </c>
      <c r="AD172" s="134">
        <v>0.44226080640443038</v>
      </c>
      <c r="AE172" s="134">
        <v>0.44226080640443038</v>
      </c>
      <c r="AF172" s="134">
        <v>0.44226080640443038</v>
      </c>
      <c r="AG172" s="134">
        <v>0.44226080640443038</v>
      </c>
      <c r="AH172" s="134">
        <v>0.44226080640443038</v>
      </c>
      <c r="AI172" s="134">
        <v>0.44226080640443038</v>
      </c>
      <c r="AJ172" s="134">
        <v>0.44226080640443038</v>
      </c>
      <c r="AK172" s="134">
        <v>0.44226080640443038</v>
      </c>
      <c r="AL172" s="134">
        <v>0.44226080640443038</v>
      </c>
      <c r="AM172" s="134">
        <v>0.44226080640443038</v>
      </c>
      <c r="AN172" s="134">
        <v>0.44226080640443038</v>
      </c>
      <c r="AO172" s="134">
        <v>0.44226080640443038</v>
      </c>
      <c r="AP172" s="134">
        <v>0.44226080640443038</v>
      </c>
      <c r="AQ172" s="134">
        <v>0.44226080640443038</v>
      </c>
      <c r="AR172" s="134">
        <v>0.44226080640443038</v>
      </c>
      <c r="AS172" s="134">
        <v>0.44226080640443038</v>
      </c>
      <c r="AT172" s="134">
        <v>0.44226080640443038</v>
      </c>
      <c r="AU172" s="134">
        <v>0.44226080640443038</v>
      </c>
      <c r="AV172" s="134">
        <v>0.44226080640443038</v>
      </c>
      <c r="AW172" s="134">
        <v>0.44226080640443038</v>
      </c>
      <c r="AX172" s="134">
        <v>0.44226080640443038</v>
      </c>
      <c r="AY172" s="134">
        <v>0.44226080640443038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1053.1213038796031</v>
      </c>
      <c r="E175" s="124">
        <f t="shared" si="1"/>
        <v>1193.2426077592063</v>
      </c>
      <c r="F175" s="124">
        <f t="shared" si="1"/>
        <v>1172.3639116388094</v>
      </c>
      <c r="G175" s="124">
        <f t="shared" si="1"/>
        <v>1302.4852155184126</v>
      </c>
      <c r="H175" s="124">
        <f t="shared" si="1"/>
        <v>1550.6065193980157</v>
      </c>
      <c r="I175" s="124">
        <f t="shared" si="1"/>
        <v>1462.7278232776189</v>
      </c>
      <c r="J175" s="124">
        <f t="shared" si="1"/>
        <v>1567.849127157222</v>
      </c>
      <c r="K175" s="124">
        <f t="shared" si="1"/>
        <v>1628.9704310368252</v>
      </c>
      <c r="L175" s="124">
        <f t="shared" si="1"/>
        <v>1615.0917349164283</v>
      </c>
      <c r="M175" s="124">
        <f t="shared" si="1"/>
        <v>1641.2130387960315</v>
      </c>
      <c r="N175" s="124">
        <f t="shared" si="1"/>
        <v>1667.3343426756346</v>
      </c>
      <c r="O175" s="124">
        <f t="shared" si="1"/>
        <v>1603.4556465552378</v>
      </c>
      <c r="P175" s="124">
        <f t="shared" si="1"/>
        <v>1640.5769504348409</v>
      </c>
      <c r="Q175" s="124">
        <f t="shared" si="1"/>
        <v>1641.6982543144441</v>
      </c>
      <c r="R175" s="124">
        <f t="shared" si="1"/>
        <v>1766.8195581940472</v>
      </c>
      <c r="S175" s="124">
        <f t="shared" si="1"/>
        <v>1876.9408620736504</v>
      </c>
      <c r="T175" s="124">
        <f t="shared" si="1"/>
        <v>1937.0621659532535</v>
      </c>
      <c r="U175" s="124">
        <f t="shared" si="1"/>
        <v>2017.1834698328566</v>
      </c>
      <c r="V175" s="124">
        <f t="shared" si="1"/>
        <v>1943.3047737124598</v>
      </c>
      <c r="W175" s="124">
        <f t="shared" si="1"/>
        <v>2006.4260775920629</v>
      </c>
      <c r="X175" s="124">
        <f t="shared" si="1"/>
        <v>1716.9297327398945</v>
      </c>
      <c r="Y175" s="124">
        <f t="shared" si="1"/>
        <v>1518.4333878877258</v>
      </c>
      <c r="Z175" s="124">
        <f t="shared" si="1"/>
        <v>1391.9370430355571</v>
      </c>
      <c r="AA175" s="124">
        <f t="shared" si="1"/>
        <v>1117.4406981833886</v>
      </c>
      <c r="AB175" s="124">
        <f t="shared" si="1"/>
        <v>1263.738952611375</v>
      </c>
      <c r="AC175" s="124">
        <f t="shared" si="1"/>
        <v>1478.47790522275</v>
      </c>
      <c r="AD175" s="124">
        <f t="shared" si="1"/>
        <v>1606.216857834125</v>
      </c>
      <c r="AE175" s="124">
        <f t="shared" si="1"/>
        <v>1630.9558104455</v>
      </c>
      <c r="AF175" s="124">
        <f t="shared" si="1"/>
        <v>1587.0771143251031</v>
      </c>
      <c r="AG175" s="124">
        <f t="shared" si="1"/>
        <v>1445.2463704732772</v>
      </c>
      <c r="AH175" s="124">
        <f t="shared" si="1"/>
        <v>1383.3676743528804</v>
      </c>
      <c r="AI175" s="124">
        <f t="shared" si="1"/>
        <v>1101.4889782324835</v>
      </c>
      <c r="AJ175" s="124">
        <f t="shared" si="1"/>
        <v>1053.1213038796031</v>
      </c>
      <c r="AK175" s="124">
        <f t="shared" si="1"/>
        <v>1080.2426077592063</v>
      </c>
      <c r="AL175" s="124">
        <f t="shared" si="1"/>
        <v>1053.1213038796031</v>
      </c>
      <c r="AM175" s="124">
        <f t="shared" si="1"/>
        <v>1053.1213038796031</v>
      </c>
      <c r="AN175" s="124">
        <f t="shared" si="1"/>
        <v>1057.2426077592063</v>
      </c>
      <c r="AO175" s="124">
        <f t="shared" si="1"/>
        <v>1053.1213038796031</v>
      </c>
      <c r="AP175" s="124">
        <f t="shared" si="1"/>
        <v>1053.1213038796031</v>
      </c>
      <c r="AQ175" s="124">
        <f t="shared" si="1"/>
        <v>1053.1213038796031</v>
      </c>
      <c r="AR175" s="124">
        <f t="shared" si="1"/>
        <v>1053.1213038796031</v>
      </c>
      <c r="AS175" s="124">
        <f t="shared" si="1"/>
        <v>1053.1213038796031</v>
      </c>
      <c r="AT175" s="124">
        <f t="shared" si="1"/>
        <v>1053.1213038796031</v>
      </c>
      <c r="AU175" s="124">
        <f t="shared" si="1"/>
        <v>1053.1213038796031</v>
      </c>
      <c r="AV175" s="124">
        <f t="shared" si="1"/>
        <v>1053.1213038796031</v>
      </c>
      <c r="AW175" s="124">
        <f t="shared" si="1"/>
        <v>1053.1213038796031</v>
      </c>
      <c r="AX175" s="124">
        <f t="shared" si="1"/>
        <v>1053.1213038796031</v>
      </c>
      <c r="AY175" s="124">
        <f t="shared" si="1"/>
        <v>1053.1213038796031</v>
      </c>
    </row>
    <row r="176" spans="1:52">
      <c r="A176" s="125"/>
      <c r="B176" s="136" t="s">
        <v>299</v>
      </c>
      <c r="C176" s="125" t="s">
        <v>293</v>
      </c>
      <c r="D176" s="125">
        <v>913</v>
      </c>
      <c r="E176" s="125">
        <v>1074</v>
      </c>
      <c r="F176" s="125">
        <v>923</v>
      </c>
      <c r="G176" s="125">
        <v>805</v>
      </c>
      <c r="H176" s="125">
        <v>1141</v>
      </c>
      <c r="I176" s="125">
        <v>948</v>
      </c>
      <c r="J176" s="125">
        <v>992</v>
      </c>
      <c r="K176" s="125">
        <v>1067</v>
      </c>
      <c r="L176" s="125">
        <v>1027</v>
      </c>
      <c r="M176" s="125">
        <v>1027</v>
      </c>
      <c r="N176" s="125">
        <v>1117</v>
      </c>
      <c r="O176" s="125">
        <v>1016</v>
      </c>
      <c r="P176" s="125">
        <v>1052</v>
      </c>
      <c r="Q176" s="125">
        <v>928</v>
      </c>
      <c r="R176" s="125">
        <v>943</v>
      </c>
      <c r="S176" s="125">
        <v>993</v>
      </c>
      <c r="T176" s="125">
        <v>973</v>
      </c>
      <c r="U176" s="125">
        <v>1127</v>
      </c>
      <c r="V176" s="125">
        <v>990</v>
      </c>
      <c r="W176" s="125">
        <v>1132</v>
      </c>
      <c r="X176" s="125">
        <v>1041</v>
      </c>
      <c r="Y176" s="125">
        <v>969</v>
      </c>
      <c r="Z176" s="125">
        <v>1117</v>
      </c>
      <c r="AA176" s="125">
        <v>1117.4406981833886</v>
      </c>
      <c r="AB176" s="125">
        <v>1049</v>
      </c>
      <c r="AC176" s="125">
        <v>1136</v>
      </c>
      <c r="AD176" s="125">
        <v>1239</v>
      </c>
      <c r="AE176" s="125">
        <v>1097</v>
      </c>
      <c r="AF176" s="125">
        <v>929</v>
      </c>
      <c r="AG176" s="125">
        <v>1115</v>
      </c>
      <c r="AH176" s="125">
        <v>1335</v>
      </c>
      <c r="AI176" s="125">
        <v>1101.4889782324835</v>
      </c>
      <c r="AJ176" s="125">
        <v>1026</v>
      </c>
      <c r="AK176" s="125">
        <v>1080.2426077592063</v>
      </c>
      <c r="AL176" s="125">
        <v>1053.1213038796031</v>
      </c>
      <c r="AM176" s="125">
        <v>1049</v>
      </c>
      <c r="AN176" s="125">
        <v>1057.2426077592063</v>
      </c>
      <c r="AO176" s="125">
        <v>1053.1213038796031</v>
      </c>
      <c r="AP176" s="125">
        <v>1053.1213038796031</v>
      </c>
      <c r="AQ176" s="125">
        <v>1053.1213038796031</v>
      </c>
      <c r="AR176" s="125">
        <v>1053.1213038796031</v>
      </c>
      <c r="AS176" s="125">
        <v>1053.1213038796031</v>
      </c>
      <c r="AT176" s="125">
        <v>1053.1213038796031</v>
      </c>
      <c r="AU176" s="125">
        <v>1053.1213038796031</v>
      </c>
      <c r="AV176" s="125">
        <v>1053.1213038796031</v>
      </c>
      <c r="AW176" s="125">
        <v>1053.1213038796031</v>
      </c>
      <c r="AX176" s="125">
        <v>1053.1213038796031</v>
      </c>
      <c r="AY176" s="125">
        <v>995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1051.734113104043</v>
      </c>
      <c r="E177" s="124">
        <f t="shared" si="2"/>
        <v>1045.023728917676</v>
      </c>
      <c r="F177" s="124">
        <f t="shared" si="2"/>
        <v>1043.3232435030482</v>
      </c>
      <c r="G177" s="124">
        <f t="shared" si="2"/>
        <v>405.32324350304805</v>
      </c>
      <c r="H177" s="124">
        <f t="shared" si="2"/>
        <v>1216.5990291707442</v>
      </c>
      <c r="I177" s="124">
        <f t="shared" si="2"/>
        <v>625.59902917074419</v>
      </c>
      <c r="J177" s="124">
        <f t="shared" si="2"/>
        <v>1285.1980583414884</v>
      </c>
      <c r="K177" s="124">
        <f t="shared" si="2"/>
        <v>1310.4975729268604</v>
      </c>
      <c r="L177" s="124">
        <f t="shared" si="2"/>
        <v>826.93755602019314</v>
      </c>
      <c r="M177" s="124">
        <f t="shared" si="2"/>
        <v>536.79708751223257</v>
      </c>
      <c r="N177" s="124">
        <f t="shared" si="2"/>
        <v>1216.5990291707442</v>
      </c>
      <c r="O177" s="124">
        <f t="shared" si="2"/>
        <v>564.59902917074419</v>
      </c>
      <c r="P177" s="124">
        <f t="shared" si="2"/>
        <v>1216.5990291707442</v>
      </c>
      <c r="Q177" s="124">
        <f t="shared" si="2"/>
        <v>1157.8985437561164</v>
      </c>
      <c r="R177" s="124">
        <f t="shared" si="2"/>
        <v>621.33852684944895</v>
      </c>
      <c r="S177" s="124">
        <f t="shared" si="2"/>
        <v>1026.1590460774114</v>
      </c>
      <c r="T177" s="124">
        <f t="shared" si="2"/>
        <v>601.59902917074419</v>
      </c>
      <c r="U177" s="124">
        <f t="shared" si="2"/>
        <v>1026.1590460774114</v>
      </c>
      <c r="V177" s="124">
        <f t="shared" si="2"/>
        <v>858.45856066278361</v>
      </c>
      <c r="W177" s="124">
        <f t="shared" si="2"/>
        <v>245.45856066278361</v>
      </c>
      <c r="X177" s="124">
        <f t="shared" si="2"/>
        <v>608.29951458537209</v>
      </c>
      <c r="Y177" s="124">
        <f t="shared" si="2"/>
        <v>1233.8985437561164</v>
      </c>
      <c r="Z177" s="124">
        <f t="shared" si="2"/>
        <v>1013.5419746456483</v>
      </c>
      <c r="AA177" s="124">
        <f t="shared" si="2"/>
        <v>290.54197464564834</v>
      </c>
      <c r="AB177" s="124">
        <f t="shared" si="2"/>
        <v>677.08341398286484</v>
      </c>
      <c r="AC177" s="124">
        <f t="shared" si="2"/>
        <v>350.28686177906411</v>
      </c>
      <c r="AD177" s="124">
        <f t="shared" si="2"/>
        <v>677.08341398286484</v>
      </c>
      <c r="AE177" s="124">
        <f t="shared" si="2"/>
        <v>539.51561518787935</v>
      </c>
      <c r="AF177" s="124">
        <f t="shared" si="2"/>
        <v>729.95559828121213</v>
      </c>
      <c r="AG177" s="124">
        <f t="shared" si="2"/>
        <v>1624.8667948436364</v>
      </c>
      <c r="AH177" s="124">
        <f t="shared" si="2"/>
        <v>1484.1663094290084</v>
      </c>
      <c r="AI177" s="124">
        <f t="shared" si="2"/>
        <v>1455.4658240143806</v>
      </c>
      <c r="AJ177" s="124">
        <f t="shared" si="2"/>
        <v>959.90580710771326</v>
      </c>
      <c r="AK177" s="124">
        <f t="shared" si="2"/>
        <v>211.90580710771331</v>
      </c>
      <c r="AL177" s="124">
        <f t="shared" si="2"/>
        <v>1634.4585606627836</v>
      </c>
      <c r="AM177" s="124">
        <f t="shared" si="2"/>
        <v>922.45856066278361</v>
      </c>
      <c r="AN177" s="124">
        <f t="shared" si="2"/>
        <v>1039.1980583414884</v>
      </c>
      <c r="AO177" s="124">
        <f t="shared" si="2"/>
        <v>1321.3571044188998</v>
      </c>
      <c r="AP177" s="124">
        <f t="shared" si="2"/>
        <v>770.79708751223257</v>
      </c>
      <c r="AQ177" s="124">
        <f t="shared" si="2"/>
        <v>46.797087512232508</v>
      </c>
      <c r="AR177" s="124">
        <f t="shared" si="2"/>
        <v>1634.4585606627836</v>
      </c>
      <c r="AS177" s="124">
        <f t="shared" si="2"/>
        <v>978.45856066278361</v>
      </c>
      <c r="AT177" s="124">
        <f t="shared" si="2"/>
        <v>1083.1980583414884</v>
      </c>
      <c r="AU177" s="124">
        <f t="shared" si="2"/>
        <v>665.0575898335278</v>
      </c>
      <c r="AV177" s="124">
        <f t="shared" si="2"/>
        <v>1216.5990291707442</v>
      </c>
      <c r="AW177" s="124">
        <f t="shared" si="2"/>
        <v>1038.8985437561164</v>
      </c>
      <c r="AX177" s="124">
        <f t="shared" si="2"/>
        <v>894.19805834148838</v>
      </c>
      <c r="AY177" s="124">
        <f t="shared" si="2"/>
        <v>668.49757292686047</v>
      </c>
    </row>
    <row r="178" spans="1:51">
      <c r="A178" s="125"/>
      <c r="B178" s="136" t="s">
        <v>299</v>
      </c>
      <c r="C178" s="125" t="s">
        <v>293</v>
      </c>
      <c r="D178" s="125">
        <v>617</v>
      </c>
      <c r="E178" s="125">
        <v>610</v>
      </c>
      <c r="F178" s="125">
        <v>638</v>
      </c>
      <c r="G178" s="125">
        <v>405.32324350304805</v>
      </c>
      <c r="H178" s="125">
        <v>591</v>
      </c>
      <c r="I178" s="125">
        <v>557</v>
      </c>
      <c r="J178" s="125">
        <v>583</v>
      </c>
      <c r="K178" s="125">
        <v>674</v>
      </c>
      <c r="L178" s="125">
        <v>708</v>
      </c>
      <c r="M178" s="125">
        <v>536.79708751223257</v>
      </c>
      <c r="N178" s="125">
        <v>652</v>
      </c>
      <c r="O178" s="125">
        <v>564.59902917074419</v>
      </c>
      <c r="P178" s="125">
        <v>667</v>
      </c>
      <c r="Q178" s="125">
        <v>727</v>
      </c>
      <c r="R178" s="125">
        <v>621.33852684944895</v>
      </c>
      <c r="S178" s="125">
        <v>615</v>
      </c>
      <c r="T178" s="125">
        <v>601.59902917074419</v>
      </c>
      <c r="U178" s="125">
        <v>776</v>
      </c>
      <c r="V178" s="125">
        <v>613</v>
      </c>
      <c r="W178" s="125">
        <v>245.45856066278361</v>
      </c>
      <c r="X178" s="125">
        <v>591</v>
      </c>
      <c r="Y178" s="125">
        <v>707</v>
      </c>
      <c r="Z178" s="125">
        <v>723</v>
      </c>
      <c r="AA178" s="125">
        <v>290.54197464564834</v>
      </c>
      <c r="AB178" s="125">
        <v>623</v>
      </c>
      <c r="AC178" s="125">
        <v>350.28686177906411</v>
      </c>
      <c r="AD178" s="125">
        <v>677.08341398286484</v>
      </c>
      <c r="AE178" s="125">
        <v>539.51561518787935</v>
      </c>
      <c r="AF178" s="125">
        <v>565</v>
      </c>
      <c r="AG178" s="125">
        <v>749</v>
      </c>
      <c r="AH178" s="125">
        <v>637</v>
      </c>
      <c r="AI178" s="125">
        <v>686</v>
      </c>
      <c r="AJ178" s="125">
        <v>748</v>
      </c>
      <c r="AK178" s="125">
        <v>211.90580710771331</v>
      </c>
      <c r="AL178" s="125">
        <v>712</v>
      </c>
      <c r="AM178" s="125">
        <v>682</v>
      </c>
      <c r="AN178" s="125">
        <v>744</v>
      </c>
      <c r="AO178" s="125">
        <v>741</v>
      </c>
      <c r="AP178" s="125">
        <v>724</v>
      </c>
      <c r="AQ178" s="125">
        <v>46.797087512232508</v>
      </c>
      <c r="AR178" s="125">
        <v>656</v>
      </c>
      <c r="AS178" s="125">
        <v>694</v>
      </c>
      <c r="AT178" s="125">
        <v>836</v>
      </c>
      <c r="AU178" s="125">
        <v>665.0575898335278</v>
      </c>
      <c r="AV178" s="125">
        <v>786</v>
      </c>
      <c r="AW178" s="125">
        <v>753</v>
      </c>
      <c r="AX178" s="125">
        <v>834</v>
      </c>
      <c r="AY178" s="125">
        <v>668.49757292686047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732.24415517841032</v>
      </c>
      <c r="E179" s="124">
        <f t="shared" si="3"/>
        <v>880.2511641840058</v>
      </c>
      <c r="F179" s="124">
        <f t="shared" si="3"/>
        <v>805.97823622958356</v>
      </c>
      <c r="G179" s="124">
        <f t="shared" si="3"/>
        <v>721.67912715271041</v>
      </c>
      <c r="H179" s="124">
        <f t="shared" si="3"/>
        <v>193.01539917204454</v>
      </c>
      <c r="I179" s="124">
        <f t="shared" si="3"/>
        <v>733.37106344555696</v>
      </c>
      <c r="J179" s="124">
        <f t="shared" si="3"/>
        <v>414.8336364389894</v>
      </c>
      <c r="K179" s="124">
        <f t="shared" si="3"/>
        <v>771.20469988454636</v>
      </c>
      <c r="L179" s="124">
        <f t="shared" si="3"/>
        <v>778.96707121072848</v>
      </c>
      <c r="M179" s="124">
        <f t="shared" si="3"/>
        <v>406.79101199891522</v>
      </c>
      <c r="N179" s="124">
        <f t="shared" si="3"/>
        <v>251.90766853563656</v>
      </c>
      <c r="O179" s="124">
        <f t="shared" si="3"/>
        <v>733.37106344555696</v>
      </c>
      <c r="P179" s="124">
        <f t="shared" si="3"/>
        <v>388.05814552413904</v>
      </c>
      <c r="Q179" s="124">
        <f t="shared" si="3"/>
        <v>733.37106344555696</v>
      </c>
      <c r="R179" s="124">
        <f t="shared" si="3"/>
        <v>747.09342298774823</v>
      </c>
      <c r="S179" s="124">
        <f t="shared" si="3"/>
        <v>440.16679078274558</v>
      </c>
      <c r="T179" s="124">
        <f t="shared" si="3"/>
        <v>672.74463184081242</v>
      </c>
      <c r="U179" s="124">
        <f t="shared" si="3"/>
        <v>352.67809335487266</v>
      </c>
      <c r="V179" s="124">
        <f t="shared" si="3"/>
        <v>618.57784105806684</v>
      </c>
      <c r="W179" s="124">
        <f t="shared" si="3"/>
        <v>555.06388253718842</v>
      </c>
      <c r="X179" s="124">
        <f t="shared" si="3"/>
        <v>111.4686523113656</v>
      </c>
      <c r="Y179" s="124">
        <f t="shared" si="3"/>
        <v>366.70089092312679</v>
      </c>
      <c r="Z179" s="124">
        <f t="shared" si="3"/>
        <v>733.37106344555696</v>
      </c>
      <c r="AA179" s="124">
        <f t="shared" si="3"/>
        <v>658.09140066685654</v>
      </c>
      <c r="AB179" s="124">
        <f t="shared" si="3"/>
        <v>72.067625073914897</v>
      </c>
      <c r="AC179" s="124">
        <f t="shared" si="3"/>
        <v>408.16238095248372</v>
      </c>
      <c r="AD179" s="124">
        <f t="shared" si="3"/>
        <v>178.57593617750325</v>
      </c>
      <c r="AE179" s="124">
        <f t="shared" si="3"/>
        <v>408.16238095248377</v>
      </c>
      <c r="AF179" s="124">
        <f t="shared" si="3"/>
        <v>325.23940089376975</v>
      </c>
      <c r="AG179" s="124">
        <f t="shared" si="3"/>
        <v>440.03262328125999</v>
      </c>
      <c r="AH179" s="124">
        <f t="shared" si="3"/>
        <v>880.03452816182346</v>
      </c>
      <c r="AI179" s="124">
        <f t="shared" si="3"/>
        <v>983.1014246929866</v>
      </c>
      <c r="AJ179" s="124">
        <f t="shared" si="3"/>
        <v>799.54926681218649</v>
      </c>
      <c r="AK179" s="124">
        <f t="shared" si="3"/>
        <v>484.37320760037318</v>
      </c>
      <c r="AL179" s="124">
        <f t="shared" si="3"/>
        <v>3.0718400696530836E-2</v>
      </c>
      <c r="AM179" s="124">
        <f t="shared" si="3"/>
        <v>985.24801358049694</v>
      </c>
      <c r="AN179" s="124">
        <f t="shared" si="3"/>
        <v>746.21286747671229</v>
      </c>
      <c r="AO179" s="124">
        <f t="shared" si="3"/>
        <v>736.70698078732926</v>
      </c>
      <c r="AP179" s="124">
        <f t="shared" si="3"/>
        <v>884.2848218453961</v>
      </c>
      <c r="AQ179" s="124">
        <f t="shared" si="3"/>
        <v>472.87530149290001</v>
      </c>
      <c r="AR179" s="124">
        <f t="shared" si="3"/>
        <v>19.086003228496669</v>
      </c>
      <c r="AS179" s="124">
        <f t="shared" si="3"/>
        <v>985.24801358049717</v>
      </c>
      <c r="AT179" s="124">
        <f t="shared" si="3"/>
        <v>823.54572679618218</v>
      </c>
      <c r="AU179" s="124">
        <f t="shared" si="3"/>
        <v>805.03984010679915</v>
      </c>
      <c r="AV179" s="124">
        <f t="shared" si="3"/>
        <v>467.85212384461965</v>
      </c>
      <c r="AW179" s="124">
        <f t="shared" si="3"/>
        <v>733.37106344555696</v>
      </c>
      <c r="AX179" s="124">
        <f t="shared" si="3"/>
        <v>690.81798714818342</v>
      </c>
      <c r="AY179" s="124">
        <f t="shared" si="3"/>
        <v>653.1436886954175</v>
      </c>
    </row>
    <row r="180" spans="1:51">
      <c r="A180" s="125"/>
      <c r="B180" s="136" t="s">
        <v>299</v>
      </c>
      <c r="C180" s="125" t="s">
        <v>293</v>
      </c>
      <c r="D180" s="125">
        <v>390</v>
      </c>
      <c r="E180" s="125">
        <v>476</v>
      </c>
      <c r="F180" s="125">
        <v>451</v>
      </c>
      <c r="G180" s="125">
        <v>528.69444638136235</v>
      </c>
      <c r="H180" s="125">
        <v>193.01539917204454</v>
      </c>
      <c r="I180" s="125">
        <v>433</v>
      </c>
      <c r="J180" s="125">
        <v>377</v>
      </c>
      <c r="K180" s="125">
        <v>469</v>
      </c>
      <c r="L180" s="125">
        <v>487</v>
      </c>
      <c r="M180" s="125">
        <v>406.79101199891522</v>
      </c>
      <c r="N180" s="125">
        <v>251.90766853563656</v>
      </c>
      <c r="O180" s="125">
        <v>499.44382312602363</v>
      </c>
      <c r="P180" s="125">
        <v>388.05814552413904</v>
      </c>
      <c r="Q180" s="125">
        <v>514</v>
      </c>
      <c r="R180" s="125">
        <v>464.43561740248145</v>
      </c>
      <c r="S180" s="125">
        <v>386</v>
      </c>
      <c r="T180" s="125">
        <v>518.51944893692269</v>
      </c>
      <c r="U180" s="125">
        <v>352.67809335487266</v>
      </c>
      <c r="V180" s="125">
        <v>488</v>
      </c>
      <c r="W180" s="125">
        <v>443.6259486265194</v>
      </c>
      <c r="X180" s="125">
        <v>111.4686523113656</v>
      </c>
      <c r="Y180" s="125">
        <v>366.70089092312679</v>
      </c>
      <c r="Z180" s="125">
        <v>447</v>
      </c>
      <c r="AA180" s="125">
        <v>586.05449399363818</v>
      </c>
      <c r="AB180" s="125">
        <v>72.067625073914897</v>
      </c>
      <c r="AC180" s="125">
        <v>408.16238095248372</v>
      </c>
      <c r="AD180" s="125">
        <v>178.57593617750325</v>
      </c>
      <c r="AE180" s="125">
        <v>408.16238095248377</v>
      </c>
      <c r="AF180" s="125">
        <v>325.23940089376975</v>
      </c>
      <c r="AG180" s="125">
        <v>440.03262328125999</v>
      </c>
      <c r="AH180" s="125">
        <v>449</v>
      </c>
      <c r="AI180" s="125">
        <v>576</v>
      </c>
      <c r="AJ180" s="125">
        <v>430</v>
      </c>
      <c r="AK180" s="125">
        <v>484.37320760037318</v>
      </c>
      <c r="AL180" s="125">
        <v>3.0718400696530836E-2</v>
      </c>
      <c r="AM180" s="125">
        <v>521</v>
      </c>
      <c r="AN180" s="125">
        <v>491</v>
      </c>
      <c r="AO180" s="125">
        <v>471</v>
      </c>
      <c r="AP180" s="125">
        <v>582</v>
      </c>
      <c r="AQ180" s="125">
        <v>453.82001666509984</v>
      </c>
      <c r="AR180" s="125">
        <v>19.086003228496669</v>
      </c>
      <c r="AS180" s="125">
        <v>438</v>
      </c>
      <c r="AT180" s="125">
        <v>500</v>
      </c>
      <c r="AU180" s="125">
        <v>598.03642991729271</v>
      </c>
      <c r="AV180" s="125">
        <v>467.85212384461965</v>
      </c>
      <c r="AW180" s="125">
        <v>537</v>
      </c>
      <c r="AX180" s="125">
        <v>440</v>
      </c>
      <c r="AY180" s="125">
        <v>486.92516095607073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678.4856152890585</v>
      </c>
      <c r="E181" s="124">
        <f t="shared" si="4"/>
        <v>506.62172628364584</v>
      </c>
      <c r="F181" s="124">
        <f t="shared" si="4"/>
        <v>462.44988529960949</v>
      </c>
      <c r="G181" s="124">
        <f t="shared" si="4"/>
        <v>3.8739259244635345E-2</v>
      </c>
      <c r="H181" s="124">
        <f t="shared" si="4"/>
        <v>924.86103133997437</v>
      </c>
      <c r="I181" s="124">
        <f t="shared" si="4"/>
        <v>144.34980951002825</v>
      </c>
      <c r="J181" s="124">
        <f t="shared" si="4"/>
        <v>924.86103133997437</v>
      </c>
      <c r="K181" s="124">
        <f t="shared" si="4"/>
        <v>601.24943623652871</v>
      </c>
      <c r="L181" s="124">
        <f t="shared" si="4"/>
        <v>144.80553377842156</v>
      </c>
      <c r="M181" s="124">
        <f t="shared" si="4"/>
        <v>317.68309078043256</v>
      </c>
      <c r="N181" s="124">
        <f t="shared" si="4"/>
        <v>924.86103133997437</v>
      </c>
      <c r="O181" s="124">
        <f t="shared" si="4"/>
        <v>194.37591016907894</v>
      </c>
      <c r="P181" s="124">
        <f t="shared" si="4"/>
        <v>924.86103133997437</v>
      </c>
      <c r="Q181" s="124">
        <f t="shared" si="4"/>
        <v>665.51554872411248</v>
      </c>
      <c r="R181" s="124">
        <f t="shared" si="4"/>
        <v>198.63603809324198</v>
      </c>
      <c r="S181" s="124">
        <f t="shared" si="4"/>
        <v>780.09423682079751</v>
      </c>
      <c r="T181" s="124">
        <f t="shared" si="4"/>
        <v>250.2708009364228</v>
      </c>
      <c r="U181" s="124">
        <f t="shared" si="4"/>
        <v>780.09423682079751</v>
      </c>
      <c r="V181" s="124">
        <f t="shared" si="4"/>
        <v>535.32327314267991</v>
      </c>
      <c r="W181" s="124">
        <f t="shared" si="4"/>
        <v>3.8739259244603641E-2</v>
      </c>
      <c r="X181" s="124">
        <f t="shared" si="4"/>
        <v>462.44988529960949</v>
      </c>
      <c r="Y181" s="124">
        <f t="shared" si="4"/>
        <v>924.86103133997437</v>
      </c>
      <c r="Z181" s="124">
        <f t="shared" si="4"/>
        <v>468.77995545300922</v>
      </c>
      <c r="AA181" s="124">
        <f t="shared" si="4"/>
        <v>3.8739259244603641E-2</v>
      </c>
      <c r="AB181" s="124">
        <f t="shared" si="4"/>
        <v>514.7373538687724</v>
      </c>
      <c r="AC181" s="124">
        <f t="shared" si="4"/>
        <v>225.20376483041846</v>
      </c>
      <c r="AD181" s="124">
        <f t="shared" si="4"/>
        <v>514.73735386877252</v>
      </c>
      <c r="AE181" s="124">
        <f t="shared" si="4"/>
        <v>410.16241673044652</v>
      </c>
      <c r="AF181" s="124">
        <f t="shared" si="4"/>
        <v>554.92921124962356</v>
      </c>
      <c r="AG181" s="124">
        <f t="shared" si="4"/>
        <v>1109.8196832400024</v>
      </c>
      <c r="AH181" s="124">
        <f t="shared" si="4"/>
        <v>696.21666949281621</v>
      </c>
      <c r="AI181" s="124">
        <f t="shared" si="4"/>
        <v>494.91960359635254</v>
      </c>
      <c r="AJ181" s="124">
        <f t="shared" si="4"/>
        <v>144.80553377842156</v>
      </c>
      <c r="AK181" s="124">
        <f t="shared" si="4"/>
        <v>3.8739259244603641E-2</v>
      </c>
      <c r="AL181" s="124">
        <f t="shared" si="4"/>
        <v>1242.5053828611622</v>
      </c>
      <c r="AM181" s="124">
        <f t="shared" si="4"/>
        <v>355.58848524903408</v>
      </c>
      <c r="AN181" s="124">
        <f t="shared" si="4"/>
        <v>607.21667981878647</v>
      </c>
      <c r="AO181" s="124">
        <f t="shared" si="4"/>
        <v>780.09423682079751</v>
      </c>
      <c r="AP181" s="124">
        <f t="shared" si="4"/>
        <v>215.13323173990196</v>
      </c>
      <c r="AQ181" s="124">
        <f t="shared" si="4"/>
        <v>3.8739259244603641E-2</v>
      </c>
      <c r="AR181" s="124">
        <f t="shared" si="4"/>
        <v>1242.5053828611626</v>
      </c>
      <c r="AS181" s="124">
        <f t="shared" si="4"/>
        <v>348.44160171927081</v>
      </c>
      <c r="AT181" s="124">
        <f t="shared" si="4"/>
        <v>607.21667981878647</v>
      </c>
      <c r="AU181" s="124">
        <f t="shared" si="4"/>
        <v>328.95872547974233</v>
      </c>
      <c r="AV181" s="124">
        <f t="shared" si="4"/>
        <v>924.86103133997437</v>
      </c>
      <c r="AW181" s="124">
        <f t="shared" si="4"/>
        <v>623.55158880963506</v>
      </c>
      <c r="AX181" s="124">
        <f t="shared" si="4"/>
        <v>507.37666348513727</v>
      </c>
      <c r="AY181" s="124">
        <f t="shared" si="4"/>
        <v>462.44988529960949</v>
      </c>
    </row>
    <row r="182" spans="1:51">
      <c r="A182" s="125"/>
      <c r="B182" s="136" t="s">
        <v>299</v>
      </c>
      <c r="C182" s="125" t="s">
        <v>293</v>
      </c>
      <c r="D182" s="125">
        <v>602</v>
      </c>
      <c r="E182" s="125">
        <v>506.62172628364584</v>
      </c>
      <c r="F182" s="125">
        <v>462.44988529960949</v>
      </c>
      <c r="G182" s="125">
        <v>3.8739259244635345E-2</v>
      </c>
      <c r="H182" s="125">
        <v>666.11810649645486</v>
      </c>
      <c r="I182" s="125">
        <v>144.34980951002825</v>
      </c>
      <c r="J182" s="125">
        <v>676</v>
      </c>
      <c r="K182" s="125">
        <v>601.24943623652871</v>
      </c>
      <c r="L182" s="125">
        <v>144.80553377842156</v>
      </c>
      <c r="M182" s="125">
        <v>317.68309078043256</v>
      </c>
      <c r="N182" s="125">
        <v>576.42367362623088</v>
      </c>
      <c r="O182" s="125">
        <v>194.37591016907894</v>
      </c>
      <c r="P182" s="125">
        <v>560.77389929640697</v>
      </c>
      <c r="Q182" s="125">
        <v>569</v>
      </c>
      <c r="R182" s="125">
        <v>198.63603809324198</v>
      </c>
      <c r="S182" s="125">
        <v>591</v>
      </c>
      <c r="T182" s="125">
        <v>250.2708009364228</v>
      </c>
      <c r="U182" s="125">
        <v>649.43569842173224</v>
      </c>
      <c r="V182" s="125">
        <v>535.32327314267991</v>
      </c>
      <c r="W182" s="125">
        <v>3.8739259244603641E-2</v>
      </c>
      <c r="X182" s="125">
        <v>462.44988529960949</v>
      </c>
      <c r="Y182" s="125">
        <v>747.70045658025447</v>
      </c>
      <c r="Z182" s="125">
        <v>468.77995545300922</v>
      </c>
      <c r="AA182" s="125">
        <v>3.8739259244603641E-2</v>
      </c>
      <c r="AB182" s="125">
        <v>514.7373538687724</v>
      </c>
      <c r="AC182" s="125">
        <v>225.20376483041846</v>
      </c>
      <c r="AD182" s="125">
        <v>514.73735386877252</v>
      </c>
      <c r="AE182" s="125">
        <v>410.16241673044652</v>
      </c>
      <c r="AF182" s="125">
        <v>554.92921124962356</v>
      </c>
      <c r="AG182" s="125">
        <v>690.68689343875963</v>
      </c>
      <c r="AH182" s="125">
        <v>638</v>
      </c>
      <c r="AI182" s="125">
        <v>494.91960359635254</v>
      </c>
      <c r="AJ182" s="125">
        <v>144.80553377842156</v>
      </c>
      <c r="AK182" s="125">
        <v>3.8739259244603641E-2</v>
      </c>
      <c r="AL182" s="125">
        <v>605.02150137585409</v>
      </c>
      <c r="AM182" s="125">
        <v>355.58848524903408</v>
      </c>
      <c r="AN182" s="125">
        <v>607.21667981878647</v>
      </c>
      <c r="AO182" s="125">
        <v>654</v>
      </c>
      <c r="AP182" s="125">
        <v>215.13323173990196</v>
      </c>
      <c r="AQ182" s="125">
        <v>3.8739259244603641E-2</v>
      </c>
      <c r="AR182" s="125">
        <v>617.83552558614781</v>
      </c>
      <c r="AS182" s="125">
        <v>348.44160171927081</v>
      </c>
      <c r="AT182" s="125">
        <v>587</v>
      </c>
      <c r="AU182" s="125">
        <v>328.95872547974233</v>
      </c>
      <c r="AV182" s="125">
        <v>636.01329505044907</v>
      </c>
      <c r="AW182" s="125">
        <v>543</v>
      </c>
      <c r="AX182" s="125">
        <v>507.37666348513727</v>
      </c>
      <c r="AY182" s="125">
        <v>462.44988529960949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1048.2924055233429</v>
      </c>
      <c r="D185" s="124">
        <v>913</v>
      </c>
      <c r="E185" s="124">
        <v>933.87869612039685</v>
      </c>
      <c r="F185" s="124">
        <v>803.75739224079371</v>
      </c>
      <c r="G185" s="124">
        <v>555.63608836119056</v>
      </c>
      <c r="H185" s="124">
        <v>643.51478448158741</v>
      </c>
      <c r="I185" s="124">
        <v>538.39348060198427</v>
      </c>
      <c r="J185" s="124">
        <v>477.27217672238112</v>
      </c>
      <c r="K185" s="124">
        <v>491.15087284277797</v>
      </c>
      <c r="L185" s="124">
        <v>465.02956896317482</v>
      </c>
      <c r="M185" s="124">
        <v>438.90826508357168</v>
      </c>
      <c r="N185" s="124">
        <v>502.78696120396853</v>
      </c>
      <c r="O185" s="124">
        <v>465.66565732436538</v>
      </c>
      <c r="P185" s="124">
        <v>464.54435344476224</v>
      </c>
      <c r="Q185" s="124">
        <v>339.42304956515909</v>
      </c>
      <c r="R185" s="124">
        <v>229.30174568555594</v>
      </c>
      <c r="S185" s="124">
        <v>169.1804418059528</v>
      </c>
      <c r="T185" s="124">
        <v>89.059137926349649</v>
      </c>
      <c r="U185" s="124">
        <v>162.9378340467465</v>
      </c>
      <c r="V185" s="124">
        <v>99.816530167143355</v>
      </c>
      <c r="W185" s="124">
        <v>178.69522628754021</v>
      </c>
      <c r="X185" s="124">
        <v>166.57392240793706</v>
      </c>
      <c r="Y185" s="124">
        <v>293.07026726010565</v>
      </c>
      <c r="Z185" s="124">
        <v>567.56661211227424</v>
      </c>
      <c r="AA185" s="124">
        <v>842.50365514783141</v>
      </c>
      <c r="AB185" s="124">
        <v>1049</v>
      </c>
      <c r="AC185" s="124">
        <v>921.261047388625</v>
      </c>
      <c r="AD185" s="124">
        <v>896.52209477725</v>
      </c>
      <c r="AE185" s="124">
        <v>729.78314216587501</v>
      </c>
      <c r="AF185" s="124">
        <v>395.04418955450001</v>
      </c>
      <c r="AG185" s="124">
        <v>722.87493340632591</v>
      </c>
      <c r="AH185" s="124">
        <v>1004.7536295267228</v>
      </c>
      <c r="AI185" s="124">
        <v>1053.1213038796031</v>
      </c>
      <c r="AJ185" s="124">
        <v>1026</v>
      </c>
      <c r="AK185" s="124">
        <v>1053.1213038796031</v>
      </c>
      <c r="AL185" s="124">
        <v>1053.1213038796031</v>
      </c>
      <c r="AM185" s="124">
        <v>1049</v>
      </c>
      <c r="AN185" s="124">
        <v>1053.1213038796031</v>
      </c>
      <c r="AO185" s="124">
        <v>1053.1213038796031</v>
      </c>
      <c r="AP185" s="124">
        <v>1053.1213038796031</v>
      </c>
      <c r="AQ185" s="124">
        <v>1053.1213038796031</v>
      </c>
      <c r="AR185" s="124">
        <v>1053.1213038796031</v>
      </c>
      <c r="AS185" s="124">
        <v>1053.1213038796031</v>
      </c>
      <c r="AT185" s="124">
        <v>1053.1213038796031</v>
      </c>
      <c r="AU185" s="124">
        <v>1053.1213038796031</v>
      </c>
      <c r="AV185" s="124">
        <v>1053.1213038796031</v>
      </c>
      <c r="AW185" s="124">
        <v>1053.1213038796031</v>
      </c>
      <c r="AX185" s="124">
        <v>1053.1213038796031</v>
      </c>
      <c r="AY185" s="124">
        <v>995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140.12130387960315</v>
      </c>
      <c r="F186" s="106">
        <v>119.24260775920629</v>
      </c>
      <c r="G186" s="106">
        <v>249.36391163880944</v>
      </c>
      <c r="H186" s="106">
        <v>497.48521551841259</v>
      </c>
      <c r="I186" s="106">
        <v>409.60651939801573</v>
      </c>
      <c r="J186" s="106">
        <v>514.72782327761888</v>
      </c>
      <c r="K186" s="106">
        <v>575.84912715722203</v>
      </c>
      <c r="L186" s="106">
        <v>561.97043103682518</v>
      </c>
      <c r="M186" s="106">
        <v>588.09173491642832</v>
      </c>
      <c r="N186" s="106">
        <v>614.21303879603147</v>
      </c>
      <c r="O186" s="106">
        <v>550.33434267563462</v>
      </c>
      <c r="P186" s="106">
        <v>587.45564655523776</v>
      </c>
      <c r="Q186" s="106">
        <v>588.57695043484091</v>
      </c>
      <c r="R186" s="106">
        <v>713.69825431444406</v>
      </c>
      <c r="S186" s="106">
        <v>823.8195581940472</v>
      </c>
      <c r="T186" s="106">
        <v>883.94086207365035</v>
      </c>
      <c r="U186" s="106">
        <v>964.0621659532535</v>
      </c>
      <c r="V186" s="106">
        <v>890.18346983285664</v>
      </c>
      <c r="W186" s="106">
        <v>953.30477371245979</v>
      </c>
      <c r="X186" s="106">
        <v>874.42607759206294</v>
      </c>
      <c r="Y186" s="106">
        <v>675.92973273989435</v>
      </c>
      <c r="Z186" s="106">
        <v>549.43338788772576</v>
      </c>
      <c r="AA186" s="106">
        <v>274.93704303555717</v>
      </c>
      <c r="AB186" s="106">
        <v>0</v>
      </c>
      <c r="AC186" s="106">
        <v>214.738952611375</v>
      </c>
      <c r="AD186" s="106">
        <v>342.47790522275</v>
      </c>
      <c r="AE186" s="106">
        <v>367.21685783412499</v>
      </c>
      <c r="AF186" s="106">
        <v>533.95581044549999</v>
      </c>
      <c r="AG186" s="106">
        <v>392.12506659367409</v>
      </c>
      <c r="AH186" s="106">
        <v>330.24637047327724</v>
      </c>
      <c r="AI186" s="106">
        <v>48.367674352880385</v>
      </c>
      <c r="AJ186" s="106">
        <v>0</v>
      </c>
      <c r="AK186" s="106">
        <v>27.121303879603147</v>
      </c>
      <c r="AL186" s="106">
        <v>0</v>
      </c>
      <c r="AM186" s="106">
        <v>0</v>
      </c>
      <c r="AN186" s="106">
        <v>4.1213038796031469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164.088628965319</v>
      </c>
      <c r="D189" s="124">
        <v>173.17725793063801</v>
      </c>
      <c r="E189" s="124">
        <v>175.26588689595701</v>
      </c>
      <c r="F189" s="124">
        <v>202.97627108232405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71.502427073139529</v>
      </c>
      <c r="M189" s="124">
        <v>0</v>
      </c>
      <c r="N189" s="124">
        <v>43.700485414627906</v>
      </c>
      <c r="O189" s="124">
        <v>0</v>
      </c>
      <c r="P189" s="124">
        <v>58.700485414627906</v>
      </c>
      <c r="Q189" s="124">
        <v>177.40097082925581</v>
      </c>
      <c r="R189" s="124">
        <v>190.43998309333267</v>
      </c>
      <c r="S189" s="124">
        <v>197.14046850796058</v>
      </c>
      <c r="T189" s="124">
        <v>190.43998309333267</v>
      </c>
      <c r="U189" s="124">
        <v>358.14046850796058</v>
      </c>
      <c r="V189" s="124">
        <v>362.84095392258848</v>
      </c>
      <c r="W189" s="124">
        <v>0</v>
      </c>
      <c r="X189" s="124">
        <v>591</v>
      </c>
      <c r="Y189" s="124">
        <v>81.400970829255812</v>
      </c>
      <c r="Z189" s="124">
        <v>196.10145624388372</v>
      </c>
      <c r="AA189" s="124">
        <v>0</v>
      </c>
      <c r="AB189" s="124">
        <v>136.35656911046794</v>
      </c>
      <c r="AC189" s="124">
        <v>0</v>
      </c>
      <c r="AD189" s="124">
        <v>190.43998309333276</v>
      </c>
      <c r="AE189" s="124">
        <v>0</v>
      </c>
      <c r="AF189" s="124">
        <v>565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0</v>
      </c>
      <c r="AO189" s="124">
        <v>27.942410166472314</v>
      </c>
      <c r="AP189" s="124">
        <v>143.64289558110022</v>
      </c>
      <c r="AQ189" s="124">
        <v>0</v>
      </c>
      <c r="AR189" s="124">
        <v>238.14046850796063</v>
      </c>
      <c r="AS189" s="124">
        <v>0</v>
      </c>
      <c r="AT189" s="124">
        <v>0</v>
      </c>
      <c r="AU189" s="124">
        <v>0</v>
      </c>
      <c r="AV189" s="124">
        <v>177.70048541462791</v>
      </c>
      <c r="AW189" s="124">
        <v>322.40097082925581</v>
      </c>
      <c r="AX189" s="124">
        <v>548.10145624388372</v>
      </c>
      <c r="AY189" s="124">
        <v>608.29951458537209</v>
      </c>
    </row>
    <row r="190" spans="1:51">
      <c r="A190" s="109"/>
      <c r="B190" s="119">
        <v>2</v>
      </c>
      <c r="C190" s="106">
        <v>0</v>
      </c>
      <c r="D190" s="106">
        <v>443.82274206936199</v>
      </c>
      <c r="E190" s="106">
        <v>434.73411310404299</v>
      </c>
      <c r="F190" s="106">
        <v>435.02372891767595</v>
      </c>
      <c r="G190" s="106">
        <v>405.32324350304805</v>
      </c>
      <c r="H190" s="106">
        <v>591</v>
      </c>
      <c r="I190" s="106">
        <v>539.70048541462791</v>
      </c>
      <c r="J190" s="106">
        <v>514.40097082925581</v>
      </c>
      <c r="K190" s="106">
        <v>580.10145624388372</v>
      </c>
      <c r="L190" s="106">
        <v>608.29951458537209</v>
      </c>
      <c r="M190" s="106">
        <v>536.79708751223257</v>
      </c>
      <c r="N190" s="106">
        <v>608.29951458537209</v>
      </c>
      <c r="O190" s="106">
        <v>564.59902917074419</v>
      </c>
      <c r="P190" s="106">
        <v>608.29951458537209</v>
      </c>
      <c r="Q190" s="106">
        <v>549.59902917074419</v>
      </c>
      <c r="R190" s="106">
        <v>430.89854375611628</v>
      </c>
      <c r="S190" s="106">
        <v>417.85953149203942</v>
      </c>
      <c r="T190" s="106">
        <v>411.15904607741152</v>
      </c>
      <c r="U190" s="106">
        <v>417.85953149203942</v>
      </c>
      <c r="V190" s="106">
        <v>250.15904607741152</v>
      </c>
      <c r="W190" s="106">
        <v>245.45856066278361</v>
      </c>
      <c r="X190" s="106">
        <v>0</v>
      </c>
      <c r="Y190" s="106">
        <v>17.299514585372094</v>
      </c>
      <c r="Z190" s="106">
        <v>526.89854375611628</v>
      </c>
      <c r="AA190" s="106">
        <v>290.54197464564834</v>
      </c>
      <c r="AB190" s="106">
        <v>486.64343088953206</v>
      </c>
      <c r="AC190" s="106">
        <v>350.28686177906411</v>
      </c>
      <c r="AD190" s="106">
        <v>486.64343088953206</v>
      </c>
      <c r="AE190" s="106">
        <v>539.51561518787935</v>
      </c>
      <c r="AF190" s="106">
        <v>0</v>
      </c>
      <c r="AG190" s="106">
        <v>19.044401718787867</v>
      </c>
      <c r="AH190" s="106">
        <v>491.08880343757573</v>
      </c>
      <c r="AI190" s="106">
        <v>447.1332051563636</v>
      </c>
      <c r="AJ190" s="106">
        <v>586.83369057099151</v>
      </c>
      <c r="AK190" s="106">
        <v>190.43998309333273</v>
      </c>
      <c r="AL190" s="106">
        <v>294.14046850796063</v>
      </c>
      <c r="AM190" s="106">
        <v>367.84095392258854</v>
      </c>
      <c r="AN190" s="106">
        <v>503.54143933721645</v>
      </c>
      <c r="AO190" s="106">
        <v>608.29951458537209</v>
      </c>
      <c r="AP190" s="106">
        <v>580.35710441889978</v>
      </c>
      <c r="AQ190" s="106">
        <v>46.797087512232508</v>
      </c>
      <c r="AR190" s="106">
        <v>0</v>
      </c>
      <c r="AS190" s="106">
        <v>694</v>
      </c>
      <c r="AT190" s="106">
        <v>551.54143933721639</v>
      </c>
      <c r="AU190" s="106">
        <v>608.29951458537209</v>
      </c>
      <c r="AV190" s="106">
        <v>608.29951458537209</v>
      </c>
      <c r="AW190" s="106">
        <v>430.59902917074419</v>
      </c>
      <c r="AX190" s="106">
        <v>285.89854375611628</v>
      </c>
      <c r="AY190" s="106">
        <v>60.198058341488377</v>
      </c>
    </row>
    <row r="191" spans="1:51">
      <c r="A191" s="109"/>
      <c r="B191" s="120">
        <v>3</v>
      </c>
      <c r="C191" s="106">
        <v>607.911371034681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17.299514585372094</v>
      </c>
      <c r="J191" s="106">
        <v>68.599029170744188</v>
      </c>
      <c r="K191" s="106">
        <v>93.898543756116283</v>
      </c>
      <c r="L191" s="106">
        <v>28.198058341488377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608.29951458537209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729.95559828121213</v>
      </c>
      <c r="AH191" s="106">
        <v>145.91119656242427</v>
      </c>
      <c r="AI191" s="106">
        <v>238.8667948436364</v>
      </c>
      <c r="AJ191" s="106">
        <v>161.16630942900849</v>
      </c>
      <c r="AK191" s="106">
        <v>21.465824014380587</v>
      </c>
      <c r="AL191" s="106">
        <v>417.85953149203937</v>
      </c>
      <c r="AM191" s="106">
        <v>314.15904607741146</v>
      </c>
      <c r="AN191" s="106">
        <v>240.45856066278355</v>
      </c>
      <c r="AO191" s="106">
        <v>104.75807524815565</v>
      </c>
      <c r="AP191" s="106">
        <v>0</v>
      </c>
      <c r="AQ191" s="106">
        <v>0</v>
      </c>
      <c r="AR191" s="106">
        <v>417.85953149203937</v>
      </c>
      <c r="AS191" s="106">
        <v>0</v>
      </c>
      <c r="AT191" s="106">
        <v>284.45856066278361</v>
      </c>
      <c r="AU191" s="106">
        <v>56.758075248155706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366.13734115110674</v>
      </c>
      <c r="D197" s="106">
        <v>390</v>
      </c>
      <c r="E197" s="106">
        <v>133.75584482158968</v>
      </c>
      <c r="F197" s="106">
        <v>46.748835815994198</v>
      </c>
      <c r="G197" s="106">
        <v>173.7162101517788</v>
      </c>
      <c r="H197" s="106">
        <v>3.0718400696542858E-2</v>
      </c>
      <c r="I197" s="106">
        <v>433</v>
      </c>
      <c r="J197" s="106">
        <v>76.628936554443044</v>
      </c>
      <c r="K197" s="106">
        <v>431.1663635610106</v>
      </c>
      <c r="L197" s="106">
        <v>184.79530011545364</v>
      </c>
      <c r="M197" s="106">
        <v>114.82394078818675</v>
      </c>
      <c r="N197" s="106">
        <v>251.90766853563656</v>
      </c>
      <c r="O197" s="106">
        <v>499.44382312602363</v>
      </c>
      <c r="P197" s="106">
        <v>154.13090520460571</v>
      </c>
      <c r="Q197" s="106">
        <v>514</v>
      </c>
      <c r="R197" s="106">
        <v>245.0645539569245</v>
      </c>
      <c r="S197" s="106">
        <v>103.34219441473323</v>
      </c>
      <c r="T197" s="106">
        <v>464.35265815417711</v>
      </c>
      <c r="U197" s="106">
        <v>198.45291045098293</v>
      </c>
      <c r="V197" s="106">
        <v>488</v>
      </c>
      <c r="W197" s="106">
        <v>313.04810756845256</v>
      </c>
      <c r="X197" s="106">
        <v>3.0718400696528647E-2</v>
      </c>
      <c r="Y197" s="106">
        <v>366.70089092312679</v>
      </c>
      <c r="Z197" s="106">
        <v>447</v>
      </c>
      <c r="AA197" s="106">
        <v>299.68343054808122</v>
      </c>
      <c r="AB197" s="106">
        <v>3.0718400696528647E-2</v>
      </c>
      <c r="AC197" s="106">
        <v>408.16238095248372</v>
      </c>
      <c r="AD197" s="106">
        <v>178.57593617750325</v>
      </c>
      <c r="AE197" s="106">
        <v>408.16238095248377</v>
      </c>
      <c r="AF197" s="106">
        <v>325.23940089376975</v>
      </c>
      <c r="AG197" s="106">
        <v>440.03262328125999</v>
      </c>
      <c r="AH197" s="106">
        <v>449</v>
      </c>
      <c r="AI197" s="106">
        <v>144.96547183817654</v>
      </c>
      <c r="AJ197" s="106">
        <v>22.898575307013402</v>
      </c>
      <c r="AK197" s="106">
        <v>114.82394078818675</v>
      </c>
      <c r="AL197" s="106">
        <v>3.0718400696530836E-2</v>
      </c>
      <c r="AM197" s="106">
        <v>521</v>
      </c>
      <c r="AN197" s="106">
        <v>26.751986419503055</v>
      </c>
      <c r="AO197" s="106">
        <v>215.78713252328777</v>
      </c>
      <c r="AP197" s="106">
        <v>316.29301921267074</v>
      </c>
      <c r="AQ197" s="106">
        <v>151.53519481970375</v>
      </c>
      <c r="AR197" s="106">
        <v>3.0718400696530836E-2</v>
      </c>
      <c r="AS197" s="106">
        <v>438</v>
      </c>
      <c r="AT197" s="106">
        <v>0</v>
      </c>
      <c r="AU197" s="106">
        <v>274.49070312111058</v>
      </c>
      <c r="AV197" s="106">
        <v>260.84871365511322</v>
      </c>
      <c r="AW197" s="106">
        <v>537</v>
      </c>
      <c r="AX197" s="106">
        <v>243.62893655444304</v>
      </c>
      <c r="AY197" s="106">
        <v>236.10717380788731</v>
      </c>
    </row>
    <row r="198" spans="1:51">
      <c r="A198" s="109"/>
      <c r="B198" s="119">
        <v>2</v>
      </c>
      <c r="C198" s="106">
        <v>142.85052513217437</v>
      </c>
      <c r="D198" s="106">
        <v>0</v>
      </c>
      <c r="E198" s="106">
        <v>342.24415517841032</v>
      </c>
      <c r="F198" s="106">
        <v>404.2511641840058</v>
      </c>
      <c r="G198" s="106">
        <v>354.97823622958356</v>
      </c>
      <c r="H198" s="106">
        <v>192.984680771348</v>
      </c>
      <c r="I198" s="106">
        <v>1.3117978925336615E-14</v>
      </c>
      <c r="J198" s="106">
        <v>300.37106344555696</v>
      </c>
      <c r="K198" s="106">
        <v>37.833636438989373</v>
      </c>
      <c r="L198" s="106">
        <v>302.20469988454636</v>
      </c>
      <c r="M198" s="106">
        <v>291.96707121072848</v>
      </c>
      <c r="N198" s="106">
        <v>0</v>
      </c>
      <c r="O198" s="106">
        <v>0</v>
      </c>
      <c r="P198" s="106">
        <v>233.92724031953333</v>
      </c>
      <c r="Q198" s="106">
        <v>0</v>
      </c>
      <c r="R198" s="106">
        <v>219.37106344555696</v>
      </c>
      <c r="S198" s="106">
        <v>282.65780558526677</v>
      </c>
      <c r="T198" s="106">
        <v>54.166790782745608</v>
      </c>
      <c r="U198" s="106">
        <v>154.22518290388973</v>
      </c>
      <c r="V198" s="106">
        <v>2.8421709430404007E-14</v>
      </c>
      <c r="W198" s="106">
        <v>130.57784105806684</v>
      </c>
      <c r="X198" s="106">
        <v>111.43793391066907</v>
      </c>
      <c r="Y198" s="106">
        <v>2.1892210266827306E-15</v>
      </c>
      <c r="Z198" s="106">
        <v>0</v>
      </c>
      <c r="AA198" s="106">
        <v>286.37106344555696</v>
      </c>
      <c r="AB198" s="106">
        <v>72.036906673218368</v>
      </c>
      <c r="AC198" s="106">
        <v>2.1892210266827306E-15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431.03452816182346</v>
      </c>
      <c r="AJ198" s="106">
        <v>407.1014246929866</v>
      </c>
      <c r="AK198" s="106">
        <v>369.54926681218643</v>
      </c>
      <c r="AL198" s="106">
        <v>0</v>
      </c>
      <c r="AM198" s="106">
        <v>0</v>
      </c>
      <c r="AN198" s="106">
        <v>464.24801358049694</v>
      </c>
      <c r="AO198" s="106">
        <v>255.21286747671223</v>
      </c>
      <c r="AP198" s="106">
        <v>265.70698078732926</v>
      </c>
      <c r="AQ198" s="106">
        <v>302.2848218453961</v>
      </c>
      <c r="AR198" s="106">
        <v>19.055284827800136</v>
      </c>
      <c r="AS198" s="106">
        <v>0</v>
      </c>
      <c r="AT198" s="106">
        <v>500</v>
      </c>
      <c r="AU198" s="106">
        <v>276.29771321568495</v>
      </c>
      <c r="AV198" s="106">
        <v>207.00341018950644</v>
      </c>
      <c r="AW198" s="106">
        <v>0</v>
      </c>
      <c r="AX198" s="106">
        <v>196.37106344555696</v>
      </c>
      <c r="AY198" s="106">
        <v>250.81798714818342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47.248013580497172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80.69402667174802</v>
      </c>
      <c r="D209" s="124">
        <v>387.36490833253487</v>
      </c>
      <c r="E209" s="124">
        <v>463.96270089066536</v>
      </c>
      <c r="F209" s="124">
        <v>462.44988529960943</v>
      </c>
      <c r="G209" s="124">
        <v>3.8739259244603641E-2</v>
      </c>
      <c r="H209" s="124">
        <v>203.70696045608992</v>
      </c>
      <c r="I209" s="124">
        <v>3.8739259244579216E-2</v>
      </c>
      <c r="J209" s="124">
        <v>213.58885395963506</v>
      </c>
      <c r="K209" s="124">
        <v>462.44988529960949</v>
      </c>
      <c r="L209" s="124">
        <v>144.80553377842156</v>
      </c>
      <c r="M209" s="124">
        <v>3.8739259244603641E-2</v>
      </c>
      <c r="N209" s="124">
        <v>114.01252758586594</v>
      </c>
      <c r="O209" s="124">
        <v>3.8739259244603641E-2</v>
      </c>
      <c r="P209" s="124">
        <v>98.362753256042026</v>
      </c>
      <c r="Q209" s="124">
        <v>365.93433657549701</v>
      </c>
      <c r="R209" s="124">
        <v>144.80553377842156</v>
      </c>
      <c r="S209" s="124">
        <v>273.35564847881204</v>
      </c>
      <c r="T209" s="124">
        <v>144.80553377842156</v>
      </c>
      <c r="U209" s="124">
        <v>331.79134690054428</v>
      </c>
      <c r="V209" s="124">
        <v>462.44988529960949</v>
      </c>
      <c r="W209" s="124">
        <v>3.8739259244603641E-2</v>
      </c>
      <c r="X209" s="124">
        <v>462.44988529960949</v>
      </c>
      <c r="Y209" s="124">
        <v>285.28931053988953</v>
      </c>
      <c r="Z209" s="124">
        <v>369.97055934959542</v>
      </c>
      <c r="AA209" s="124">
        <v>3.8739259244603641E-2</v>
      </c>
      <c r="AB209" s="124">
        <v>144.80553377842156</v>
      </c>
      <c r="AC209" s="124">
        <v>3.8739259244603641E-2</v>
      </c>
      <c r="AD209" s="124">
        <v>144.80553377842159</v>
      </c>
      <c r="AE209" s="124">
        <v>3.8739259244603641E-2</v>
      </c>
      <c r="AF209" s="124">
        <v>554.92921124962356</v>
      </c>
      <c r="AG209" s="124">
        <v>135.79642144838067</v>
      </c>
      <c r="AH209" s="124">
        <v>404.2332158067934</v>
      </c>
      <c r="AI209" s="124">
        <v>462.44988529960949</v>
      </c>
      <c r="AJ209" s="124">
        <v>144.80553377842156</v>
      </c>
      <c r="AK209" s="124">
        <v>3.8739259244603641E-2</v>
      </c>
      <c r="AL209" s="124">
        <v>0</v>
      </c>
      <c r="AM209" s="124">
        <v>3.8739259244550794E-2</v>
      </c>
      <c r="AN209" s="124">
        <v>144.80553377842148</v>
      </c>
      <c r="AO209" s="124">
        <v>336.35564847881199</v>
      </c>
      <c r="AP209" s="124">
        <v>144.80553377842156</v>
      </c>
      <c r="AQ209" s="124">
        <v>3.8739259244603641E-2</v>
      </c>
      <c r="AR209" s="124">
        <v>300.19117406495985</v>
      </c>
      <c r="AS209" s="124">
        <v>3.8739259244603641E-2</v>
      </c>
      <c r="AT209" s="124">
        <v>124.58885395963506</v>
      </c>
      <c r="AU209" s="124">
        <v>3.8739259244603641E-2</v>
      </c>
      <c r="AV209" s="124">
        <v>173.60214901008413</v>
      </c>
      <c r="AW209" s="124">
        <v>381.89829648997443</v>
      </c>
      <c r="AX209" s="124">
        <v>462.44988529960949</v>
      </c>
      <c r="AY209" s="124">
        <v>462.44988529960949</v>
      </c>
    </row>
    <row r="210" spans="1:51">
      <c r="A210" s="109"/>
      <c r="B210" s="119">
        <v>2</v>
      </c>
      <c r="C210" s="106">
        <v>0</v>
      </c>
      <c r="D210" s="110">
        <v>214.63509166746513</v>
      </c>
      <c r="E210" s="110">
        <v>42.659025392980453</v>
      </c>
      <c r="F210" s="110">
        <v>3.1703802596642252E-14</v>
      </c>
      <c r="G210" s="110">
        <v>3.1703802596642252E-14</v>
      </c>
      <c r="H210" s="110">
        <v>462.41114604036494</v>
      </c>
      <c r="I210" s="110">
        <v>144.31107025078367</v>
      </c>
      <c r="J210" s="110">
        <v>462.41114604036494</v>
      </c>
      <c r="K210" s="110">
        <v>138.7995509369191</v>
      </c>
      <c r="L210" s="110">
        <v>0</v>
      </c>
      <c r="M210" s="110">
        <v>317.64435152118796</v>
      </c>
      <c r="N210" s="110">
        <v>462.41114604036494</v>
      </c>
      <c r="O210" s="110">
        <v>194.33717090983433</v>
      </c>
      <c r="P210" s="110">
        <v>462.41114604036494</v>
      </c>
      <c r="Q210" s="110">
        <v>203.06566342450296</v>
      </c>
      <c r="R210" s="110">
        <v>53.830504314820395</v>
      </c>
      <c r="S210" s="110">
        <v>317.64435152118796</v>
      </c>
      <c r="T210" s="110">
        <v>105.46526715800123</v>
      </c>
      <c r="U210" s="110">
        <v>317.64435152118796</v>
      </c>
      <c r="V210" s="110">
        <v>72.87338784307039</v>
      </c>
      <c r="W210" s="110">
        <v>0</v>
      </c>
      <c r="X210" s="110">
        <v>0</v>
      </c>
      <c r="Y210" s="110">
        <v>0</v>
      </c>
      <c r="Z210" s="110">
        <v>98.809396103413832</v>
      </c>
      <c r="AA210" s="110">
        <v>0</v>
      </c>
      <c r="AB210" s="110">
        <v>369.93182009035081</v>
      </c>
      <c r="AC210" s="110">
        <v>225.16502557117386</v>
      </c>
      <c r="AD210" s="110">
        <v>369.93182009035081</v>
      </c>
      <c r="AE210" s="110">
        <v>410.12367747120192</v>
      </c>
      <c r="AF210" s="110">
        <v>0</v>
      </c>
      <c r="AG210" s="110">
        <v>0</v>
      </c>
      <c r="AH210" s="110">
        <v>233.76678419320658</v>
      </c>
      <c r="AI210" s="110">
        <v>32.469718296743046</v>
      </c>
      <c r="AJ210" s="110">
        <v>0</v>
      </c>
      <c r="AK210" s="110">
        <v>0</v>
      </c>
      <c r="AL210" s="110">
        <v>287.37714985466613</v>
      </c>
      <c r="AM210" s="110">
        <v>257.92642610536785</v>
      </c>
      <c r="AN210" s="110">
        <v>462.411146040365</v>
      </c>
      <c r="AO210" s="110">
        <v>317.64435152118801</v>
      </c>
      <c r="AP210" s="110">
        <v>70.327697961480382</v>
      </c>
      <c r="AQ210" s="110">
        <v>0</v>
      </c>
      <c r="AR210" s="110">
        <v>0</v>
      </c>
      <c r="AS210" s="110">
        <v>348.4028624600262</v>
      </c>
      <c r="AT210" s="110">
        <v>462.41114604036494</v>
      </c>
      <c r="AU210" s="110">
        <v>328.91998622049772</v>
      </c>
      <c r="AV210" s="110">
        <v>462.41114604036494</v>
      </c>
      <c r="AW210" s="110">
        <v>161.1017035100256</v>
      </c>
      <c r="AX210" s="110">
        <v>44.926778185527766</v>
      </c>
      <c r="AY210" s="110">
        <v>0</v>
      </c>
    </row>
    <row r="211" spans="1:51">
      <c r="A211" s="109"/>
      <c r="B211" s="119">
        <v>3</v>
      </c>
      <c r="C211" s="106">
        <v>465.48578281406196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462.41114604036494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554.89047199037896</v>
      </c>
      <c r="AH211" s="110">
        <v>0</v>
      </c>
      <c r="AI211" s="110">
        <v>0</v>
      </c>
      <c r="AJ211" s="110">
        <v>0</v>
      </c>
      <c r="AK211" s="110">
        <v>0</v>
      </c>
      <c r="AL211" s="110">
        <v>317.64435152118796</v>
      </c>
      <c r="AM211" s="110">
        <v>97.623319884421647</v>
      </c>
      <c r="AN211" s="110">
        <v>0</v>
      </c>
      <c r="AO211" s="110">
        <v>0</v>
      </c>
      <c r="AP211" s="110">
        <v>0</v>
      </c>
      <c r="AQ211" s="110">
        <v>0</v>
      </c>
      <c r="AR211" s="110">
        <v>317.64435152118796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349704.55585363705</v>
      </c>
      <c r="E259" s="124">
        <f t="shared" ref="E259:AX259" si="5">F$14*$B$259</f>
        <v>261122.59682962555</v>
      </c>
      <c r="F259" s="124">
        <f t="shared" si="5"/>
        <v>238355.57910003242</v>
      </c>
      <c r="G259" s="124">
        <f t="shared" si="5"/>
        <v>19.966960452761384</v>
      </c>
      <c r="H259" s="124">
        <f t="shared" si="5"/>
        <v>476691.191239612</v>
      </c>
      <c r="I259" s="124">
        <f t="shared" si="5"/>
        <v>74400.672445731077</v>
      </c>
      <c r="J259" s="124">
        <f t="shared" si="5"/>
        <v>476691.191239612</v>
      </c>
      <c r="K259" s="124">
        <f t="shared" si="5"/>
        <v>309895.54136201838</v>
      </c>
      <c r="L259" s="124">
        <f t="shared" si="5"/>
        <v>74635.561512321379</v>
      </c>
      <c r="M259" s="124">
        <f t="shared" si="5"/>
        <v>163739.98454816377</v>
      </c>
      <c r="N259" s="124">
        <f t="shared" si="5"/>
        <v>476691.191239612</v>
      </c>
      <c r="O259" s="124">
        <f t="shared" si="5"/>
        <v>100185.08838299371</v>
      </c>
      <c r="P259" s="124">
        <f t="shared" si="5"/>
        <v>476691.191239612</v>
      </c>
      <c r="Q259" s="124">
        <f t="shared" si="5"/>
        <v>343019.53370242432</v>
      </c>
      <c r="R259" s="124">
        <f t="shared" si="5"/>
        <v>102380.84037836124</v>
      </c>
      <c r="S259" s="124">
        <f t="shared" si="5"/>
        <v>402075.59668774344</v>
      </c>
      <c r="T259" s="124">
        <f t="shared" si="5"/>
        <v>128994.39179313892</v>
      </c>
      <c r="U259" s="124">
        <f t="shared" si="5"/>
        <v>402075.59668774344</v>
      </c>
      <c r="V259" s="124">
        <f t="shared" si="5"/>
        <v>275915.92696142907</v>
      </c>
      <c r="W259" s="124">
        <f t="shared" si="5"/>
        <v>19.966960452745045</v>
      </c>
      <c r="X259" s="124">
        <f t="shared" si="5"/>
        <v>238355.57910003242</v>
      </c>
      <c r="Y259" s="124">
        <f t="shared" si="5"/>
        <v>476691.191239612</v>
      </c>
      <c r="Z259" s="124">
        <f t="shared" si="5"/>
        <v>241618.21919384474</v>
      </c>
      <c r="AA259" s="124">
        <f t="shared" si="5"/>
        <v>19.966960452745045</v>
      </c>
      <c r="AB259" s="124">
        <f t="shared" si="5"/>
        <v>265305.5476191144</v>
      </c>
      <c r="AC259" s="124">
        <f t="shared" si="5"/>
        <v>116074.35851537711</v>
      </c>
      <c r="AD259" s="124">
        <f t="shared" si="5"/>
        <v>265305.54761911446</v>
      </c>
      <c r="AE259" s="124">
        <f t="shared" si="5"/>
        <v>211405.61058095034</v>
      </c>
      <c r="AF259" s="124">
        <f t="shared" si="5"/>
        <v>286021.20513281901</v>
      </c>
      <c r="AG259" s="124">
        <f t="shared" si="5"/>
        <v>572022.4433051853</v>
      </c>
      <c r="AH259" s="124">
        <f t="shared" si="5"/>
        <v>358843.48274525604</v>
      </c>
      <c r="AI259" s="124">
        <f t="shared" si="5"/>
        <v>255091.09737747989</v>
      </c>
      <c r="AJ259" s="124">
        <f t="shared" si="5"/>
        <v>74635.561512321379</v>
      </c>
      <c r="AK259" s="124">
        <f t="shared" si="5"/>
        <v>19.966960452745045</v>
      </c>
      <c r="AL259" s="124">
        <f t="shared" si="5"/>
        <v>640411.20882732305</v>
      </c>
      <c r="AM259" s="124">
        <f t="shared" si="5"/>
        <v>183277.15503253994</v>
      </c>
      <c r="AN259" s="124">
        <f t="shared" si="5"/>
        <v>312971.17365190107</v>
      </c>
      <c r="AO259" s="124">
        <f t="shared" si="5"/>
        <v>402075.59668774344</v>
      </c>
      <c r="AP259" s="124">
        <f t="shared" si="5"/>
        <v>110883.81177087752</v>
      </c>
      <c r="AQ259" s="124">
        <f t="shared" si="5"/>
        <v>19.966960452745045</v>
      </c>
      <c r="AR259" s="124">
        <f t="shared" si="5"/>
        <v>640411.20882732316</v>
      </c>
      <c r="AS259" s="124">
        <f t="shared" si="5"/>
        <v>179593.51359019522</v>
      </c>
      <c r="AT259" s="124">
        <f t="shared" si="5"/>
        <v>312971.17365190107</v>
      </c>
      <c r="AU259" s="124">
        <f t="shared" si="5"/>
        <v>169551.66387582358</v>
      </c>
      <c r="AV259" s="124">
        <f t="shared" si="5"/>
        <v>476691.191239612</v>
      </c>
      <c r="AW259" s="124">
        <f t="shared" si="5"/>
        <v>321390.50040670723</v>
      </c>
      <c r="AX259" s="124">
        <f t="shared" si="5"/>
        <v>261511.70600570214</v>
      </c>
      <c r="AY259" s="124">
        <f>AZ$14*$B$259</f>
        <v>238355.57910003242</v>
      </c>
      <c r="AZ259" s="139">
        <f>SUM($D259:$AY259)</f>
        <v>12744831.392614862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59615.111247066896</v>
      </c>
      <c r="E260" s="125">
        <f t="shared" ref="E260:AY260" si="6">(E$175-E$176+E$177-E$178+E$179-E$180+E$181-E$182)*$B$260</f>
        <v>57511.050051653285</v>
      </c>
      <c r="F260" s="125">
        <f t="shared" si="6"/>
        <v>60579.923482286467</v>
      </c>
      <c r="G260" s="125">
        <f t="shared" si="6"/>
        <v>41428.193777385641</v>
      </c>
      <c r="H260" s="125">
        <f t="shared" si="6"/>
        <v>77636.908404736765</v>
      </c>
      <c r="I260" s="125">
        <f t="shared" si="6"/>
        <v>53021.874953635204</v>
      </c>
      <c r="J260" s="125">
        <f t="shared" si="6"/>
        <v>93884.511196660445</v>
      </c>
      <c r="K260" s="125">
        <f t="shared" si="6"/>
        <v>90040.362230893908</v>
      </c>
      <c r="L260" s="125">
        <f t="shared" si="6"/>
        <v>59939.781728840986</v>
      </c>
      <c r="M260" s="125">
        <f t="shared" si="6"/>
        <v>36852.782327761888</v>
      </c>
      <c r="N260" s="125">
        <f t="shared" si="6"/>
        <v>87802.243773607319</v>
      </c>
      <c r="O260" s="125">
        <f t="shared" si="6"/>
        <v>49282.973212486264</v>
      </c>
      <c r="P260" s="125">
        <f t="shared" si="6"/>
        <v>90135.786698949145</v>
      </c>
      <c r="Q260" s="125">
        <f t="shared" si="6"/>
        <v>87629.004614413789</v>
      </c>
      <c r="R260" s="125">
        <f t="shared" si="6"/>
        <v>66388.641826758831</v>
      </c>
      <c r="S260" s="125">
        <f t="shared" si="6"/>
        <v>92301.656145276283</v>
      </c>
      <c r="T260" s="125">
        <f t="shared" si="6"/>
        <v>67097.240931428591</v>
      </c>
      <c r="U260" s="125">
        <f t="shared" si="6"/>
        <v>76260.063258559996</v>
      </c>
      <c r="V260" s="125">
        <f t="shared" si="6"/>
        <v>79760.470525998608</v>
      </c>
      <c r="W260" s="125">
        <f t="shared" si="6"/>
        <v>59151.840690163917</v>
      </c>
      <c r="X260" s="125">
        <f t="shared" si="6"/>
        <v>41593.754839515983</v>
      </c>
      <c r="Y260" s="125">
        <f t="shared" si="6"/>
        <v>75209.550384213711</v>
      </c>
      <c r="Z260" s="125">
        <f t="shared" si="6"/>
        <v>51111.004867605734</v>
      </c>
      <c r="AA260" s="125">
        <f t="shared" si="6"/>
        <v>4322.2144003931026</v>
      </c>
      <c r="AB260" s="125">
        <f t="shared" si="6"/>
        <v>16129.341995654391</v>
      </c>
      <c r="AC260" s="125">
        <f t="shared" si="6"/>
        <v>20548.674313365005</v>
      </c>
      <c r="AD260" s="125">
        <f t="shared" si="6"/>
        <v>22033.011470047499</v>
      </c>
      <c r="AE260" s="125">
        <f t="shared" si="6"/>
        <v>32037.34862673</v>
      </c>
      <c r="AF260" s="125">
        <f t="shared" si="6"/>
        <v>49381.962756378925</v>
      </c>
      <c r="AG260" s="125">
        <f t="shared" si="6"/>
        <v>97514.75730708937</v>
      </c>
      <c r="AH260" s="125">
        <f t="shared" si="6"/>
        <v>83087.110886191702</v>
      </c>
      <c r="AI260" s="125">
        <f t="shared" si="6"/>
        <v>70594.034922442021</v>
      </c>
      <c r="AJ260" s="125">
        <f t="shared" si="6"/>
        <v>36514.582667970179</v>
      </c>
      <c r="AK260" s="125">
        <f t="shared" si="6"/>
        <v>0</v>
      </c>
      <c r="AL260" s="125">
        <f t="shared" si="6"/>
        <v>93596.546528885519</v>
      </c>
      <c r="AM260" s="125">
        <f t="shared" si="6"/>
        <v>42529.672687373015</v>
      </c>
      <c r="AN260" s="125">
        <f t="shared" si="6"/>
        <v>33024.655549092036</v>
      </c>
      <c r="AO260" s="125">
        <f t="shared" si="6"/>
        <v>58329.499321621595</v>
      </c>
      <c r="AP260" s="125">
        <f t="shared" si="6"/>
        <v>20944.914561457721</v>
      </c>
      <c r="AQ260" s="125">
        <f t="shared" si="6"/>
        <v>1143.3170896680099</v>
      </c>
      <c r="AR260" s="125">
        <f t="shared" si="6"/>
        <v>96187.705076267885</v>
      </c>
      <c r="AS260" s="125">
        <f t="shared" si="6"/>
        <v>49902.394454596855</v>
      </c>
      <c r="AT260" s="125">
        <f t="shared" si="6"/>
        <v>35457.627897387429</v>
      </c>
      <c r="AU260" s="125">
        <f t="shared" si="6"/>
        <v>12420.204611370384</v>
      </c>
      <c r="AV260" s="125">
        <f t="shared" si="6"/>
        <v>43166.805927616166</v>
      </c>
      <c r="AW260" s="125">
        <f t="shared" si="6"/>
        <v>33769.271760678515</v>
      </c>
      <c r="AX260" s="125">
        <f t="shared" si="6"/>
        <v>18660.962729380306</v>
      </c>
      <c r="AY260" s="125">
        <f t="shared" si="6"/>
        <v>13460.389897136994</v>
      </c>
      <c r="AZ260" s="141">
        <f>SUM($D260:$AY260)</f>
        <v>2538991.7386086942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16</v>
      </c>
      <c r="E6" s="100">
        <v>9254.4</v>
      </c>
      <c r="F6" s="100">
        <v>13</v>
      </c>
      <c r="G6" s="100">
        <v>7519.2</v>
      </c>
      <c r="H6" s="100">
        <v>16</v>
      </c>
      <c r="I6" s="100">
        <v>9254.4</v>
      </c>
      <c r="J6" s="100">
        <v>18</v>
      </c>
      <c r="K6" s="100">
        <v>10411.199999999999</v>
      </c>
      <c r="L6" s="100">
        <v>27</v>
      </c>
      <c r="M6" s="100">
        <v>15616.8</v>
      </c>
      <c r="N6" s="100">
        <v>15</v>
      </c>
      <c r="O6" s="100">
        <v>8676</v>
      </c>
      <c r="P6" s="100">
        <v>14</v>
      </c>
      <c r="Q6" s="100">
        <v>8097.5999999999995</v>
      </c>
      <c r="R6" s="100">
        <v>25</v>
      </c>
      <c r="S6" s="100">
        <v>14460</v>
      </c>
      <c r="T6" s="100">
        <v>20</v>
      </c>
      <c r="U6" s="100">
        <v>11568</v>
      </c>
      <c r="V6" s="100">
        <v>19</v>
      </c>
      <c r="W6" s="100">
        <v>10989.6</v>
      </c>
      <c r="X6" s="100">
        <v>19</v>
      </c>
      <c r="Y6" s="100">
        <v>10989.6</v>
      </c>
      <c r="Z6" s="100">
        <v>14</v>
      </c>
      <c r="AA6" s="100">
        <v>8097.5999999999995</v>
      </c>
      <c r="AB6" s="100">
        <v>24</v>
      </c>
      <c r="AC6" s="100">
        <v>13881.599999999999</v>
      </c>
      <c r="AD6" s="100">
        <v>20</v>
      </c>
      <c r="AE6" s="100">
        <v>11568</v>
      </c>
      <c r="AF6" s="100">
        <v>20</v>
      </c>
      <c r="AG6" s="100">
        <v>11568</v>
      </c>
      <c r="AH6" s="100">
        <v>15</v>
      </c>
      <c r="AI6" s="100">
        <v>8676</v>
      </c>
      <c r="AJ6" s="100">
        <v>18</v>
      </c>
      <c r="AK6" s="100">
        <v>10411.199999999999</v>
      </c>
      <c r="AL6" s="100">
        <v>24</v>
      </c>
      <c r="AM6" s="100">
        <v>13881.599999999999</v>
      </c>
      <c r="AN6" s="100">
        <v>19</v>
      </c>
      <c r="AO6" s="100">
        <v>10989.6</v>
      </c>
      <c r="AP6" s="100">
        <v>21</v>
      </c>
      <c r="AQ6" s="100">
        <v>12146.4</v>
      </c>
      <c r="AR6" s="100">
        <v>20</v>
      </c>
      <c r="AS6" s="100">
        <v>11568</v>
      </c>
      <c r="AT6" s="100">
        <v>17</v>
      </c>
      <c r="AU6" s="100">
        <v>9832.7999999999993</v>
      </c>
      <c r="AV6" s="100">
        <v>27</v>
      </c>
      <c r="AW6" s="100">
        <v>15616.8</v>
      </c>
      <c r="AX6" s="100">
        <v>24.2545267822751</v>
      </c>
      <c r="AY6" s="100">
        <v>14028.818290867917</v>
      </c>
      <c r="AZ6" s="100">
        <v>18</v>
      </c>
      <c r="BA6" s="100">
        <v>10411.199999999999</v>
      </c>
      <c r="BB6" s="100">
        <v>24</v>
      </c>
      <c r="BC6" s="100">
        <v>13881.599999999999</v>
      </c>
      <c r="BD6" s="100">
        <v>28</v>
      </c>
      <c r="BE6" s="100">
        <v>16195.199999999999</v>
      </c>
      <c r="BF6" s="100">
        <v>22</v>
      </c>
      <c r="BG6" s="100">
        <v>12724.8</v>
      </c>
      <c r="BH6" s="100">
        <v>15</v>
      </c>
      <c r="BI6" s="100">
        <v>8676</v>
      </c>
      <c r="BJ6" s="100">
        <v>22</v>
      </c>
      <c r="BK6" s="100">
        <v>12724.8</v>
      </c>
      <c r="BL6" s="100">
        <v>28</v>
      </c>
      <c r="BM6" s="100">
        <v>16195.199999999999</v>
      </c>
      <c r="BN6" s="100">
        <v>18.072789798287729</v>
      </c>
      <c r="BO6" s="100">
        <v>10453.301619329623</v>
      </c>
      <c r="BP6" s="100">
        <v>28</v>
      </c>
      <c r="BQ6" s="100">
        <v>16195.199999999999</v>
      </c>
      <c r="BR6" s="100">
        <v>23.693379699024018</v>
      </c>
      <c r="BS6" s="100">
        <v>13704.250817915492</v>
      </c>
      <c r="BT6" s="100">
        <v>16.334126345887721</v>
      </c>
      <c r="BU6" s="100">
        <v>9447.6586784614574</v>
      </c>
      <c r="BV6" s="100">
        <v>20</v>
      </c>
      <c r="BW6" s="100">
        <v>11568</v>
      </c>
      <c r="BX6" s="100">
        <v>24.918175940452674</v>
      </c>
      <c r="BY6" s="100">
        <v>14412.672963957826</v>
      </c>
      <c r="BZ6" s="100">
        <v>27.818298593046123</v>
      </c>
      <c r="CA6" s="100">
        <v>16090.103906217877</v>
      </c>
      <c r="CB6" s="100">
        <v>21.378455418562112</v>
      </c>
      <c r="CC6" s="100">
        <v>12365.298614096326</v>
      </c>
      <c r="CD6" s="100">
        <v>27.199258857261743</v>
      </c>
      <c r="CE6" s="100">
        <v>15732.051323040192</v>
      </c>
      <c r="CF6" s="100">
        <v>17.729314880127998</v>
      </c>
      <c r="CG6" s="100">
        <v>10254.635726666034</v>
      </c>
      <c r="CH6" s="100">
        <v>25.471657892000412</v>
      </c>
      <c r="CI6" s="100">
        <v>14732.806924733037</v>
      </c>
      <c r="CJ6" s="100">
        <v>26.260118497427765</v>
      </c>
      <c r="CK6" s="100">
        <v>15188.852538912219</v>
      </c>
      <c r="CL6" s="100">
        <v>15.367435335582192</v>
      </c>
      <c r="CM6" s="100">
        <v>8888.5245981007392</v>
      </c>
      <c r="CN6" s="100">
        <v>14.08580815574607</v>
      </c>
      <c r="CO6" s="100">
        <v>8147.2314372835272</v>
      </c>
      <c r="CP6" s="100">
        <v>24.717012999688926</v>
      </c>
      <c r="CQ6" s="100">
        <v>14296.320319020075</v>
      </c>
      <c r="CR6" s="100">
        <v>24.425650223790974</v>
      </c>
      <c r="CS6" s="100">
        <v>14127.796089440699</v>
      </c>
      <c r="CT6" s="100">
        <v>16</v>
      </c>
      <c r="CU6" s="100">
        <v>9254.4</v>
      </c>
    </row>
    <row r="7" spans="1:99">
      <c r="C7" s="99" t="s">
        <v>173</v>
      </c>
      <c r="D7" s="100">
        <v>15</v>
      </c>
      <c r="E7" s="100">
        <v>11826</v>
      </c>
      <c r="F7" s="100">
        <v>13</v>
      </c>
      <c r="G7" s="100">
        <v>10249.199999999999</v>
      </c>
      <c r="H7" s="100">
        <v>15</v>
      </c>
      <c r="I7" s="100">
        <v>11826</v>
      </c>
      <c r="J7" s="100">
        <v>17</v>
      </c>
      <c r="K7" s="100">
        <v>13402.8</v>
      </c>
      <c r="L7" s="100">
        <v>26</v>
      </c>
      <c r="M7" s="100">
        <v>20498.399999999998</v>
      </c>
      <c r="N7" s="100">
        <v>17</v>
      </c>
      <c r="O7" s="100">
        <v>13402.8</v>
      </c>
      <c r="P7" s="100">
        <v>12</v>
      </c>
      <c r="Q7" s="100">
        <v>9460.7999999999993</v>
      </c>
      <c r="R7" s="100">
        <v>25</v>
      </c>
      <c r="S7" s="100">
        <v>19710</v>
      </c>
      <c r="T7" s="100">
        <v>23</v>
      </c>
      <c r="U7" s="100">
        <v>18133.2</v>
      </c>
      <c r="V7" s="100">
        <v>17</v>
      </c>
      <c r="W7" s="100">
        <v>13402.8</v>
      </c>
      <c r="X7" s="100">
        <v>20</v>
      </c>
      <c r="Y7" s="100">
        <v>15768</v>
      </c>
      <c r="Z7" s="100">
        <v>12</v>
      </c>
      <c r="AA7" s="100">
        <v>9460.7999999999993</v>
      </c>
      <c r="AB7" s="100">
        <v>24</v>
      </c>
      <c r="AC7" s="100">
        <v>18921.599999999999</v>
      </c>
      <c r="AD7" s="100">
        <v>18</v>
      </c>
      <c r="AE7" s="100">
        <v>14191.199999999999</v>
      </c>
      <c r="AF7" s="100">
        <v>20</v>
      </c>
      <c r="AG7" s="100">
        <v>15768</v>
      </c>
      <c r="AH7" s="100">
        <v>15</v>
      </c>
      <c r="AI7" s="100">
        <v>11826</v>
      </c>
      <c r="AJ7" s="100">
        <v>21</v>
      </c>
      <c r="AK7" s="100">
        <v>16556.399999999998</v>
      </c>
      <c r="AL7" s="100">
        <v>23</v>
      </c>
      <c r="AM7" s="100">
        <v>18133.2</v>
      </c>
      <c r="AN7" s="100">
        <v>16</v>
      </c>
      <c r="AO7" s="100">
        <v>12614.4</v>
      </c>
      <c r="AP7" s="100">
        <v>21</v>
      </c>
      <c r="AQ7" s="100">
        <v>16556.399999999998</v>
      </c>
      <c r="AR7" s="100">
        <v>21</v>
      </c>
      <c r="AS7" s="100">
        <v>16556.399999999998</v>
      </c>
      <c r="AT7" s="100">
        <v>18</v>
      </c>
      <c r="AU7" s="100">
        <v>14191.199999999999</v>
      </c>
      <c r="AV7" s="100">
        <v>28</v>
      </c>
      <c r="AW7" s="100">
        <v>22075.200000000001</v>
      </c>
      <c r="AX7" s="100">
        <v>23.388293682908131</v>
      </c>
      <c r="AY7" s="100">
        <v>18439.330739604771</v>
      </c>
      <c r="AZ7" s="100">
        <v>19</v>
      </c>
      <c r="BA7" s="100">
        <v>14979.6</v>
      </c>
      <c r="BB7" s="100">
        <v>24</v>
      </c>
      <c r="BC7" s="100">
        <v>18921.599999999999</v>
      </c>
      <c r="BD7" s="100">
        <v>26</v>
      </c>
      <c r="BE7" s="100">
        <v>20498.399999999998</v>
      </c>
      <c r="BF7" s="100">
        <v>22</v>
      </c>
      <c r="BG7" s="100">
        <v>17344.8</v>
      </c>
      <c r="BH7" s="100">
        <v>14</v>
      </c>
      <c r="BI7" s="100">
        <v>11037.6</v>
      </c>
      <c r="BJ7" s="100">
        <v>19</v>
      </c>
      <c r="BK7" s="100">
        <v>14979.6</v>
      </c>
      <c r="BL7" s="100">
        <v>28</v>
      </c>
      <c r="BM7" s="100">
        <v>22075.200000000001</v>
      </c>
      <c r="BN7" s="100">
        <v>18.072789798287729</v>
      </c>
      <c r="BO7" s="100">
        <v>14248.587476970046</v>
      </c>
      <c r="BP7" s="100">
        <v>24</v>
      </c>
      <c r="BQ7" s="100">
        <v>18921.599999999999</v>
      </c>
      <c r="BR7" s="100">
        <v>24.570912280469354</v>
      </c>
      <c r="BS7" s="100">
        <v>19371.707241922039</v>
      </c>
      <c r="BT7" s="100">
        <v>18.053508066507483</v>
      </c>
      <c r="BU7" s="100">
        <v>14233.385759634499</v>
      </c>
      <c r="BV7" s="100">
        <v>20</v>
      </c>
      <c r="BW7" s="100">
        <v>15768</v>
      </c>
      <c r="BX7" s="100">
        <v>24.918175940452674</v>
      </c>
      <c r="BY7" s="100">
        <v>19645.489911452889</v>
      </c>
      <c r="BZ7" s="100">
        <v>28.811809257083482</v>
      </c>
      <c r="CA7" s="100">
        <v>22715.230418284616</v>
      </c>
      <c r="CB7" s="100">
        <v>23.237451541915341</v>
      </c>
      <c r="CC7" s="100">
        <v>18320.406795646053</v>
      </c>
      <c r="CD7" s="100">
        <v>26.349282017972314</v>
      </c>
      <c r="CE7" s="100">
        <v>20773.773942969372</v>
      </c>
      <c r="CF7" s="100">
        <v>16.8428491361216</v>
      </c>
      <c r="CG7" s="100">
        <v>13278.90225891827</v>
      </c>
      <c r="CH7" s="100">
        <v>25.471657892000412</v>
      </c>
      <c r="CI7" s="100">
        <v>20081.855082053124</v>
      </c>
      <c r="CJ7" s="100">
        <v>25.354597169930255</v>
      </c>
      <c r="CK7" s="100">
        <v>19989.564408773011</v>
      </c>
      <c r="CL7" s="100">
        <v>14.463468551136179</v>
      </c>
      <c r="CM7" s="100">
        <v>11402.998605715764</v>
      </c>
      <c r="CN7" s="100">
        <v>14.08580815574607</v>
      </c>
      <c r="CO7" s="100">
        <v>11105.251149990201</v>
      </c>
      <c r="CP7" s="100">
        <v>22.951512071139714</v>
      </c>
      <c r="CQ7" s="100">
        <v>18094.972116886551</v>
      </c>
      <c r="CR7" s="100">
        <v>20.667857881669288</v>
      </c>
      <c r="CS7" s="100">
        <v>16294.539153908067</v>
      </c>
      <c r="CT7" s="100">
        <v>18</v>
      </c>
      <c r="CU7" s="100">
        <v>14191.199999999999</v>
      </c>
    </row>
    <row r="8" spans="1:99">
      <c r="C8" s="99" t="s">
        <v>174</v>
      </c>
      <c r="D8" s="100">
        <v>16</v>
      </c>
      <c r="E8" s="100">
        <v>4953.5999999999995</v>
      </c>
      <c r="F8" s="100">
        <v>13</v>
      </c>
      <c r="G8" s="100">
        <v>4024.7999999999997</v>
      </c>
      <c r="H8" s="100">
        <v>17</v>
      </c>
      <c r="I8" s="100">
        <v>5263.2</v>
      </c>
      <c r="J8" s="100">
        <v>18</v>
      </c>
      <c r="K8" s="100">
        <v>5572.7999999999993</v>
      </c>
      <c r="L8" s="100">
        <v>28</v>
      </c>
      <c r="M8" s="100">
        <v>8668.7999999999993</v>
      </c>
      <c r="N8" s="100">
        <v>18</v>
      </c>
      <c r="O8" s="100">
        <v>5572.7999999999993</v>
      </c>
      <c r="P8" s="100">
        <v>14</v>
      </c>
      <c r="Q8" s="100">
        <v>4334.3999999999996</v>
      </c>
      <c r="R8" s="100">
        <v>27</v>
      </c>
      <c r="S8" s="100">
        <v>8359.1999999999989</v>
      </c>
      <c r="T8" s="100">
        <v>21</v>
      </c>
      <c r="U8" s="100">
        <v>6501.5999999999995</v>
      </c>
      <c r="V8" s="100">
        <v>18</v>
      </c>
      <c r="W8" s="100">
        <v>5572.7999999999993</v>
      </c>
      <c r="X8" s="100">
        <v>23</v>
      </c>
      <c r="Y8" s="100">
        <v>7120.7999999999993</v>
      </c>
      <c r="Z8" s="100">
        <v>13</v>
      </c>
      <c r="AA8" s="100">
        <v>4024.7999999999997</v>
      </c>
      <c r="AB8" s="100">
        <v>28</v>
      </c>
      <c r="AC8" s="100">
        <v>8668.7999999999993</v>
      </c>
      <c r="AD8" s="100">
        <v>17</v>
      </c>
      <c r="AE8" s="100">
        <v>5263.2</v>
      </c>
      <c r="AF8" s="100">
        <v>19</v>
      </c>
      <c r="AG8" s="100">
        <v>5882.4</v>
      </c>
      <c r="AH8" s="100">
        <v>15</v>
      </c>
      <c r="AI8" s="100">
        <v>4643.9999999999991</v>
      </c>
      <c r="AJ8" s="100">
        <v>20</v>
      </c>
      <c r="AK8" s="100">
        <v>6191.9999999999991</v>
      </c>
      <c r="AL8" s="100">
        <v>24</v>
      </c>
      <c r="AM8" s="100">
        <v>7430.4</v>
      </c>
      <c r="AN8" s="100">
        <v>17</v>
      </c>
      <c r="AO8" s="100">
        <v>5263.2</v>
      </c>
      <c r="AP8" s="100">
        <v>21</v>
      </c>
      <c r="AQ8" s="100">
        <v>6501.5999999999995</v>
      </c>
      <c r="AR8" s="100">
        <v>22</v>
      </c>
      <c r="AS8" s="100">
        <v>6811.1999999999989</v>
      </c>
      <c r="AT8" s="100">
        <v>19</v>
      </c>
      <c r="AU8" s="100">
        <v>5882.4</v>
      </c>
      <c r="AV8" s="100">
        <v>27</v>
      </c>
      <c r="AW8" s="100">
        <v>8359.1999999999989</v>
      </c>
      <c r="AX8" s="100">
        <v>20.789594384807231</v>
      </c>
      <c r="AY8" s="100">
        <v>6436.4584215363175</v>
      </c>
      <c r="AZ8" s="100">
        <v>20</v>
      </c>
      <c r="BA8" s="100">
        <v>6191.9999999999991</v>
      </c>
      <c r="BB8" s="100">
        <v>25</v>
      </c>
      <c r="BC8" s="100">
        <v>7739.9999999999991</v>
      </c>
      <c r="BD8" s="100">
        <v>30</v>
      </c>
      <c r="BE8" s="100">
        <v>9287.9999999999982</v>
      </c>
      <c r="BF8" s="100">
        <v>27</v>
      </c>
      <c r="BG8" s="100">
        <v>8359.1999999999989</v>
      </c>
      <c r="BH8" s="100">
        <v>17</v>
      </c>
      <c r="BI8" s="100">
        <v>5263.2</v>
      </c>
      <c r="BJ8" s="100">
        <v>23</v>
      </c>
      <c r="BK8" s="100">
        <v>7120.7999999999993</v>
      </c>
      <c r="BL8" s="100">
        <v>29</v>
      </c>
      <c r="BM8" s="100">
        <v>8978.4</v>
      </c>
      <c r="BN8" s="100">
        <v>19.023989261355503</v>
      </c>
      <c r="BO8" s="100">
        <v>5889.827075315663</v>
      </c>
      <c r="BP8" s="100">
        <v>25</v>
      </c>
      <c r="BQ8" s="100">
        <v>7739.9999999999991</v>
      </c>
      <c r="BR8" s="100">
        <v>23.693379699024018</v>
      </c>
      <c r="BS8" s="100">
        <v>7335.470354817835</v>
      </c>
      <c r="BT8" s="100">
        <v>18.053508066507483</v>
      </c>
      <c r="BU8" s="100">
        <v>5589.3660973907163</v>
      </c>
      <c r="BV8" s="100">
        <v>19</v>
      </c>
      <c r="BW8" s="100">
        <v>5882.4</v>
      </c>
      <c r="BX8" s="100">
        <v>26.698045650485007</v>
      </c>
      <c r="BY8" s="100">
        <v>8265.714933390158</v>
      </c>
      <c r="BZ8" s="100">
        <v>32.785851913232925</v>
      </c>
      <c r="CA8" s="100">
        <v>10150.499752336913</v>
      </c>
      <c r="CB8" s="100">
        <v>24.166949603591952</v>
      </c>
      <c r="CC8" s="100">
        <v>7482.0875972720678</v>
      </c>
      <c r="CD8" s="100">
        <v>24.649328339393456</v>
      </c>
      <c r="CE8" s="100">
        <v>7631.4320538762131</v>
      </c>
      <c r="CF8" s="100">
        <v>21.275177856153601</v>
      </c>
      <c r="CG8" s="100">
        <v>6586.795064265154</v>
      </c>
      <c r="CH8" s="100">
        <v>24.593324861241776</v>
      </c>
      <c r="CI8" s="100">
        <v>7614.0933770404527</v>
      </c>
      <c r="CJ8" s="100">
        <v>26.260118497427765</v>
      </c>
      <c r="CK8" s="100">
        <v>8130.1326868036349</v>
      </c>
      <c r="CL8" s="100">
        <v>15.367435335582192</v>
      </c>
      <c r="CM8" s="100">
        <v>4757.7579798962461</v>
      </c>
      <c r="CN8" s="100">
        <v>14.914385106084072</v>
      </c>
      <c r="CO8" s="100">
        <v>4617.4936288436284</v>
      </c>
      <c r="CP8" s="100">
        <v>27.365264392512739</v>
      </c>
      <c r="CQ8" s="100">
        <v>8472.2858559219421</v>
      </c>
      <c r="CR8" s="100">
        <v>26.304546394851819</v>
      </c>
      <c r="CS8" s="100">
        <v>8143.8875638461222</v>
      </c>
      <c r="CT8" s="100">
        <v>18</v>
      </c>
      <c r="CU8" s="100">
        <v>5572.7999999999993</v>
      </c>
    </row>
    <row r="9" spans="1:99">
      <c r="C9" s="99" t="s">
        <v>175</v>
      </c>
      <c r="D9" s="100">
        <v>15</v>
      </c>
      <c r="E9" s="100">
        <v>10530</v>
      </c>
      <c r="F9" s="100">
        <v>14</v>
      </c>
      <c r="G9" s="100">
        <v>9828</v>
      </c>
      <c r="H9" s="100">
        <v>15</v>
      </c>
      <c r="I9" s="100">
        <v>10530</v>
      </c>
      <c r="J9" s="100">
        <v>19</v>
      </c>
      <c r="K9" s="100">
        <v>13338</v>
      </c>
      <c r="L9" s="100">
        <v>27</v>
      </c>
      <c r="M9" s="100">
        <v>18954</v>
      </c>
      <c r="N9" s="100">
        <v>18</v>
      </c>
      <c r="O9" s="100">
        <v>12636</v>
      </c>
      <c r="P9" s="100">
        <v>14</v>
      </c>
      <c r="Q9" s="100">
        <v>9828</v>
      </c>
      <c r="R9" s="100">
        <v>25</v>
      </c>
      <c r="S9" s="100">
        <v>17550</v>
      </c>
      <c r="T9" s="100">
        <v>23</v>
      </c>
      <c r="U9" s="100">
        <v>16146</v>
      </c>
      <c r="V9" s="100">
        <v>20</v>
      </c>
      <c r="W9" s="100">
        <v>14040</v>
      </c>
      <c r="X9" s="100">
        <v>19</v>
      </c>
      <c r="Y9" s="100">
        <v>13338</v>
      </c>
      <c r="Z9" s="100">
        <v>13</v>
      </c>
      <c r="AA9" s="100">
        <v>9126</v>
      </c>
      <c r="AB9" s="100">
        <v>24</v>
      </c>
      <c r="AC9" s="100">
        <v>16848</v>
      </c>
      <c r="AD9" s="100">
        <v>17</v>
      </c>
      <c r="AE9" s="100">
        <v>11934</v>
      </c>
      <c r="AF9" s="100">
        <v>21</v>
      </c>
      <c r="AG9" s="100">
        <v>14742</v>
      </c>
      <c r="AH9" s="100">
        <v>13</v>
      </c>
      <c r="AI9" s="100">
        <v>9126</v>
      </c>
      <c r="AJ9" s="100">
        <v>19</v>
      </c>
      <c r="AK9" s="100">
        <v>13338</v>
      </c>
      <c r="AL9" s="100">
        <v>27</v>
      </c>
      <c r="AM9" s="100">
        <v>18954</v>
      </c>
      <c r="AN9" s="100">
        <v>18</v>
      </c>
      <c r="AO9" s="100">
        <v>12636</v>
      </c>
      <c r="AP9" s="100">
        <v>19</v>
      </c>
      <c r="AQ9" s="100">
        <v>13338</v>
      </c>
      <c r="AR9" s="100">
        <v>22</v>
      </c>
      <c r="AS9" s="100">
        <v>15444</v>
      </c>
      <c r="AT9" s="100">
        <v>15</v>
      </c>
      <c r="AU9" s="100">
        <v>10530</v>
      </c>
      <c r="AV9" s="100">
        <v>30</v>
      </c>
      <c r="AW9" s="100">
        <v>21060</v>
      </c>
      <c r="AX9" s="100">
        <v>22.522060583541165</v>
      </c>
      <c r="AY9" s="100">
        <v>15810.486529645897</v>
      </c>
      <c r="AZ9" s="100">
        <v>18</v>
      </c>
      <c r="BA9" s="100">
        <v>12636</v>
      </c>
      <c r="BB9" s="100">
        <v>23</v>
      </c>
      <c r="BC9" s="100">
        <v>16146</v>
      </c>
      <c r="BD9" s="100">
        <v>26</v>
      </c>
      <c r="BE9" s="100">
        <v>18252</v>
      </c>
      <c r="BF9" s="100">
        <v>21</v>
      </c>
      <c r="BG9" s="100">
        <v>14742</v>
      </c>
      <c r="BH9" s="100">
        <v>17</v>
      </c>
      <c r="BI9" s="100">
        <v>11934</v>
      </c>
      <c r="BJ9" s="100">
        <v>20</v>
      </c>
      <c r="BK9" s="100">
        <v>14040</v>
      </c>
      <c r="BL9" s="100">
        <v>28</v>
      </c>
      <c r="BM9" s="100">
        <v>19656</v>
      </c>
      <c r="BN9" s="100">
        <v>18.072789798287729</v>
      </c>
      <c r="BO9" s="100">
        <v>12687.098438397987</v>
      </c>
      <c r="BP9" s="100">
        <v>24</v>
      </c>
      <c r="BQ9" s="100">
        <v>16848</v>
      </c>
      <c r="BR9" s="100">
        <v>22.815847117578688</v>
      </c>
      <c r="BS9" s="100">
        <v>16016.72467654024</v>
      </c>
      <c r="BT9" s="100">
        <v>16.334126345887721</v>
      </c>
      <c r="BU9" s="100">
        <v>11466.55669481318</v>
      </c>
      <c r="BV9" s="100">
        <v>18</v>
      </c>
      <c r="BW9" s="100">
        <v>12636</v>
      </c>
      <c r="BX9" s="100">
        <v>21.358436520388008</v>
      </c>
      <c r="BY9" s="100">
        <v>14993.62243731238</v>
      </c>
      <c r="BZ9" s="100">
        <v>27.818298593046123</v>
      </c>
      <c r="CA9" s="100">
        <v>19528.445612318377</v>
      </c>
      <c r="CB9" s="100">
        <v>25.096447665268567</v>
      </c>
      <c r="CC9" s="100">
        <v>17617.706261018535</v>
      </c>
      <c r="CD9" s="100">
        <v>22.949374660814595</v>
      </c>
      <c r="CE9" s="100">
        <v>16110.461011891846</v>
      </c>
      <c r="CF9" s="100">
        <v>17.729314880127998</v>
      </c>
      <c r="CG9" s="100">
        <v>12445.979045849854</v>
      </c>
      <c r="CH9" s="100">
        <v>22.836658799724507</v>
      </c>
      <c r="CI9" s="100">
        <v>16031.334477406604</v>
      </c>
      <c r="CJ9" s="100">
        <v>23.543554514935238</v>
      </c>
      <c r="CK9" s="100">
        <v>16527.575269484536</v>
      </c>
      <c r="CL9" s="100">
        <v>16.271402120028203</v>
      </c>
      <c r="CM9" s="100">
        <v>11422.524288259798</v>
      </c>
      <c r="CN9" s="100">
        <v>13.257231205408065</v>
      </c>
      <c r="CO9" s="100">
        <v>9306.5763061964608</v>
      </c>
      <c r="CP9" s="100">
        <v>26.482513928238134</v>
      </c>
      <c r="CQ9" s="100">
        <v>18590.724777623171</v>
      </c>
      <c r="CR9" s="100">
        <v>24.425650223790974</v>
      </c>
      <c r="CS9" s="100">
        <v>17146.806457101266</v>
      </c>
      <c r="CT9" s="100">
        <v>16</v>
      </c>
      <c r="CU9" s="100">
        <v>11232</v>
      </c>
    </row>
    <row r="10" spans="1:99">
      <c r="C10" s="99" t="s">
        <v>176</v>
      </c>
      <c r="D10" s="100">
        <v>16</v>
      </c>
      <c r="E10" s="100">
        <v>8716.7999999999993</v>
      </c>
      <c r="F10" s="100">
        <v>13</v>
      </c>
      <c r="G10" s="100">
        <v>7082.4</v>
      </c>
      <c r="H10" s="100">
        <v>16</v>
      </c>
      <c r="I10" s="100">
        <v>8716.7999999999993</v>
      </c>
      <c r="J10" s="100">
        <v>20</v>
      </c>
      <c r="K10" s="100">
        <v>10896</v>
      </c>
      <c r="L10" s="100">
        <v>27</v>
      </c>
      <c r="M10" s="100">
        <v>14709.599999999999</v>
      </c>
      <c r="N10" s="100">
        <v>17</v>
      </c>
      <c r="O10" s="100">
        <v>9261.5999999999985</v>
      </c>
      <c r="P10" s="100">
        <v>13</v>
      </c>
      <c r="Q10" s="100">
        <v>7082.4</v>
      </c>
      <c r="R10" s="100">
        <v>23</v>
      </c>
      <c r="S10" s="100">
        <v>12530.4</v>
      </c>
      <c r="T10" s="100">
        <v>20</v>
      </c>
      <c r="U10" s="100">
        <v>10896</v>
      </c>
      <c r="V10" s="100">
        <v>18</v>
      </c>
      <c r="W10" s="100">
        <v>9806.4</v>
      </c>
      <c r="X10" s="100">
        <v>20</v>
      </c>
      <c r="Y10" s="100">
        <v>10896</v>
      </c>
      <c r="Z10" s="100">
        <v>14</v>
      </c>
      <c r="AA10" s="100">
        <v>7627.1999999999989</v>
      </c>
      <c r="AB10" s="100">
        <v>28</v>
      </c>
      <c r="AC10" s="100">
        <v>15254.399999999998</v>
      </c>
      <c r="AD10" s="100">
        <v>19</v>
      </c>
      <c r="AE10" s="100">
        <v>10351.199999999999</v>
      </c>
      <c r="AF10" s="100">
        <v>19</v>
      </c>
      <c r="AG10" s="100">
        <v>10351.199999999999</v>
      </c>
      <c r="AH10" s="100">
        <v>16</v>
      </c>
      <c r="AI10" s="100">
        <v>8716.7999999999993</v>
      </c>
      <c r="AJ10" s="100">
        <v>19</v>
      </c>
      <c r="AK10" s="100">
        <v>10351.199999999999</v>
      </c>
      <c r="AL10" s="100">
        <v>26</v>
      </c>
      <c r="AM10" s="100">
        <v>14164.8</v>
      </c>
      <c r="AN10" s="100">
        <v>18</v>
      </c>
      <c r="AO10" s="100">
        <v>9806.4</v>
      </c>
      <c r="AP10" s="100">
        <v>21</v>
      </c>
      <c r="AQ10" s="100">
        <v>11440.8</v>
      </c>
      <c r="AR10" s="100">
        <v>20</v>
      </c>
      <c r="AS10" s="100">
        <v>10896</v>
      </c>
      <c r="AT10" s="100">
        <v>18</v>
      </c>
      <c r="AU10" s="100">
        <v>9806.4</v>
      </c>
      <c r="AV10" s="100">
        <v>26</v>
      </c>
      <c r="AW10" s="100">
        <v>14164.8</v>
      </c>
      <c r="AX10" s="100">
        <v>21.655827484174196</v>
      </c>
      <c r="AY10" s="100">
        <v>11798.0948133781</v>
      </c>
      <c r="AZ10" s="100">
        <v>16</v>
      </c>
      <c r="BA10" s="100">
        <v>8716.7999999999993</v>
      </c>
      <c r="BB10" s="100">
        <v>22</v>
      </c>
      <c r="BC10" s="100">
        <v>11985.599999999999</v>
      </c>
      <c r="BD10" s="100">
        <v>30</v>
      </c>
      <c r="BE10" s="100">
        <v>16343.999999999998</v>
      </c>
      <c r="BF10" s="100">
        <v>22</v>
      </c>
      <c r="BG10" s="100">
        <v>11985.599999999999</v>
      </c>
      <c r="BH10" s="100">
        <v>15</v>
      </c>
      <c r="BI10" s="100">
        <v>8171.9999999999991</v>
      </c>
      <c r="BJ10" s="100">
        <v>23</v>
      </c>
      <c r="BK10" s="100">
        <v>12530.4</v>
      </c>
      <c r="BL10" s="100">
        <v>25</v>
      </c>
      <c r="BM10" s="100">
        <v>13619.999999999998</v>
      </c>
      <c r="BN10" s="100">
        <v>17.121590335219953</v>
      </c>
      <c r="BO10" s="100">
        <v>9327.8424146278285</v>
      </c>
      <c r="BP10" s="100">
        <v>24</v>
      </c>
      <c r="BQ10" s="100">
        <v>13075.199999999999</v>
      </c>
      <c r="BR10" s="100">
        <v>22.815847117578688</v>
      </c>
      <c r="BS10" s="100">
        <v>12430.073509656868</v>
      </c>
      <c r="BT10" s="100">
        <v>16.334126345887721</v>
      </c>
      <c r="BU10" s="100">
        <v>8898.8320332396306</v>
      </c>
      <c r="BV10" s="100">
        <v>18</v>
      </c>
      <c r="BW10" s="100">
        <v>9806.4</v>
      </c>
      <c r="BX10" s="100">
        <v>22.248371375404176</v>
      </c>
      <c r="BY10" s="100">
        <v>12120.912725320193</v>
      </c>
      <c r="BZ10" s="100">
        <v>28.811809257083482</v>
      </c>
      <c r="CA10" s="100">
        <v>15696.67368325908</v>
      </c>
      <c r="CB10" s="100">
        <v>24.166949603591952</v>
      </c>
      <c r="CC10" s="100">
        <v>13166.154144036895</v>
      </c>
      <c r="CD10" s="100">
        <v>26.349282017972314</v>
      </c>
      <c r="CE10" s="100">
        <v>14355.088843391315</v>
      </c>
      <c r="CF10" s="100">
        <v>20.388712112147196</v>
      </c>
      <c r="CG10" s="100">
        <v>11107.770358697791</v>
      </c>
      <c r="CH10" s="100">
        <v>23.71499183048314</v>
      </c>
      <c r="CI10" s="100">
        <v>12919.927549247213</v>
      </c>
      <c r="CJ10" s="100">
        <v>25.354597169930255</v>
      </c>
      <c r="CK10" s="100">
        <v>13813.184538178002</v>
      </c>
      <c r="CL10" s="100">
        <v>15.367435335582192</v>
      </c>
      <c r="CM10" s="100">
        <v>8372.1787708251777</v>
      </c>
      <c r="CN10" s="100">
        <v>15.742962056422078</v>
      </c>
      <c r="CO10" s="100">
        <v>8576.7657283387471</v>
      </c>
      <c r="CP10" s="100">
        <v>24.717012999688926</v>
      </c>
      <c r="CQ10" s="100">
        <v>13465.828682230525</v>
      </c>
      <c r="CR10" s="100">
        <v>21.607305967199711</v>
      </c>
      <c r="CS10" s="100">
        <v>11771.660290930402</v>
      </c>
      <c r="CT10" s="100">
        <v>17</v>
      </c>
      <c r="CU10" s="100">
        <v>9261.5999999999985</v>
      </c>
    </row>
    <row r="11" spans="1:99">
      <c r="C11" s="99" t="s">
        <v>177</v>
      </c>
      <c r="D11" s="100">
        <v>14</v>
      </c>
      <c r="E11" s="100">
        <v>7459.1999999999989</v>
      </c>
      <c r="F11" s="100">
        <v>13</v>
      </c>
      <c r="G11" s="100">
        <v>6926.4</v>
      </c>
      <c r="H11" s="100">
        <v>17</v>
      </c>
      <c r="I11" s="100">
        <v>9057.5999999999985</v>
      </c>
      <c r="J11" s="100">
        <v>20</v>
      </c>
      <c r="K11" s="100">
        <v>10656</v>
      </c>
      <c r="L11" s="100">
        <v>25</v>
      </c>
      <c r="M11" s="100">
        <v>13319.999999999998</v>
      </c>
      <c r="N11" s="100">
        <v>17</v>
      </c>
      <c r="O11" s="100">
        <v>9057.5999999999985</v>
      </c>
      <c r="P11" s="100">
        <v>14</v>
      </c>
      <c r="Q11" s="100">
        <v>7459.1999999999989</v>
      </c>
      <c r="R11" s="100">
        <v>24</v>
      </c>
      <c r="S11" s="100">
        <v>12787.199999999999</v>
      </c>
      <c r="T11" s="100">
        <v>23</v>
      </c>
      <c r="U11" s="100">
        <v>12254.4</v>
      </c>
      <c r="V11" s="100">
        <v>21</v>
      </c>
      <c r="W11" s="100">
        <v>11188.8</v>
      </c>
      <c r="X11" s="100">
        <v>20</v>
      </c>
      <c r="Y11" s="100">
        <v>10656</v>
      </c>
      <c r="Z11" s="100">
        <v>14</v>
      </c>
      <c r="AA11" s="100">
        <v>7459.1999999999989</v>
      </c>
      <c r="AB11" s="100">
        <v>27</v>
      </c>
      <c r="AC11" s="100">
        <v>14385.599999999999</v>
      </c>
      <c r="AD11" s="100">
        <v>18</v>
      </c>
      <c r="AE11" s="100">
        <v>9590.4</v>
      </c>
      <c r="AF11" s="100">
        <v>21</v>
      </c>
      <c r="AG11" s="100">
        <v>11188.8</v>
      </c>
      <c r="AH11" s="100">
        <v>13</v>
      </c>
      <c r="AI11" s="100">
        <v>6926.4</v>
      </c>
      <c r="AJ11" s="100">
        <v>21</v>
      </c>
      <c r="AK11" s="100">
        <v>11188.8</v>
      </c>
      <c r="AL11" s="100">
        <v>26</v>
      </c>
      <c r="AM11" s="100">
        <v>13852.8</v>
      </c>
      <c r="AN11" s="100">
        <v>19</v>
      </c>
      <c r="AO11" s="100">
        <v>10123.199999999999</v>
      </c>
      <c r="AP11" s="100">
        <v>19</v>
      </c>
      <c r="AQ11" s="100">
        <v>10123.199999999999</v>
      </c>
      <c r="AR11" s="100">
        <v>22</v>
      </c>
      <c r="AS11" s="100">
        <v>11721.599999999999</v>
      </c>
      <c r="AT11" s="100">
        <v>16</v>
      </c>
      <c r="AU11" s="100">
        <v>8524.7999999999993</v>
      </c>
      <c r="AV11" s="100">
        <v>27</v>
      </c>
      <c r="AW11" s="100">
        <v>14385.599999999999</v>
      </c>
      <c r="AX11" s="100">
        <v>22.522060583541165</v>
      </c>
      <c r="AY11" s="100">
        <v>11999.753878910731</v>
      </c>
      <c r="AZ11" s="100">
        <v>18</v>
      </c>
      <c r="BA11" s="100">
        <v>9590.4</v>
      </c>
      <c r="BB11" s="100">
        <v>24</v>
      </c>
      <c r="BC11" s="100">
        <v>12787.199999999999</v>
      </c>
      <c r="BD11" s="100">
        <v>28</v>
      </c>
      <c r="BE11" s="100">
        <v>14918.399999999998</v>
      </c>
      <c r="BF11" s="100">
        <v>26</v>
      </c>
      <c r="BG11" s="100">
        <v>13852.8</v>
      </c>
      <c r="BH11" s="100">
        <v>16</v>
      </c>
      <c r="BI11" s="100">
        <v>8524.7999999999993</v>
      </c>
      <c r="BJ11" s="100">
        <v>22</v>
      </c>
      <c r="BK11" s="100">
        <v>11721.599999999999</v>
      </c>
      <c r="BL11" s="100">
        <v>26</v>
      </c>
      <c r="BM11" s="100">
        <v>13852.8</v>
      </c>
      <c r="BN11" s="100">
        <v>17.121590335219953</v>
      </c>
      <c r="BO11" s="100">
        <v>9122.3833306051893</v>
      </c>
      <c r="BP11" s="100">
        <v>25</v>
      </c>
      <c r="BQ11" s="100">
        <v>13319.999999999998</v>
      </c>
      <c r="BR11" s="100">
        <v>24.570912280469354</v>
      </c>
      <c r="BS11" s="100">
        <v>13091.382063034071</v>
      </c>
      <c r="BT11" s="100">
        <v>18.913198926817362</v>
      </c>
      <c r="BU11" s="100">
        <v>10076.95238820829</v>
      </c>
      <c r="BV11" s="100">
        <v>21</v>
      </c>
      <c r="BW11" s="100">
        <v>11188.8</v>
      </c>
      <c r="BX11" s="100">
        <v>23.138306230420341</v>
      </c>
      <c r="BY11" s="100">
        <v>12328.089559567956</v>
      </c>
      <c r="BZ11" s="100">
        <v>31.792341249195566</v>
      </c>
      <c r="CA11" s="100">
        <v>16938.959417571397</v>
      </c>
      <c r="CB11" s="100">
        <v>23.237451541915341</v>
      </c>
      <c r="CC11" s="100">
        <v>12380.914181532493</v>
      </c>
      <c r="CD11" s="100">
        <v>22.949374660814595</v>
      </c>
      <c r="CE11" s="100">
        <v>12227.426819282015</v>
      </c>
      <c r="CF11" s="100">
        <v>19.502246368140799</v>
      </c>
      <c r="CG11" s="100">
        <v>10390.796864945416</v>
      </c>
      <c r="CH11" s="100">
        <v>23.71499183048314</v>
      </c>
      <c r="CI11" s="100">
        <v>12635.347647281416</v>
      </c>
      <c r="CJ11" s="100">
        <v>25.354597169930255</v>
      </c>
      <c r="CK11" s="100">
        <v>13508.929372138839</v>
      </c>
      <c r="CL11" s="100">
        <v>13.55950176669017</v>
      </c>
      <c r="CM11" s="100">
        <v>7224.5025412925224</v>
      </c>
      <c r="CN11" s="100">
        <v>15.742962056422078</v>
      </c>
      <c r="CO11" s="100">
        <v>8387.8501836616833</v>
      </c>
      <c r="CP11" s="100">
        <v>23.834262535414322</v>
      </c>
      <c r="CQ11" s="100">
        <v>12698.895078868749</v>
      </c>
      <c r="CR11" s="100">
        <v>23.486202138260552</v>
      </c>
      <c r="CS11" s="100">
        <v>12513.448499265221</v>
      </c>
      <c r="CT11" s="100">
        <v>18</v>
      </c>
      <c r="CU11" s="100">
        <v>9590.4</v>
      </c>
    </row>
    <row r="12" spans="1:99">
      <c r="C12" s="99" t="s">
        <v>178</v>
      </c>
      <c r="D12" s="100">
        <v>15</v>
      </c>
      <c r="E12" s="100">
        <v>8442</v>
      </c>
      <c r="F12" s="100">
        <v>14</v>
      </c>
      <c r="G12" s="100">
        <v>7879.1999999999989</v>
      </c>
      <c r="H12" s="100">
        <v>17</v>
      </c>
      <c r="I12" s="100">
        <v>9567.5999999999985</v>
      </c>
      <c r="J12" s="100">
        <v>17</v>
      </c>
      <c r="K12" s="100">
        <v>9567.5999999999985</v>
      </c>
      <c r="L12" s="100">
        <v>25</v>
      </c>
      <c r="M12" s="100">
        <v>14069.999999999998</v>
      </c>
      <c r="N12" s="100">
        <v>18</v>
      </c>
      <c r="O12" s="100">
        <v>10130.4</v>
      </c>
      <c r="P12" s="100">
        <v>15</v>
      </c>
      <c r="Q12" s="100">
        <v>8442</v>
      </c>
      <c r="R12" s="100">
        <v>27</v>
      </c>
      <c r="S12" s="100">
        <v>15195.599999999999</v>
      </c>
      <c r="T12" s="100">
        <v>21</v>
      </c>
      <c r="U12" s="100">
        <v>11818.8</v>
      </c>
      <c r="V12" s="100">
        <v>20</v>
      </c>
      <c r="W12" s="100">
        <v>11256</v>
      </c>
      <c r="X12" s="100">
        <v>21</v>
      </c>
      <c r="Y12" s="100">
        <v>11818.8</v>
      </c>
      <c r="Z12" s="100">
        <v>13</v>
      </c>
      <c r="AA12" s="100">
        <v>7316.4</v>
      </c>
      <c r="AB12" s="100">
        <v>26</v>
      </c>
      <c r="AC12" s="100">
        <v>14632.8</v>
      </c>
      <c r="AD12" s="100">
        <v>19</v>
      </c>
      <c r="AE12" s="100">
        <v>10693.199999999999</v>
      </c>
      <c r="AF12" s="100">
        <v>19</v>
      </c>
      <c r="AG12" s="100">
        <v>10693.199999999999</v>
      </c>
      <c r="AH12" s="100">
        <v>15</v>
      </c>
      <c r="AI12" s="100">
        <v>8442</v>
      </c>
      <c r="AJ12" s="100">
        <v>20</v>
      </c>
      <c r="AK12" s="100">
        <v>11256</v>
      </c>
      <c r="AL12" s="100">
        <v>25</v>
      </c>
      <c r="AM12" s="100">
        <v>14069.999999999998</v>
      </c>
      <c r="AN12" s="100">
        <v>17</v>
      </c>
      <c r="AO12" s="100">
        <v>9567.5999999999985</v>
      </c>
      <c r="AP12" s="100">
        <v>21</v>
      </c>
      <c r="AQ12" s="100">
        <v>11818.8</v>
      </c>
      <c r="AR12" s="100">
        <v>20</v>
      </c>
      <c r="AS12" s="100">
        <v>11256</v>
      </c>
      <c r="AT12" s="100">
        <v>16</v>
      </c>
      <c r="AU12" s="100">
        <v>9004.7999999999993</v>
      </c>
      <c r="AV12" s="100">
        <v>31</v>
      </c>
      <c r="AW12" s="100">
        <v>17446.8</v>
      </c>
      <c r="AX12" s="100">
        <v>23.388293682908131</v>
      </c>
      <c r="AY12" s="100">
        <v>13162.931684740695</v>
      </c>
      <c r="AZ12" s="100">
        <v>19</v>
      </c>
      <c r="BA12" s="100">
        <v>10693.199999999999</v>
      </c>
      <c r="BB12" s="100">
        <v>26</v>
      </c>
      <c r="BC12" s="100">
        <v>14632.8</v>
      </c>
      <c r="BD12" s="100">
        <v>28</v>
      </c>
      <c r="BE12" s="100">
        <v>15758.399999999998</v>
      </c>
      <c r="BF12" s="100">
        <v>25</v>
      </c>
      <c r="BG12" s="100">
        <v>14069.999999999998</v>
      </c>
      <c r="BH12" s="100">
        <v>15</v>
      </c>
      <c r="BI12" s="100">
        <v>8442</v>
      </c>
      <c r="BJ12" s="100">
        <v>21</v>
      </c>
      <c r="BK12" s="100">
        <v>11818.8</v>
      </c>
      <c r="BL12" s="100">
        <v>30</v>
      </c>
      <c r="BM12" s="100">
        <v>16884</v>
      </c>
      <c r="BN12" s="100">
        <v>17.121590335219953</v>
      </c>
      <c r="BO12" s="100">
        <v>9636.0310406617882</v>
      </c>
      <c r="BP12" s="100">
        <v>27</v>
      </c>
      <c r="BQ12" s="100">
        <v>15195.599999999999</v>
      </c>
      <c r="BR12" s="100">
        <v>26.325977443360024</v>
      </c>
      <c r="BS12" s="100">
        <v>14816.260105123021</v>
      </c>
      <c r="BT12" s="100">
        <v>17.193817206197604</v>
      </c>
      <c r="BU12" s="100">
        <v>9676.68032364801</v>
      </c>
      <c r="BV12" s="100">
        <v>20</v>
      </c>
      <c r="BW12" s="100">
        <v>11256</v>
      </c>
      <c r="BX12" s="100">
        <v>24.028241085436509</v>
      </c>
      <c r="BY12" s="100">
        <v>13523.094082883666</v>
      </c>
      <c r="BZ12" s="100">
        <v>29.805319921120844</v>
      </c>
      <c r="CA12" s="100">
        <v>16774.434051606811</v>
      </c>
      <c r="CB12" s="100">
        <v>24.166949603591952</v>
      </c>
      <c r="CC12" s="100">
        <v>13601.159236901549</v>
      </c>
      <c r="CD12" s="100">
        <v>28.049235696551175</v>
      </c>
      <c r="CE12" s="100">
        <v>15786.109850019</v>
      </c>
      <c r="CF12" s="100">
        <v>16.8428491361216</v>
      </c>
      <c r="CG12" s="100">
        <v>9479.1554938092358</v>
      </c>
      <c r="CH12" s="100">
        <v>23.71499183048314</v>
      </c>
      <c r="CI12" s="100">
        <v>13346.797402195909</v>
      </c>
      <c r="CJ12" s="100">
        <v>25.354597169930255</v>
      </c>
      <c r="CK12" s="100">
        <v>14269.567287236747</v>
      </c>
      <c r="CL12" s="100">
        <v>15.367435335582192</v>
      </c>
      <c r="CM12" s="100">
        <v>8648.7926068656561</v>
      </c>
      <c r="CN12" s="100">
        <v>14.08580815574607</v>
      </c>
      <c r="CO12" s="100">
        <v>7927.4928300538877</v>
      </c>
      <c r="CP12" s="100">
        <v>25.59976346396353</v>
      </c>
      <c r="CQ12" s="100">
        <v>14407.546877518673</v>
      </c>
      <c r="CR12" s="100">
        <v>25.365098309321397</v>
      </c>
      <c r="CS12" s="100">
        <v>14275.47732848608</v>
      </c>
      <c r="CT12" s="100">
        <v>18</v>
      </c>
      <c r="CU12" s="100">
        <v>10130.4</v>
      </c>
    </row>
    <row r="13" spans="1:99">
      <c r="C13" s="99" t="s">
        <v>179</v>
      </c>
      <c r="D13" s="100">
        <v>15</v>
      </c>
      <c r="E13" s="100">
        <v>1278</v>
      </c>
      <c r="F13" s="100">
        <v>14</v>
      </c>
      <c r="G13" s="100">
        <v>1192.8</v>
      </c>
      <c r="H13" s="100">
        <v>16</v>
      </c>
      <c r="I13" s="100">
        <v>1363.2</v>
      </c>
      <c r="J13" s="100">
        <v>20</v>
      </c>
      <c r="K13" s="100">
        <v>1704</v>
      </c>
      <c r="L13" s="100">
        <v>27</v>
      </c>
      <c r="M13" s="100">
        <v>2300.4</v>
      </c>
      <c r="N13" s="100">
        <v>19</v>
      </c>
      <c r="O13" s="100">
        <v>1618.8</v>
      </c>
      <c r="P13" s="100">
        <v>15</v>
      </c>
      <c r="Q13" s="100">
        <v>1278</v>
      </c>
      <c r="R13" s="100">
        <v>27</v>
      </c>
      <c r="S13" s="100">
        <v>2300.4</v>
      </c>
      <c r="T13" s="100">
        <v>24</v>
      </c>
      <c r="U13" s="100">
        <v>2044.8000000000002</v>
      </c>
      <c r="V13" s="100">
        <v>21</v>
      </c>
      <c r="W13" s="100">
        <v>1789.2</v>
      </c>
      <c r="X13" s="100">
        <v>21</v>
      </c>
      <c r="Y13" s="100">
        <v>1789.2</v>
      </c>
      <c r="Z13" s="100">
        <v>16</v>
      </c>
      <c r="AA13" s="100">
        <v>1363.2</v>
      </c>
      <c r="AB13" s="100">
        <v>25</v>
      </c>
      <c r="AC13" s="100">
        <v>2130</v>
      </c>
      <c r="AD13" s="100">
        <v>21</v>
      </c>
      <c r="AE13" s="100">
        <v>1789.2</v>
      </c>
      <c r="AF13" s="100">
        <v>23</v>
      </c>
      <c r="AG13" s="100">
        <v>1959.6000000000001</v>
      </c>
      <c r="AH13" s="100">
        <v>14</v>
      </c>
      <c r="AI13" s="100">
        <v>1192.8</v>
      </c>
      <c r="AJ13" s="100">
        <v>21</v>
      </c>
      <c r="AK13" s="100">
        <v>1789.2</v>
      </c>
      <c r="AL13" s="100">
        <v>27</v>
      </c>
      <c r="AM13" s="100">
        <v>2300.4</v>
      </c>
      <c r="AN13" s="100">
        <v>17</v>
      </c>
      <c r="AO13" s="100">
        <v>1448.4</v>
      </c>
      <c r="AP13" s="100">
        <v>22</v>
      </c>
      <c r="AQ13" s="100">
        <v>1874.4</v>
      </c>
      <c r="AR13" s="100">
        <v>24</v>
      </c>
      <c r="AS13" s="100">
        <v>2044.8000000000002</v>
      </c>
      <c r="AT13" s="100">
        <v>17</v>
      </c>
      <c r="AU13" s="100">
        <v>1448.4</v>
      </c>
      <c r="AV13" s="100">
        <v>28</v>
      </c>
      <c r="AW13" s="100">
        <v>2385.6</v>
      </c>
      <c r="AX13" s="100">
        <v>24.2545267822751</v>
      </c>
      <c r="AY13" s="100">
        <v>2066.4856818498388</v>
      </c>
      <c r="AZ13" s="100">
        <v>17</v>
      </c>
      <c r="BA13" s="100">
        <v>1448.4</v>
      </c>
      <c r="BB13" s="100">
        <v>23</v>
      </c>
      <c r="BC13" s="100">
        <v>1959.6000000000001</v>
      </c>
      <c r="BD13" s="100">
        <v>29</v>
      </c>
      <c r="BE13" s="100">
        <v>2470.8000000000002</v>
      </c>
      <c r="BF13" s="100">
        <v>23</v>
      </c>
      <c r="BG13" s="100">
        <v>1959.6000000000001</v>
      </c>
      <c r="BH13" s="100">
        <v>18</v>
      </c>
      <c r="BI13" s="100">
        <v>1533.6000000000001</v>
      </c>
      <c r="BJ13" s="100">
        <v>22</v>
      </c>
      <c r="BK13" s="100">
        <v>1874.4</v>
      </c>
      <c r="BL13" s="100">
        <v>28</v>
      </c>
      <c r="BM13" s="100">
        <v>2385.6</v>
      </c>
      <c r="BN13" s="100">
        <v>18.072789798287729</v>
      </c>
      <c r="BO13" s="100">
        <v>1539.8016908141146</v>
      </c>
      <c r="BP13" s="100">
        <v>29</v>
      </c>
      <c r="BQ13" s="100">
        <v>2470.8000000000002</v>
      </c>
      <c r="BR13" s="100">
        <v>28.081042606250691</v>
      </c>
      <c r="BS13" s="100">
        <v>2392.5048300525591</v>
      </c>
      <c r="BT13" s="100">
        <v>18.053508066507483</v>
      </c>
      <c r="BU13" s="100">
        <v>1538.1588872664377</v>
      </c>
      <c r="BV13" s="100">
        <v>21</v>
      </c>
      <c r="BW13" s="100">
        <v>1789.2</v>
      </c>
      <c r="BX13" s="100">
        <v>28.47791536051734</v>
      </c>
      <c r="BY13" s="100">
        <v>2426.3183887160776</v>
      </c>
      <c r="BZ13" s="100">
        <v>32.785851913232925</v>
      </c>
      <c r="CA13" s="100">
        <v>2793.3545830074454</v>
      </c>
      <c r="CB13" s="100">
        <v>23.237451541915341</v>
      </c>
      <c r="CC13" s="100">
        <v>1979.8308713711872</v>
      </c>
      <c r="CD13" s="100">
        <v>25.499305178682885</v>
      </c>
      <c r="CE13" s="100">
        <v>2172.5408012237817</v>
      </c>
      <c r="CF13" s="100">
        <v>20.388712112147196</v>
      </c>
      <c r="CG13" s="100">
        <v>1737.1182719549413</v>
      </c>
      <c r="CH13" s="100">
        <v>26.349990922759044</v>
      </c>
      <c r="CI13" s="100">
        <v>2245.0192266190707</v>
      </c>
      <c r="CJ13" s="100">
        <v>25.354597169930255</v>
      </c>
      <c r="CK13" s="100">
        <v>2160.2116788780577</v>
      </c>
      <c r="CL13" s="100">
        <v>15.367435335582192</v>
      </c>
      <c r="CM13" s="100">
        <v>1309.3054905916028</v>
      </c>
      <c r="CN13" s="100">
        <v>16.57153900676008</v>
      </c>
      <c r="CO13" s="100">
        <v>1411.895123375959</v>
      </c>
      <c r="CP13" s="100">
        <v>26.482513928238134</v>
      </c>
      <c r="CQ13" s="100">
        <v>2256.3101866858892</v>
      </c>
      <c r="CR13" s="100">
        <v>27.243994480382241</v>
      </c>
      <c r="CS13" s="100">
        <v>2321.1883297285672</v>
      </c>
      <c r="CT13" s="100">
        <v>18</v>
      </c>
      <c r="CU13" s="100">
        <v>1533.6000000000001</v>
      </c>
    </row>
    <row r="14" spans="1:99">
      <c r="C14" s="99" t="s">
        <v>180</v>
      </c>
      <c r="D14" s="100">
        <v>16</v>
      </c>
      <c r="E14" s="100">
        <v>7814.4</v>
      </c>
      <c r="F14" s="100">
        <v>13</v>
      </c>
      <c r="G14" s="100">
        <v>6349.2</v>
      </c>
      <c r="H14" s="100">
        <v>15</v>
      </c>
      <c r="I14" s="100">
        <v>7326</v>
      </c>
      <c r="J14" s="100">
        <v>17</v>
      </c>
      <c r="K14" s="100">
        <v>8302.7999999999993</v>
      </c>
      <c r="L14" s="100">
        <v>26</v>
      </c>
      <c r="M14" s="100">
        <v>12698.4</v>
      </c>
      <c r="N14" s="100">
        <v>16</v>
      </c>
      <c r="O14" s="100">
        <v>7814.4</v>
      </c>
      <c r="P14" s="100">
        <v>15</v>
      </c>
      <c r="Q14" s="100">
        <v>7326</v>
      </c>
      <c r="R14" s="100">
        <v>26</v>
      </c>
      <c r="S14" s="100">
        <v>12698.4</v>
      </c>
      <c r="T14" s="100">
        <v>22</v>
      </c>
      <c r="U14" s="100">
        <v>10744.8</v>
      </c>
      <c r="V14" s="100">
        <v>20</v>
      </c>
      <c r="W14" s="100">
        <v>9768</v>
      </c>
      <c r="X14" s="100">
        <v>19</v>
      </c>
      <c r="Y14" s="100">
        <v>9279.6</v>
      </c>
      <c r="Z14" s="100">
        <v>15</v>
      </c>
      <c r="AA14" s="100">
        <v>7326</v>
      </c>
      <c r="AB14" s="100">
        <v>24</v>
      </c>
      <c r="AC14" s="100">
        <v>11721.599999999999</v>
      </c>
      <c r="AD14" s="100">
        <v>18</v>
      </c>
      <c r="AE14" s="100">
        <v>8791.1999999999989</v>
      </c>
      <c r="AF14" s="100">
        <v>19</v>
      </c>
      <c r="AG14" s="100">
        <v>9279.6</v>
      </c>
      <c r="AH14" s="100">
        <v>16</v>
      </c>
      <c r="AI14" s="100">
        <v>7814.4</v>
      </c>
      <c r="AJ14" s="100">
        <v>20</v>
      </c>
      <c r="AK14" s="100">
        <v>9768</v>
      </c>
      <c r="AL14" s="100">
        <v>25</v>
      </c>
      <c r="AM14" s="100">
        <v>12210</v>
      </c>
      <c r="AN14" s="100">
        <v>19</v>
      </c>
      <c r="AO14" s="100">
        <v>9279.6</v>
      </c>
      <c r="AP14" s="100">
        <v>22</v>
      </c>
      <c r="AQ14" s="100">
        <v>10744.8</v>
      </c>
      <c r="AR14" s="100">
        <v>19</v>
      </c>
      <c r="AS14" s="100">
        <v>9279.6</v>
      </c>
      <c r="AT14" s="100">
        <v>17</v>
      </c>
      <c r="AU14" s="100">
        <v>8302.7999999999993</v>
      </c>
      <c r="AV14" s="100">
        <v>29</v>
      </c>
      <c r="AW14" s="100">
        <v>14163.599999999999</v>
      </c>
      <c r="AX14" s="100">
        <v>24.2545267822751</v>
      </c>
      <c r="AY14" s="100">
        <v>11845.910880463158</v>
      </c>
      <c r="AZ14" s="100">
        <v>19</v>
      </c>
      <c r="BA14" s="100">
        <v>9279.6</v>
      </c>
      <c r="BB14" s="100">
        <v>26</v>
      </c>
      <c r="BC14" s="100">
        <v>12698.4</v>
      </c>
      <c r="BD14" s="100">
        <v>28</v>
      </c>
      <c r="BE14" s="100">
        <v>13675.199999999999</v>
      </c>
      <c r="BF14" s="100">
        <v>22</v>
      </c>
      <c r="BG14" s="100">
        <v>10744.8</v>
      </c>
      <c r="BH14" s="100">
        <v>15</v>
      </c>
      <c r="BI14" s="100">
        <v>7326</v>
      </c>
      <c r="BJ14" s="100">
        <v>19</v>
      </c>
      <c r="BK14" s="100">
        <v>9279.6</v>
      </c>
      <c r="BL14" s="100">
        <v>30</v>
      </c>
      <c r="BM14" s="100">
        <v>14652</v>
      </c>
      <c r="BN14" s="100">
        <v>19.975188724423276</v>
      </c>
      <c r="BO14" s="100">
        <v>9755.8821730083273</v>
      </c>
      <c r="BP14" s="100">
        <v>26</v>
      </c>
      <c r="BQ14" s="100">
        <v>12698.4</v>
      </c>
      <c r="BR14" s="100">
        <v>24.570912280469354</v>
      </c>
      <c r="BS14" s="100">
        <v>12000.433557781233</v>
      </c>
      <c r="BT14" s="100">
        <v>19.772889787127241</v>
      </c>
      <c r="BU14" s="100">
        <v>9657.0793720329439</v>
      </c>
      <c r="BV14" s="100">
        <v>21</v>
      </c>
      <c r="BW14" s="100">
        <v>10256.4</v>
      </c>
      <c r="BX14" s="100">
        <v>25.808110795468842</v>
      </c>
      <c r="BY14" s="100">
        <v>12604.681312506982</v>
      </c>
      <c r="BZ14" s="100">
        <v>29.805319921120844</v>
      </c>
      <c r="CA14" s="100">
        <v>14556.91824947542</v>
      </c>
      <c r="CB14" s="100">
        <v>23.237451541915341</v>
      </c>
      <c r="CC14" s="100">
        <v>11349.171333071452</v>
      </c>
      <c r="CD14" s="100">
        <v>25.499305178682885</v>
      </c>
      <c r="CE14" s="100">
        <v>12453.860649268721</v>
      </c>
      <c r="CF14" s="100">
        <v>20.388712112147196</v>
      </c>
      <c r="CG14" s="100">
        <v>9957.8469955726905</v>
      </c>
      <c r="CH14" s="100">
        <v>27.22832395351768</v>
      </c>
      <c r="CI14" s="100">
        <v>13298.313418898035</v>
      </c>
      <c r="CJ14" s="100">
        <v>25.354597169930255</v>
      </c>
      <c r="CK14" s="100">
        <v>12383.185257793935</v>
      </c>
      <c r="CL14" s="100">
        <v>16.271402120028203</v>
      </c>
      <c r="CM14" s="100">
        <v>7946.9527954217738</v>
      </c>
      <c r="CN14" s="100">
        <v>14.08580815574607</v>
      </c>
      <c r="CO14" s="100">
        <v>6879.5087032663805</v>
      </c>
      <c r="CP14" s="100">
        <v>26.482513928238134</v>
      </c>
      <c r="CQ14" s="100">
        <v>12934.059802551505</v>
      </c>
      <c r="CR14" s="100">
        <v>21.607305967199711</v>
      </c>
      <c r="CS14" s="100">
        <v>10553.008234380339</v>
      </c>
      <c r="CT14" s="100">
        <v>18</v>
      </c>
      <c r="CU14" s="100">
        <v>8791.1999999999989</v>
      </c>
    </row>
    <row r="15" spans="1:99">
      <c r="C15" s="99" t="s">
        <v>181</v>
      </c>
      <c r="D15" s="100">
        <v>15</v>
      </c>
      <c r="E15" s="100">
        <v>11447.999999999998</v>
      </c>
      <c r="F15" s="100">
        <v>13</v>
      </c>
      <c r="G15" s="100">
        <v>9921.5999999999985</v>
      </c>
      <c r="H15" s="100">
        <v>17</v>
      </c>
      <c r="I15" s="100">
        <v>12974.4</v>
      </c>
      <c r="J15" s="100">
        <v>17</v>
      </c>
      <c r="K15" s="100">
        <v>12974.4</v>
      </c>
      <c r="L15" s="100">
        <v>24</v>
      </c>
      <c r="M15" s="100">
        <v>18316.8</v>
      </c>
      <c r="N15" s="100">
        <v>18</v>
      </c>
      <c r="O15" s="100">
        <v>13737.599999999999</v>
      </c>
      <c r="P15" s="100">
        <v>13</v>
      </c>
      <c r="Q15" s="100">
        <v>9921.5999999999985</v>
      </c>
      <c r="R15" s="100">
        <v>25</v>
      </c>
      <c r="S15" s="100">
        <v>19080</v>
      </c>
      <c r="T15" s="100">
        <v>20</v>
      </c>
      <c r="U15" s="100">
        <v>15263.999999999998</v>
      </c>
      <c r="V15" s="100">
        <v>19</v>
      </c>
      <c r="W15" s="100">
        <v>14500.8</v>
      </c>
      <c r="X15" s="100">
        <v>22</v>
      </c>
      <c r="Y15" s="100">
        <v>16790.399999999998</v>
      </c>
      <c r="Z15" s="100">
        <v>12</v>
      </c>
      <c r="AA15" s="100">
        <v>9158.4</v>
      </c>
      <c r="AB15" s="100">
        <v>25</v>
      </c>
      <c r="AC15" s="100">
        <v>19080</v>
      </c>
      <c r="AD15" s="100">
        <v>18</v>
      </c>
      <c r="AE15" s="100">
        <v>13737.599999999999</v>
      </c>
      <c r="AF15" s="100">
        <v>19</v>
      </c>
      <c r="AG15" s="100">
        <v>14500.8</v>
      </c>
      <c r="AH15" s="100">
        <v>14</v>
      </c>
      <c r="AI15" s="100">
        <v>10684.8</v>
      </c>
      <c r="AJ15" s="100">
        <v>18</v>
      </c>
      <c r="AK15" s="100">
        <v>13737.599999999999</v>
      </c>
      <c r="AL15" s="100">
        <v>25</v>
      </c>
      <c r="AM15" s="100">
        <v>19080</v>
      </c>
      <c r="AN15" s="100">
        <v>19</v>
      </c>
      <c r="AO15" s="100">
        <v>14500.8</v>
      </c>
      <c r="AP15" s="100">
        <v>18</v>
      </c>
      <c r="AQ15" s="100">
        <v>13737.599999999999</v>
      </c>
      <c r="AR15" s="100">
        <v>20</v>
      </c>
      <c r="AS15" s="100">
        <v>15263.999999999998</v>
      </c>
      <c r="AT15" s="100">
        <v>18</v>
      </c>
      <c r="AU15" s="100">
        <v>13737.599999999999</v>
      </c>
      <c r="AV15" s="100">
        <v>28</v>
      </c>
      <c r="AW15" s="100">
        <v>21369.599999999999</v>
      </c>
      <c r="AX15" s="100">
        <v>23.388293682908131</v>
      </c>
      <c r="AY15" s="100">
        <v>17849.945738795483</v>
      </c>
      <c r="AZ15" s="100">
        <v>17</v>
      </c>
      <c r="BA15" s="100">
        <v>12974.4</v>
      </c>
      <c r="BB15" s="100">
        <v>21</v>
      </c>
      <c r="BC15" s="100">
        <v>16027.199999999999</v>
      </c>
      <c r="BD15" s="100">
        <v>28</v>
      </c>
      <c r="BE15" s="100">
        <v>21369.599999999999</v>
      </c>
      <c r="BF15" s="100">
        <v>21</v>
      </c>
      <c r="BG15" s="100">
        <v>16027.199999999999</v>
      </c>
      <c r="BH15" s="100">
        <v>15</v>
      </c>
      <c r="BI15" s="100">
        <v>11447.999999999998</v>
      </c>
      <c r="BJ15" s="100">
        <v>22</v>
      </c>
      <c r="BK15" s="100">
        <v>16790.399999999998</v>
      </c>
      <c r="BL15" s="100">
        <v>25</v>
      </c>
      <c r="BM15" s="100">
        <v>19080</v>
      </c>
      <c r="BN15" s="100">
        <v>17.121590335219953</v>
      </c>
      <c r="BO15" s="100">
        <v>13067.197743839866</v>
      </c>
      <c r="BP15" s="100">
        <v>27</v>
      </c>
      <c r="BQ15" s="100">
        <v>20606.399999999998</v>
      </c>
      <c r="BR15" s="100">
        <v>21.938314536133351</v>
      </c>
      <c r="BS15" s="100">
        <v>16743.321653976971</v>
      </c>
      <c r="BT15" s="100">
        <v>18.053508066507483</v>
      </c>
      <c r="BU15" s="100">
        <v>13778.43735635851</v>
      </c>
      <c r="BV15" s="100">
        <v>20</v>
      </c>
      <c r="BW15" s="100">
        <v>15263.999999999998</v>
      </c>
      <c r="BX15" s="100">
        <v>25.808110795468842</v>
      </c>
      <c r="BY15" s="100">
        <v>19696.750159101819</v>
      </c>
      <c r="BZ15" s="100">
        <v>28.811809257083482</v>
      </c>
      <c r="CA15" s="100">
        <v>21989.17282500611</v>
      </c>
      <c r="CB15" s="100">
        <v>24.166949603591952</v>
      </c>
      <c r="CC15" s="100">
        <v>18444.215937461377</v>
      </c>
      <c r="CD15" s="100">
        <v>27.199258857261743</v>
      </c>
      <c r="CE15" s="100">
        <v>20758.474359862161</v>
      </c>
      <c r="CF15" s="100">
        <v>16.8428491361216</v>
      </c>
      <c r="CG15" s="100">
        <v>12854.462460688004</v>
      </c>
      <c r="CH15" s="100">
        <v>24.593324861241776</v>
      </c>
      <c r="CI15" s="100">
        <v>18769.625534099723</v>
      </c>
      <c r="CJ15" s="100">
        <v>25.354597169930255</v>
      </c>
      <c r="CK15" s="100">
        <v>19350.628560090769</v>
      </c>
      <c r="CL15" s="100">
        <v>16.271402120028203</v>
      </c>
      <c r="CM15" s="100">
        <v>12418.334098005524</v>
      </c>
      <c r="CN15" s="100">
        <v>13.257231205408065</v>
      </c>
      <c r="CO15" s="100">
        <v>10117.918855967435</v>
      </c>
      <c r="CP15" s="100">
        <v>26.482513928238134</v>
      </c>
      <c r="CQ15" s="100">
        <v>20211.454630031341</v>
      </c>
      <c r="CR15" s="100">
        <v>20.667857881669288</v>
      </c>
      <c r="CS15" s="100">
        <v>15773.709135289999</v>
      </c>
      <c r="CT15" s="100">
        <v>17</v>
      </c>
      <c r="CU15" s="100">
        <v>12974.4</v>
      </c>
    </row>
    <row r="16" spans="1:99">
      <c r="C16" s="99" t="s">
        <v>182</v>
      </c>
      <c r="D16" s="100">
        <v>15</v>
      </c>
      <c r="E16" s="100">
        <v>5112</v>
      </c>
      <c r="F16" s="100">
        <v>14</v>
      </c>
      <c r="G16" s="100">
        <v>4771.2</v>
      </c>
      <c r="H16" s="100">
        <v>17</v>
      </c>
      <c r="I16" s="100">
        <v>5793.6</v>
      </c>
      <c r="J16" s="100">
        <v>20</v>
      </c>
      <c r="K16" s="100">
        <v>6816</v>
      </c>
      <c r="L16" s="100">
        <v>27</v>
      </c>
      <c r="M16" s="100">
        <v>9201.6</v>
      </c>
      <c r="N16" s="100">
        <v>18</v>
      </c>
      <c r="O16" s="100">
        <v>6134.4000000000005</v>
      </c>
      <c r="P16" s="100">
        <v>15</v>
      </c>
      <c r="Q16" s="100">
        <v>5112</v>
      </c>
      <c r="R16" s="100">
        <v>27</v>
      </c>
      <c r="S16" s="100">
        <v>9201.6</v>
      </c>
      <c r="T16" s="100">
        <v>24</v>
      </c>
      <c r="U16" s="100">
        <v>8179.2000000000007</v>
      </c>
      <c r="V16" s="100">
        <v>20</v>
      </c>
      <c r="W16" s="100">
        <v>6816</v>
      </c>
      <c r="X16" s="100">
        <v>20</v>
      </c>
      <c r="Y16" s="100">
        <v>6816</v>
      </c>
      <c r="Z16" s="100">
        <v>16</v>
      </c>
      <c r="AA16" s="100">
        <v>5452.8</v>
      </c>
      <c r="AB16" s="100">
        <v>25</v>
      </c>
      <c r="AC16" s="100">
        <v>8520</v>
      </c>
      <c r="AD16" s="100">
        <v>18</v>
      </c>
      <c r="AE16" s="100">
        <v>6134.4000000000005</v>
      </c>
      <c r="AF16" s="100">
        <v>22</v>
      </c>
      <c r="AG16" s="100">
        <v>7497.6</v>
      </c>
      <c r="AH16" s="100">
        <v>14</v>
      </c>
      <c r="AI16" s="100">
        <v>4771.2</v>
      </c>
      <c r="AJ16" s="100">
        <v>22</v>
      </c>
      <c r="AK16" s="100">
        <v>7497.6</v>
      </c>
      <c r="AL16" s="100">
        <v>29</v>
      </c>
      <c r="AM16" s="100">
        <v>9883.2000000000007</v>
      </c>
      <c r="AN16" s="100">
        <v>17</v>
      </c>
      <c r="AO16" s="100">
        <v>5793.6</v>
      </c>
      <c r="AP16" s="100">
        <v>20</v>
      </c>
      <c r="AQ16" s="100">
        <v>6816</v>
      </c>
      <c r="AR16" s="100">
        <v>24</v>
      </c>
      <c r="AS16" s="100">
        <v>8179.2000000000007</v>
      </c>
      <c r="AT16" s="100">
        <v>18</v>
      </c>
      <c r="AU16" s="100">
        <v>6134.4000000000005</v>
      </c>
      <c r="AV16" s="100">
        <v>30</v>
      </c>
      <c r="AW16" s="100">
        <v>10224</v>
      </c>
      <c r="AX16" s="100">
        <v>21.655827484174196</v>
      </c>
      <c r="AY16" s="100">
        <v>7380.3060066065664</v>
      </c>
      <c r="AZ16" s="100">
        <v>18</v>
      </c>
      <c r="BA16" s="100">
        <v>6134.4000000000005</v>
      </c>
      <c r="BB16" s="100">
        <v>23</v>
      </c>
      <c r="BC16" s="100">
        <v>7838.4000000000005</v>
      </c>
      <c r="BD16" s="100">
        <v>30</v>
      </c>
      <c r="BE16" s="100">
        <v>10224</v>
      </c>
      <c r="BF16" s="100">
        <v>25</v>
      </c>
      <c r="BG16" s="100">
        <v>8520</v>
      </c>
      <c r="BH16" s="100">
        <v>18</v>
      </c>
      <c r="BI16" s="100">
        <v>6134.4000000000005</v>
      </c>
      <c r="BJ16" s="100">
        <v>22</v>
      </c>
      <c r="BK16" s="100">
        <v>7497.6</v>
      </c>
      <c r="BL16" s="100">
        <v>30</v>
      </c>
      <c r="BM16" s="100">
        <v>10224</v>
      </c>
      <c r="BN16" s="100">
        <v>19.975188724423276</v>
      </c>
      <c r="BO16" s="100">
        <v>6807.544317283453</v>
      </c>
      <c r="BP16" s="100">
        <v>27</v>
      </c>
      <c r="BQ16" s="100">
        <v>9201.6</v>
      </c>
      <c r="BR16" s="100">
        <v>22.815847117578688</v>
      </c>
      <c r="BS16" s="100">
        <v>7775.6406976708167</v>
      </c>
      <c r="BT16" s="100">
        <v>19.772889787127241</v>
      </c>
      <c r="BU16" s="100">
        <v>6738.6008394529636</v>
      </c>
      <c r="BV16" s="100">
        <v>20</v>
      </c>
      <c r="BW16" s="100">
        <v>6816</v>
      </c>
      <c r="BX16" s="100">
        <v>26.698045650485007</v>
      </c>
      <c r="BY16" s="100">
        <v>9098.693957685291</v>
      </c>
      <c r="BZ16" s="100">
        <v>28.811809257083482</v>
      </c>
      <c r="CA16" s="100">
        <v>9819.0645948140518</v>
      </c>
      <c r="CB16" s="100">
        <v>26.025945726945181</v>
      </c>
      <c r="CC16" s="100">
        <v>8869.6423037429176</v>
      </c>
      <c r="CD16" s="100">
        <v>25.499305178682885</v>
      </c>
      <c r="CE16" s="100">
        <v>8690.1632048951269</v>
      </c>
      <c r="CF16" s="100">
        <v>17.729314880127998</v>
      </c>
      <c r="CG16" s="100">
        <v>6042.1505111476217</v>
      </c>
      <c r="CH16" s="100">
        <v>28.106656984276313</v>
      </c>
      <c r="CI16" s="100">
        <v>9578.7487002413673</v>
      </c>
      <c r="CJ16" s="100">
        <v>22.638033187437728</v>
      </c>
      <c r="CK16" s="100">
        <v>7715.0417102787778</v>
      </c>
      <c r="CL16" s="100">
        <v>15.367435335582192</v>
      </c>
      <c r="CM16" s="100">
        <v>5237.2219623664114</v>
      </c>
      <c r="CN16" s="100">
        <v>14.914385106084072</v>
      </c>
      <c r="CO16" s="100">
        <v>5082.8224441534521</v>
      </c>
      <c r="CP16" s="100">
        <v>28.248014856787343</v>
      </c>
      <c r="CQ16" s="100">
        <v>9626.9234631931267</v>
      </c>
      <c r="CR16" s="100">
        <v>24.425650223790974</v>
      </c>
      <c r="CS16" s="100">
        <v>8324.2615962679647</v>
      </c>
      <c r="CT16" s="100">
        <v>17</v>
      </c>
      <c r="CU16" s="100">
        <v>5793.6</v>
      </c>
    </row>
    <row r="17" spans="2:99">
      <c r="C17" s="99" t="s">
        <v>183</v>
      </c>
      <c r="D17" s="100">
        <v>16</v>
      </c>
      <c r="E17" s="100">
        <v>6758.4</v>
      </c>
      <c r="F17" s="100">
        <v>13</v>
      </c>
      <c r="G17" s="100">
        <v>5491.2</v>
      </c>
      <c r="H17" s="100">
        <v>15</v>
      </c>
      <c r="I17" s="100">
        <v>6336</v>
      </c>
      <c r="J17" s="100">
        <v>20</v>
      </c>
      <c r="K17" s="100">
        <v>8448</v>
      </c>
      <c r="L17" s="100">
        <v>25</v>
      </c>
      <c r="M17" s="100">
        <v>10560</v>
      </c>
      <c r="N17" s="100">
        <v>17</v>
      </c>
      <c r="O17" s="100">
        <v>7180.7999999999993</v>
      </c>
      <c r="P17" s="100">
        <v>15</v>
      </c>
      <c r="Q17" s="100">
        <v>6336</v>
      </c>
      <c r="R17" s="100">
        <v>24</v>
      </c>
      <c r="S17" s="100">
        <v>10137.599999999999</v>
      </c>
      <c r="T17" s="100">
        <v>23</v>
      </c>
      <c r="U17" s="100">
        <v>9715.1999999999989</v>
      </c>
      <c r="V17" s="100">
        <v>19</v>
      </c>
      <c r="W17" s="100">
        <v>8025.5999999999995</v>
      </c>
      <c r="X17" s="100">
        <v>20</v>
      </c>
      <c r="Y17" s="100">
        <v>8448</v>
      </c>
      <c r="Z17" s="100">
        <v>14</v>
      </c>
      <c r="AA17" s="100">
        <v>5913.5999999999995</v>
      </c>
      <c r="AB17" s="100">
        <v>27</v>
      </c>
      <c r="AC17" s="100">
        <v>11404.8</v>
      </c>
      <c r="AD17" s="100">
        <v>18</v>
      </c>
      <c r="AE17" s="100">
        <v>7603.2</v>
      </c>
      <c r="AF17" s="100">
        <v>19</v>
      </c>
      <c r="AG17" s="100">
        <v>8025.5999999999995</v>
      </c>
      <c r="AH17" s="100">
        <v>13</v>
      </c>
      <c r="AI17" s="100">
        <v>5491.2</v>
      </c>
      <c r="AJ17" s="100">
        <v>20</v>
      </c>
      <c r="AK17" s="100">
        <v>8448</v>
      </c>
      <c r="AL17" s="100">
        <v>24</v>
      </c>
      <c r="AM17" s="100">
        <v>10137.599999999999</v>
      </c>
      <c r="AN17" s="100">
        <v>19</v>
      </c>
      <c r="AO17" s="100">
        <v>8025.5999999999995</v>
      </c>
      <c r="AP17" s="100">
        <v>20</v>
      </c>
      <c r="AQ17" s="100">
        <v>8448</v>
      </c>
      <c r="AR17" s="100">
        <v>21</v>
      </c>
      <c r="AS17" s="100">
        <v>8870.4</v>
      </c>
      <c r="AT17" s="100">
        <v>18</v>
      </c>
      <c r="AU17" s="100">
        <v>7603.2</v>
      </c>
      <c r="AV17" s="100">
        <v>27</v>
      </c>
      <c r="AW17" s="100">
        <v>11404.8</v>
      </c>
      <c r="AX17" s="100">
        <v>24.2545267822751</v>
      </c>
      <c r="AY17" s="100">
        <v>10245.112112833001</v>
      </c>
      <c r="AZ17" s="100">
        <v>20</v>
      </c>
      <c r="BA17" s="100">
        <v>8448</v>
      </c>
      <c r="BB17" s="100">
        <v>23</v>
      </c>
      <c r="BC17" s="100">
        <v>9715.1999999999989</v>
      </c>
      <c r="BD17" s="100">
        <v>27</v>
      </c>
      <c r="BE17" s="100">
        <v>11404.8</v>
      </c>
      <c r="BF17" s="100">
        <v>25</v>
      </c>
      <c r="BG17" s="100">
        <v>10560</v>
      </c>
      <c r="BH17" s="100">
        <v>15</v>
      </c>
      <c r="BI17" s="100">
        <v>6336</v>
      </c>
      <c r="BJ17" s="100">
        <v>20</v>
      </c>
      <c r="BK17" s="100">
        <v>8448</v>
      </c>
      <c r="BL17" s="100">
        <v>31</v>
      </c>
      <c r="BM17" s="100">
        <v>13094.4</v>
      </c>
      <c r="BN17" s="100">
        <v>19.023989261355503</v>
      </c>
      <c r="BO17" s="100">
        <v>8035.7330639965639</v>
      </c>
      <c r="BP17" s="100">
        <v>27</v>
      </c>
      <c r="BQ17" s="100">
        <v>11404.8</v>
      </c>
      <c r="BR17" s="100">
        <v>22.815847117578688</v>
      </c>
      <c r="BS17" s="100">
        <v>9637.4138224652379</v>
      </c>
      <c r="BT17" s="100">
        <v>19.772889787127241</v>
      </c>
      <c r="BU17" s="100">
        <v>8352.0686460825455</v>
      </c>
      <c r="BV17" s="100">
        <v>20</v>
      </c>
      <c r="BW17" s="100">
        <v>8448</v>
      </c>
      <c r="BX17" s="100">
        <v>22.248371375404176</v>
      </c>
      <c r="BY17" s="100">
        <v>9397.7120689707226</v>
      </c>
      <c r="BZ17" s="100">
        <v>28.811809257083482</v>
      </c>
      <c r="CA17" s="100">
        <v>12170.108230192061</v>
      </c>
      <c r="CB17" s="100">
        <v>24.166949603591952</v>
      </c>
      <c r="CC17" s="100">
        <v>10208.119512557239</v>
      </c>
      <c r="CD17" s="100">
        <v>23.799351500104027</v>
      </c>
      <c r="CE17" s="100">
        <v>10052.846073643941</v>
      </c>
      <c r="CF17" s="100">
        <v>17.729314880127998</v>
      </c>
      <c r="CG17" s="100">
        <v>7488.8626053660655</v>
      </c>
      <c r="CH17" s="100">
        <v>28.106656984276313</v>
      </c>
      <c r="CI17" s="100">
        <v>11872.251910158315</v>
      </c>
      <c r="CJ17" s="100">
        <v>25.354597169930255</v>
      </c>
      <c r="CK17" s="100">
        <v>10709.78184457854</v>
      </c>
      <c r="CL17" s="100">
        <v>14.463468551136179</v>
      </c>
      <c r="CM17" s="100">
        <v>6109.3691159999216</v>
      </c>
      <c r="CN17" s="100">
        <v>14.08580815574607</v>
      </c>
      <c r="CO17" s="100">
        <v>5949.8453649871399</v>
      </c>
      <c r="CP17" s="100">
        <v>28.248014856787343</v>
      </c>
      <c r="CQ17" s="100">
        <v>11931.961475506972</v>
      </c>
      <c r="CR17" s="100">
        <v>24.425650223790974</v>
      </c>
      <c r="CS17" s="100">
        <v>10317.394654529307</v>
      </c>
      <c r="CT17" s="100">
        <v>17</v>
      </c>
      <c r="CU17" s="100">
        <v>7180.7999999999993</v>
      </c>
    </row>
    <row r="18" spans="2:99">
      <c r="C18" s="99" t="s">
        <v>184</v>
      </c>
      <c r="D18" s="100">
        <v>14</v>
      </c>
      <c r="E18" s="100">
        <v>9139.1999999999989</v>
      </c>
      <c r="F18" s="100">
        <v>13</v>
      </c>
      <c r="G18" s="100">
        <v>8486.4</v>
      </c>
      <c r="H18" s="100">
        <v>15</v>
      </c>
      <c r="I18" s="100">
        <v>9792</v>
      </c>
      <c r="J18" s="100">
        <v>18</v>
      </c>
      <c r="K18" s="100">
        <v>11750.4</v>
      </c>
      <c r="L18" s="100">
        <v>26</v>
      </c>
      <c r="M18" s="100">
        <v>16972.8</v>
      </c>
      <c r="N18" s="100">
        <v>17</v>
      </c>
      <c r="O18" s="100">
        <v>11097.599999999999</v>
      </c>
      <c r="P18" s="100">
        <v>15</v>
      </c>
      <c r="Q18" s="100">
        <v>9792</v>
      </c>
      <c r="R18" s="100">
        <v>26</v>
      </c>
      <c r="S18" s="100">
        <v>16972.8</v>
      </c>
      <c r="T18" s="100">
        <v>21</v>
      </c>
      <c r="U18" s="100">
        <v>13708.8</v>
      </c>
      <c r="V18" s="100">
        <v>20</v>
      </c>
      <c r="W18" s="100">
        <v>13056</v>
      </c>
      <c r="X18" s="100">
        <v>19</v>
      </c>
      <c r="Y18" s="100">
        <v>12403.199999999999</v>
      </c>
      <c r="Z18" s="100">
        <v>14</v>
      </c>
      <c r="AA18" s="100">
        <v>9139.1999999999989</v>
      </c>
      <c r="AB18" s="100">
        <v>26</v>
      </c>
      <c r="AC18" s="100">
        <v>16972.8</v>
      </c>
      <c r="AD18" s="100">
        <v>20</v>
      </c>
      <c r="AE18" s="100">
        <v>13056</v>
      </c>
      <c r="AF18" s="100">
        <v>19</v>
      </c>
      <c r="AG18" s="100">
        <v>12403.199999999999</v>
      </c>
      <c r="AH18" s="100">
        <v>14</v>
      </c>
      <c r="AI18" s="100">
        <v>9139.1999999999989</v>
      </c>
      <c r="AJ18" s="100">
        <v>19</v>
      </c>
      <c r="AK18" s="100">
        <v>12403.199999999999</v>
      </c>
      <c r="AL18" s="100">
        <v>23</v>
      </c>
      <c r="AM18" s="100">
        <v>15014.4</v>
      </c>
      <c r="AN18" s="100">
        <v>18</v>
      </c>
      <c r="AO18" s="100">
        <v>11750.4</v>
      </c>
      <c r="AP18" s="100">
        <v>18</v>
      </c>
      <c r="AQ18" s="100">
        <v>11750.4</v>
      </c>
      <c r="AR18" s="100">
        <v>22</v>
      </c>
      <c r="AS18" s="100">
        <v>14361.599999999999</v>
      </c>
      <c r="AT18" s="100">
        <v>17</v>
      </c>
      <c r="AU18" s="100">
        <v>11097.599999999999</v>
      </c>
      <c r="AV18" s="100">
        <v>26</v>
      </c>
      <c r="AW18" s="100">
        <v>16972.8</v>
      </c>
      <c r="AX18" s="100">
        <v>22.522060583541165</v>
      </c>
      <c r="AY18" s="100">
        <v>14702.401148935673</v>
      </c>
      <c r="AZ18" s="100">
        <v>18</v>
      </c>
      <c r="BA18" s="100">
        <v>11750.4</v>
      </c>
      <c r="BB18" s="100">
        <v>25</v>
      </c>
      <c r="BC18" s="100">
        <v>16319.999999999998</v>
      </c>
      <c r="BD18" s="100">
        <v>27</v>
      </c>
      <c r="BE18" s="100">
        <v>17625.599999999999</v>
      </c>
      <c r="BF18" s="100">
        <v>22</v>
      </c>
      <c r="BG18" s="100">
        <v>14361.599999999999</v>
      </c>
      <c r="BH18" s="100">
        <v>16</v>
      </c>
      <c r="BI18" s="100">
        <v>10444.799999999999</v>
      </c>
      <c r="BJ18" s="100">
        <v>22</v>
      </c>
      <c r="BK18" s="100">
        <v>14361.599999999999</v>
      </c>
      <c r="BL18" s="100">
        <v>27</v>
      </c>
      <c r="BM18" s="100">
        <v>17625.599999999999</v>
      </c>
      <c r="BN18" s="100">
        <v>17.121590335219953</v>
      </c>
      <c r="BO18" s="100">
        <v>11176.974170831585</v>
      </c>
      <c r="BP18" s="100">
        <v>24</v>
      </c>
      <c r="BQ18" s="100">
        <v>15667.199999999999</v>
      </c>
      <c r="BR18" s="100">
        <v>25.448444861914691</v>
      </c>
      <c r="BS18" s="100">
        <v>16612.74480585791</v>
      </c>
      <c r="BT18" s="100">
        <v>16.334126345887721</v>
      </c>
      <c r="BU18" s="100">
        <v>10662.917678595504</v>
      </c>
      <c r="BV18" s="100">
        <v>19</v>
      </c>
      <c r="BW18" s="100">
        <v>12403.199999999999</v>
      </c>
      <c r="BX18" s="100">
        <v>25.808110795468842</v>
      </c>
      <c r="BY18" s="100">
        <v>16847.534727282058</v>
      </c>
      <c r="BZ18" s="100">
        <v>29.805319921120844</v>
      </c>
      <c r="CA18" s="100">
        <v>19456.912844507686</v>
      </c>
      <c r="CB18" s="100">
        <v>22.307953480238726</v>
      </c>
      <c r="CC18" s="100">
        <v>14562.632031899841</v>
      </c>
      <c r="CD18" s="100">
        <v>26.349282017972314</v>
      </c>
      <c r="CE18" s="100">
        <v>17200.811301332324</v>
      </c>
      <c r="CF18" s="100">
        <v>18.615780624134398</v>
      </c>
      <c r="CG18" s="100">
        <v>12152.381591434934</v>
      </c>
      <c r="CH18" s="100">
        <v>22.836658799724507</v>
      </c>
      <c r="CI18" s="100">
        <v>14907.770864460157</v>
      </c>
      <c r="CJ18" s="100">
        <v>22.638033187437728</v>
      </c>
      <c r="CK18" s="100">
        <v>14778.108064759348</v>
      </c>
      <c r="CL18" s="100">
        <v>13.55950176669017</v>
      </c>
      <c r="CM18" s="100">
        <v>8851.6427532953421</v>
      </c>
      <c r="CN18" s="100">
        <v>15.742962056422078</v>
      </c>
      <c r="CO18" s="100">
        <v>10277.005630432332</v>
      </c>
      <c r="CP18" s="100">
        <v>22.951512071139714</v>
      </c>
      <c r="CQ18" s="100">
        <v>14982.747080040004</v>
      </c>
      <c r="CR18" s="100">
        <v>20.667857881669288</v>
      </c>
      <c r="CS18" s="100">
        <v>13491.977625153711</v>
      </c>
      <c r="CT18" s="100">
        <v>16</v>
      </c>
      <c r="CU18" s="100">
        <v>10444.799999999999</v>
      </c>
    </row>
    <row r="19" spans="2:99">
      <c r="C19" s="99" t="s">
        <v>185</v>
      </c>
      <c r="D19" s="100">
        <v>14</v>
      </c>
      <c r="E19" s="100">
        <v>4620</v>
      </c>
      <c r="F19" s="100">
        <v>15</v>
      </c>
      <c r="G19" s="100">
        <v>4950</v>
      </c>
      <c r="H19" s="100">
        <v>15</v>
      </c>
      <c r="I19" s="100">
        <v>4950</v>
      </c>
      <c r="J19" s="100">
        <v>20</v>
      </c>
      <c r="K19" s="100">
        <v>6600</v>
      </c>
      <c r="L19" s="100">
        <v>29</v>
      </c>
      <c r="M19" s="100">
        <v>9570</v>
      </c>
      <c r="N19" s="100">
        <v>17</v>
      </c>
      <c r="O19" s="100">
        <v>5610</v>
      </c>
      <c r="P19" s="100">
        <v>14</v>
      </c>
      <c r="Q19" s="100">
        <v>4620</v>
      </c>
      <c r="R19" s="100">
        <v>25</v>
      </c>
      <c r="S19" s="100">
        <v>8250</v>
      </c>
      <c r="T19" s="100">
        <v>22</v>
      </c>
      <c r="U19" s="100">
        <v>7260</v>
      </c>
      <c r="V19" s="100">
        <v>20</v>
      </c>
      <c r="W19" s="100">
        <v>6600</v>
      </c>
      <c r="X19" s="100">
        <v>23</v>
      </c>
      <c r="Y19" s="100">
        <v>7590</v>
      </c>
      <c r="Z19" s="100">
        <v>16</v>
      </c>
      <c r="AA19" s="100">
        <v>5280</v>
      </c>
      <c r="AB19" s="100">
        <v>26</v>
      </c>
      <c r="AC19" s="100">
        <v>8580</v>
      </c>
      <c r="AD19" s="100">
        <v>18</v>
      </c>
      <c r="AE19" s="100">
        <v>5940</v>
      </c>
      <c r="AF19" s="100">
        <v>23</v>
      </c>
      <c r="AG19" s="100">
        <v>7590</v>
      </c>
      <c r="AH19" s="100">
        <v>16</v>
      </c>
      <c r="AI19" s="100">
        <v>5280</v>
      </c>
      <c r="AJ19" s="100">
        <v>21</v>
      </c>
      <c r="AK19" s="100">
        <v>6930</v>
      </c>
      <c r="AL19" s="100">
        <v>25</v>
      </c>
      <c r="AM19" s="100">
        <v>8250</v>
      </c>
      <c r="AN19" s="100">
        <v>18</v>
      </c>
      <c r="AO19" s="100">
        <v>5940</v>
      </c>
      <c r="AP19" s="100">
        <v>19</v>
      </c>
      <c r="AQ19" s="100">
        <v>6270</v>
      </c>
      <c r="AR19" s="100">
        <v>24</v>
      </c>
      <c r="AS19" s="100">
        <v>7920</v>
      </c>
      <c r="AT19" s="100">
        <v>17</v>
      </c>
      <c r="AU19" s="100">
        <v>5610</v>
      </c>
      <c r="AV19" s="100">
        <v>28</v>
      </c>
      <c r="AW19" s="100">
        <v>9240</v>
      </c>
      <c r="AX19" s="100">
        <v>21.655827484174196</v>
      </c>
      <c r="AY19" s="100">
        <v>7146.4230697774847</v>
      </c>
      <c r="AZ19" s="100">
        <v>18</v>
      </c>
      <c r="BA19" s="100">
        <v>5940</v>
      </c>
      <c r="BB19" s="100">
        <v>26</v>
      </c>
      <c r="BC19" s="100">
        <v>8580</v>
      </c>
      <c r="BD19" s="100">
        <v>26</v>
      </c>
      <c r="BE19" s="100">
        <v>8580</v>
      </c>
      <c r="BF19" s="100">
        <v>26</v>
      </c>
      <c r="BG19" s="100">
        <v>8580</v>
      </c>
      <c r="BH19" s="100">
        <v>18</v>
      </c>
      <c r="BI19" s="100">
        <v>5940</v>
      </c>
      <c r="BJ19" s="100">
        <v>20</v>
      </c>
      <c r="BK19" s="100">
        <v>6600</v>
      </c>
      <c r="BL19" s="100">
        <v>31</v>
      </c>
      <c r="BM19" s="100">
        <v>10230</v>
      </c>
      <c r="BN19" s="100">
        <v>18.072789798287729</v>
      </c>
      <c r="BO19" s="100">
        <v>5964.0206334349505</v>
      </c>
      <c r="BP19" s="100">
        <v>28</v>
      </c>
      <c r="BQ19" s="100">
        <v>9240</v>
      </c>
      <c r="BR19" s="100">
        <v>27.203510024805357</v>
      </c>
      <c r="BS19" s="100">
        <v>8977.158308185768</v>
      </c>
      <c r="BT19" s="100">
        <v>18.913198926817362</v>
      </c>
      <c r="BU19" s="100">
        <v>6241.3556458497296</v>
      </c>
      <c r="BV19" s="100">
        <v>19</v>
      </c>
      <c r="BW19" s="100">
        <v>6270</v>
      </c>
      <c r="BX19" s="100">
        <v>24.028241085436509</v>
      </c>
      <c r="BY19" s="100">
        <v>7929.3195581940481</v>
      </c>
      <c r="BZ19" s="100">
        <v>28.811809257083482</v>
      </c>
      <c r="CA19" s="100">
        <v>9507.8970548375491</v>
      </c>
      <c r="CB19" s="100">
        <v>26.025945726945181</v>
      </c>
      <c r="CC19" s="100">
        <v>8588.5620898919096</v>
      </c>
      <c r="CD19" s="100">
        <v>23.799351500104027</v>
      </c>
      <c r="CE19" s="100">
        <v>7853.7859950343291</v>
      </c>
      <c r="CF19" s="100">
        <v>20.388712112147196</v>
      </c>
      <c r="CG19" s="100">
        <v>6728.2749970085752</v>
      </c>
      <c r="CH19" s="100">
        <v>28.106656984276313</v>
      </c>
      <c r="CI19" s="100">
        <v>9275.196804811183</v>
      </c>
      <c r="CJ19" s="100">
        <v>26.260118497427765</v>
      </c>
      <c r="CK19" s="100">
        <v>8665.8391041511622</v>
      </c>
      <c r="CL19" s="100">
        <v>16.271402120028203</v>
      </c>
      <c r="CM19" s="100">
        <v>5369.5626996093069</v>
      </c>
      <c r="CN19" s="100">
        <v>14.914385106084072</v>
      </c>
      <c r="CO19" s="100">
        <v>4921.7470850077443</v>
      </c>
      <c r="CP19" s="100">
        <v>29.130765321061951</v>
      </c>
      <c r="CQ19" s="100">
        <v>9613.1525559504444</v>
      </c>
      <c r="CR19" s="100">
        <v>25.365098309321397</v>
      </c>
      <c r="CS19" s="100">
        <v>8370.4824420760615</v>
      </c>
      <c r="CT19" s="100">
        <v>19</v>
      </c>
      <c r="CU19" s="100">
        <v>6270</v>
      </c>
    </row>
    <row r="20" spans="2:99">
      <c r="B20" s="99" t="s">
        <v>127</v>
      </c>
      <c r="C20" s="99" t="s">
        <v>186</v>
      </c>
      <c r="D20" s="100">
        <v>14</v>
      </c>
      <c r="E20" s="100">
        <v>4015.2000000000003</v>
      </c>
      <c r="F20" s="100">
        <v>28</v>
      </c>
      <c r="G20" s="100">
        <v>8030.4000000000005</v>
      </c>
      <c r="H20" s="100">
        <v>18</v>
      </c>
      <c r="I20" s="100">
        <v>5162.4000000000005</v>
      </c>
      <c r="J20" s="100">
        <v>14</v>
      </c>
      <c r="K20" s="100">
        <v>4015.2000000000003</v>
      </c>
      <c r="L20" s="100">
        <v>22</v>
      </c>
      <c r="M20" s="100">
        <v>6309.6</v>
      </c>
      <c r="N20" s="100">
        <v>18</v>
      </c>
      <c r="O20" s="100">
        <v>5162.4000000000005</v>
      </c>
      <c r="P20" s="100">
        <v>20</v>
      </c>
      <c r="Q20" s="100">
        <v>5736</v>
      </c>
      <c r="R20" s="100">
        <v>17</v>
      </c>
      <c r="S20" s="100">
        <v>4875.6000000000004</v>
      </c>
      <c r="T20" s="100">
        <v>16</v>
      </c>
      <c r="U20" s="100">
        <v>4588.8</v>
      </c>
      <c r="V20" s="100">
        <v>20</v>
      </c>
      <c r="W20" s="100">
        <v>5736</v>
      </c>
      <c r="X20" s="100">
        <v>25</v>
      </c>
      <c r="Y20" s="100">
        <v>7170</v>
      </c>
      <c r="Z20" s="100">
        <v>25</v>
      </c>
      <c r="AA20" s="100">
        <v>7170</v>
      </c>
      <c r="AB20" s="100">
        <v>17</v>
      </c>
      <c r="AC20" s="100">
        <v>4875.6000000000004</v>
      </c>
      <c r="AD20" s="100">
        <v>22</v>
      </c>
      <c r="AE20" s="100">
        <v>6309.6</v>
      </c>
      <c r="AF20" s="100">
        <v>20</v>
      </c>
      <c r="AG20" s="100">
        <v>5736</v>
      </c>
      <c r="AH20" s="100">
        <v>19</v>
      </c>
      <c r="AI20" s="100">
        <v>5449.2</v>
      </c>
      <c r="AJ20" s="100">
        <v>21</v>
      </c>
      <c r="AK20" s="100">
        <v>6022.8</v>
      </c>
      <c r="AL20" s="100">
        <v>20</v>
      </c>
      <c r="AM20" s="100">
        <v>5736</v>
      </c>
      <c r="AN20" s="100">
        <v>20</v>
      </c>
      <c r="AO20" s="100">
        <v>5736</v>
      </c>
      <c r="AP20" s="100">
        <v>22</v>
      </c>
      <c r="AQ20" s="100">
        <v>6309.6</v>
      </c>
      <c r="AR20" s="100">
        <v>16</v>
      </c>
      <c r="AS20" s="100">
        <v>4588.8</v>
      </c>
      <c r="AT20" s="100">
        <v>27</v>
      </c>
      <c r="AU20" s="100">
        <v>7743.6</v>
      </c>
      <c r="AV20" s="100">
        <v>26</v>
      </c>
      <c r="AW20" s="100">
        <v>7456.8</v>
      </c>
      <c r="AX20" s="100">
        <v>25.986992981009035</v>
      </c>
      <c r="AY20" s="100">
        <v>7453.0695869533911</v>
      </c>
      <c r="AZ20" s="100">
        <v>24</v>
      </c>
      <c r="BA20" s="100">
        <v>6883.2000000000007</v>
      </c>
      <c r="BB20" s="100">
        <v>24</v>
      </c>
      <c r="BC20" s="100">
        <v>6883.2000000000007</v>
      </c>
      <c r="BD20" s="100">
        <v>20</v>
      </c>
      <c r="BE20" s="100">
        <v>5736</v>
      </c>
      <c r="BF20" s="100">
        <v>26</v>
      </c>
      <c r="BG20" s="100">
        <v>7456.8</v>
      </c>
      <c r="BH20" s="100">
        <v>18</v>
      </c>
      <c r="BI20" s="100">
        <v>5162.4000000000005</v>
      </c>
      <c r="BJ20" s="100">
        <v>20</v>
      </c>
      <c r="BK20" s="100">
        <v>5736</v>
      </c>
      <c r="BL20" s="100">
        <v>33</v>
      </c>
      <c r="BM20" s="100">
        <v>9464.4</v>
      </c>
      <c r="BN20" s="100">
        <v>29.487183355101028</v>
      </c>
      <c r="BO20" s="100">
        <v>8456.9241862429753</v>
      </c>
      <c r="BP20" s="100">
        <v>19</v>
      </c>
      <c r="BQ20" s="100">
        <v>5449.2</v>
      </c>
      <c r="BR20" s="100">
        <v>23.693379699024018</v>
      </c>
      <c r="BS20" s="100">
        <v>6795.2612976800883</v>
      </c>
      <c r="BT20" s="100">
        <v>24.071344088676643</v>
      </c>
      <c r="BU20" s="100">
        <v>6903.661484632461</v>
      </c>
      <c r="BV20" s="100">
        <v>24</v>
      </c>
      <c r="BW20" s="100">
        <v>6883.2000000000007</v>
      </c>
      <c r="BX20" s="100">
        <v>20.468501665371839</v>
      </c>
      <c r="BY20" s="100">
        <v>5870.3662776286437</v>
      </c>
      <c r="BZ20" s="100">
        <v>19.87021328074723</v>
      </c>
      <c r="CA20" s="100">
        <v>5698.7771689183055</v>
      </c>
      <c r="CB20" s="100">
        <v>17.660463171855657</v>
      </c>
      <c r="CC20" s="100">
        <v>5065.0208376882028</v>
      </c>
      <c r="CD20" s="100">
        <v>21.249420982235737</v>
      </c>
      <c r="CE20" s="100">
        <v>6094.3339377052098</v>
      </c>
      <c r="CF20" s="100">
        <v>27.480438064198399</v>
      </c>
      <c r="CG20" s="100">
        <v>7881.3896368121013</v>
      </c>
      <c r="CH20" s="100">
        <v>21.079992738207235</v>
      </c>
      <c r="CI20" s="100">
        <v>6045.741917317835</v>
      </c>
      <c r="CJ20" s="100">
        <v>14.488341239960146</v>
      </c>
      <c r="CK20" s="100">
        <v>4155.2562676205698</v>
      </c>
      <c r="CL20" s="100">
        <v>27.11900353338034</v>
      </c>
      <c r="CM20" s="100">
        <v>7777.730213373482</v>
      </c>
      <c r="CN20" s="100">
        <v>28.171616311492141</v>
      </c>
      <c r="CO20" s="100">
        <v>8079.6195581359461</v>
      </c>
      <c r="CP20" s="100">
        <v>21.186011142590509</v>
      </c>
      <c r="CQ20" s="100">
        <v>6076.1479956949579</v>
      </c>
      <c r="CR20" s="100">
        <v>23.486202138260552</v>
      </c>
      <c r="CS20" s="100">
        <v>6735.8427732531263</v>
      </c>
      <c r="CT20" s="100">
        <v>25</v>
      </c>
      <c r="CU20" s="100">
        <v>7170</v>
      </c>
    </row>
    <row r="21" spans="2:99">
      <c r="C21" s="99" t="s">
        <v>187</v>
      </c>
      <c r="D21" s="100">
        <v>16</v>
      </c>
      <c r="E21" s="100">
        <v>998.4</v>
      </c>
      <c r="F21" s="100">
        <v>27</v>
      </c>
      <c r="G21" s="100">
        <v>1684.8</v>
      </c>
      <c r="H21" s="100">
        <v>20</v>
      </c>
      <c r="I21" s="100">
        <v>1248</v>
      </c>
      <c r="J21" s="100">
        <v>16</v>
      </c>
      <c r="K21" s="100">
        <v>998.4</v>
      </c>
      <c r="L21" s="100">
        <v>23</v>
      </c>
      <c r="M21" s="100">
        <v>1435.2</v>
      </c>
      <c r="N21" s="100">
        <v>17</v>
      </c>
      <c r="O21" s="100">
        <v>1060.8</v>
      </c>
      <c r="P21" s="100">
        <v>20</v>
      </c>
      <c r="Q21" s="100">
        <v>1248</v>
      </c>
      <c r="R21" s="100">
        <v>18</v>
      </c>
      <c r="S21" s="100">
        <v>1123.2</v>
      </c>
      <c r="T21" s="100">
        <v>18</v>
      </c>
      <c r="U21" s="100">
        <v>1123.2</v>
      </c>
      <c r="V21" s="100">
        <v>22</v>
      </c>
      <c r="W21" s="100">
        <v>1372.8</v>
      </c>
      <c r="X21" s="100">
        <v>26</v>
      </c>
      <c r="Y21" s="100">
        <v>1622.3999999999999</v>
      </c>
      <c r="Z21" s="100">
        <v>26</v>
      </c>
      <c r="AA21" s="100">
        <v>1622.3999999999999</v>
      </c>
      <c r="AB21" s="100">
        <v>18</v>
      </c>
      <c r="AC21" s="100">
        <v>1123.2</v>
      </c>
      <c r="AD21" s="100">
        <v>22</v>
      </c>
      <c r="AE21" s="100">
        <v>1372.8</v>
      </c>
      <c r="AF21" s="100">
        <v>20</v>
      </c>
      <c r="AG21" s="100">
        <v>1248</v>
      </c>
      <c r="AH21" s="100">
        <v>20</v>
      </c>
      <c r="AI21" s="100">
        <v>1248</v>
      </c>
      <c r="AJ21" s="100">
        <v>20</v>
      </c>
      <c r="AK21" s="100">
        <v>1248</v>
      </c>
      <c r="AL21" s="100">
        <v>22</v>
      </c>
      <c r="AM21" s="100">
        <v>1372.8</v>
      </c>
      <c r="AN21" s="100">
        <v>19</v>
      </c>
      <c r="AO21" s="100">
        <v>1185.5999999999999</v>
      </c>
      <c r="AP21" s="100">
        <v>25</v>
      </c>
      <c r="AQ21" s="100">
        <v>1560</v>
      </c>
      <c r="AR21" s="100">
        <v>20</v>
      </c>
      <c r="AS21" s="100">
        <v>1248</v>
      </c>
      <c r="AT21" s="100">
        <v>28</v>
      </c>
      <c r="AU21" s="100">
        <v>1747.2</v>
      </c>
      <c r="AV21" s="100">
        <v>26</v>
      </c>
      <c r="AW21" s="100">
        <v>1622.3999999999999</v>
      </c>
      <c r="AX21" s="100">
        <v>25.986992981009035</v>
      </c>
      <c r="AY21" s="100">
        <v>1621.5883620149636</v>
      </c>
      <c r="AZ21" s="100">
        <v>25</v>
      </c>
      <c r="BA21" s="100">
        <v>1560</v>
      </c>
      <c r="BB21" s="100">
        <v>24</v>
      </c>
      <c r="BC21" s="100">
        <v>1497.6</v>
      </c>
      <c r="BD21" s="100">
        <v>21</v>
      </c>
      <c r="BE21" s="100">
        <v>1310.3999999999999</v>
      </c>
      <c r="BF21" s="100">
        <v>23</v>
      </c>
      <c r="BG21" s="100">
        <v>1435.2</v>
      </c>
      <c r="BH21" s="100">
        <v>20</v>
      </c>
      <c r="BI21" s="100">
        <v>1248</v>
      </c>
      <c r="BJ21" s="100">
        <v>20</v>
      </c>
      <c r="BK21" s="100">
        <v>1248</v>
      </c>
      <c r="BL21" s="100">
        <v>35</v>
      </c>
      <c r="BM21" s="100">
        <v>2184</v>
      </c>
      <c r="BN21" s="100">
        <v>29.487183355101028</v>
      </c>
      <c r="BO21" s="100">
        <v>1840.000241358304</v>
      </c>
      <c r="BP21" s="100">
        <v>21</v>
      </c>
      <c r="BQ21" s="100">
        <v>1310.3999999999999</v>
      </c>
      <c r="BR21" s="100">
        <v>21.938314536133351</v>
      </c>
      <c r="BS21" s="100">
        <v>1368.950827054721</v>
      </c>
      <c r="BT21" s="100">
        <v>24.071344088676643</v>
      </c>
      <c r="BU21" s="100">
        <v>1502.0518711334225</v>
      </c>
      <c r="BV21" s="100">
        <v>23</v>
      </c>
      <c r="BW21" s="100">
        <v>1435.2</v>
      </c>
      <c r="BX21" s="100">
        <v>17.798697100323338</v>
      </c>
      <c r="BY21" s="100">
        <v>1110.6386990601764</v>
      </c>
      <c r="BZ21" s="100">
        <v>18.876702616709867</v>
      </c>
      <c r="CA21" s="100">
        <v>1177.9062432826956</v>
      </c>
      <c r="CB21" s="100">
        <v>19.519459295208883</v>
      </c>
      <c r="CC21" s="100">
        <v>1218.0142600210343</v>
      </c>
      <c r="CD21" s="100">
        <v>20.399444142946308</v>
      </c>
      <c r="CE21" s="100">
        <v>1272.9253145198495</v>
      </c>
      <c r="CF21" s="100">
        <v>29.253369552211197</v>
      </c>
      <c r="CG21" s="100">
        <v>1825.4102600579786</v>
      </c>
      <c r="CH21" s="100">
        <v>23.71499183048314</v>
      </c>
      <c r="CI21" s="100">
        <v>1479.8154902221479</v>
      </c>
      <c r="CJ21" s="100">
        <v>18.110426549950184</v>
      </c>
      <c r="CK21" s="100">
        <v>1130.0906167168914</v>
      </c>
      <c r="CL21" s="100">
        <v>28.926937102272358</v>
      </c>
      <c r="CM21" s="100">
        <v>1805.0408751817952</v>
      </c>
      <c r="CN21" s="100">
        <v>26.51446241081613</v>
      </c>
      <c r="CO21" s="100">
        <v>1654.5024544349264</v>
      </c>
      <c r="CP21" s="100">
        <v>23.834262535414322</v>
      </c>
      <c r="CQ21" s="100">
        <v>1487.2579822098537</v>
      </c>
      <c r="CR21" s="100">
        <v>20.667857881669288</v>
      </c>
      <c r="CS21" s="100">
        <v>1289.6743318161637</v>
      </c>
      <c r="CT21" s="100">
        <v>24</v>
      </c>
      <c r="CU21" s="100">
        <v>1497.6</v>
      </c>
    </row>
    <row r="22" spans="2:99">
      <c r="C22" s="99" t="s">
        <v>188</v>
      </c>
      <c r="D22" s="100">
        <v>15</v>
      </c>
      <c r="E22" s="100">
        <v>2808</v>
      </c>
      <c r="F22" s="100">
        <v>26</v>
      </c>
      <c r="G22" s="100">
        <v>4867.2</v>
      </c>
      <c r="H22" s="100">
        <v>17</v>
      </c>
      <c r="I22" s="100">
        <v>3182.3999999999996</v>
      </c>
      <c r="J22" s="100">
        <v>14</v>
      </c>
      <c r="K22" s="100">
        <v>2620.7999999999997</v>
      </c>
      <c r="L22" s="100">
        <v>22</v>
      </c>
      <c r="M22" s="100">
        <v>4118.3999999999996</v>
      </c>
      <c r="N22" s="100">
        <v>17</v>
      </c>
      <c r="O22" s="100">
        <v>3182.3999999999996</v>
      </c>
      <c r="P22" s="100">
        <v>22</v>
      </c>
      <c r="Q22" s="100">
        <v>4118.3999999999996</v>
      </c>
      <c r="R22" s="100">
        <v>17</v>
      </c>
      <c r="S22" s="100">
        <v>3182.3999999999996</v>
      </c>
      <c r="T22" s="100">
        <v>17</v>
      </c>
      <c r="U22" s="100">
        <v>3182.3999999999996</v>
      </c>
      <c r="V22" s="100">
        <v>22</v>
      </c>
      <c r="W22" s="100">
        <v>4118.3999999999996</v>
      </c>
      <c r="X22" s="100">
        <v>25</v>
      </c>
      <c r="Y22" s="100">
        <v>4680</v>
      </c>
      <c r="Z22" s="100">
        <v>27</v>
      </c>
      <c r="AA22" s="100">
        <v>5054.3999999999996</v>
      </c>
      <c r="AB22" s="100">
        <v>19</v>
      </c>
      <c r="AC22" s="100">
        <v>3556.7999999999997</v>
      </c>
      <c r="AD22" s="100">
        <v>22</v>
      </c>
      <c r="AE22" s="100">
        <v>4118.3999999999996</v>
      </c>
      <c r="AF22" s="100">
        <v>20</v>
      </c>
      <c r="AG22" s="100">
        <v>3744</v>
      </c>
      <c r="AH22" s="100">
        <v>19</v>
      </c>
      <c r="AI22" s="100">
        <v>3556.7999999999997</v>
      </c>
      <c r="AJ22" s="100">
        <v>19</v>
      </c>
      <c r="AK22" s="100">
        <v>3556.7999999999997</v>
      </c>
      <c r="AL22" s="100">
        <v>23</v>
      </c>
      <c r="AM22" s="100">
        <v>4305.5999999999995</v>
      </c>
      <c r="AN22" s="100">
        <v>19</v>
      </c>
      <c r="AO22" s="100">
        <v>3556.7999999999997</v>
      </c>
      <c r="AP22" s="100">
        <v>26</v>
      </c>
      <c r="AQ22" s="100">
        <v>4867.2</v>
      </c>
      <c r="AR22" s="100">
        <v>19</v>
      </c>
      <c r="AS22" s="100">
        <v>3556.7999999999997</v>
      </c>
      <c r="AT22" s="100">
        <v>25</v>
      </c>
      <c r="AU22" s="100">
        <v>4680</v>
      </c>
      <c r="AV22" s="100">
        <v>28</v>
      </c>
      <c r="AW22" s="100">
        <v>5241.5999999999995</v>
      </c>
      <c r="AX22" s="100">
        <v>24.2545267822751</v>
      </c>
      <c r="AY22" s="100">
        <v>4540.4474136418985</v>
      </c>
      <c r="AZ22" s="100">
        <v>23</v>
      </c>
      <c r="BA22" s="100">
        <v>4305.5999999999995</v>
      </c>
      <c r="BB22" s="100">
        <v>23</v>
      </c>
      <c r="BC22" s="100">
        <v>4305.5999999999995</v>
      </c>
      <c r="BD22" s="100">
        <v>24</v>
      </c>
      <c r="BE22" s="100">
        <v>4492.7999999999993</v>
      </c>
      <c r="BF22" s="100">
        <v>26</v>
      </c>
      <c r="BG22" s="100">
        <v>4867.2</v>
      </c>
      <c r="BH22" s="100">
        <v>19</v>
      </c>
      <c r="BI22" s="100">
        <v>3556.7999999999997</v>
      </c>
      <c r="BJ22" s="100">
        <v>22</v>
      </c>
      <c r="BK22" s="100">
        <v>4118.3999999999996</v>
      </c>
      <c r="BL22" s="100">
        <v>33</v>
      </c>
      <c r="BM22" s="100">
        <v>6177.5999999999995</v>
      </c>
      <c r="BN22" s="100">
        <v>28.535983892033251</v>
      </c>
      <c r="BO22" s="100">
        <v>5341.9361845886242</v>
      </c>
      <c r="BP22" s="100">
        <v>22</v>
      </c>
      <c r="BQ22" s="100">
        <v>4118.3999999999996</v>
      </c>
      <c r="BR22" s="100">
        <v>24.570912280469354</v>
      </c>
      <c r="BS22" s="100">
        <v>4599.6747789038627</v>
      </c>
      <c r="BT22" s="100">
        <v>25.790725809296401</v>
      </c>
      <c r="BU22" s="100">
        <v>4828.0238715002861</v>
      </c>
      <c r="BV22" s="100">
        <v>24</v>
      </c>
      <c r="BW22" s="100">
        <v>4492.7999999999993</v>
      </c>
      <c r="BX22" s="100">
        <v>18.688631955339506</v>
      </c>
      <c r="BY22" s="100">
        <v>3498.5119020395555</v>
      </c>
      <c r="BZ22" s="100">
        <v>19.87021328074723</v>
      </c>
      <c r="CA22" s="100">
        <v>3719.7039261558812</v>
      </c>
      <c r="CB22" s="100">
        <v>18.589961233532268</v>
      </c>
      <c r="CC22" s="100">
        <v>3480.0407429172406</v>
      </c>
      <c r="CD22" s="100">
        <v>21.249420982235737</v>
      </c>
      <c r="CE22" s="100">
        <v>3977.8916078745297</v>
      </c>
      <c r="CF22" s="100">
        <v>28.366903808204796</v>
      </c>
      <c r="CG22" s="100">
        <v>5310.2843928959373</v>
      </c>
      <c r="CH22" s="100">
        <v>21.079992738207235</v>
      </c>
      <c r="CI22" s="100">
        <v>3946.1746405923941</v>
      </c>
      <c r="CJ22" s="100">
        <v>18.110426549950184</v>
      </c>
      <c r="CK22" s="100">
        <v>3390.2718501506743</v>
      </c>
      <c r="CL22" s="100">
        <v>26.215036748934327</v>
      </c>
      <c r="CM22" s="100">
        <v>4907.4548794005059</v>
      </c>
      <c r="CN22" s="100">
        <v>25.685885460478126</v>
      </c>
      <c r="CO22" s="100">
        <v>4808.397758201505</v>
      </c>
      <c r="CP22" s="100">
        <v>22.068761606865113</v>
      </c>
      <c r="CQ22" s="100">
        <v>4131.2721728051492</v>
      </c>
      <c r="CR22" s="100">
        <v>25.365098309321397</v>
      </c>
      <c r="CS22" s="100">
        <v>4748.3464035049656</v>
      </c>
      <c r="CT22" s="100">
        <v>27</v>
      </c>
      <c r="CU22" s="100">
        <v>5054.3999999999996</v>
      </c>
    </row>
    <row r="23" spans="2:99">
      <c r="C23" s="99" t="s">
        <v>189</v>
      </c>
      <c r="D23" s="100">
        <v>16</v>
      </c>
      <c r="E23" s="100">
        <v>4704</v>
      </c>
      <c r="F23" s="100">
        <v>27</v>
      </c>
      <c r="G23" s="100">
        <v>7938</v>
      </c>
      <c r="H23" s="100">
        <v>17</v>
      </c>
      <c r="I23" s="100">
        <v>4998</v>
      </c>
      <c r="J23" s="100">
        <v>16</v>
      </c>
      <c r="K23" s="100">
        <v>4704</v>
      </c>
      <c r="L23" s="100">
        <v>21</v>
      </c>
      <c r="M23" s="100">
        <v>6174</v>
      </c>
      <c r="N23" s="100">
        <v>18</v>
      </c>
      <c r="O23" s="100">
        <v>5292</v>
      </c>
      <c r="P23" s="100">
        <v>20</v>
      </c>
      <c r="Q23" s="100">
        <v>5880</v>
      </c>
      <c r="R23" s="100">
        <v>16</v>
      </c>
      <c r="S23" s="100">
        <v>4704</v>
      </c>
      <c r="T23" s="100">
        <v>19</v>
      </c>
      <c r="U23" s="100">
        <v>5586</v>
      </c>
      <c r="V23" s="100">
        <v>20</v>
      </c>
      <c r="W23" s="100">
        <v>5880</v>
      </c>
      <c r="X23" s="100">
        <v>25</v>
      </c>
      <c r="Y23" s="100">
        <v>7350</v>
      </c>
      <c r="Z23" s="100">
        <v>26</v>
      </c>
      <c r="AA23" s="100">
        <v>7644</v>
      </c>
      <c r="AB23" s="100">
        <v>16</v>
      </c>
      <c r="AC23" s="100">
        <v>4704</v>
      </c>
      <c r="AD23" s="100">
        <v>23</v>
      </c>
      <c r="AE23" s="100">
        <v>6762</v>
      </c>
      <c r="AF23" s="100">
        <v>20</v>
      </c>
      <c r="AG23" s="100">
        <v>5880</v>
      </c>
      <c r="AH23" s="100">
        <v>20</v>
      </c>
      <c r="AI23" s="100">
        <v>5880</v>
      </c>
      <c r="AJ23" s="100">
        <v>21</v>
      </c>
      <c r="AK23" s="100">
        <v>6174</v>
      </c>
      <c r="AL23" s="100">
        <v>21</v>
      </c>
      <c r="AM23" s="100">
        <v>6174</v>
      </c>
      <c r="AN23" s="100">
        <v>20</v>
      </c>
      <c r="AO23" s="100">
        <v>5880</v>
      </c>
      <c r="AP23" s="100">
        <v>24</v>
      </c>
      <c r="AQ23" s="100">
        <v>7056</v>
      </c>
      <c r="AR23" s="100">
        <v>19</v>
      </c>
      <c r="AS23" s="100">
        <v>5586</v>
      </c>
      <c r="AT23" s="100">
        <v>26</v>
      </c>
      <c r="AU23" s="100">
        <v>7644</v>
      </c>
      <c r="AV23" s="100">
        <v>25</v>
      </c>
      <c r="AW23" s="100">
        <v>7350</v>
      </c>
      <c r="AX23" s="100">
        <v>23.388293682908131</v>
      </c>
      <c r="AY23" s="100">
        <v>6876.1583427749902</v>
      </c>
      <c r="AZ23" s="100">
        <v>23</v>
      </c>
      <c r="BA23" s="100">
        <v>6762</v>
      </c>
      <c r="BB23" s="100">
        <v>24</v>
      </c>
      <c r="BC23" s="100">
        <v>7056</v>
      </c>
      <c r="BD23" s="100">
        <v>22</v>
      </c>
      <c r="BE23" s="100">
        <v>6468</v>
      </c>
      <c r="BF23" s="100">
        <v>22</v>
      </c>
      <c r="BG23" s="100">
        <v>6468</v>
      </c>
      <c r="BH23" s="100">
        <v>18</v>
      </c>
      <c r="BI23" s="100">
        <v>5292</v>
      </c>
      <c r="BJ23" s="100">
        <v>20</v>
      </c>
      <c r="BK23" s="100">
        <v>5880</v>
      </c>
      <c r="BL23" s="100">
        <v>30</v>
      </c>
      <c r="BM23" s="100">
        <v>8820</v>
      </c>
      <c r="BN23" s="100">
        <v>27.584784428965477</v>
      </c>
      <c r="BO23" s="100">
        <v>8109.9266221158505</v>
      </c>
      <c r="BP23" s="100">
        <v>20</v>
      </c>
      <c r="BQ23" s="100">
        <v>5880</v>
      </c>
      <c r="BR23" s="100">
        <v>23.693379699024018</v>
      </c>
      <c r="BS23" s="100">
        <v>6965.8536315130614</v>
      </c>
      <c r="BT23" s="100">
        <v>23.211653228366764</v>
      </c>
      <c r="BU23" s="100">
        <v>6824.2260491398283</v>
      </c>
      <c r="BV23" s="100">
        <v>20</v>
      </c>
      <c r="BW23" s="100">
        <v>5880</v>
      </c>
      <c r="BX23" s="100">
        <v>17.798697100323338</v>
      </c>
      <c r="BY23" s="100">
        <v>5232.816947495061</v>
      </c>
      <c r="BZ23" s="100">
        <v>18.876702616709867</v>
      </c>
      <c r="CA23" s="100">
        <v>5549.7505693127005</v>
      </c>
      <c r="CB23" s="100">
        <v>16.730965110179042</v>
      </c>
      <c r="CC23" s="100">
        <v>4918.9037423926384</v>
      </c>
      <c r="CD23" s="100">
        <v>18.69949046436745</v>
      </c>
      <c r="CE23" s="100">
        <v>5497.6501965240304</v>
      </c>
      <c r="CF23" s="100">
        <v>25.707506576185597</v>
      </c>
      <c r="CG23" s="100">
        <v>7558.0069333985657</v>
      </c>
      <c r="CH23" s="100">
        <v>20.201659707448602</v>
      </c>
      <c r="CI23" s="100">
        <v>5939.2879539898886</v>
      </c>
      <c r="CJ23" s="100">
        <v>15.393862567457655</v>
      </c>
      <c r="CK23" s="100">
        <v>4525.7955948325507</v>
      </c>
      <c r="CL23" s="100">
        <v>28.022970317826349</v>
      </c>
      <c r="CM23" s="100">
        <v>8238.7532734409469</v>
      </c>
      <c r="CN23" s="100">
        <v>28.171616311492141</v>
      </c>
      <c r="CO23" s="100">
        <v>8282.4551955786901</v>
      </c>
      <c r="CP23" s="100">
        <v>22.951512071139714</v>
      </c>
      <c r="CQ23" s="100">
        <v>6747.7445489150759</v>
      </c>
      <c r="CR23" s="100">
        <v>22.54675405273013</v>
      </c>
      <c r="CS23" s="100">
        <v>6628.7456915026578</v>
      </c>
      <c r="CT23" s="100">
        <v>23</v>
      </c>
      <c r="CU23" s="100">
        <v>6762</v>
      </c>
    </row>
    <row r="24" spans="2:99">
      <c r="C24" s="99" t="s">
        <v>190</v>
      </c>
      <c r="D24" s="100">
        <v>15</v>
      </c>
      <c r="E24" s="100">
        <v>5508</v>
      </c>
      <c r="F24" s="100">
        <v>28</v>
      </c>
      <c r="G24" s="100">
        <v>10281.6</v>
      </c>
      <c r="H24" s="100">
        <v>17</v>
      </c>
      <c r="I24" s="100">
        <v>6242.4</v>
      </c>
      <c r="J24" s="100">
        <v>16</v>
      </c>
      <c r="K24" s="100">
        <v>5875.2</v>
      </c>
      <c r="L24" s="100">
        <v>23</v>
      </c>
      <c r="M24" s="100">
        <v>8445.6</v>
      </c>
      <c r="N24" s="100">
        <v>17</v>
      </c>
      <c r="O24" s="100">
        <v>6242.4</v>
      </c>
      <c r="P24" s="100">
        <v>19</v>
      </c>
      <c r="Q24" s="100">
        <v>6976.8</v>
      </c>
      <c r="R24" s="100">
        <v>17</v>
      </c>
      <c r="S24" s="100">
        <v>6242.4</v>
      </c>
      <c r="T24" s="100">
        <v>18</v>
      </c>
      <c r="U24" s="100">
        <v>6609.5999999999995</v>
      </c>
      <c r="V24" s="100">
        <v>21</v>
      </c>
      <c r="W24" s="100">
        <v>7711.2</v>
      </c>
      <c r="X24" s="100">
        <v>23</v>
      </c>
      <c r="Y24" s="100">
        <v>8445.6</v>
      </c>
      <c r="Z24" s="100">
        <v>27</v>
      </c>
      <c r="AA24" s="100">
        <v>9914.4</v>
      </c>
      <c r="AB24" s="100">
        <v>17</v>
      </c>
      <c r="AC24" s="100">
        <v>6242.4</v>
      </c>
      <c r="AD24" s="100">
        <v>23</v>
      </c>
      <c r="AE24" s="100">
        <v>8445.6</v>
      </c>
      <c r="AF24" s="100">
        <v>17</v>
      </c>
      <c r="AG24" s="100">
        <v>6242.4</v>
      </c>
      <c r="AH24" s="100">
        <v>18</v>
      </c>
      <c r="AI24" s="100">
        <v>6609.5999999999995</v>
      </c>
      <c r="AJ24" s="100">
        <v>20</v>
      </c>
      <c r="AK24" s="100">
        <v>7344</v>
      </c>
      <c r="AL24" s="100">
        <v>20</v>
      </c>
      <c r="AM24" s="100">
        <v>7344</v>
      </c>
      <c r="AN24" s="100">
        <v>18</v>
      </c>
      <c r="AO24" s="100">
        <v>6609.5999999999995</v>
      </c>
      <c r="AP24" s="100">
        <v>23</v>
      </c>
      <c r="AQ24" s="100">
        <v>8445.6</v>
      </c>
      <c r="AR24" s="100">
        <v>19</v>
      </c>
      <c r="AS24" s="100">
        <v>6976.8</v>
      </c>
      <c r="AT24" s="100">
        <v>25</v>
      </c>
      <c r="AU24" s="100">
        <v>9180</v>
      </c>
      <c r="AV24" s="100">
        <v>26</v>
      </c>
      <c r="AW24" s="100">
        <v>9547.1999999999989</v>
      </c>
      <c r="AX24" s="100">
        <v>23.388293682908131</v>
      </c>
      <c r="AY24" s="100">
        <v>8588.1814403638655</v>
      </c>
      <c r="AZ24" s="100">
        <v>25</v>
      </c>
      <c r="BA24" s="100">
        <v>9180</v>
      </c>
      <c r="BB24" s="100">
        <v>20</v>
      </c>
      <c r="BC24" s="100">
        <v>7344</v>
      </c>
      <c r="BD24" s="100">
        <v>20</v>
      </c>
      <c r="BE24" s="100">
        <v>7344</v>
      </c>
      <c r="BF24" s="100">
        <v>24</v>
      </c>
      <c r="BG24" s="100">
        <v>8812.7999999999993</v>
      </c>
      <c r="BH24" s="100">
        <v>18</v>
      </c>
      <c r="BI24" s="100">
        <v>6609.5999999999995</v>
      </c>
      <c r="BJ24" s="100">
        <v>20</v>
      </c>
      <c r="BK24" s="100">
        <v>7344</v>
      </c>
      <c r="BL24" s="100">
        <v>34</v>
      </c>
      <c r="BM24" s="100">
        <v>12484.8</v>
      </c>
      <c r="BN24" s="100">
        <v>29.487183355101028</v>
      </c>
      <c r="BO24" s="100">
        <v>10827.693727993097</v>
      </c>
      <c r="BP24" s="100">
        <v>19</v>
      </c>
      <c r="BQ24" s="100">
        <v>6976.8</v>
      </c>
      <c r="BR24" s="100">
        <v>24.570912280469354</v>
      </c>
      <c r="BS24" s="100">
        <v>9022.4389893883472</v>
      </c>
      <c r="BT24" s="100">
        <v>23.211653228366764</v>
      </c>
      <c r="BU24" s="100">
        <v>8523.319065456275</v>
      </c>
      <c r="BV24" s="100">
        <v>21</v>
      </c>
      <c r="BW24" s="100">
        <v>7711.2</v>
      </c>
      <c r="BX24" s="100">
        <v>16.908762245307173</v>
      </c>
      <c r="BY24" s="100">
        <v>6208.897496476794</v>
      </c>
      <c r="BZ24" s="100">
        <v>17.883191952672504</v>
      </c>
      <c r="CA24" s="100">
        <v>6566.7080850213433</v>
      </c>
      <c r="CB24" s="100">
        <v>18.589961233532268</v>
      </c>
      <c r="CC24" s="100">
        <v>6826.2337649530482</v>
      </c>
      <c r="CD24" s="100">
        <v>21.249420982235737</v>
      </c>
      <c r="CE24" s="100">
        <v>7802.7873846769626</v>
      </c>
      <c r="CF24" s="100">
        <v>27.480438064198399</v>
      </c>
      <c r="CG24" s="100">
        <v>10090.816857173651</v>
      </c>
      <c r="CH24" s="100">
        <v>22.836658799724507</v>
      </c>
      <c r="CI24" s="100">
        <v>8385.6211112588389</v>
      </c>
      <c r="CJ24" s="100">
        <v>14.488341239960146</v>
      </c>
      <c r="CK24" s="100">
        <v>5320.1189033133651</v>
      </c>
      <c r="CL24" s="100">
        <v>28.926937102272358</v>
      </c>
      <c r="CM24" s="100">
        <v>10621.971303954409</v>
      </c>
      <c r="CN24" s="100">
        <v>26.51446241081613</v>
      </c>
      <c r="CO24" s="100">
        <v>9736.1105972516816</v>
      </c>
      <c r="CP24" s="100">
        <v>22.068761606865113</v>
      </c>
      <c r="CQ24" s="100">
        <v>8103.649262040869</v>
      </c>
      <c r="CR24" s="100">
        <v>24.425650223790974</v>
      </c>
      <c r="CS24" s="100">
        <v>8969.0987621760451</v>
      </c>
      <c r="CT24" s="100">
        <v>23</v>
      </c>
      <c r="CU24" s="100">
        <v>8445.6</v>
      </c>
    </row>
    <row r="25" spans="2:99">
      <c r="C25" s="99" t="s">
        <v>191</v>
      </c>
      <c r="D25" s="100">
        <v>15</v>
      </c>
      <c r="E25" s="100">
        <v>7956</v>
      </c>
      <c r="F25" s="100">
        <v>28</v>
      </c>
      <c r="G25" s="100">
        <v>14851.199999999999</v>
      </c>
      <c r="H25" s="100">
        <v>16</v>
      </c>
      <c r="I25" s="100">
        <v>8486.4</v>
      </c>
      <c r="J25" s="100">
        <v>14</v>
      </c>
      <c r="K25" s="100">
        <v>7425.5999999999995</v>
      </c>
      <c r="L25" s="100">
        <v>23</v>
      </c>
      <c r="M25" s="100">
        <v>12199.199999999999</v>
      </c>
      <c r="N25" s="100">
        <v>17</v>
      </c>
      <c r="O25" s="100">
        <v>9016.7999999999993</v>
      </c>
      <c r="P25" s="100">
        <v>23</v>
      </c>
      <c r="Q25" s="100">
        <v>12199.199999999999</v>
      </c>
      <c r="R25" s="100">
        <v>17</v>
      </c>
      <c r="S25" s="100">
        <v>9016.7999999999993</v>
      </c>
      <c r="T25" s="100">
        <v>17</v>
      </c>
      <c r="U25" s="100">
        <v>9016.7999999999993</v>
      </c>
      <c r="V25" s="100">
        <v>20</v>
      </c>
      <c r="W25" s="100">
        <v>10608</v>
      </c>
      <c r="X25" s="100">
        <v>25</v>
      </c>
      <c r="Y25" s="100">
        <v>13260</v>
      </c>
      <c r="Z25" s="100">
        <v>25</v>
      </c>
      <c r="AA25" s="100">
        <v>13260</v>
      </c>
      <c r="AB25" s="100">
        <v>17</v>
      </c>
      <c r="AC25" s="100">
        <v>9016.7999999999993</v>
      </c>
      <c r="AD25" s="100">
        <v>21</v>
      </c>
      <c r="AE25" s="100">
        <v>11138.4</v>
      </c>
      <c r="AF25" s="100">
        <v>17</v>
      </c>
      <c r="AG25" s="100">
        <v>9016.7999999999993</v>
      </c>
      <c r="AH25" s="100">
        <v>20</v>
      </c>
      <c r="AI25" s="100">
        <v>10608</v>
      </c>
      <c r="AJ25" s="100">
        <v>19</v>
      </c>
      <c r="AK25" s="100">
        <v>10077.6</v>
      </c>
      <c r="AL25" s="100">
        <v>22</v>
      </c>
      <c r="AM25" s="100">
        <v>11668.8</v>
      </c>
      <c r="AN25" s="100">
        <v>21</v>
      </c>
      <c r="AO25" s="100">
        <v>11138.4</v>
      </c>
      <c r="AP25" s="100">
        <v>25</v>
      </c>
      <c r="AQ25" s="100">
        <v>13260</v>
      </c>
      <c r="AR25" s="100">
        <v>16</v>
      </c>
      <c r="AS25" s="100">
        <v>8486.4</v>
      </c>
      <c r="AT25" s="100">
        <v>25</v>
      </c>
      <c r="AU25" s="100">
        <v>13260</v>
      </c>
      <c r="AV25" s="100">
        <v>27</v>
      </c>
      <c r="AW25" s="100">
        <v>14320.8</v>
      </c>
      <c r="AX25" s="100">
        <v>24.2545267822751</v>
      </c>
      <c r="AY25" s="100">
        <v>12864.601005318713</v>
      </c>
      <c r="AZ25" s="100">
        <v>24</v>
      </c>
      <c r="BA25" s="100">
        <v>12729.599999999999</v>
      </c>
      <c r="BB25" s="100">
        <v>21</v>
      </c>
      <c r="BC25" s="100">
        <v>11138.4</v>
      </c>
      <c r="BD25" s="100">
        <v>19</v>
      </c>
      <c r="BE25" s="100">
        <v>10077.6</v>
      </c>
      <c r="BF25" s="100">
        <v>25</v>
      </c>
      <c r="BG25" s="100">
        <v>13260</v>
      </c>
      <c r="BH25" s="100">
        <v>18</v>
      </c>
      <c r="BI25" s="100">
        <v>9547.1999999999989</v>
      </c>
      <c r="BJ25" s="100">
        <v>22</v>
      </c>
      <c r="BK25" s="100">
        <v>11668.8</v>
      </c>
      <c r="BL25" s="100">
        <v>30</v>
      </c>
      <c r="BM25" s="100">
        <v>15912</v>
      </c>
      <c r="BN25" s="100">
        <v>31.389582281236578</v>
      </c>
      <c r="BO25" s="100">
        <v>16649.03444196788</v>
      </c>
      <c r="BP25" s="100">
        <v>18</v>
      </c>
      <c r="BQ25" s="100">
        <v>9547.1999999999989</v>
      </c>
      <c r="BR25" s="100">
        <v>22.815847117578688</v>
      </c>
      <c r="BS25" s="100">
        <v>12101.525311163736</v>
      </c>
      <c r="BT25" s="100">
        <v>26.650416669606287</v>
      </c>
      <c r="BU25" s="100">
        <v>14135.381001559173</v>
      </c>
      <c r="BV25" s="100">
        <v>20</v>
      </c>
      <c r="BW25" s="100">
        <v>10608</v>
      </c>
      <c r="BX25" s="100">
        <v>16.908762245307173</v>
      </c>
      <c r="BY25" s="100">
        <v>8968.4074949109236</v>
      </c>
      <c r="BZ25" s="100">
        <v>17.883191952672504</v>
      </c>
      <c r="CA25" s="100">
        <v>9485.245011697496</v>
      </c>
      <c r="CB25" s="100">
        <v>16.730965110179042</v>
      </c>
      <c r="CC25" s="100">
        <v>8874.1038944389638</v>
      </c>
      <c r="CD25" s="100">
        <v>19.549467303656879</v>
      </c>
      <c r="CE25" s="100">
        <v>10369.037457859607</v>
      </c>
      <c r="CF25" s="100">
        <v>26.593972320191998</v>
      </c>
      <c r="CG25" s="100">
        <v>14105.442918629835</v>
      </c>
      <c r="CH25" s="100">
        <v>19.323326676689966</v>
      </c>
      <c r="CI25" s="100">
        <v>10249.092469316358</v>
      </c>
      <c r="CJ25" s="100">
        <v>14.488341239960146</v>
      </c>
      <c r="CK25" s="100">
        <v>7684.6161936748613</v>
      </c>
      <c r="CL25" s="100">
        <v>28.022970317826349</v>
      </c>
      <c r="CM25" s="100">
        <v>14863.383456575095</v>
      </c>
      <c r="CN25" s="100">
        <v>25.685885460478126</v>
      </c>
      <c r="CO25" s="100">
        <v>13623.793648237597</v>
      </c>
      <c r="CP25" s="100">
        <v>22.068761606865113</v>
      </c>
      <c r="CQ25" s="100">
        <v>11705.271156281255</v>
      </c>
      <c r="CR25" s="100">
        <v>19.728409796138866</v>
      </c>
      <c r="CS25" s="100">
        <v>10463.948555872053</v>
      </c>
      <c r="CT25" s="100">
        <v>24</v>
      </c>
      <c r="CU25" s="100">
        <v>12729.599999999999</v>
      </c>
    </row>
    <row r="26" spans="2:99">
      <c r="C26" s="99" t="s">
        <v>192</v>
      </c>
      <c r="D26" s="100">
        <v>16</v>
      </c>
      <c r="E26" s="100">
        <v>7776</v>
      </c>
      <c r="F26" s="100">
        <v>28</v>
      </c>
      <c r="G26" s="100">
        <v>13608</v>
      </c>
      <c r="H26" s="100">
        <v>18</v>
      </c>
      <c r="I26" s="100">
        <v>8748</v>
      </c>
      <c r="J26" s="100">
        <v>14</v>
      </c>
      <c r="K26" s="100">
        <v>6804</v>
      </c>
      <c r="L26" s="100">
        <v>24</v>
      </c>
      <c r="M26" s="100">
        <v>11664</v>
      </c>
      <c r="N26" s="100">
        <v>16</v>
      </c>
      <c r="O26" s="100">
        <v>7776</v>
      </c>
      <c r="P26" s="100">
        <v>21</v>
      </c>
      <c r="Q26" s="100">
        <v>10206</v>
      </c>
      <c r="R26" s="100">
        <v>17</v>
      </c>
      <c r="S26" s="100">
        <v>8262</v>
      </c>
      <c r="T26" s="100">
        <v>17</v>
      </c>
      <c r="U26" s="100">
        <v>8262</v>
      </c>
      <c r="V26" s="100">
        <v>21</v>
      </c>
      <c r="W26" s="100">
        <v>10206</v>
      </c>
      <c r="X26" s="100">
        <v>22</v>
      </c>
      <c r="Y26" s="100">
        <v>10692</v>
      </c>
      <c r="Z26" s="100">
        <v>27</v>
      </c>
      <c r="AA26" s="100">
        <v>13122</v>
      </c>
      <c r="AB26" s="100">
        <v>15</v>
      </c>
      <c r="AC26" s="100">
        <v>7290</v>
      </c>
      <c r="AD26" s="100">
        <v>22</v>
      </c>
      <c r="AE26" s="100">
        <v>10692</v>
      </c>
      <c r="AF26" s="100">
        <v>18</v>
      </c>
      <c r="AG26" s="100">
        <v>8748</v>
      </c>
      <c r="AH26" s="100">
        <v>20</v>
      </c>
      <c r="AI26" s="100">
        <v>9720</v>
      </c>
      <c r="AJ26" s="100">
        <v>20</v>
      </c>
      <c r="AK26" s="100">
        <v>9720</v>
      </c>
      <c r="AL26" s="100">
        <v>22</v>
      </c>
      <c r="AM26" s="100">
        <v>10692</v>
      </c>
      <c r="AN26" s="100">
        <v>22</v>
      </c>
      <c r="AO26" s="100">
        <v>10692</v>
      </c>
      <c r="AP26" s="100">
        <v>26</v>
      </c>
      <c r="AQ26" s="100">
        <v>12636</v>
      </c>
      <c r="AR26" s="100">
        <v>16</v>
      </c>
      <c r="AS26" s="100">
        <v>7776</v>
      </c>
      <c r="AT26" s="100">
        <v>24</v>
      </c>
      <c r="AU26" s="100">
        <v>11664</v>
      </c>
      <c r="AV26" s="100">
        <v>23</v>
      </c>
      <c r="AW26" s="100">
        <v>11178</v>
      </c>
      <c r="AX26" s="100">
        <v>24.2545267822751</v>
      </c>
      <c r="AY26" s="100">
        <v>11787.700016185699</v>
      </c>
      <c r="AZ26" s="100">
        <v>24</v>
      </c>
      <c r="BA26" s="100">
        <v>11664</v>
      </c>
      <c r="BB26" s="100">
        <v>22</v>
      </c>
      <c r="BC26" s="100">
        <v>10692</v>
      </c>
      <c r="BD26" s="100">
        <v>21</v>
      </c>
      <c r="BE26" s="100">
        <v>10206</v>
      </c>
      <c r="BF26" s="100">
        <v>23</v>
      </c>
      <c r="BG26" s="100">
        <v>11178</v>
      </c>
      <c r="BH26" s="100">
        <v>19</v>
      </c>
      <c r="BI26" s="100">
        <v>9234</v>
      </c>
      <c r="BJ26" s="100">
        <v>22</v>
      </c>
      <c r="BK26" s="100">
        <v>10692</v>
      </c>
      <c r="BL26" s="100">
        <v>31</v>
      </c>
      <c r="BM26" s="100">
        <v>15066</v>
      </c>
      <c r="BN26" s="100">
        <v>31.389582281236578</v>
      </c>
      <c r="BO26" s="100">
        <v>15255.336988680976</v>
      </c>
      <c r="BP26" s="100">
        <v>21</v>
      </c>
      <c r="BQ26" s="100">
        <v>10206</v>
      </c>
      <c r="BR26" s="100">
        <v>23.693379699024018</v>
      </c>
      <c r="BS26" s="100">
        <v>11514.982533725673</v>
      </c>
      <c r="BT26" s="100">
        <v>23.211653228366764</v>
      </c>
      <c r="BU26" s="100">
        <v>11280.863468986247</v>
      </c>
      <c r="BV26" s="100">
        <v>23</v>
      </c>
      <c r="BW26" s="100">
        <v>11178</v>
      </c>
      <c r="BX26" s="100">
        <v>16.908762245307173</v>
      </c>
      <c r="BY26" s="100">
        <v>8217.6584512192858</v>
      </c>
      <c r="BZ26" s="100">
        <v>16.889681288635146</v>
      </c>
      <c r="CA26" s="100">
        <v>8208.3851062766807</v>
      </c>
      <c r="CB26" s="100">
        <v>19.519459295208883</v>
      </c>
      <c r="CC26" s="100">
        <v>9486.4572174715177</v>
      </c>
      <c r="CD26" s="100">
        <v>19.549467303656879</v>
      </c>
      <c r="CE26" s="100">
        <v>9501.0411095772433</v>
      </c>
      <c r="CF26" s="100">
        <v>24.8210408321792</v>
      </c>
      <c r="CG26" s="100">
        <v>12063.025844439091</v>
      </c>
      <c r="CH26" s="100">
        <v>22.836658799724507</v>
      </c>
      <c r="CI26" s="100">
        <v>11098.61617666611</v>
      </c>
      <c r="CJ26" s="100">
        <v>17.204905222452673</v>
      </c>
      <c r="CK26" s="100">
        <v>8361.5839381119986</v>
      </c>
      <c r="CL26" s="100">
        <v>24.407103180042302</v>
      </c>
      <c r="CM26" s="100">
        <v>11861.852145500559</v>
      </c>
      <c r="CN26" s="100">
        <v>23.200154609464114</v>
      </c>
      <c r="CO26" s="100">
        <v>11275.275140199559</v>
      </c>
      <c r="CP26" s="100">
        <v>19.420510214041297</v>
      </c>
      <c r="CQ26" s="100">
        <v>9438.3679640240698</v>
      </c>
      <c r="CR26" s="100">
        <v>22.54675405273013</v>
      </c>
      <c r="CS26" s="100">
        <v>10957.722469626842</v>
      </c>
      <c r="CT26" s="100">
        <v>26</v>
      </c>
      <c r="CU26" s="100">
        <v>12636</v>
      </c>
    </row>
    <row r="27" spans="2:99">
      <c r="C27" s="99" t="s">
        <v>193</v>
      </c>
      <c r="D27" s="100">
        <v>14</v>
      </c>
      <c r="E27" s="100">
        <v>5980.8</v>
      </c>
      <c r="F27" s="100">
        <v>26</v>
      </c>
      <c r="G27" s="100">
        <v>11107.199999999999</v>
      </c>
      <c r="H27" s="100">
        <v>18</v>
      </c>
      <c r="I27" s="100">
        <v>7689.5999999999995</v>
      </c>
      <c r="J27" s="100">
        <v>14</v>
      </c>
      <c r="K27" s="100">
        <v>5980.8</v>
      </c>
      <c r="L27" s="100">
        <v>23</v>
      </c>
      <c r="M27" s="100">
        <v>9825.6</v>
      </c>
      <c r="N27" s="100">
        <v>19</v>
      </c>
      <c r="O27" s="100">
        <v>8116.8</v>
      </c>
      <c r="P27" s="100">
        <v>21</v>
      </c>
      <c r="Q27" s="100">
        <v>8971.1999999999989</v>
      </c>
      <c r="R27" s="100">
        <v>17</v>
      </c>
      <c r="S27" s="100">
        <v>7262.4</v>
      </c>
      <c r="T27" s="100">
        <v>17</v>
      </c>
      <c r="U27" s="100">
        <v>7262.4</v>
      </c>
      <c r="V27" s="100">
        <v>19</v>
      </c>
      <c r="W27" s="100">
        <v>8116.8</v>
      </c>
      <c r="X27" s="100">
        <v>23</v>
      </c>
      <c r="Y27" s="100">
        <v>9825.6</v>
      </c>
      <c r="Z27" s="100">
        <v>26</v>
      </c>
      <c r="AA27" s="100">
        <v>11107.199999999999</v>
      </c>
      <c r="AB27" s="100">
        <v>16</v>
      </c>
      <c r="AC27" s="100">
        <v>6835.2</v>
      </c>
      <c r="AD27" s="100">
        <v>24</v>
      </c>
      <c r="AE27" s="100">
        <v>10252.799999999999</v>
      </c>
      <c r="AF27" s="100">
        <v>20</v>
      </c>
      <c r="AG27" s="100">
        <v>8544</v>
      </c>
      <c r="AH27" s="100">
        <v>18</v>
      </c>
      <c r="AI27" s="100">
        <v>7689.5999999999995</v>
      </c>
      <c r="AJ27" s="100">
        <v>20</v>
      </c>
      <c r="AK27" s="100">
        <v>8544</v>
      </c>
      <c r="AL27" s="100">
        <v>21</v>
      </c>
      <c r="AM27" s="100">
        <v>8971.1999999999989</v>
      </c>
      <c r="AN27" s="100">
        <v>20</v>
      </c>
      <c r="AO27" s="100">
        <v>8544</v>
      </c>
      <c r="AP27" s="100">
        <v>26</v>
      </c>
      <c r="AQ27" s="100">
        <v>11107.199999999999</v>
      </c>
      <c r="AR27" s="100">
        <v>18</v>
      </c>
      <c r="AS27" s="100">
        <v>7689.5999999999995</v>
      </c>
      <c r="AT27" s="100">
        <v>24</v>
      </c>
      <c r="AU27" s="100">
        <v>10252.799999999999</v>
      </c>
      <c r="AV27" s="100">
        <v>23</v>
      </c>
      <c r="AW27" s="100">
        <v>9825.6</v>
      </c>
      <c r="AX27" s="100">
        <v>25.120759881642069</v>
      </c>
      <c r="AY27" s="100">
        <v>10731.588621437491</v>
      </c>
      <c r="AZ27" s="100">
        <v>22</v>
      </c>
      <c r="BA27" s="100">
        <v>9398.4</v>
      </c>
      <c r="BB27" s="100">
        <v>23</v>
      </c>
      <c r="BC27" s="100">
        <v>9825.6</v>
      </c>
      <c r="BD27" s="100">
        <v>21</v>
      </c>
      <c r="BE27" s="100">
        <v>8971.1999999999989</v>
      </c>
      <c r="BF27" s="100">
        <v>23</v>
      </c>
      <c r="BG27" s="100">
        <v>9825.6</v>
      </c>
      <c r="BH27" s="100">
        <v>18</v>
      </c>
      <c r="BI27" s="100">
        <v>7689.5999999999995</v>
      </c>
      <c r="BJ27" s="100">
        <v>19</v>
      </c>
      <c r="BK27" s="100">
        <v>8116.8</v>
      </c>
      <c r="BL27" s="100">
        <v>31</v>
      </c>
      <c r="BM27" s="100">
        <v>13243.199999999999</v>
      </c>
      <c r="BN27" s="100">
        <v>27.584784428965477</v>
      </c>
      <c r="BO27" s="100">
        <v>11784.219908054052</v>
      </c>
      <c r="BP27" s="100">
        <v>19</v>
      </c>
      <c r="BQ27" s="100">
        <v>8116.8</v>
      </c>
      <c r="BR27" s="100">
        <v>23.693379699024018</v>
      </c>
      <c r="BS27" s="100">
        <v>10121.811807423061</v>
      </c>
      <c r="BT27" s="100">
        <v>24.931034948986522</v>
      </c>
      <c r="BU27" s="100">
        <v>10650.538130207042</v>
      </c>
      <c r="BV27" s="100">
        <v>20</v>
      </c>
      <c r="BW27" s="100">
        <v>8544</v>
      </c>
      <c r="BX27" s="100">
        <v>17.798697100323338</v>
      </c>
      <c r="BY27" s="100">
        <v>7603.6034012581295</v>
      </c>
      <c r="BZ27" s="100">
        <v>18.876702616709867</v>
      </c>
      <c r="CA27" s="100">
        <v>8064.1273578584551</v>
      </c>
      <c r="CB27" s="100">
        <v>18.589961233532268</v>
      </c>
      <c r="CC27" s="100">
        <v>7941.6314389649842</v>
      </c>
      <c r="CD27" s="100">
        <v>21.249420982235737</v>
      </c>
      <c r="CE27" s="100">
        <v>9077.7526436111075</v>
      </c>
      <c r="CF27" s="100">
        <v>27.480438064198399</v>
      </c>
      <c r="CG27" s="100">
        <v>11739.643141025555</v>
      </c>
      <c r="CH27" s="100">
        <v>21.079992738207235</v>
      </c>
      <c r="CI27" s="100">
        <v>9005.3728977621304</v>
      </c>
      <c r="CJ27" s="100">
        <v>17.204905222452673</v>
      </c>
      <c r="CK27" s="100">
        <v>7349.935511031782</v>
      </c>
      <c r="CL27" s="100">
        <v>25.311069964488318</v>
      </c>
      <c r="CM27" s="100">
        <v>10812.88908882941</v>
      </c>
      <c r="CN27" s="100">
        <v>24.857308510140122</v>
      </c>
      <c r="CO27" s="100">
        <v>10619.04219553186</v>
      </c>
      <c r="CP27" s="100">
        <v>22.068761606865113</v>
      </c>
      <c r="CQ27" s="100">
        <v>9427.7749584527755</v>
      </c>
      <c r="CR27" s="100">
        <v>21.607305967199711</v>
      </c>
      <c r="CS27" s="100">
        <v>9230.6411091877162</v>
      </c>
      <c r="CT27" s="100">
        <v>22</v>
      </c>
      <c r="CU27" s="100">
        <v>9398.4</v>
      </c>
    </row>
    <row r="28" spans="2:99">
      <c r="C28" s="99" t="s">
        <v>194</v>
      </c>
      <c r="D28" s="100">
        <v>14</v>
      </c>
      <c r="E28" s="100">
        <v>10332</v>
      </c>
      <c r="F28" s="100">
        <v>27</v>
      </c>
      <c r="G28" s="100">
        <v>19926</v>
      </c>
      <c r="H28" s="100">
        <v>17</v>
      </c>
      <c r="I28" s="100">
        <v>12546</v>
      </c>
      <c r="J28" s="100">
        <v>14</v>
      </c>
      <c r="K28" s="100">
        <v>10332</v>
      </c>
      <c r="L28" s="100">
        <v>24</v>
      </c>
      <c r="M28" s="100">
        <v>17712</v>
      </c>
      <c r="N28" s="100">
        <v>16</v>
      </c>
      <c r="O28" s="100">
        <v>11808</v>
      </c>
      <c r="P28" s="100">
        <v>22</v>
      </c>
      <c r="Q28" s="100">
        <v>16236</v>
      </c>
      <c r="R28" s="100">
        <v>15</v>
      </c>
      <c r="S28" s="100">
        <v>11070</v>
      </c>
      <c r="T28" s="100">
        <v>15</v>
      </c>
      <c r="U28" s="100">
        <v>11070</v>
      </c>
      <c r="V28" s="100">
        <v>21</v>
      </c>
      <c r="W28" s="100">
        <v>15498</v>
      </c>
      <c r="X28" s="100">
        <v>22</v>
      </c>
      <c r="Y28" s="100">
        <v>16236</v>
      </c>
      <c r="Z28" s="100">
        <v>27</v>
      </c>
      <c r="AA28" s="100">
        <v>19926</v>
      </c>
      <c r="AB28" s="100">
        <v>16</v>
      </c>
      <c r="AC28" s="100">
        <v>11808</v>
      </c>
      <c r="AD28" s="100">
        <v>21</v>
      </c>
      <c r="AE28" s="100">
        <v>15498</v>
      </c>
      <c r="AF28" s="100">
        <v>19</v>
      </c>
      <c r="AG28" s="100">
        <v>14022</v>
      </c>
      <c r="AH28" s="100">
        <v>17</v>
      </c>
      <c r="AI28" s="100">
        <v>12546</v>
      </c>
      <c r="AJ28" s="100">
        <v>20</v>
      </c>
      <c r="AK28" s="100">
        <v>14760</v>
      </c>
      <c r="AL28" s="100">
        <v>22</v>
      </c>
      <c r="AM28" s="100">
        <v>16236</v>
      </c>
      <c r="AN28" s="100">
        <v>18</v>
      </c>
      <c r="AO28" s="100">
        <v>13284</v>
      </c>
      <c r="AP28" s="100">
        <v>23</v>
      </c>
      <c r="AQ28" s="100">
        <v>16974</v>
      </c>
      <c r="AR28" s="100">
        <v>17</v>
      </c>
      <c r="AS28" s="100">
        <v>12546</v>
      </c>
      <c r="AT28" s="100">
        <v>25</v>
      </c>
      <c r="AU28" s="100">
        <v>18450</v>
      </c>
      <c r="AV28" s="100">
        <v>24</v>
      </c>
      <c r="AW28" s="100">
        <v>17712</v>
      </c>
      <c r="AX28" s="100">
        <v>23.388293682908131</v>
      </c>
      <c r="AY28" s="100">
        <v>17260.560737986201</v>
      </c>
      <c r="AZ28" s="100">
        <v>21</v>
      </c>
      <c r="BA28" s="100">
        <v>15498</v>
      </c>
      <c r="BB28" s="100">
        <v>21</v>
      </c>
      <c r="BC28" s="100">
        <v>15498</v>
      </c>
      <c r="BD28" s="100">
        <v>23</v>
      </c>
      <c r="BE28" s="100">
        <v>16974</v>
      </c>
      <c r="BF28" s="100">
        <v>21</v>
      </c>
      <c r="BG28" s="100">
        <v>15498</v>
      </c>
      <c r="BH28" s="100">
        <v>18</v>
      </c>
      <c r="BI28" s="100">
        <v>13284</v>
      </c>
      <c r="BJ28" s="100">
        <v>21</v>
      </c>
      <c r="BK28" s="100">
        <v>15498</v>
      </c>
      <c r="BL28" s="100">
        <v>32</v>
      </c>
      <c r="BM28" s="100">
        <v>23616</v>
      </c>
      <c r="BN28" s="100">
        <v>30.438382818168801</v>
      </c>
      <c r="BO28" s="100">
        <v>22463.526519808576</v>
      </c>
      <c r="BP28" s="100">
        <v>18</v>
      </c>
      <c r="BQ28" s="100">
        <v>13284</v>
      </c>
      <c r="BR28" s="100">
        <v>23.693379699024018</v>
      </c>
      <c r="BS28" s="100">
        <v>17485.714217879726</v>
      </c>
      <c r="BT28" s="100">
        <v>23.211653228366764</v>
      </c>
      <c r="BU28" s="100">
        <v>17130.200082534673</v>
      </c>
      <c r="BV28" s="100">
        <v>21</v>
      </c>
      <c r="BW28" s="100">
        <v>15498</v>
      </c>
      <c r="BX28" s="100">
        <v>16.018827390291005</v>
      </c>
      <c r="BY28" s="100">
        <v>11821.894614034762</v>
      </c>
      <c r="BZ28" s="100">
        <v>17.883191952672504</v>
      </c>
      <c r="CA28" s="100">
        <v>13197.795661072309</v>
      </c>
      <c r="CB28" s="100">
        <v>16.730965110179042</v>
      </c>
      <c r="CC28" s="100">
        <v>12347.452251312134</v>
      </c>
      <c r="CD28" s="100">
        <v>19.549467303656879</v>
      </c>
      <c r="CE28" s="100">
        <v>14427.506870098778</v>
      </c>
      <c r="CF28" s="100">
        <v>28.366903808204796</v>
      </c>
      <c r="CG28" s="100">
        <v>20934.775010455138</v>
      </c>
      <c r="CH28" s="100">
        <v>21.079992738207235</v>
      </c>
      <c r="CI28" s="100">
        <v>15557.034640796939</v>
      </c>
      <c r="CJ28" s="100">
        <v>15.393862567457655</v>
      </c>
      <c r="CK28" s="100">
        <v>11360.67057478375</v>
      </c>
      <c r="CL28" s="100">
        <v>24.407103180042302</v>
      </c>
      <c r="CM28" s="100">
        <v>18012.442146871221</v>
      </c>
      <c r="CN28" s="100">
        <v>22.37157765912611</v>
      </c>
      <c r="CO28" s="100">
        <v>16510.224312435068</v>
      </c>
      <c r="CP28" s="100">
        <v>20.303260678315901</v>
      </c>
      <c r="CQ28" s="100">
        <v>14983.806380597134</v>
      </c>
      <c r="CR28" s="100">
        <v>20.667857881669288</v>
      </c>
      <c r="CS28" s="100">
        <v>15252.879116671935</v>
      </c>
      <c r="CT28" s="100">
        <v>25</v>
      </c>
      <c r="CU28" s="100">
        <v>18450</v>
      </c>
    </row>
    <row r="29" spans="2:99">
      <c r="C29" s="99" t="s">
        <v>195</v>
      </c>
      <c r="D29" s="100">
        <v>16</v>
      </c>
      <c r="E29" s="100">
        <v>5414.4</v>
      </c>
      <c r="F29" s="100">
        <v>26</v>
      </c>
      <c r="G29" s="100">
        <v>8798.4</v>
      </c>
      <c r="H29" s="100">
        <v>19</v>
      </c>
      <c r="I29" s="100">
        <v>6429.5999999999995</v>
      </c>
      <c r="J29" s="100">
        <v>16</v>
      </c>
      <c r="K29" s="100">
        <v>5414.4</v>
      </c>
      <c r="L29" s="100">
        <v>23</v>
      </c>
      <c r="M29" s="100">
        <v>7783.2</v>
      </c>
      <c r="N29" s="100">
        <v>19</v>
      </c>
      <c r="O29" s="100">
        <v>6429.5999999999995</v>
      </c>
      <c r="P29" s="100">
        <v>20</v>
      </c>
      <c r="Q29" s="100">
        <v>6768</v>
      </c>
      <c r="R29" s="100">
        <v>19</v>
      </c>
      <c r="S29" s="100">
        <v>6429.5999999999995</v>
      </c>
      <c r="T29" s="100">
        <v>15</v>
      </c>
      <c r="U29" s="100">
        <v>5076</v>
      </c>
      <c r="V29" s="100">
        <v>21</v>
      </c>
      <c r="W29" s="100">
        <v>7106.4</v>
      </c>
      <c r="X29" s="100">
        <v>26</v>
      </c>
      <c r="Y29" s="100">
        <v>8798.4</v>
      </c>
      <c r="Z29" s="100">
        <v>24</v>
      </c>
      <c r="AA29" s="100">
        <v>8121.5999999999995</v>
      </c>
      <c r="AB29" s="100">
        <v>17</v>
      </c>
      <c r="AC29" s="100">
        <v>5752.7999999999993</v>
      </c>
      <c r="AD29" s="100">
        <v>23</v>
      </c>
      <c r="AE29" s="100">
        <v>7783.2</v>
      </c>
      <c r="AF29" s="100">
        <v>17</v>
      </c>
      <c r="AG29" s="100">
        <v>5752.7999999999993</v>
      </c>
      <c r="AH29" s="100">
        <v>20</v>
      </c>
      <c r="AI29" s="100">
        <v>6768</v>
      </c>
      <c r="AJ29" s="100">
        <v>21</v>
      </c>
      <c r="AK29" s="100">
        <v>7106.4</v>
      </c>
      <c r="AL29" s="100">
        <v>23</v>
      </c>
      <c r="AM29" s="100">
        <v>7783.2</v>
      </c>
      <c r="AN29" s="100">
        <v>19</v>
      </c>
      <c r="AO29" s="100">
        <v>6429.5999999999995</v>
      </c>
      <c r="AP29" s="100">
        <v>24</v>
      </c>
      <c r="AQ29" s="100">
        <v>8121.5999999999995</v>
      </c>
      <c r="AR29" s="100">
        <v>19</v>
      </c>
      <c r="AS29" s="100">
        <v>6429.5999999999995</v>
      </c>
      <c r="AT29" s="100">
        <v>24</v>
      </c>
      <c r="AU29" s="100">
        <v>8121.5999999999995</v>
      </c>
      <c r="AV29" s="100">
        <v>26</v>
      </c>
      <c r="AW29" s="100">
        <v>8798.4</v>
      </c>
      <c r="AX29" s="100">
        <v>22.522060583541165</v>
      </c>
      <c r="AY29" s="100">
        <v>7621.4653014703299</v>
      </c>
      <c r="AZ29" s="100">
        <v>24</v>
      </c>
      <c r="BA29" s="100">
        <v>8121.5999999999995</v>
      </c>
      <c r="BB29" s="100">
        <v>21</v>
      </c>
      <c r="BC29" s="100">
        <v>7106.4</v>
      </c>
      <c r="BD29" s="100">
        <v>22</v>
      </c>
      <c r="BE29" s="100">
        <v>7444.7999999999993</v>
      </c>
      <c r="BF29" s="100">
        <v>23</v>
      </c>
      <c r="BG29" s="100">
        <v>7783.2</v>
      </c>
      <c r="BH29" s="100">
        <v>19</v>
      </c>
      <c r="BI29" s="100">
        <v>6429.5999999999995</v>
      </c>
      <c r="BJ29" s="100">
        <v>19</v>
      </c>
      <c r="BK29" s="100">
        <v>6429.5999999999995</v>
      </c>
      <c r="BL29" s="100">
        <v>32</v>
      </c>
      <c r="BM29" s="100">
        <v>10828.8</v>
      </c>
      <c r="BN29" s="100">
        <v>28.535983892033251</v>
      </c>
      <c r="BO29" s="100">
        <v>9656.5769490640505</v>
      </c>
      <c r="BP29" s="100">
        <v>19</v>
      </c>
      <c r="BQ29" s="100">
        <v>6429.5999999999995</v>
      </c>
      <c r="BR29" s="100">
        <v>20.183249373242685</v>
      </c>
      <c r="BS29" s="100">
        <v>6830.0115879053237</v>
      </c>
      <c r="BT29" s="100">
        <v>26.650416669606287</v>
      </c>
      <c r="BU29" s="100">
        <v>9018.5010009947673</v>
      </c>
      <c r="BV29" s="100">
        <v>22</v>
      </c>
      <c r="BW29" s="100">
        <v>7444.7999999999993</v>
      </c>
      <c r="BX29" s="100">
        <v>18.688631955339506</v>
      </c>
      <c r="BY29" s="100">
        <v>6324.2330536868885</v>
      </c>
      <c r="BZ29" s="100">
        <v>18.876702616709867</v>
      </c>
      <c r="CA29" s="100">
        <v>6387.8761654946184</v>
      </c>
      <c r="CB29" s="100">
        <v>19.519459295208883</v>
      </c>
      <c r="CC29" s="100">
        <v>6605.3850254986855</v>
      </c>
      <c r="CD29" s="100">
        <v>20.399444142946308</v>
      </c>
      <c r="CE29" s="100">
        <v>6903.1718979730304</v>
      </c>
      <c r="CF29" s="100">
        <v>25.707506576185597</v>
      </c>
      <c r="CG29" s="100">
        <v>8699.4202253812055</v>
      </c>
      <c r="CH29" s="100">
        <v>21.958325768965867</v>
      </c>
      <c r="CI29" s="100">
        <v>7430.6974402180485</v>
      </c>
      <c r="CJ29" s="100">
        <v>15.393862567457655</v>
      </c>
      <c r="CK29" s="100">
        <v>5209.2830928276699</v>
      </c>
      <c r="CL29" s="100">
        <v>28.022970317826349</v>
      </c>
      <c r="CM29" s="100">
        <v>9482.9731555524359</v>
      </c>
      <c r="CN29" s="100">
        <v>23.200154609464114</v>
      </c>
      <c r="CO29" s="100">
        <v>7850.9323198426555</v>
      </c>
      <c r="CP29" s="100">
        <v>22.068761606865113</v>
      </c>
      <c r="CQ29" s="100">
        <v>7468.0689277631536</v>
      </c>
      <c r="CR29" s="100">
        <v>20.667857881669288</v>
      </c>
      <c r="CS29" s="100">
        <v>6994.0031071568865</v>
      </c>
      <c r="CT29" s="100">
        <v>27</v>
      </c>
      <c r="CU29" s="100">
        <v>9136.7999999999993</v>
      </c>
    </row>
    <row r="30" spans="2:99">
      <c r="C30" s="99" t="s">
        <v>196</v>
      </c>
      <c r="D30" s="100">
        <v>16</v>
      </c>
      <c r="E30" s="100">
        <v>2227.1999999999998</v>
      </c>
      <c r="F30" s="100">
        <v>28</v>
      </c>
      <c r="G30" s="100">
        <v>3897.5999999999995</v>
      </c>
      <c r="H30" s="100">
        <v>18</v>
      </c>
      <c r="I30" s="100">
        <v>2505.6</v>
      </c>
      <c r="J30" s="100">
        <v>14</v>
      </c>
      <c r="K30" s="100">
        <v>1948.7999999999997</v>
      </c>
      <c r="L30" s="100">
        <v>25</v>
      </c>
      <c r="M30" s="100">
        <v>3479.9999999999995</v>
      </c>
      <c r="N30" s="100">
        <v>19</v>
      </c>
      <c r="O30" s="100">
        <v>2644.7999999999997</v>
      </c>
      <c r="P30" s="100">
        <v>23</v>
      </c>
      <c r="Q30" s="100">
        <v>3201.6</v>
      </c>
      <c r="R30" s="100">
        <v>18</v>
      </c>
      <c r="S30" s="100">
        <v>2505.6</v>
      </c>
      <c r="T30" s="100">
        <v>19</v>
      </c>
      <c r="U30" s="100">
        <v>2644.7999999999997</v>
      </c>
      <c r="V30" s="100">
        <v>23</v>
      </c>
      <c r="W30" s="100">
        <v>3201.6</v>
      </c>
      <c r="X30" s="100">
        <v>27</v>
      </c>
      <c r="Y30" s="100">
        <v>3758.3999999999996</v>
      </c>
      <c r="Z30" s="100">
        <v>24</v>
      </c>
      <c r="AA30" s="100">
        <v>3340.7999999999997</v>
      </c>
      <c r="AB30" s="100">
        <v>16</v>
      </c>
      <c r="AC30" s="100">
        <v>2227.1999999999998</v>
      </c>
      <c r="AD30" s="100">
        <v>24</v>
      </c>
      <c r="AE30" s="100">
        <v>3340.7999999999997</v>
      </c>
      <c r="AF30" s="100">
        <v>21</v>
      </c>
      <c r="AG30" s="100">
        <v>2923.2</v>
      </c>
      <c r="AH30" s="100">
        <v>19</v>
      </c>
      <c r="AI30" s="100">
        <v>2644.7999999999997</v>
      </c>
      <c r="AJ30" s="100">
        <v>19</v>
      </c>
      <c r="AK30" s="100">
        <v>2644.7999999999997</v>
      </c>
      <c r="AL30" s="100">
        <v>22</v>
      </c>
      <c r="AM30" s="100">
        <v>3062.3999999999996</v>
      </c>
      <c r="AN30" s="100">
        <v>21</v>
      </c>
      <c r="AO30" s="100">
        <v>2923.2</v>
      </c>
      <c r="AP30" s="100">
        <v>26</v>
      </c>
      <c r="AQ30" s="100">
        <v>3619.2</v>
      </c>
      <c r="AR30" s="100">
        <v>17</v>
      </c>
      <c r="AS30" s="100">
        <v>2366.3999999999996</v>
      </c>
      <c r="AT30" s="100">
        <v>23</v>
      </c>
      <c r="AU30" s="100">
        <v>3201.6</v>
      </c>
      <c r="AV30" s="100">
        <v>26</v>
      </c>
      <c r="AW30" s="100">
        <v>3619.2</v>
      </c>
      <c r="AX30" s="100">
        <v>25.120759881642069</v>
      </c>
      <c r="AY30" s="100">
        <v>3496.8097755245758</v>
      </c>
      <c r="AZ30" s="100">
        <v>27</v>
      </c>
      <c r="BA30" s="100">
        <v>3758.3999999999996</v>
      </c>
      <c r="BB30" s="100">
        <v>23</v>
      </c>
      <c r="BC30" s="100">
        <v>3201.6</v>
      </c>
      <c r="BD30" s="100">
        <v>23</v>
      </c>
      <c r="BE30" s="100">
        <v>3201.6</v>
      </c>
      <c r="BF30" s="100">
        <v>22</v>
      </c>
      <c r="BG30" s="100">
        <v>3062.3999999999996</v>
      </c>
      <c r="BH30" s="100">
        <v>17</v>
      </c>
      <c r="BI30" s="100">
        <v>2366.3999999999996</v>
      </c>
      <c r="BJ30" s="100">
        <v>23</v>
      </c>
      <c r="BK30" s="100">
        <v>3201.6</v>
      </c>
      <c r="BL30" s="100">
        <v>32</v>
      </c>
      <c r="BM30" s="100">
        <v>4454.3999999999996</v>
      </c>
      <c r="BN30" s="100">
        <v>29.487183355101028</v>
      </c>
      <c r="BO30" s="100">
        <v>4104.6159230300627</v>
      </c>
      <c r="BP30" s="100">
        <v>22</v>
      </c>
      <c r="BQ30" s="100">
        <v>3062.3999999999996</v>
      </c>
      <c r="BR30" s="100">
        <v>21.938314536133351</v>
      </c>
      <c r="BS30" s="100">
        <v>3053.8133834297623</v>
      </c>
      <c r="BT30" s="100">
        <v>24.931034948986522</v>
      </c>
      <c r="BU30" s="100">
        <v>3470.4000648989236</v>
      </c>
      <c r="BV30" s="100">
        <v>21</v>
      </c>
      <c r="BW30" s="100">
        <v>2923.2</v>
      </c>
      <c r="BX30" s="100">
        <v>19.578566810355671</v>
      </c>
      <c r="BY30" s="100">
        <v>2725.3365000015092</v>
      </c>
      <c r="BZ30" s="100">
        <v>17.883191952672504</v>
      </c>
      <c r="CA30" s="100">
        <v>2489.3403198120122</v>
      </c>
      <c r="CB30" s="100">
        <v>18.589961233532268</v>
      </c>
      <c r="CC30" s="100">
        <v>2587.7226037076916</v>
      </c>
      <c r="CD30" s="100">
        <v>19.549467303656879</v>
      </c>
      <c r="CE30" s="100">
        <v>2721.2858486690375</v>
      </c>
      <c r="CF30" s="100">
        <v>25.707506576185597</v>
      </c>
      <c r="CG30" s="100">
        <v>3578.4849154050348</v>
      </c>
      <c r="CH30" s="100">
        <v>20.201659707448602</v>
      </c>
      <c r="CI30" s="100">
        <v>2812.0710312768451</v>
      </c>
      <c r="CJ30" s="100">
        <v>16.299383894955163</v>
      </c>
      <c r="CK30" s="100">
        <v>2268.8742381777583</v>
      </c>
      <c r="CL30" s="100">
        <v>26.215036748934327</v>
      </c>
      <c r="CM30" s="100">
        <v>3649.1331154516579</v>
      </c>
      <c r="CN30" s="100">
        <v>25.685885460478126</v>
      </c>
      <c r="CO30" s="100">
        <v>3575.4752560985548</v>
      </c>
      <c r="CP30" s="100">
        <v>22.068761606865113</v>
      </c>
      <c r="CQ30" s="100">
        <v>3071.9716156756235</v>
      </c>
      <c r="CR30" s="100">
        <v>22.54675405273013</v>
      </c>
      <c r="CS30" s="100">
        <v>3138.5081641400338</v>
      </c>
      <c r="CT30" s="100">
        <v>27</v>
      </c>
      <c r="CU30" s="100">
        <v>3758.3999999999996</v>
      </c>
    </row>
    <row r="31" spans="2:99">
      <c r="C31" s="99" t="s">
        <v>197</v>
      </c>
      <c r="D31" s="100">
        <v>16</v>
      </c>
      <c r="E31" s="100">
        <v>5452.8</v>
      </c>
      <c r="F31" s="100">
        <v>27</v>
      </c>
      <c r="G31" s="100">
        <v>9201.6</v>
      </c>
      <c r="H31" s="100">
        <v>16</v>
      </c>
      <c r="I31" s="100">
        <v>5452.8</v>
      </c>
      <c r="J31" s="100">
        <v>16</v>
      </c>
      <c r="K31" s="100">
        <v>5452.8</v>
      </c>
      <c r="L31" s="100">
        <v>21</v>
      </c>
      <c r="M31" s="100">
        <v>7156.8</v>
      </c>
      <c r="N31" s="100">
        <v>18</v>
      </c>
      <c r="O31" s="100">
        <v>6134.4000000000005</v>
      </c>
      <c r="P31" s="100">
        <v>21</v>
      </c>
      <c r="Q31" s="100">
        <v>7156.8</v>
      </c>
      <c r="R31" s="100">
        <v>17</v>
      </c>
      <c r="S31" s="100">
        <v>5793.6</v>
      </c>
      <c r="T31" s="100">
        <v>17</v>
      </c>
      <c r="U31" s="100">
        <v>5793.6</v>
      </c>
      <c r="V31" s="100">
        <v>21</v>
      </c>
      <c r="W31" s="100">
        <v>7156.8</v>
      </c>
      <c r="X31" s="100">
        <v>26</v>
      </c>
      <c r="Y31" s="100">
        <v>8860.8000000000011</v>
      </c>
      <c r="Z31" s="100">
        <v>23</v>
      </c>
      <c r="AA31" s="100">
        <v>7838.4000000000005</v>
      </c>
      <c r="AB31" s="100">
        <v>16</v>
      </c>
      <c r="AC31" s="100">
        <v>5452.8</v>
      </c>
      <c r="AD31" s="100">
        <v>23</v>
      </c>
      <c r="AE31" s="100">
        <v>7838.4000000000005</v>
      </c>
      <c r="AF31" s="100">
        <v>20</v>
      </c>
      <c r="AG31" s="100">
        <v>6816</v>
      </c>
      <c r="AH31" s="100">
        <v>18</v>
      </c>
      <c r="AI31" s="100">
        <v>6134.4000000000005</v>
      </c>
      <c r="AJ31" s="100">
        <v>18</v>
      </c>
      <c r="AK31" s="100">
        <v>6134.4000000000005</v>
      </c>
      <c r="AL31" s="100">
        <v>24</v>
      </c>
      <c r="AM31" s="100">
        <v>8179.2000000000007</v>
      </c>
      <c r="AN31" s="100">
        <v>21</v>
      </c>
      <c r="AO31" s="100">
        <v>7156.8</v>
      </c>
      <c r="AP31" s="100">
        <v>24</v>
      </c>
      <c r="AQ31" s="100">
        <v>8179.2000000000007</v>
      </c>
      <c r="AR31" s="100">
        <v>18</v>
      </c>
      <c r="AS31" s="100">
        <v>6134.4000000000005</v>
      </c>
      <c r="AT31" s="100">
        <v>24</v>
      </c>
      <c r="AU31" s="100">
        <v>8179.2000000000007</v>
      </c>
      <c r="AV31" s="100">
        <v>28</v>
      </c>
      <c r="AW31" s="100">
        <v>9542.4</v>
      </c>
      <c r="AX31" s="100">
        <v>23.388293682908131</v>
      </c>
      <c r="AY31" s="100">
        <v>7970.7304871350916</v>
      </c>
      <c r="AZ31" s="100">
        <v>23</v>
      </c>
      <c r="BA31" s="100">
        <v>7838.4000000000005</v>
      </c>
      <c r="BB31" s="100">
        <v>24</v>
      </c>
      <c r="BC31" s="100">
        <v>8179.2000000000007</v>
      </c>
      <c r="BD31" s="100">
        <v>20</v>
      </c>
      <c r="BE31" s="100">
        <v>6816</v>
      </c>
      <c r="BF31" s="100">
        <v>22</v>
      </c>
      <c r="BG31" s="100">
        <v>7497.6</v>
      </c>
      <c r="BH31" s="100">
        <v>19</v>
      </c>
      <c r="BI31" s="100">
        <v>6475.2</v>
      </c>
      <c r="BJ31" s="100">
        <v>23</v>
      </c>
      <c r="BK31" s="100">
        <v>7838.4000000000005</v>
      </c>
      <c r="BL31" s="100">
        <v>31</v>
      </c>
      <c r="BM31" s="100">
        <v>10564.800000000001</v>
      </c>
      <c r="BN31" s="100">
        <v>27.584784428965477</v>
      </c>
      <c r="BO31" s="100">
        <v>9400.8945333914344</v>
      </c>
      <c r="BP31" s="100">
        <v>20</v>
      </c>
      <c r="BQ31" s="100">
        <v>6816</v>
      </c>
      <c r="BR31" s="100">
        <v>22.815847117578688</v>
      </c>
      <c r="BS31" s="100">
        <v>7775.6406976708167</v>
      </c>
      <c r="BT31" s="100">
        <v>24.931034948986522</v>
      </c>
      <c r="BU31" s="100">
        <v>8496.4967106146069</v>
      </c>
      <c r="BV31" s="100">
        <v>20</v>
      </c>
      <c r="BW31" s="100">
        <v>6816</v>
      </c>
      <c r="BX31" s="100">
        <v>19.578566810355671</v>
      </c>
      <c r="BY31" s="100">
        <v>6672.3755689692125</v>
      </c>
      <c r="BZ31" s="100">
        <v>17.883191952672504</v>
      </c>
      <c r="CA31" s="100">
        <v>6094.5918174707895</v>
      </c>
      <c r="CB31" s="100">
        <v>17.660463171855657</v>
      </c>
      <c r="CC31" s="100">
        <v>6018.6858489684082</v>
      </c>
      <c r="CD31" s="100">
        <v>17.849513625078018</v>
      </c>
      <c r="CE31" s="100">
        <v>6083.1142434265885</v>
      </c>
      <c r="CF31" s="100">
        <v>25.707506576185597</v>
      </c>
      <c r="CG31" s="100">
        <v>8761.1182411640511</v>
      </c>
      <c r="CH31" s="100">
        <v>23.71499183048314</v>
      </c>
      <c r="CI31" s="100">
        <v>8082.0692158286538</v>
      </c>
      <c r="CJ31" s="100">
        <v>16.299383894955163</v>
      </c>
      <c r="CK31" s="100">
        <v>5554.8300314007201</v>
      </c>
      <c r="CL31" s="100">
        <v>28.022970317826349</v>
      </c>
      <c r="CM31" s="100">
        <v>9550.2282843152207</v>
      </c>
      <c r="CN31" s="100">
        <v>24.857308510140122</v>
      </c>
      <c r="CO31" s="100">
        <v>8471.3707402557538</v>
      </c>
      <c r="CP31" s="100">
        <v>20.303260678315901</v>
      </c>
      <c r="CQ31" s="100">
        <v>6919.3512391700597</v>
      </c>
      <c r="CR31" s="100">
        <v>23.486202138260552</v>
      </c>
      <c r="CS31" s="100">
        <v>8004.0976887191964</v>
      </c>
      <c r="CT31" s="100">
        <v>24</v>
      </c>
      <c r="CU31" s="100">
        <v>8179.2000000000007</v>
      </c>
    </row>
    <row r="32" spans="2:99">
      <c r="C32" s="99" t="s">
        <v>198</v>
      </c>
      <c r="D32" s="100">
        <v>14</v>
      </c>
      <c r="E32" s="100">
        <v>11760</v>
      </c>
      <c r="F32" s="100">
        <v>25</v>
      </c>
      <c r="G32" s="100">
        <v>21000</v>
      </c>
      <c r="H32" s="100">
        <v>18</v>
      </c>
      <c r="I32" s="100">
        <v>15120</v>
      </c>
      <c r="J32" s="100">
        <v>14</v>
      </c>
      <c r="K32" s="100">
        <v>11760</v>
      </c>
      <c r="L32" s="100">
        <v>21</v>
      </c>
      <c r="M32" s="100">
        <v>17640</v>
      </c>
      <c r="N32" s="100">
        <v>16</v>
      </c>
      <c r="O32" s="100">
        <v>13440</v>
      </c>
      <c r="P32" s="100">
        <v>19</v>
      </c>
      <c r="Q32" s="100">
        <v>15960</v>
      </c>
      <c r="R32" s="100">
        <v>17</v>
      </c>
      <c r="S32" s="100">
        <v>14280</v>
      </c>
      <c r="T32" s="100">
        <v>16</v>
      </c>
      <c r="U32" s="100">
        <v>13440</v>
      </c>
      <c r="V32" s="100">
        <v>22</v>
      </c>
      <c r="W32" s="100">
        <v>18480</v>
      </c>
      <c r="X32" s="100">
        <v>21</v>
      </c>
      <c r="Y32" s="100">
        <v>17640</v>
      </c>
      <c r="Z32" s="100">
        <v>26</v>
      </c>
      <c r="AA32" s="100">
        <v>21840</v>
      </c>
      <c r="AB32" s="100">
        <v>16</v>
      </c>
      <c r="AC32" s="100">
        <v>13440</v>
      </c>
      <c r="AD32" s="100">
        <v>24</v>
      </c>
      <c r="AE32" s="100">
        <v>20160</v>
      </c>
      <c r="AF32" s="100">
        <v>17</v>
      </c>
      <c r="AG32" s="100">
        <v>14280</v>
      </c>
      <c r="AH32" s="100">
        <v>18</v>
      </c>
      <c r="AI32" s="100">
        <v>15120</v>
      </c>
      <c r="AJ32" s="100">
        <v>18</v>
      </c>
      <c r="AK32" s="100">
        <v>15120</v>
      </c>
      <c r="AL32" s="100">
        <v>20</v>
      </c>
      <c r="AM32" s="100">
        <v>16800</v>
      </c>
      <c r="AN32" s="100">
        <v>18</v>
      </c>
      <c r="AO32" s="100">
        <v>15120</v>
      </c>
      <c r="AP32" s="100">
        <v>25</v>
      </c>
      <c r="AQ32" s="100">
        <v>21000</v>
      </c>
      <c r="AR32" s="100">
        <v>18</v>
      </c>
      <c r="AS32" s="100">
        <v>15120</v>
      </c>
      <c r="AT32" s="100">
        <v>25</v>
      </c>
      <c r="AU32" s="100">
        <v>21000</v>
      </c>
      <c r="AV32" s="100">
        <v>25</v>
      </c>
      <c r="AW32" s="100">
        <v>21000</v>
      </c>
      <c r="AX32" s="100">
        <v>22.522060583541165</v>
      </c>
      <c r="AY32" s="100">
        <v>18918.530890174578</v>
      </c>
      <c r="AZ32" s="100">
        <v>24</v>
      </c>
      <c r="BA32" s="100">
        <v>20160</v>
      </c>
      <c r="BB32" s="100">
        <v>21</v>
      </c>
      <c r="BC32" s="100">
        <v>17640</v>
      </c>
      <c r="BD32" s="100">
        <v>21</v>
      </c>
      <c r="BE32" s="100">
        <v>17640</v>
      </c>
      <c r="BF32" s="100">
        <v>24</v>
      </c>
      <c r="BG32" s="100">
        <v>20160</v>
      </c>
      <c r="BH32" s="100">
        <v>17</v>
      </c>
      <c r="BI32" s="100">
        <v>14280</v>
      </c>
      <c r="BJ32" s="100">
        <v>18</v>
      </c>
      <c r="BK32" s="100">
        <v>15120</v>
      </c>
      <c r="BL32" s="100">
        <v>31</v>
      </c>
      <c r="BM32" s="100">
        <v>26040</v>
      </c>
      <c r="BN32" s="100">
        <v>29.487183355101028</v>
      </c>
      <c r="BO32" s="100">
        <v>24769.234018284864</v>
      </c>
      <c r="BP32" s="100">
        <v>19</v>
      </c>
      <c r="BQ32" s="100">
        <v>15960</v>
      </c>
      <c r="BR32" s="100">
        <v>19.305716791797352</v>
      </c>
      <c r="BS32" s="100">
        <v>16216.802105109775</v>
      </c>
      <c r="BT32" s="100">
        <v>22.351962368056885</v>
      </c>
      <c r="BU32" s="100">
        <v>18775.648389167782</v>
      </c>
      <c r="BV32" s="100">
        <v>22</v>
      </c>
      <c r="BW32" s="100">
        <v>18480</v>
      </c>
      <c r="BX32" s="100">
        <v>16.018827390291005</v>
      </c>
      <c r="BY32" s="100">
        <v>13455.815007844443</v>
      </c>
      <c r="BZ32" s="100">
        <v>17.883191952672504</v>
      </c>
      <c r="CA32" s="100">
        <v>15021.881240244904</v>
      </c>
      <c r="CB32" s="100">
        <v>16.730965110179042</v>
      </c>
      <c r="CC32" s="100">
        <v>14054.010692550395</v>
      </c>
      <c r="CD32" s="100">
        <v>17.849513625078018</v>
      </c>
      <c r="CE32" s="100">
        <v>14993.591445065535</v>
      </c>
      <c r="CF32" s="100">
        <v>23.934575088172799</v>
      </c>
      <c r="CG32" s="100">
        <v>20105.04307406515</v>
      </c>
      <c r="CH32" s="100">
        <v>20.201659707448602</v>
      </c>
      <c r="CI32" s="100">
        <v>16969.394154256825</v>
      </c>
      <c r="CJ32" s="100">
        <v>15.393862567457655</v>
      </c>
      <c r="CK32" s="100">
        <v>12930.84455666443</v>
      </c>
      <c r="CL32" s="100">
        <v>23.503136395596293</v>
      </c>
      <c r="CM32" s="100">
        <v>19742.634572300885</v>
      </c>
      <c r="CN32" s="100">
        <v>24.857308510140122</v>
      </c>
      <c r="CO32" s="100">
        <v>20880.139148517701</v>
      </c>
      <c r="CP32" s="100">
        <v>18.537759749766696</v>
      </c>
      <c r="CQ32" s="100">
        <v>15571.718189804025</v>
      </c>
      <c r="CR32" s="100">
        <v>19.728409796138866</v>
      </c>
      <c r="CS32" s="100">
        <v>16571.864228756647</v>
      </c>
      <c r="CT32" s="100">
        <v>25</v>
      </c>
      <c r="CU32" s="100">
        <v>21000</v>
      </c>
    </row>
    <row r="33" spans="2:99">
      <c r="C33" s="99" t="s">
        <v>199</v>
      </c>
      <c r="D33" s="100">
        <v>15</v>
      </c>
      <c r="E33" s="100">
        <v>7110</v>
      </c>
      <c r="F33" s="100">
        <v>28</v>
      </c>
      <c r="G33" s="100">
        <v>13272</v>
      </c>
      <c r="H33" s="100">
        <v>18</v>
      </c>
      <c r="I33" s="100">
        <v>8532</v>
      </c>
      <c r="J33" s="100">
        <v>14</v>
      </c>
      <c r="K33" s="100">
        <v>6636</v>
      </c>
      <c r="L33" s="100">
        <v>20</v>
      </c>
      <c r="M33" s="100">
        <v>9480</v>
      </c>
      <c r="N33" s="100">
        <v>18</v>
      </c>
      <c r="O33" s="100">
        <v>8532</v>
      </c>
      <c r="P33" s="100">
        <v>22</v>
      </c>
      <c r="Q33" s="100">
        <v>10428</v>
      </c>
      <c r="R33" s="100">
        <v>16</v>
      </c>
      <c r="S33" s="100">
        <v>7584</v>
      </c>
      <c r="T33" s="100">
        <v>16</v>
      </c>
      <c r="U33" s="100">
        <v>7584</v>
      </c>
      <c r="V33" s="100">
        <v>20</v>
      </c>
      <c r="W33" s="100">
        <v>9480</v>
      </c>
      <c r="X33" s="100">
        <v>25</v>
      </c>
      <c r="Y33" s="100">
        <v>11850</v>
      </c>
      <c r="Z33" s="100">
        <v>27</v>
      </c>
      <c r="AA33" s="100">
        <v>12798</v>
      </c>
      <c r="AB33" s="100">
        <v>17</v>
      </c>
      <c r="AC33" s="100">
        <v>8058</v>
      </c>
      <c r="AD33" s="100">
        <v>23</v>
      </c>
      <c r="AE33" s="100">
        <v>10902</v>
      </c>
      <c r="AF33" s="100">
        <v>19</v>
      </c>
      <c r="AG33" s="100">
        <v>9006</v>
      </c>
      <c r="AH33" s="100">
        <v>19</v>
      </c>
      <c r="AI33" s="100">
        <v>9006</v>
      </c>
      <c r="AJ33" s="100">
        <v>20</v>
      </c>
      <c r="AK33" s="100">
        <v>9480</v>
      </c>
      <c r="AL33" s="100">
        <v>21</v>
      </c>
      <c r="AM33" s="100">
        <v>9954</v>
      </c>
      <c r="AN33" s="100">
        <v>20</v>
      </c>
      <c r="AO33" s="100">
        <v>9480</v>
      </c>
      <c r="AP33" s="100">
        <v>24</v>
      </c>
      <c r="AQ33" s="100">
        <v>11376</v>
      </c>
      <c r="AR33" s="100">
        <v>18</v>
      </c>
      <c r="AS33" s="100">
        <v>8532</v>
      </c>
      <c r="AT33" s="100">
        <v>22</v>
      </c>
      <c r="AU33" s="100">
        <v>10428</v>
      </c>
      <c r="AV33" s="100">
        <v>25</v>
      </c>
      <c r="AW33" s="100">
        <v>11850</v>
      </c>
      <c r="AX33" s="100">
        <v>25.120759881642069</v>
      </c>
      <c r="AY33" s="100">
        <v>11907.240183898341</v>
      </c>
      <c r="AZ33" s="100">
        <v>23</v>
      </c>
      <c r="BA33" s="100">
        <v>10902</v>
      </c>
      <c r="BB33" s="100">
        <v>22</v>
      </c>
      <c r="BC33" s="100">
        <v>10428</v>
      </c>
      <c r="BD33" s="100">
        <v>24</v>
      </c>
      <c r="BE33" s="100">
        <v>11376</v>
      </c>
      <c r="BF33" s="100">
        <v>22</v>
      </c>
      <c r="BG33" s="100">
        <v>10428</v>
      </c>
      <c r="BH33" s="100">
        <v>18</v>
      </c>
      <c r="BI33" s="100">
        <v>8532</v>
      </c>
      <c r="BJ33" s="100">
        <v>20</v>
      </c>
      <c r="BK33" s="100">
        <v>9480</v>
      </c>
      <c r="BL33" s="100">
        <v>28</v>
      </c>
      <c r="BM33" s="100">
        <v>13272</v>
      </c>
      <c r="BN33" s="100">
        <v>26.633584965897704</v>
      </c>
      <c r="BO33" s="100">
        <v>12624.319273835512</v>
      </c>
      <c r="BP33" s="100">
        <v>18</v>
      </c>
      <c r="BQ33" s="100">
        <v>8532</v>
      </c>
      <c r="BR33" s="100">
        <v>21.060781954688018</v>
      </c>
      <c r="BS33" s="100">
        <v>9982.8106465221208</v>
      </c>
      <c r="BT33" s="100">
        <v>26.650416669606287</v>
      </c>
      <c r="BU33" s="100">
        <v>12632.297501393379</v>
      </c>
      <c r="BV33" s="100">
        <v>22</v>
      </c>
      <c r="BW33" s="100">
        <v>10428</v>
      </c>
      <c r="BX33" s="100">
        <v>19.578566810355671</v>
      </c>
      <c r="BY33" s="100">
        <v>9280.2406681085886</v>
      </c>
      <c r="BZ33" s="100">
        <v>18.876702616709867</v>
      </c>
      <c r="CA33" s="100">
        <v>8947.5570403204765</v>
      </c>
      <c r="CB33" s="100">
        <v>18.589961233532268</v>
      </c>
      <c r="CC33" s="100">
        <v>8811.6416246942954</v>
      </c>
      <c r="CD33" s="100">
        <v>17.849513625078018</v>
      </c>
      <c r="CE33" s="100">
        <v>8460.6694582869804</v>
      </c>
      <c r="CF33" s="100">
        <v>24.8210408321792</v>
      </c>
      <c r="CG33" s="100">
        <v>11765.173354452942</v>
      </c>
      <c r="CH33" s="100">
        <v>20.201659707448602</v>
      </c>
      <c r="CI33" s="100">
        <v>9575.5867013306379</v>
      </c>
      <c r="CJ33" s="100">
        <v>16.299383894955163</v>
      </c>
      <c r="CK33" s="100">
        <v>7725.907966208747</v>
      </c>
      <c r="CL33" s="100">
        <v>25.311069964488318</v>
      </c>
      <c r="CM33" s="100">
        <v>11997.447163167462</v>
      </c>
      <c r="CN33" s="100">
        <v>23.200154609464114</v>
      </c>
      <c r="CO33" s="100">
        <v>10996.873284885991</v>
      </c>
      <c r="CP33" s="100">
        <v>19.420510214041297</v>
      </c>
      <c r="CQ33" s="100">
        <v>9205.321841455574</v>
      </c>
      <c r="CR33" s="100">
        <v>23.486202138260552</v>
      </c>
      <c r="CS33" s="100">
        <v>11132.459813535501</v>
      </c>
      <c r="CT33" s="100">
        <v>23</v>
      </c>
      <c r="CU33" s="100">
        <v>10902</v>
      </c>
    </row>
    <row r="34" spans="2:99">
      <c r="C34" s="99" t="s">
        <v>200</v>
      </c>
      <c r="D34" s="100">
        <v>15</v>
      </c>
      <c r="E34" s="100">
        <v>8226</v>
      </c>
      <c r="F34" s="100">
        <v>25</v>
      </c>
      <c r="G34" s="100">
        <v>13710</v>
      </c>
      <c r="H34" s="100">
        <v>17</v>
      </c>
      <c r="I34" s="100">
        <v>9322.7999999999993</v>
      </c>
      <c r="J34" s="100">
        <v>13</v>
      </c>
      <c r="K34" s="100">
        <v>7129.2</v>
      </c>
      <c r="L34" s="100">
        <v>21</v>
      </c>
      <c r="M34" s="100">
        <v>11516.4</v>
      </c>
      <c r="N34" s="100">
        <v>18</v>
      </c>
      <c r="O34" s="100">
        <v>9871.1999999999989</v>
      </c>
      <c r="P34" s="100">
        <v>21</v>
      </c>
      <c r="Q34" s="100">
        <v>11516.4</v>
      </c>
      <c r="R34" s="100">
        <v>17</v>
      </c>
      <c r="S34" s="100">
        <v>9322.7999999999993</v>
      </c>
      <c r="T34" s="100">
        <v>17</v>
      </c>
      <c r="U34" s="100">
        <v>9322.7999999999993</v>
      </c>
      <c r="V34" s="100">
        <v>20</v>
      </c>
      <c r="W34" s="100">
        <v>10968</v>
      </c>
      <c r="X34" s="100">
        <v>23</v>
      </c>
      <c r="Y34" s="100">
        <v>12613.199999999999</v>
      </c>
      <c r="Z34" s="100">
        <v>24</v>
      </c>
      <c r="AA34" s="100">
        <v>13161.599999999999</v>
      </c>
      <c r="AB34" s="100">
        <v>16</v>
      </c>
      <c r="AC34" s="100">
        <v>8774.4</v>
      </c>
      <c r="AD34" s="100">
        <v>24</v>
      </c>
      <c r="AE34" s="100">
        <v>13161.599999999999</v>
      </c>
      <c r="AF34" s="100">
        <v>18</v>
      </c>
      <c r="AG34" s="100">
        <v>9871.1999999999989</v>
      </c>
      <c r="AH34" s="100">
        <v>18</v>
      </c>
      <c r="AI34" s="100">
        <v>9871.1999999999989</v>
      </c>
      <c r="AJ34" s="100">
        <v>19</v>
      </c>
      <c r="AK34" s="100">
        <v>10419.6</v>
      </c>
      <c r="AL34" s="100">
        <v>22</v>
      </c>
      <c r="AM34" s="100">
        <v>12064.8</v>
      </c>
      <c r="AN34" s="100">
        <v>21</v>
      </c>
      <c r="AO34" s="100">
        <v>11516.4</v>
      </c>
      <c r="AP34" s="100">
        <v>23</v>
      </c>
      <c r="AQ34" s="100">
        <v>12613.199999999999</v>
      </c>
      <c r="AR34" s="100">
        <v>18</v>
      </c>
      <c r="AS34" s="100">
        <v>9871.1999999999989</v>
      </c>
      <c r="AT34" s="100">
        <v>25</v>
      </c>
      <c r="AU34" s="100">
        <v>13710</v>
      </c>
      <c r="AV34" s="100">
        <v>25</v>
      </c>
      <c r="AW34" s="100">
        <v>13710</v>
      </c>
      <c r="AX34" s="100">
        <v>25.986992981009035</v>
      </c>
      <c r="AY34" s="100">
        <v>14251.266950785353</v>
      </c>
      <c r="AZ34" s="100">
        <v>24</v>
      </c>
      <c r="BA34" s="100">
        <v>13161.599999999999</v>
      </c>
      <c r="BB34" s="100">
        <v>22</v>
      </c>
      <c r="BC34" s="100">
        <v>12064.8</v>
      </c>
      <c r="BD34" s="100">
        <v>21</v>
      </c>
      <c r="BE34" s="100">
        <v>11516.4</v>
      </c>
      <c r="BF34" s="100">
        <v>23</v>
      </c>
      <c r="BG34" s="100">
        <v>12613.199999999999</v>
      </c>
      <c r="BH34" s="100">
        <v>16</v>
      </c>
      <c r="BI34" s="100">
        <v>8774.4</v>
      </c>
      <c r="BJ34" s="100">
        <v>22</v>
      </c>
      <c r="BK34" s="100">
        <v>12064.8</v>
      </c>
      <c r="BL34" s="100">
        <v>30</v>
      </c>
      <c r="BM34" s="100">
        <v>16452</v>
      </c>
      <c r="BN34" s="100">
        <v>30.438382818168801</v>
      </c>
      <c r="BO34" s="100">
        <v>16692.40913748377</v>
      </c>
      <c r="BP34" s="100">
        <v>18</v>
      </c>
      <c r="BQ34" s="100">
        <v>9871.1999999999989</v>
      </c>
      <c r="BR34" s="100">
        <v>23.693379699024018</v>
      </c>
      <c r="BS34" s="100">
        <v>12993.449426944771</v>
      </c>
      <c r="BT34" s="100">
        <v>24.931034948986522</v>
      </c>
      <c r="BU34" s="100">
        <v>13672.179566024208</v>
      </c>
      <c r="BV34" s="100">
        <v>19</v>
      </c>
      <c r="BW34" s="100">
        <v>10419.6</v>
      </c>
      <c r="BX34" s="100">
        <v>18.688631955339506</v>
      </c>
      <c r="BY34" s="100">
        <v>10248.845764308186</v>
      </c>
      <c r="BZ34" s="100">
        <v>18.876702616709867</v>
      </c>
      <c r="CA34" s="100">
        <v>10351.983715003691</v>
      </c>
      <c r="CB34" s="100">
        <v>16.730965110179042</v>
      </c>
      <c r="CC34" s="100">
        <v>9175.261266422187</v>
      </c>
      <c r="CD34" s="100">
        <v>18.69949046436745</v>
      </c>
      <c r="CE34" s="100">
        <v>10254.800570659108</v>
      </c>
      <c r="CF34" s="100">
        <v>29.253369552211197</v>
      </c>
      <c r="CG34" s="100">
        <v>16042.547862432621</v>
      </c>
      <c r="CH34" s="100">
        <v>22.836658799724507</v>
      </c>
      <c r="CI34" s="100">
        <v>12523.623685768918</v>
      </c>
      <c r="CJ34" s="100">
        <v>16.299383894955163</v>
      </c>
      <c r="CK34" s="100">
        <v>8938.5821279934116</v>
      </c>
      <c r="CL34" s="100">
        <v>28.022970317826349</v>
      </c>
      <c r="CM34" s="100">
        <v>15367.796922295969</v>
      </c>
      <c r="CN34" s="100">
        <v>26.51446241081613</v>
      </c>
      <c r="CO34" s="100">
        <v>14540.531186091564</v>
      </c>
      <c r="CP34" s="100">
        <v>22.951512071139714</v>
      </c>
      <c r="CQ34" s="100">
        <v>12586.609219813019</v>
      </c>
      <c r="CR34" s="100">
        <v>21.607305967199711</v>
      </c>
      <c r="CS34" s="100">
        <v>11849.446592412321</v>
      </c>
      <c r="CT34" s="100">
        <v>26</v>
      </c>
      <c r="CU34" s="100">
        <v>14258.4</v>
      </c>
    </row>
    <row r="35" spans="2:99">
      <c r="C35" s="99" t="s">
        <v>201</v>
      </c>
      <c r="D35" s="100">
        <v>16</v>
      </c>
      <c r="E35" s="100">
        <v>8044.7999999999984</v>
      </c>
      <c r="F35" s="100">
        <v>26</v>
      </c>
      <c r="G35" s="100">
        <v>13072.799999999997</v>
      </c>
      <c r="H35" s="100">
        <v>18</v>
      </c>
      <c r="I35" s="100">
        <v>9050.3999999999978</v>
      </c>
      <c r="J35" s="100">
        <v>15</v>
      </c>
      <c r="K35" s="100">
        <v>7541.9999999999982</v>
      </c>
      <c r="L35" s="100">
        <v>24</v>
      </c>
      <c r="M35" s="100">
        <v>12067.199999999997</v>
      </c>
      <c r="N35" s="100">
        <v>19</v>
      </c>
      <c r="O35" s="100">
        <v>9553.1999999999989</v>
      </c>
      <c r="P35" s="100">
        <v>20</v>
      </c>
      <c r="Q35" s="100">
        <v>10055.999999999998</v>
      </c>
      <c r="R35" s="100">
        <v>18</v>
      </c>
      <c r="S35" s="100">
        <v>9050.3999999999978</v>
      </c>
      <c r="T35" s="100">
        <v>18</v>
      </c>
      <c r="U35" s="100">
        <v>9050.3999999999978</v>
      </c>
      <c r="V35" s="100">
        <v>21</v>
      </c>
      <c r="W35" s="100">
        <v>10558.799999999997</v>
      </c>
      <c r="X35" s="100">
        <v>24</v>
      </c>
      <c r="Y35" s="100">
        <v>12067.199999999997</v>
      </c>
      <c r="Z35" s="100">
        <v>25</v>
      </c>
      <c r="AA35" s="100">
        <v>12569.999999999998</v>
      </c>
      <c r="AB35" s="100">
        <v>17</v>
      </c>
      <c r="AC35" s="100">
        <v>8547.5999999999985</v>
      </c>
      <c r="AD35" s="100">
        <v>24</v>
      </c>
      <c r="AE35" s="100">
        <v>12067.199999999997</v>
      </c>
      <c r="AF35" s="100">
        <v>17</v>
      </c>
      <c r="AG35" s="100">
        <v>8547.5999999999985</v>
      </c>
      <c r="AH35" s="100">
        <v>17</v>
      </c>
      <c r="AI35" s="100">
        <v>8547.5999999999985</v>
      </c>
      <c r="AJ35" s="100">
        <v>19</v>
      </c>
      <c r="AK35" s="100">
        <v>9553.1999999999989</v>
      </c>
      <c r="AL35" s="100">
        <v>22</v>
      </c>
      <c r="AM35" s="100">
        <v>11061.599999999999</v>
      </c>
      <c r="AN35" s="100">
        <v>19</v>
      </c>
      <c r="AO35" s="100">
        <v>9553.1999999999989</v>
      </c>
      <c r="AP35" s="100">
        <v>26</v>
      </c>
      <c r="AQ35" s="100">
        <v>13072.799999999997</v>
      </c>
      <c r="AR35" s="100">
        <v>18</v>
      </c>
      <c r="AS35" s="100">
        <v>9050.3999999999978</v>
      </c>
      <c r="AT35" s="100">
        <v>25</v>
      </c>
      <c r="AU35" s="100">
        <v>12569.999999999998</v>
      </c>
      <c r="AV35" s="100">
        <v>24</v>
      </c>
      <c r="AW35" s="100">
        <v>12067.199999999997</v>
      </c>
      <c r="AX35" s="100">
        <v>24.2545267822751</v>
      </c>
      <c r="AY35" s="100">
        <v>12195.176066127919</v>
      </c>
      <c r="AZ35" s="100">
        <v>22</v>
      </c>
      <c r="BA35" s="100">
        <v>11061.599999999999</v>
      </c>
      <c r="BB35" s="100">
        <v>20</v>
      </c>
      <c r="BC35" s="100">
        <v>10055.999999999998</v>
      </c>
      <c r="BD35" s="100">
        <v>20</v>
      </c>
      <c r="BE35" s="100">
        <v>10055.999999999998</v>
      </c>
      <c r="BF35" s="100">
        <v>22</v>
      </c>
      <c r="BG35" s="100">
        <v>11061.599999999999</v>
      </c>
      <c r="BH35" s="100">
        <v>18</v>
      </c>
      <c r="BI35" s="100">
        <v>9050.3999999999978</v>
      </c>
      <c r="BJ35" s="100">
        <v>22</v>
      </c>
      <c r="BK35" s="100">
        <v>11061.599999999999</v>
      </c>
      <c r="BL35" s="100">
        <v>34</v>
      </c>
      <c r="BM35" s="100">
        <v>17095.199999999997</v>
      </c>
      <c r="BN35" s="100">
        <v>30.438382818168801</v>
      </c>
      <c r="BO35" s="100">
        <v>15304.41888097527</v>
      </c>
      <c r="BP35" s="100">
        <v>18</v>
      </c>
      <c r="BQ35" s="100">
        <v>9050.3999999999978</v>
      </c>
      <c r="BR35" s="100">
        <v>20.183249373242685</v>
      </c>
      <c r="BS35" s="100">
        <v>10148.13778486642</v>
      </c>
      <c r="BT35" s="100">
        <v>24.931034948986522</v>
      </c>
      <c r="BU35" s="100">
        <v>12535.32437235042</v>
      </c>
      <c r="BV35" s="100">
        <v>23</v>
      </c>
      <c r="BW35" s="100">
        <v>11564.399999999998</v>
      </c>
      <c r="BX35" s="100">
        <v>19.578566810355671</v>
      </c>
      <c r="BY35" s="100">
        <v>9844.1033922468287</v>
      </c>
      <c r="BZ35" s="100">
        <v>17.883191952672504</v>
      </c>
      <c r="CA35" s="100">
        <v>8991.6689138037327</v>
      </c>
      <c r="CB35" s="100">
        <v>16.730965110179042</v>
      </c>
      <c r="CC35" s="100">
        <v>8412.3292573980216</v>
      </c>
      <c r="CD35" s="100">
        <v>20.399444142946308</v>
      </c>
      <c r="CE35" s="100">
        <v>10256.840515073402</v>
      </c>
      <c r="CF35" s="100">
        <v>25.707506576185597</v>
      </c>
      <c r="CG35" s="100">
        <v>12925.734306506116</v>
      </c>
      <c r="CH35" s="100">
        <v>20.201659707448602</v>
      </c>
      <c r="CI35" s="100">
        <v>10157.394500905155</v>
      </c>
      <c r="CJ35" s="100">
        <v>17.204905222452673</v>
      </c>
      <c r="CK35" s="100">
        <v>8650.6263458492031</v>
      </c>
      <c r="CL35" s="100">
        <v>26.215036748934327</v>
      </c>
      <c r="CM35" s="100">
        <v>13180.920477364178</v>
      </c>
      <c r="CN35" s="100">
        <v>24.857308510140122</v>
      </c>
      <c r="CO35" s="100">
        <v>12498.25471889845</v>
      </c>
      <c r="CP35" s="100">
        <v>21.186011142590509</v>
      </c>
      <c r="CQ35" s="100">
        <v>10652.326402494506</v>
      </c>
      <c r="CR35" s="100">
        <v>23.486202138260552</v>
      </c>
      <c r="CS35" s="100">
        <v>11808.862435117404</v>
      </c>
      <c r="CT35" s="100">
        <v>24</v>
      </c>
      <c r="CU35" s="100">
        <v>12067.199999999997</v>
      </c>
    </row>
    <row r="36" spans="2:99">
      <c r="C36" s="99" t="s">
        <v>202</v>
      </c>
      <c r="D36" s="100">
        <v>16</v>
      </c>
      <c r="E36" s="100">
        <v>12172.8</v>
      </c>
      <c r="F36" s="100">
        <v>26</v>
      </c>
      <c r="G36" s="100">
        <v>19780.8</v>
      </c>
      <c r="H36" s="100">
        <v>18</v>
      </c>
      <c r="I36" s="100">
        <v>13694.4</v>
      </c>
      <c r="J36" s="100">
        <v>15</v>
      </c>
      <c r="K36" s="100">
        <v>11412</v>
      </c>
      <c r="L36" s="100">
        <v>22</v>
      </c>
      <c r="M36" s="100">
        <v>16737.599999999999</v>
      </c>
      <c r="N36" s="100">
        <v>16</v>
      </c>
      <c r="O36" s="100">
        <v>12172.8</v>
      </c>
      <c r="P36" s="100">
        <v>21</v>
      </c>
      <c r="Q36" s="100">
        <v>15976.8</v>
      </c>
      <c r="R36" s="100">
        <v>16</v>
      </c>
      <c r="S36" s="100">
        <v>12172.8</v>
      </c>
      <c r="T36" s="100">
        <v>17</v>
      </c>
      <c r="U36" s="100">
        <v>12933.599999999999</v>
      </c>
      <c r="V36" s="100">
        <v>20</v>
      </c>
      <c r="W36" s="100">
        <v>15216</v>
      </c>
      <c r="X36" s="100">
        <v>21</v>
      </c>
      <c r="Y36" s="100">
        <v>15976.8</v>
      </c>
      <c r="Z36" s="100">
        <v>26</v>
      </c>
      <c r="AA36" s="100">
        <v>19780.8</v>
      </c>
      <c r="AB36" s="100">
        <v>15</v>
      </c>
      <c r="AC36" s="100">
        <v>11412</v>
      </c>
      <c r="AD36" s="100">
        <v>20</v>
      </c>
      <c r="AE36" s="100">
        <v>15216</v>
      </c>
      <c r="AF36" s="100">
        <v>17</v>
      </c>
      <c r="AG36" s="100">
        <v>12933.599999999999</v>
      </c>
      <c r="AH36" s="100">
        <v>17</v>
      </c>
      <c r="AI36" s="100">
        <v>12933.599999999999</v>
      </c>
      <c r="AJ36" s="100">
        <v>18</v>
      </c>
      <c r="AK36" s="100">
        <v>13694.4</v>
      </c>
      <c r="AL36" s="100">
        <v>22</v>
      </c>
      <c r="AM36" s="100">
        <v>16737.599999999999</v>
      </c>
      <c r="AN36" s="100">
        <v>17</v>
      </c>
      <c r="AO36" s="100">
        <v>12933.599999999999</v>
      </c>
      <c r="AP36" s="100">
        <v>24</v>
      </c>
      <c r="AQ36" s="100">
        <v>18259.199999999997</v>
      </c>
      <c r="AR36" s="100">
        <v>16</v>
      </c>
      <c r="AS36" s="100">
        <v>12172.8</v>
      </c>
      <c r="AT36" s="100">
        <v>24</v>
      </c>
      <c r="AU36" s="100">
        <v>18259.199999999997</v>
      </c>
      <c r="AV36" s="100">
        <v>24</v>
      </c>
      <c r="AW36" s="100">
        <v>18259.199999999997</v>
      </c>
      <c r="AX36" s="100">
        <v>24.2545267822751</v>
      </c>
      <c r="AY36" s="100">
        <v>18452.843975954896</v>
      </c>
      <c r="AZ36" s="100">
        <v>24</v>
      </c>
      <c r="BA36" s="100">
        <v>18259.199999999997</v>
      </c>
      <c r="BB36" s="100">
        <v>20</v>
      </c>
      <c r="BC36" s="100">
        <v>15216</v>
      </c>
      <c r="BD36" s="100">
        <v>20</v>
      </c>
      <c r="BE36" s="100">
        <v>15216</v>
      </c>
      <c r="BF36" s="100">
        <v>20</v>
      </c>
      <c r="BG36" s="100">
        <v>15216</v>
      </c>
      <c r="BH36" s="100">
        <v>17</v>
      </c>
      <c r="BI36" s="100">
        <v>12933.599999999999</v>
      </c>
      <c r="BJ36" s="100">
        <v>21</v>
      </c>
      <c r="BK36" s="100">
        <v>15976.8</v>
      </c>
      <c r="BL36" s="100">
        <v>32</v>
      </c>
      <c r="BM36" s="100">
        <v>24345.599999999999</v>
      </c>
      <c r="BN36" s="100">
        <v>25.682385502829927</v>
      </c>
      <c r="BO36" s="100">
        <v>19539.158890553008</v>
      </c>
      <c r="BP36" s="100">
        <v>18</v>
      </c>
      <c r="BQ36" s="100">
        <v>13694.4</v>
      </c>
      <c r="BR36" s="100">
        <v>20.183249373242685</v>
      </c>
      <c r="BS36" s="100">
        <v>15355.416123163033</v>
      </c>
      <c r="BT36" s="100">
        <v>23.211653228366764</v>
      </c>
      <c r="BU36" s="100">
        <v>17659.425776141434</v>
      </c>
      <c r="BV36" s="100">
        <v>22</v>
      </c>
      <c r="BW36" s="100">
        <v>16737.599999999999</v>
      </c>
      <c r="BX36" s="100">
        <v>18.688631955339506</v>
      </c>
      <c r="BY36" s="100">
        <v>14218.311191622295</v>
      </c>
      <c r="BZ36" s="100">
        <v>18.876702616709867</v>
      </c>
      <c r="CA36" s="100">
        <v>14361.395350792865</v>
      </c>
      <c r="CB36" s="100">
        <v>15.801467048502431</v>
      </c>
      <c r="CC36" s="100">
        <v>12021.756130500649</v>
      </c>
      <c r="CD36" s="100">
        <v>18.69949046436745</v>
      </c>
      <c r="CE36" s="100">
        <v>14226.572345290755</v>
      </c>
      <c r="CF36" s="100">
        <v>25.707506576185597</v>
      </c>
      <c r="CG36" s="100">
        <v>19558.271003162001</v>
      </c>
      <c r="CH36" s="100">
        <v>21.079992738207235</v>
      </c>
      <c r="CI36" s="100">
        <v>16037.658475228063</v>
      </c>
      <c r="CJ36" s="100">
        <v>16.299383894955163</v>
      </c>
      <c r="CK36" s="100">
        <v>12400.571267281888</v>
      </c>
      <c r="CL36" s="100">
        <v>25.311069964488318</v>
      </c>
      <c r="CM36" s="100">
        <v>19256.662028982711</v>
      </c>
      <c r="CN36" s="100">
        <v>25.685885460478126</v>
      </c>
      <c r="CO36" s="100">
        <v>19541.821658331755</v>
      </c>
      <c r="CP36" s="100">
        <v>20.303260678315901</v>
      </c>
      <c r="CQ36" s="100">
        <v>15446.720724062736</v>
      </c>
      <c r="CR36" s="100">
        <v>21.607305967199711</v>
      </c>
      <c r="CS36" s="100">
        <v>16438.83837984554</v>
      </c>
      <c r="CT36" s="100">
        <v>24</v>
      </c>
      <c r="CU36" s="100">
        <v>18259.199999999997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13</v>
      </c>
      <c r="G37" s="100">
        <v>11185.199999999999</v>
      </c>
      <c r="H37" s="100">
        <v>17</v>
      </c>
      <c r="I37" s="100">
        <v>14626.8</v>
      </c>
      <c r="J37" s="100">
        <v>9</v>
      </c>
      <c r="K37" s="100">
        <v>7743.5999999999995</v>
      </c>
      <c r="L37" s="100">
        <v>17</v>
      </c>
      <c r="M37" s="100">
        <v>14626.8</v>
      </c>
      <c r="N37" s="100">
        <v>17</v>
      </c>
      <c r="O37" s="100">
        <v>14626.8</v>
      </c>
      <c r="P37" s="100">
        <v>13</v>
      </c>
      <c r="Q37" s="100">
        <v>11185.199999999999</v>
      </c>
      <c r="R37" s="100">
        <v>9</v>
      </c>
      <c r="S37" s="100">
        <v>7743.5999999999995</v>
      </c>
      <c r="T37" s="100">
        <v>13</v>
      </c>
      <c r="U37" s="100">
        <v>11185.199999999999</v>
      </c>
      <c r="V37" s="100">
        <v>10</v>
      </c>
      <c r="W37" s="100">
        <v>8604</v>
      </c>
      <c r="X37" s="100">
        <v>18</v>
      </c>
      <c r="Y37" s="100">
        <v>15487.199999999999</v>
      </c>
      <c r="Z37" s="100">
        <v>11</v>
      </c>
      <c r="AA37" s="100">
        <v>9464.4</v>
      </c>
      <c r="AB37" s="100">
        <v>14</v>
      </c>
      <c r="AC37" s="100">
        <v>12045.6</v>
      </c>
      <c r="AD37" s="100">
        <v>12</v>
      </c>
      <c r="AE37" s="100">
        <v>10324.799999999999</v>
      </c>
      <c r="AF37" s="100">
        <v>13</v>
      </c>
      <c r="AG37" s="100">
        <v>11185.199999999999</v>
      </c>
      <c r="AH37" s="100">
        <v>17</v>
      </c>
      <c r="AI37" s="100">
        <v>14626.8</v>
      </c>
      <c r="AJ37" s="100">
        <v>10</v>
      </c>
      <c r="AK37" s="100">
        <v>8604</v>
      </c>
      <c r="AL37" s="100">
        <v>15</v>
      </c>
      <c r="AM37" s="100">
        <v>12906</v>
      </c>
      <c r="AN37" s="100">
        <v>18</v>
      </c>
      <c r="AO37" s="100">
        <v>15487.199999999999</v>
      </c>
      <c r="AP37" s="100">
        <v>11</v>
      </c>
      <c r="AQ37" s="100">
        <v>9464.4</v>
      </c>
      <c r="AR37" s="100">
        <v>17</v>
      </c>
      <c r="AS37" s="100">
        <v>14626.8</v>
      </c>
      <c r="AT37" s="100">
        <v>11</v>
      </c>
      <c r="AU37" s="100">
        <v>9464.4</v>
      </c>
      <c r="AV37" s="100">
        <v>10</v>
      </c>
      <c r="AW37" s="100">
        <v>8604</v>
      </c>
      <c r="AX37" s="100">
        <v>14.725962689238454</v>
      </c>
      <c r="AY37" s="100">
        <v>12670.218297820766</v>
      </c>
      <c r="AZ37" s="100">
        <v>15</v>
      </c>
      <c r="BA37" s="100">
        <v>12906</v>
      </c>
      <c r="BB37" s="100">
        <v>14</v>
      </c>
      <c r="BC37" s="100">
        <v>12045.6</v>
      </c>
      <c r="BD37" s="100">
        <v>18</v>
      </c>
      <c r="BE37" s="100">
        <v>15487.199999999999</v>
      </c>
      <c r="BF37" s="100">
        <v>17</v>
      </c>
      <c r="BG37" s="100">
        <v>14626.8</v>
      </c>
      <c r="BH37" s="100">
        <v>17</v>
      </c>
      <c r="BI37" s="100">
        <v>14626.8</v>
      </c>
      <c r="BJ37" s="100">
        <v>20</v>
      </c>
      <c r="BK37" s="100">
        <v>17208</v>
      </c>
      <c r="BL37" s="100">
        <v>11</v>
      </c>
      <c r="BM37" s="100">
        <v>9464.4</v>
      </c>
      <c r="BN37" s="100">
        <v>10.463194093745527</v>
      </c>
      <c r="BO37" s="100">
        <v>9002.5321982586502</v>
      </c>
      <c r="BP37" s="100">
        <v>13</v>
      </c>
      <c r="BQ37" s="100">
        <v>11185.199999999999</v>
      </c>
      <c r="BR37" s="100">
        <v>7.8977932330080076</v>
      </c>
      <c r="BS37" s="100">
        <v>6795.2612976800892</v>
      </c>
      <c r="BT37" s="100">
        <v>11.175981184028442</v>
      </c>
      <c r="BU37" s="100">
        <v>9615.8142107380718</v>
      </c>
      <c r="BV37" s="100">
        <v>12</v>
      </c>
      <c r="BW37" s="100">
        <v>10324.799999999999</v>
      </c>
      <c r="BX37" s="100">
        <v>14.23895768025867</v>
      </c>
      <c r="BY37" s="100">
        <v>12251.199188094559</v>
      </c>
      <c r="BZ37" s="100">
        <v>9.9351066403736148</v>
      </c>
      <c r="CA37" s="100">
        <v>8548.1657533774578</v>
      </c>
      <c r="CB37" s="100">
        <v>13.942470925149204</v>
      </c>
      <c r="CC37" s="100">
        <v>11996.101983998375</v>
      </c>
      <c r="CD37" s="100">
        <v>12.749652589341443</v>
      </c>
      <c r="CE37" s="100">
        <v>10969.801087869377</v>
      </c>
      <c r="CF37" s="100">
        <v>10.6375889280768</v>
      </c>
      <c r="CG37" s="100">
        <v>9152.5815137172794</v>
      </c>
      <c r="CH37" s="100">
        <v>12.296662430620888</v>
      </c>
      <c r="CI37" s="100">
        <v>10580.048355306211</v>
      </c>
      <c r="CJ37" s="100">
        <v>17.204905222452673</v>
      </c>
      <c r="CK37" s="100">
        <v>14803.10045339828</v>
      </c>
      <c r="CL37" s="100">
        <v>12.655534982244159</v>
      </c>
      <c r="CM37" s="100">
        <v>10888.822298722875</v>
      </c>
      <c r="CN37" s="100">
        <v>14.08580815574607</v>
      </c>
      <c r="CO37" s="100">
        <v>12119.429337203919</v>
      </c>
      <c r="CP37" s="100">
        <v>14.124007428393671</v>
      </c>
      <c r="CQ37" s="100">
        <v>12152.295991389914</v>
      </c>
      <c r="CR37" s="100">
        <v>14.091721282956332</v>
      </c>
      <c r="CS37" s="100">
        <v>12124.516991855628</v>
      </c>
      <c r="CT37" s="100">
        <v>15</v>
      </c>
      <c r="CU37" s="100">
        <v>12906</v>
      </c>
    </row>
    <row r="38" spans="2:99">
      <c r="C38" s="99" t="s">
        <v>204</v>
      </c>
      <c r="D38" s="100">
        <v>11</v>
      </c>
      <c r="E38" s="100">
        <v>13662</v>
      </c>
      <c r="F38" s="100">
        <v>10</v>
      </c>
      <c r="G38" s="100">
        <v>12420</v>
      </c>
      <c r="H38" s="100">
        <v>19</v>
      </c>
      <c r="I38" s="100">
        <v>23598</v>
      </c>
      <c r="J38" s="100">
        <v>9</v>
      </c>
      <c r="K38" s="100">
        <v>11178</v>
      </c>
      <c r="L38" s="100">
        <v>16</v>
      </c>
      <c r="M38" s="100">
        <v>19872</v>
      </c>
      <c r="N38" s="100">
        <v>16</v>
      </c>
      <c r="O38" s="100">
        <v>19872</v>
      </c>
      <c r="P38" s="100">
        <v>14</v>
      </c>
      <c r="Q38" s="100">
        <v>17388</v>
      </c>
      <c r="R38" s="100">
        <v>9</v>
      </c>
      <c r="S38" s="100">
        <v>11178</v>
      </c>
      <c r="T38" s="100">
        <v>15</v>
      </c>
      <c r="U38" s="100">
        <v>18630</v>
      </c>
      <c r="V38" s="100">
        <v>10</v>
      </c>
      <c r="W38" s="100">
        <v>12420</v>
      </c>
      <c r="X38" s="100">
        <v>16</v>
      </c>
      <c r="Y38" s="100">
        <v>19872</v>
      </c>
      <c r="Z38" s="100">
        <v>10</v>
      </c>
      <c r="AA38" s="100">
        <v>12420</v>
      </c>
      <c r="AB38" s="100">
        <v>14</v>
      </c>
      <c r="AC38" s="100">
        <v>17388</v>
      </c>
      <c r="AD38" s="100">
        <v>11</v>
      </c>
      <c r="AE38" s="100">
        <v>13662</v>
      </c>
      <c r="AF38" s="100">
        <v>13</v>
      </c>
      <c r="AG38" s="100">
        <v>16146</v>
      </c>
      <c r="AH38" s="100">
        <v>16</v>
      </c>
      <c r="AI38" s="100">
        <v>19872</v>
      </c>
      <c r="AJ38" s="100">
        <v>12</v>
      </c>
      <c r="AK38" s="100">
        <v>14904</v>
      </c>
      <c r="AL38" s="100">
        <v>13</v>
      </c>
      <c r="AM38" s="100">
        <v>16146</v>
      </c>
      <c r="AN38" s="100">
        <v>16</v>
      </c>
      <c r="AO38" s="100">
        <v>19872</v>
      </c>
      <c r="AP38" s="100">
        <v>12</v>
      </c>
      <c r="AQ38" s="100">
        <v>14904</v>
      </c>
      <c r="AR38" s="100">
        <v>17</v>
      </c>
      <c r="AS38" s="100">
        <v>21114</v>
      </c>
      <c r="AT38" s="100">
        <v>11</v>
      </c>
      <c r="AU38" s="100">
        <v>13662</v>
      </c>
      <c r="AV38" s="100">
        <v>10</v>
      </c>
      <c r="AW38" s="100">
        <v>12420</v>
      </c>
      <c r="AX38" s="100">
        <v>13.859729589871487</v>
      </c>
      <c r="AY38" s="100">
        <v>17213.784150620388</v>
      </c>
      <c r="AZ38" s="100">
        <v>17</v>
      </c>
      <c r="BA38" s="100">
        <v>21114</v>
      </c>
      <c r="BB38" s="100">
        <v>13</v>
      </c>
      <c r="BC38" s="100">
        <v>16146</v>
      </c>
      <c r="BD38" s="100">
        <v>16</v>
      </c>
      <c r="BE38" s="100">
        <v>19872</v>
      </c>
      <c r="BF38" s="100">
        <v>20</v>
      </c>
      <c r="BG38" s="100">
        <v>24840</v>
      </c>
      <c r="BH38" s="100">
        <v>16</v>
      </c>
      <c r="BI38" s="100">
        <v>19872</v>
      </c>
      <c r="BJ38" s="100">
        <v>17</v>
      </c>
      <c r="BK38" s="100">
        <v>21114</v>
      </c>
      <c r="BL38" s="100">
        <v>10</v>
      </c>
      <c r="BM38" s="100">
        <v>12420</v>
      </c>
      <c r="BN38" s="100">
        <v>9.5119946306777514</v>
      </c>
      <c r="BO38" s="100">
        <v>11813.897331301767</v>
      </c>
      <c r="BP38" s="100">
        <v>13</v>
      </c>
      <c r="BQ38" s="100">
        <v>16146</v>
      </c>
      <c r="BR38" s="100">
        <v>8.7753258144533408</v>
      </c>
      <c r="BS38" s="100">
        <v>10898.95466155105</v>
      </c>
      <c r="BT38" s="100">
        <v>10.316290323718562</v>
      </c>
      <c r="BU38" s="100">
        <v>12812.832582058454</v>
      </c>
      <c r="BV38" s="100">
        <v>10</v>
      </c>
      <c r="BW38" s="100">
        <v>12420</v>
      </c>
      <c r="BX38" s="100">
        <v>12.459087970226337</v>
      </c>
      <c r="BY38" s="100">
        <v>15474.18725902111</v>
      </c>
      <c r="BZ38" s="100">
        <v>10.928617304410976</v>
      </c>
      <c r="CA38" s="100">
        <v>13573.342692078431</v>
      </c>
      <c r="CB38" s="100">
        <v>13.012972863472591</v>
      </c>
      <c r="CC38" s="100">
        <v>16162.112296432957</v>
      </c>
      <c r="CD38" s="100">
        <v>11.899675750052014</v>
      </c>
      <c r="CE38" s="100">
        <v>14779.397281564601</v>
      </c>
      <c r="CF38" s="100">
        <v>11.524054672083199</v>
      </c>
      <c r="CG38" s="100">
        <v>14312.875902727334</v>
      </c>
      <c r="CH38" s="100">
        <v>12.296662430620888</v>
      </c>
      <c r="CI38" s="100">
        <v>15272.454738831142</v>
      </c>
      <c r="CJ38" s="100">
        <v>14.488341239960146</v>
      </c>
      <c r="CK38" s="100">
        <v>17994.519820030502</v>
      </c>
      <c r="CL38" s="100">
        <v>13.55950176669017</v>
      </c>
      <c r="CM38" s="100">
        <v>16840.901194229191</v>
      </c>
      <c r="CN38" s="100">
        <v>15.742962056422078</v>
      </c>
      <c r="CO38" s="100">
        <v>19552.758874076222</v>
      </c>
      <c r="CP38" s="100">
        <v>14.124007428393671</v>
      </c>
      <c r="CQ38" s="100">
        <v>17542.017226064941</v>
      </c>
      <c r="CR38" s="100">
        <v>12.212825111895487</v>
      </c>
      <c r="CS38" s="100">
        <v>15168.328788974195</v>
      </c>
      <c r="CT38" s="100">
        <v>15</v>
      </c>
      <c r="CU38" s="100">
        <v>18630</v>
      </c>
    </row>
    <row r="39" spans="2:99">
      <c r="C39" s="99" t="s">
        <v>205</v>
      </c>
      <c r="D39" s="100">
        <v>11</v>
      </c>
      <c r="E39" s="100">
        <v>15655.2</v>
      </c>
      <c r="F39" s="100">
        <v>10</v>
      </c>
      <c r="G39" s="100">
        <v>14232</v>
      </c>
      <c r="H39" s="100">
        <v>16</v>
      </c>
      <c r="I39" s="100">
        <v>22771.200000000001</v>
      </c>
      <c r="J39" s="100">
        <v>9</v>
      </c>
      <c r="K39" s="100">
        <v>12808.800000000001</v>
      </c>
      <c r="L39" s="100">
        <v>15</v>
      </c>
      <c r="M39" s="100">
        <v>21348</v>
      </c>
      <c r="N39" s="100">
        <v>16</v>
      </c>
      <c r="O39" s="100">
        <v>22771.200000000001</v>
      </c>
      <c r="P39" s="100">
        <v>12</v>
      </c>
      <c r="Q39" s="100">
        <v>17078.400000000001</v>
      </c>
      <c r="R39" s="100">
        <v>9</v>
      </c>
      <c r="S39" s="100">
        <v>12808.800000000001</v>
      </c>
      <c r="T39" s="100">
        <v>13</v>
      </c>
      <c r="U39" s="100">
        <v>18501.600000000002</v>
      </c>
      <c r="V39" s="100">
        <v>9</v>
      </c>
      <c r="W39" s="100">
        <v>12808.800000000001</v>
      </c>
      <c r="X39" s="100">
        <v>17</v>
      </c>
      <c r="Y39" s="100">
        <v>24194.400000000001</v>
      </c>
      <c r="Z39" s="100">
        <v>10</v>
      </c>
      <c r="AA39" s="100">
        <v>14232</v>
      </c>
      <c r="AB39" s="100">
        <v>13</v>
      </c>
      <c r="AC39" s="100">
        <v>18501.600000000002</v>
      </c>
      <c r="AD39" s="100">
        <v>10</v>
      </c>
      <c r="AE39" s="100">
        <v>14232</v>
      </c>
      <c r="AF39" s="100">
        <v>12</v>
      </c>
      <c r="AG39" s="100">
        <v>17078.400000000001</v>
      </c>
      <c r="AH39" s="100">
        <v>15</v>
      </c>
      <c r="AI39" s="100">
        <v>21348</v>
      </c>
      <c r="AJ39" s="100">
        <v>11</v>
      </c>
      <c r="AK39" s="100">
        <v>15655.2</v>
      </c>
      <c r="AL39" s="100">
        <v>14</v>
      </c>
      <c r="AM39" s="100">
        <v>19924.8</v>
      </c>
      <c r="AN39" s="100">
        <v>17</v>
      </c>
      <c r="AO39" s="100">
        <v>24194.400000000001</v>
      </c>
      <c r="AP39" s="100">
        <v>11</v>
      </c>
      <c r="AQ39" s="100">
        <v>15655.2</v>
      </c>
      <c r="AR39" s="100">
        <v>17</v>
      </c>
      <c r="AS39" s="100">
        <v>24194.400000000001</v>
      </c>
      <c r="AT39" s="100">
        <v>10</v>
      </c>
      <c r="AU39" s="100">
        <v>14232</v>
      </c>
      <c r="AV39" s="100">
        <v>9</v>
      </c>
      <c r="AW39" s="100">
        <v>12808.800000000001</v>
      </c>
      <c r="AX39" s="100">
        <v>13.859729589871487</v>
      </c>
      <c r="AY39" s="100">
        <v>19725.167152305101</v>
      </c>
      <c r="AZ39" s="100">
        <v>15</v>
      </c>
      <c r="BA39" s="100">
        <v>21348</v>
      </c>
      <c r="BB39" s="100">
        <v>14</v>
      </c>
      <c r="BC39" s="100">
        <v>19924.8</v>
      </c>
      <c r="BD39" s="100">
        <v>16</v>
      </c>
      <c r="BE39" s="100">
        <v>22771.200000000001</v>
      </c>
      <c r="BF39" s="100">
        <v>20</v>
      </c>
      <c r="BG39" s="100">
        <v>28464</v>
      </c>
      <c r="BH39" s="100">
        <v>14</v>
      </c>
      <c r="BI39" s="100">
        <v>19924.8</v>
      </c>
      <c r="BJ39" s="100">
        <v>19</v>
      </c>
      <c r="BK39" s="100">
        <v>27040.799999999999</v>
      </c>
      <c r="BL39" s="100">
        <v>10</v>
      </c>
      <c r="BM39" s="100">
        <v>14232</v>
      </c>
      <c r="BN39" s="100">
        <v>10.463194093745527</v>
      </c>
      <c r="BO39" s="100">
        <v>14891.217834218634</v>
      </c>
      <c r="BP39" s="100">
        <v>12</v>
      </c>
      <c r="BQ39" s="100">
        <v>17078.400000000001</v>
      </c>
      <c r="BR39" s="100">
        <v>8.7753258144533408</v>
      </c>
      <c r="BS39" s="100">
        <v>12489.043699129996</v>
      </c>
      <c r="BT39" s="100">
        <v>12.035672044338321</v>
      </c>
      <c r="BU39" s="100">
        <v>17129.168453502298</v>
      </c>
      <c r="BV39" s="100">
        <v>10</v>
      </c>
      <c r="BW39" s="100">
        <v>14232</v>
      </c>
      <c r="BX39" s="100">
        <v>14.23895768025867</v>
      </c>
      <c r="BY39" s="100">
        <v>20264.884570544138</v>
      </c>
      <c r="BZ39" s="100">
        <v>10.928617304410976</v>
      </c>
      <c r="CA39" s="100">
        <v>15553.6081476377</v>
      </c>
      <c r="CB39" s="100">
        <v>12.083474801795976</v>
      </c>
      <c r="CC39" s="100">
        <v>17197.201337916034</v>
      </c>
      <c r="CD39" s="100">
        <v>12.749652589341443</v>
      </c>
      <c r="CE39" s="100">
        <v>18145.305565150742</v>
      </c>
      <c r="CF39" s="100">
        <v>11.524054672083199</v>
      </c>
      <c r="CG39" s="100">
        <v>16401.034609308808</v>
      </c>
      <c r="CH39" s="100">
        <v>14.053328492138156</v>
      </c>
      <c r="CI39" s="100">
        <v>20000.697110011024</v>
      </c>
      <c r="CJ39" s="100">
        <v>16.299383894955163</v>
      </c>
      <c r="CK39" s="100">
        <v>23197.28315930019</v>
      </c>
      <c r="CL39" s="100">
        <v>12.655534982244159</v>
      </c>
      <c r="CM39" s="100">
        <v>18011.357386729887</v>
      </c>
      <c r="CN39" s="100">
        <v>15.742962056422078</v>
      </c>
      <c r="CO39" s="100">
        <v>22405.383598699904</v>
      </c>
      <c r="CP39" s="100">
        <v>15.006757892668276</v>
      </c>
      <c r="CQ39" s="100">
        <v>21357.617832845492</v>
      </c>
      <c r="CR39" s="100">
        <v>12.212825111895487</v>
      </c>
      <c r="CS39" s="100">
        <v>17381.292699249658</v>
      </c>
      <c r="CT39" s="100">
        <v>12</v>
      </c>
      <c r="CU39" s="100">
        <v>17078.400000000001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11</v>
      </c>
      <c r="G40" s="100">
        <v>7972.7999999999993</v>
      </c>
      <c r="H40" s="100">
        <v>19</v>
      </c>
      <c r="I40" s="100">
        <v>13771.199999999999</v>
      </c>
      <c r="J40" s="100">
        <v>9</v>
      </c>
      <c r="K40" s="100">
        <v>6523.2</v>
      </c>
      <c r="L40" s="100">
        <v>18</v>
      </c>
      <c r="M40" s="100">
        <v>13046.4</v>
      </c>
      <c r="N40" s="100">
        <v>18</v>
      </c>
      <c r="O40" s="100">
        <v>13046.4</v>
      </c>
      <c r="P40" s="100">
        <v>14</v>
      </c>
      <c r="Q40" s="100">
        <v>10147.199999999999</v>
      </c>
      <c r="R40" s="100">
        <v>9</v>
      </c>
      <c r="S40" s="100">
        <v>6523.2</v>
      </c>
      <c r="T40" s="100">
        <v>15</v>
      </c>
      <c r="U40" s="100">
        <v>10872</v>
      </c>
      <c r="V40" s="100">
        <v>9</v>
      </c>
      <c r="W40" s="100">
        <v>6523.2</v>
      </c>
      <c r="X40" s="100">
        <v>16</v>
      </c>
      <c r="Y40" s="100">
        <v>11596.8</v>
      </c>
      <c r="Z40" s="100">
        <v>10</v>
      </c>
      <c r="AA40" s="100">
        <v>7248</v>
      </c>
      <c r="AB40" s="100">
        <v>14</v>
      </c>
      <c r="AC40" s="100">
        <v>10147.199999999999</v>
      </c>
      <c r="AD40" s="100">
        <v>12</v>
      </c>
      <c r="AE40" s="100">
        <v>8697.5999999999985</v>
      </c>
      <c r="AF40" s="100">
        <v>12</v>
      </c>
      <c r="AG40" s="100">
        <v>8697.5999999999985</v>
      </c>
      <c r="AH40" s="100">
        <v>15</v>
      </c>
      <c r="AI40" s="100">
        <v>10872</v>
      </c>
      <c r="AJ40" s="100">
        <v>11</v>
      </c>
      <c r="AK40" s="100">
        <v>7972.7999999999993</v>
      </c>
      <c r="AL40" s="100">
        <v>14</v>
      </c>
      <c r="AM40" s="100">
        <v>10147.199999999999</v>
      </c>
      <c r="AN40" s="100">
        <v>19</v>
      </c>
      <c r="AO40" s="100">
        <v>13771.199999999999</v>
      </c>
      <c r="AP40" s="100">
        <v>11</v>
      </c>
      <c r="AQ40" s="100">
        <v>7972.7999999999993</v>
      </c>
      <c r="AR40" s="100">
        <v>19</v>
      </c>
      <c r="AS40" s="100">
        <v>13771.199999999999</v>
      </c>
      <c r="AT40" s="100">
        <v>10</v>
      </c>
      <c r="AU40" s="100">
        <v>7248</v>
      </c>
      <c r="AV40" s="100">
        <v>11</v>
      </c>
      <c r="AW40" s="100">
        <v>7972.7999999999993</v>
      </c>
      <c r="AX40" s="100">
        <v>15.592195788605421</v>
      </c>
      <c r="AY40" s="100">
        <v>11301.223507581208</v>
      </c>
      <c r="AZ40" s="100">
        <v>18</v>
      </c>
      <c r="BA40" s="100">
        <v>13046.4</v>
      </c>
      <c r="BB40" s="100">
        <v>16</v>
      </c>
      <c r="BC40" s="100">
        <v>11596.8</v>
      </c>
      <c r="BD40" s="100">
        <v>16</v>
      </c>
      <c r="BE40" s="100">
        <v>11596.8</v>
      </c>
      <c r="BF40" s="100">
        <v>20</v>
      </c>
      <c r="BG40" s="100">
        <v>14496</v>
      </c>
      <c r="BH40" s="100">
        <v>15</v>
      </c>
      <c r="BI40" s="100">
        <v>10872</v>
      </c>
      <c r="BJ40" s="100">
        <v>18</v>
      </c>
      <c r="BK40" s="100">
        <v>13046.4</v>
      </c>
      <c r="BL40" s="100">
        <v>10</v>
      </c>
      <c r="BM40" s="100">
        <v>7248</v>
      </c>
      <c r="BN40" s="100">
        <v>11.414393556813302</v>
      </c>
      <c r="BO40" s="100">
        <v>8273.1524499782809</v>
      </c>
      <c r="BP40" s="100">
        <v>14</v>
      </c>
      <c r="BQ40" s="100">
        <v>10147.199999999999</v>
      </c>
      <c r="BR40" s="100">
        <v>9.6528583958986758</v>
      </c>
      <c r="BS40" s="100">
        <v>6996.39176534736</v>
      </c>
      <c r="BT40" s="100">
        <v>12.035672044338321</v>
      </c>
      <c r="BU40" s="100">
        <v>8723.4550977364142</v>
      </c>
      <c r="BV40" s="100">
        <v>12</v>
      </c>
      <c r="BW40" s="100">
        <v>8697.5999999999985</v>
      </c>
      <c r="BX40" s="100">
        <v>14.23895768025867</v>
      </c>
      <c r="BY40" s="100">
        <v>10320.396526651482</v>
      </c>
      <c r="BZ40" s="100">
        <v>11.922127968448336</v>
      </c>
      <c r="CA40" s="100">
        <v>8641.1583515313541</v>
      </c>
      <c r="CB40" s="100">
        <v>13.012972863472591</v>
      </c>
      <c r="CC40" s="100">
        <v>9431.8027314449337</v>
      </c>
      <c r="CD40" s="100">
        <v>11.899675750052014</v>
      </c>
      <c r="CE40" s="100">
        <v>8624.8849836376994</v>
      </c>
      <c r="CF40" s="100">
        <v>10.6375889280768</v>
      </c>
      <c r="CG40" s="100">
        <v>7710.124455070064</v>
      </c>
      <c r="CH40" s="100">
        <v>12.296662430620888</v>
      </c>
      <c r="CI40" s="100">
        <v>8912.6209297140194</v>
      </c>
      <c r="CJ40" s="100">
        <v>18.110426549950184</v>
      </c>
      <c r="CK40" s="100">
        <v>13126.437163403893</v>
      </c>
      <c r="CL40" s="100">
        <v>12.655534982244159</v>
      </c>
      <c r="CM40" s="100">
        <v>9172.7317551305659</v>
      </c>
      <c r="CN40" s="100">
        <v>14.08580815574607</v>
      </c>
      <c r="CO40" s="100">
        <v>10209.393751284751</v>
      </c>
      <c r="CP40" s="100">
        <v>15.889508356942882</v>
      </c>
      <c r="CQ40" s="100">
        <v>11516.7156571122</v>
      </c>
      <c r="CR40" s="100">
        <v>14.091721282956332</v>
      </c>
      <c r="CS40" s="100">
        <v>10213.679585886748</v>
      </c>
      <c r="CT40" s="100">
        <v>13</v>
      </c>
      <c r="CU40" s="100">
        <v>9422.4</v>
      </c>
    </row>
    <row r="41" spans="2:99">
      <c r="C41" s="99" t="s">
        <v>207</v>
      </c>
      <c r="D41" s="100">
        <v>10</v>
      </c>
      <c r="E41" s="100">
        <v>6600</v>
      </c>
      <c r="F41" s="100">
        <v>11</v>
      </c>
      <c r="G41" s="100">
        <v>7260</v>
      </c>
      <c r="H41" s="100">
        <v>20</v>
      </c>
      <c r="I41" s="100">
        <v>13200</v>
      </c>
      <c r="J41" s="100">
        <v>10</v>
      </c>
      <c r="K41" s="100">
        <v>6600</v>
      </c>
      <c r="L41" s="100">
        <v>17</v>
      </c>
      <c r="M41" s="100">
        <v>11220</v>
      </c>
      <c r="N41" s="100">
        <v>16</v>
      </c>
      <c r="O41" s="100">
        <v>10560</v>
      </c>
      <c r="P41" s="100">
        <v>14</v>
      </c>
      <c r="Q41" s="100">
        <v>9240</v>
      </c>
      <c r="R41" s="100">
        <v>11</v>
      </c>
      <c r="S41" s="100">
        <v>7260</v>
      </c>
      <c r="T41" s="100">
        <v>13</v>
      </c>
      <c r="U41" s="100">
        <v>8580</v>
      </c>
      <c r="V41" s="100">
        <v>10</v>
      </c>
      <c r="W41" s="100">
        <v>6600</v>
      </c>
      <c r="X41" s="100">
        <v>16</v>
      </c>
      <c r="Y41" s="100">
        <v>10560</v>
      </c>
      <c r="Z41" s="100">
        <v>12</v>
      </c>
      <c r="AA41" s="100">
        <v>7920</v>
      </c>
      <c r="AB41" s="100">
        <v>15</v>
      </c>
      <c r="AC41" s="100">
        <v>9900</v>
      </c>
      <c r="AD41" s="100">
        <v>11</v>
      </c>
      <c r="AE41" s="100">
        <v>7260</v>
      </c>
      <c r="AF41" s="100">
        <v>12</v>
      </c>
      <c r="AG41" s="100">
        <v>7920</v>
      </c>
      <c r="AH41" s="100">
        <v>18</v>
      </c>
      <c r="AI41" s="100">
        <v>11880</v>
      </c>
      <c r="AJ41" s="100">
        <v>12</v>
      </c>
      <c r="AK41" s="100">
        <v>7920</v>
      </c>
      <c r="AL41" s="100">
        <v>15</v>
      </c>
      <c r="AM41" s="100">
        <v>9900</v>
      </c>
      <c r="AN41" s="100">
        <v>18</v>
      </c>
      <c r="AO41" s="100">
        <v>11880</v>
      </c>
      <c r="AP41" s="100">
        <v>11</v>
      </c>
      <c r="AQ41" s="100">
        <v>7260</v>
      </c>
      <c r="AR41" s="100">
        <v>18</v>
      </c>
      <c r="AS41" s="100">
        <v>11880</v>
      </c>
      <c r="AT41" s="100">
        <v>10</v>
      </c>
      <c r="AU41" s="100">
        <v>6600</v>
      </c>
      <c r="AV41" s="100">
        <v>11</v>
      </c>
      <c r="AW41" s="100">
        <v>7260</v>
      </c>
      <c r="AX41" s="100">
        <v>12.993496490504517</v>
      </c>
      <c r="AY41" s="100">
        <v>8575.7076837329823</v>
      </c>
      <c r="AZ41" s="100">
        <v>17</v>
      </c>
      <c r="BA41" s="100">
        <v>11220</v>
      </c>
      <c r="BB41" s="100">
        <v>14</v>
      </c>
      <c r="BC41" s="100">
        <v>9240</v>
      </c>
      <c r="BD41" s="100">
        <v>17</v>
      </c>
      <c r="BE41" s="100">
        <v>11220</v>
      </c>
      <c r="BF41" s="100">
        <v>19</v>
      </c>
      <c r="BG41" s="100">
        <v>12540</v>
      </c>
      <c r="BH41" s="100">
        <v>17</v>
      </c>
      <c r="BI41" s="100">
        <v>11220</v>
      </c>
      <c r="BJ41" s="100">
        <v>21</v>
      </c>
      <c r="BK41" s="100">
        <v>13860</v>
      </c>
      <c r="BL41" s="100">
        <v>10</v>
      </c>
      <c r="BM41" s="100">
        <v>6600</v>
      </c>
      <c r="BN41" s="100">
        <v>10.463194093745527</v>
      </c>
      <c r="BO41" s="100">
        <v>6905.7081018720473</v>
      </c>
      <c r="BP41" s="100">
        <v>13</v>
      </c>
      <c r="BQ41" s="100">
        <v>8580</v>
      </c>
      <c r="BR41" s="100">
        <v>8.7753258144533408</v>
      </c>
      <c r="BS41" s="100">
        <v>5791.7150375392048</v>
      </c>
      <c r="BT41" s="100">
        <v>11.175981184028442</v>
      </c>
      <c r="BU41" s="100">
        <v>7376.147581458772</v>
      </c>
      <c r="BV41" s="100">
        <v>11</v>
      </c>
      <c r="BW41" s="100">
        <v>7260</v>
      </c>
      <c r="BX41" s="100">
        <v>15.128892535274838</v>
      </c>
      <c r="BY41" s="100">
        <v>9985.0690732813928</v>
      </c>
      <c r="BZ41" s="100">
        <v>10.928617304410976</v>
      </c>
      <c r="CA41" s="100">
        <v>7212.8874209112437</v>
      </c>
      <c r="CB41" s="100">
        <v>13.012972863472591</v>
      </c>
      <c r="CC41" s="100">
        <v>8588.5620898919096</v>
      </c>
      <c r="CD41" s="100">
        <v>12.749652589341443</v>
      </c>
      <c r="CE41" s="100">
        <v>8414.7707089653522</v>
      </c>
      <c r="CF41" s="100">
        <v>12.4105204160896</v>
      </c>
      <c r="CG41" s="100">
        <v>8190.9434746191364</v>
      </c>
      <c r="CH41" s="100">
        <v>14.053328492138156</v>
      </c>
      <c r="CI41" s="100">
        <v>9275.196804811183</v>
      </c>
      <c r="CJ41" s="100">
        <v>18.110426549950184</v>
      </c>
      <c r="CK41" s="100">
        <v>11952.881522967122</v>
      </c>
      <c r="CL41" s="100">
        <v>12.655534982244159</v>
      </c>
      <c r="CM41" s="100">
        <v>8352.6530882811458</v>
      </c>
      <c r="CN41" s="100">
        <v>14.914385106084072</v>
      </c>
      <c r="CO41" s="100">
        <v>9843.4941700154886</v>
      </c>
      <c r="CP41" s="100">
        <v>17.655009285492088</v>
      </c>
      <c r="CQ41" s="100">
        <v>11652.306128424778</v>
      </c>
      <c r="CR41" s="100">
        <v>12.212825111895487</v>
      </c>
      <c r="CS41" s="100">
        <v>8060.4645738510217</v>
      </c>
      <c r="CT41" s="100">
        <v>15</v>
      </c>
      <c r="CU41" s="100">
        <v>9900</v>
      </c>
    </row>
    <row r="42" spans="2:99">
      <c r="C42" s="99" t="s">
        <v>208</v>
      </c>
      <c r="D42" s="100">
        <v>12</v>
      </c>
      <c r="E42" s="100">
        <v>10152</v>
      </c>
      <c r="F42" s="100">
        <v>13</v>
      </c>
      <c r="G42" s="100">
        <v>10998</v>
      </c>
      <c r="H42" s="100">
        <v>18</v>
      </c>
      <c r="I42" s="100">
        <v>15228</v>
      </c>
      <c r="J42" s="100">
        <v>9</v>
      </c>
      <c r="K42" s="100">
        <v>7614</v>
      </c>
      <c r="L42" s="100">
        <v>17</v>
      </c>
      <c r="M42" s="100">
        <v>14382</v>
      </c>
      <c r="N42" s="100">
        <v>14</v>
      </c>
      <c r="O42" s="100">
        <v>11844</v>
      </c>
      <c r="P42" s="100">
        <v>14</v>
      </c>
      <c r="Q42" s="100">
        <v>11844</v>
      </c>
      <c r="R42" s="100">
        <v>10</v>
      </c>
      <c r="S42" s="100">
        <v>8460</v>
      </c>
      <c r="T42" s="100">
        <v>14</v>
      </c>
      <c r="U42" s="100">
        <v>11844</v>
      </c>
      <c r="V42" s="100">
        <v>10</v>
      </c>
      <c r="W42" s="100">
        <v>8460</v>
      </c>
      <c r="X42" s="100">
        <v>19</v>
      </c>
      <c r="Y42" s="100">
        <v>16074</v>
      </c>
      <c r="Z42" s="100">
        <v>11</v>
      </c>
      <c r="AA42" s="100">
        <v>9306</v>
      </c>
      <c r="AB42" s="100">
        <v>13</v>
      </c>
      <c r="AC42" s="100">
        <v>10998</v>
      </c>
      <c r="AD42" s="100">
        <v>11</v>
      </c>
      <c r="AE42" s="100">
        <v>9306</v>
      </c>
      <c r="AF42" s="100">
        <v>13</v>
      </c>
      <c r="AG42" s="100">
        <v>10998</v>
      </c>
      <c r="AH42" s="100">
        <v>16</v>
      </c>
      <c r="AI42" s="100">
        <v>13536</v>
      </c>
      <c r="AJ42" s="100">
        <v>11</v>
      </c>
      <c r="AK42" s="100">
        <v>9306</v>
      </c>
      <c r="AL42" s="100">
        <v>15</v>
      </c>
      <c r="AM42" s="100">
        <v>12690</v>
      </c>
      <c r="AN42" s="100">
        <v>18</v>
      </c>
      <c r="AO42" s="100">
        <v>15228</v>
      </c>
      <c r="AP42" s="100">
        <v>11</v>
      </c>
      <c r="AQ42" s="100">
        <v>9306</v>
      </c>
      <c r="AR42" s="100">
        <v>19</v>
      </c>
      <c r="AS42" s="100">
        <v>16074</v>
      </c>
      <c r="AT42" s="100">
        <v>11</v>
      </c>
      <c r="AU42" s="100">
        <v>9306</v>
      </c>
      <c r="AV42" s="100">
        <v>9</v>
      </c>
      <c r="AW42" s="100">
        <v>7614</v>
      </c>
      <c r="AX42" s="100">
        <v>13.859729589871487</v>
      </c>
      <c r="AY42" s="100">
        <v>11725.331233031278</v>
      </c>
      <c r="AZ42" s="100">
        <v>16</v>
      </c>
      <c r="BA42" s="100">
        <v>13536</v>
      </c>
      <c r="BB42" s="100">
        <v>15</v>
      </c>
      <c r="BC42" s="100">
        <v>12690</v>
      </c>
      <c r="BD42" s="100">
        <v>16</v>
      </c>
      <c r="BE42" s="100">
        <v>13536</v>
      </c>
      <c r="BF42" s="100">
        <v>18</v>
      </c>
      <c r="BG42" s="100">
        <v>15228</v>
      </c>
      <c r="BH42" s="100">
        <v>16</v>
      </c>
      <c r="BI42" s="100">
        <v>13536</v>
      </c>
      <c r="BJ42" s="100">
        <v>19</v>
      </c>
      <c r="BK42" s="100">
        <v>16074</v>
      </c>
      <c r="BL42" s="100">
        <v>10</v>
      </c>
      <c r="BM42" s="100">
        <v>8460</v>
      </c>
      <c r="BN42" s="100">
        <v>10.463194093745527</v>
      </c>
      <c r="BO42" s="100">
        <v>8851.8622033087158</v>
      </c>
      <c r="BP42" s="100">
        <v>14</v>
      </c>
      <c r="BQ42" s="100">
        <v>11844</v>
      </c>
      <c r="BR42" s="100">
        <v>7.8977932330080076</v>
      </c>
      <c r="BS42" s="100">
        <v>6681.5330751247748</v>
      </c>
      <c r="BT42" s="100">
        <v>12.035672044338321</v>
      </c>
      <c r="BU42" s="100">
        <v>10182.178549510219</v>
      </c>
      <c r="BV42" s="100">
        <v>12</v>
      </c>
      <c r="BW42" s="100">
        <v>10152</v>
      </c>
      <c r="BX42" s="100">
        <v>14.23895768025867</v>
      </c>
      <c r="BY42" s="100">
        <v>12046.158197498835</v>
      </c>
      <c r="BZ42" s="100">
        <v>9.9351066403736148</v>
      </c>
      <c r="CA42" s="100">
        <v>8405.1002177560786</v>
      </c>
      <c r="CB42" s="100">
        <v>14.871968986825816</v>
      </c>
      <c r="CC42" s="100">
        <v>12581.68576285464</v>
      </c>
      <c r="CD42" s="100">
        <v>12.749652589341443</v>
      </c>
      <c r="CE42" s="100">
        <v>10786.20609058286</v>
      </c>
      <c r="CF42" s="100">
        <v>11.524054672083199</v>
      </c>
      <c r="CG42" s="100">
        <v>9749.350252582386</v>
      </c>
      <c r="CH42" s="100">
        <v>14.053328492138156</v>
      </c>
      <c r="CI42" s="100">
        <v>11889.115904348881</v>
      </c>
      <c r="CJ42" s="100">
        <v>17.204905222452673</v>
      </c>
      <c r="CK42" s="100">
        <v>14555.349818194962</v>
      </c>
      <c r="CL42" s="100">
        <v>11.751568197798147</v>
      </c>
      <c r="CM42" s="100">
        <v>9941.8266953372313</v>
      </c>
      <c r="CN42" s="100">
        <v>14.914385106084072</v>
      </c>
      <c r="CO42" s="100">
        <v>12617.569799747125</v>
      </c>
      <c r="CP42" s="100">
        <v>15.006757892668276</v>
      </c>
      <c r="CQ42" s="100">
        <v>12695.717177197361</v>
      </c>
      <c r="CR42" s="100">
        <v>15.031169368486754</v>
      </c>
      <c r="CS42" s="100">
        <v>12716.369285739795</v>
      </c>
      <c r="CT42" s="100">
        <v>15</v>
      </c>
      <c r="CU42" s="100">
        <v>12690</v>
      </c>
    </row>
    <row r="43" spans="2:99">
      <c r="C43" s="99" t="s">
        <v>209</v>
      </c>
      <c r="D43" s="100">
        <v>10</v>
      </c>
      <c r="E43" s="100">
        <v>10224</v>
      </c>
      <c r="F43" s="100">
        <v>10</v>
      </c>
      <c r="G43" s="100">
        <v>10224</v>
      </c>
      <c r="H43" s="100">
        <v>19</v>
      </c>
      <c r="I43" s="100">
        <v>19425.599999999999</v>
      </c>
      <c r="J43" s="100">
        <v>9</v>
      </c>
      <c r="K43" s="100">
        <v>9201.6</v>
      </c>
      <c r="L43" s="100">
        <v>15</v>
      </c>
      <c r="M43" s="100">
        <v>15336</v>
      </c>
      <c r="N43" s="100">
        <v>14</v>
      </c>
      <c r="O43" s="100">
        <v>14313.6</v>
      </c>
      <c r="P43" s="100">
        <v>13</v>
      </c>
      <c r="Q43" s="100">
        <v>13291.199999999999</v>
      </c>
      <c r="R43" s="100">
        <v>9</v>
      </c>
      <c r="S43" s="100">
        <v>9201.6</v>
      </c>
      <c r="T43" s="100">
        <v>13</v>
      </c>
      <c r="U43" s="100">
        <v>13291.199999999999</v>
      </c>
      <c r="V43" s="100">
        <v>9</v>
      </c>
      <c r="W43" s="100">
        <v>9201.6</v>
      </c>
      <c r="X43" s="100">
        <v>16</v>
      </c>
      <c r="Y43" s="100">
        <v>16358.4</v>
      </c>
      <c r="Z43" s="100">
        <v>11</v>
      </c>
      <c r="AA43" s="100">
        <v>11246.4</v>
      </c>
      <c r="AB43" s="100">
        <v>15</v>
      </c>
      <c r="AC43" s="100">
        <v>15336</v>
      </c>
      <c r="AD43" s="100">
        <v>10</v>
      </c>
      <c r="AE43" s="100">
        <v>10224</v>
      </c>
      <c r="AF43" s="100">
        <v>12</v>
      </c>
      <c r="AG43" s="100">
        <v>12268.8</v>
      </c>
      <c r="AH43" s="100">
        <v>15</v>
      </c>
      <c r="AI43" s="100">
        <v>15336</v>
      </c>
      <c r="AJ43" s="100">
        <v>10</v>
      </c>
      <c r="AK43" s="100">
        <v>10224</v>
      </c>
      <c r="AL43" s="100">
        <v>14</v>
      </c>
      <c r="AM43" s="100">
        <v>14313.6</v>
      </c>
      <c r="AN43" s="100">
        <v>18</v>
      </c>
      <c r="AO43" s="100">
        <v>18403.2</v>
      </c>
      <c r="AP43" s="100">
        <v>11</v>
      </c>
      <c r="AQ43" s="100">
        <v>11246.4</v>
      </c>
      <c r="AR43" s="100">
        <v>19</v>
      </c>
      <c r="AS43" s="100">
        <v>19425.599999999999</v>
      </c>
      <c r="AT43" s="100">
        <v>11</v>
      </c>
      <c r="AU43" s="100">
        <v>11246.4</v>
      </c>
      <c r="AV43" s="100">
        <v>9</v>
      </c>
      <c r="AW43" s="100">
        <v>9201.6</v>
      </c>
      <c r="AX43" s="100">
        <v>12.993496490504517</v>
      </c>
      <c r="AY43" s="100">
        <v>13284.550811891819</v>
      </c>
      <c r="AZ43" s="100">
        <v>16</v>
      </c>
      <c r="BA43" s="100">
        <v>16358.4</v>
      </c>
      <c r="BB43" s="100">
        <v>15</v>
      </c>
      <c r="BC43" s="100">
        <v>15336</v>
      </c>
      <c r="BD43" s="100">
        <v>18</v>
      </c>
      <c r="BE43" s="100">
        <v>18403.2</v>
      </c>
      <c r="BF43" s="100">
        <v>19</v>
      </c>
      <c r="BG43" s="100">
        <v>19425.599999999999</v>
      </c>
      <c r="BH43" s="100">
        <v>16</v>
      </c>
      <c r="BI43" s="100">
        <v>16358.4</v>
      </c>
      <c r="BJ43" s="100">
        <v>20</v>
      </c>
      <c r="BK43" s="100">
        <v>20448</v>
      </c>
      <c r="BL43" s="100">
        <v>10</v>
      </c>
      <c r="BM43" s="100">
        <v>10224</v>
      </c>
      <c r="BN43" s="100">
        <v>10.463194093745527</v>
      </c>
      <c r="BO43" s="100">
        <v>10697.569641445427</v>
      </c>
      <c r="BP43" s="100">
        <v>13</v>
      </c>
      <c r="BQ43" s="100">
        <v>13291.199999999999</v>
      </c>
      <c r="BR43" s="100">
        <v>8.7753258144533408</v>
      </c>
      <c r="BS43" s="100">
        <v>8971.8931126970947</v>
      </c>
      <c r="BT43" s="100">
        <v>11.175981184028442</v>
      </c>
      <c r="BU43" s="100">
        <v>11426.32316255068</v>
      </c>
      <c r="BV43" s="100">
        <v>11</v>
      </c>
      <c r="BW43" s="100">
        <v>11246.4</v>
      </c>
      <c r="BX43" s="100">
        <v>14.23895768025867</v>
      </c>
      <c r="BY43" s="100">
        <v>14557.910332296464</v>
      </c>
      <c r="BZ43" s="100">
        <v>9.9351066403736148</v>
      </c>
      <c r="CA43" s="100">
        <v>10157.653029117984</v>
      </c>
      <c r="CB43" s="100">
        <v>13.942470925149204</v>
      </c>
      <c r="CC43" s="100">
        <v>14254.782273872546</v>
      </c>
      <c r="CD43" s="100">
        <v>11.899675750052014</v>
      </c>
      <c r="CE43" s="100">
        <v>12166.228486853179</v>
      </c>
      <c r="CF43" s="100">
        <v>11.524054672083199</v>
      </c>
      <c r="CG43" s="100">
        <v>11782.193496737862</v>
      </c>
      <c r="CH43" s="100">
        <v>12.296662430620888</v>
      </c>
      <c r="CI43" s="100">
        <v>12572.107669066796</v>
      </c>
      <c r="CJ43" s="100">
        <v>18.110426549950184</v>
      </c>
      <c r="CK43" s="100">
        <v>18516.100104669069</v>
      </c>
      <c r="CL43" s="100">
        <v>11.751568197798147</v>
      </c>
      <c r="CM43" s="100">
        <v>12014.803325428824</v>
      </c>
      <c r="CN43" s="100">
        <v>14.08580815574607</v>
      </c>
      <c r="CO43" s="100">
        <v>14401.330258434782</v>
      </c>
      <c r="CP43" s="100">
        <v>15.006757892668276</v>
      </c>
      <c r="CQ43" s="100">
        <v>15342.909269464044</v>
      </c>
      <c r="CR43" s="100">
        <v>13.15227319742591</v>
      </c>
      <c r="CS43" s="100">
        <v>13446.88411704825</v>
      </c>
      <c r="CT43" s="100">
        <v>13</v>
      </c>
      <c r="CU43" s="100">
        <v>13291.199999999999</v>
      </c>
    </row>
    <row r="44" spans="2:99">
      <c r="C44" s="99" t="s">
        <v>210</v>
      </c>
      <c r="D44" s="100">
        <v>10</v>
      </c>
      <c r="E44" s="100">
        <v>10224</v>
      </c>
      <c r="F44" s="100">
        <v>11</v>
      </c>
      <c r="G44" s="100">
        <v>11246.4</v>
      </c>
      <c r="H44" s="100">
        <v>17</v>
      </c>
      <c r="I44" s="100">
        <v>17380.8</v>
      </c>
      <c r="J44" s="100">
        <v>10</v>
      </c>
      <c r="K44" s="100">
        <v>10224</v>
      </c>
      <c r="L44" s="100">
        <v>16</v>
      </c>
      <c r="M44" s="100">
        <v>16358.4</v>
      </c>
      <c r="N44" s="100">
        <v>15</v>
      </c>
      <c r="O44" s="100">
        <v>15336</v>
      </c>
      <c r="P44" s="100">
        <v>13</v>
      </c>
      <c r="Q44" s="100">
        <v>13291.199999999999</v>
      </c>
      <c r="R44" s="100">
        <v>9</v>
      </c>
      <c r="S44" s="100">
        <v>9201.6</v>
      </c>
      <c r="T44" s="100">
        <v>13</v>
      </c>
      <c r="U44" s="100">
        <v>13291.199999999999</v>
      </c>
      <c r="V44" s="100">
        <v>9</v>
      </c>
      <c r="W44" s="100">
        <v>9201.6</v>
      </c>
      <c r="X44" s="100">
        <v>17</v>
      </c>
      <c r="Y44" s="100">
        <v>17380.8</v>
      </c>
      <c r="Z44" s="100">
        <v>10</v>
      </c>
      <c r="AA44" s="100">
        <v>10224</v>
      </c>
      <c r="AB44" s="100">
        <v>15</v>
      </c>
      <c r="AC44" s="100">
        <v>15336</v>
      </c>
      <c r="AD44" s="100">
        <v>12</v>
      </c>
      <c r="AE44" s="100">
        <v>12268.8</v>
      </c>
      <c r="AF44" s="100">
        <v>12</v>
      </c>
      <c r="AG44" s="100">
        <v>12268.8</v>
      </c>
      <c r="AH44" s="100">
        <v>15</v>
      </c>
      <c r="AI44" s="100">
        <v>15336</v>
      </c>
      <c r="AJ44" s="100">
        <v>10</v>
      </c>
      <c r="AK44" s="100">
        <v>10224</v>
      </c>
      <c r="AL44" s="100">
        <v>14</v>
      </c>
      <c r="AM44" s="100">
        <v>14313.6</v>
      </c>
      <c r="AN44" s="100">
        <v>17</v>
      </c>
      <c r="AO44" s="100">
        <v>17380.8</v>
      </c>
      <c r="AP44" s="100">
        <v>12</v>
      </c>
      <c r="AQ44" s="100">
        <v>12268.8</v>
      </c>
      <c r="AR44" s="100">
        <v>18</v>
      </c>
      <c r="AS44" s="100">
        <v>18403.2</v>
      </c>
      <c r="AT44" s="100">
        <v>10</v>
      </c>
      <c r="AU44" s="100">
        <v>10224</v>
      </c>
      <c r="AV44" s="100">
        <v>10</v>
      </c>
      <c r="AW44" s="100">
        <v>10224</v>
      </c>
      <c r="AX44" s="100">
        <v>12.993496490504517</v>
      </c>
      <c r="AY44" s="100">
        <v>13284.550811891819</v>
      </c>
      <c r="AZ44" s="100">
        <v>16</v>
      </c>
      <c r="BA44" s="100">
        <v>16358.4</v>
      </c>
      <c r="BB44" s="100">
        <v>15</v>
      </c>
      <c r="BC44" s="100">
        <v>15336</v>
      </c>
      <c r="BD44" s="100">
        <v>17</v>
      </c>
      <c r="BE44" s="100">
        <v>17380.8</v>
      </c>
      <c r="BF44" s="100">
        <v>19</v>
      </c>
      <c r="BG44" s="100">
        <v>19425.599999999999</v>
      </c>
      <c r="BH44" s="100">
        <v>15</v>
      </c>
      <c r="BI44" s="100">
        <v>15336</v>
      </c>
      <c r="BJ44" s="100">
        <v>18</v>
      </c>
      <c r="BK44" s="100">
        <v>18403.2</v>
      </c>
      <c r="BL44" s="100">
        <v>9</v>
      </c>
      <c r="BM44" s="100">
        <v>9201.6</v>
      </c>
      <c r="BN44" s="100">
        <v>9.5119946306777514</v>
      </c>
      <c r="BO44" s="100">
        <v>9725.0633104049321</v>
      </c>
      <c r="BP44" s="100">
        <v>12</v>
      </c>
      <c r="BQ44" s="100">
        <v>12268.8</v>
      </c>
      <c r="BR44" s="100">
        <v>8.7753258144533408</v>
      </c>
      <c r="BS44" s="100">
        <v>8971.8931126970947</v>
      </c>
      <c r="BT44" s="100">
        <v>12.035672044338321</v>
      </c>
      <c r="BU44" s="100">
        <v>12305.271098131499</v>
      </c>
      <c r="BV44" s="100">
        <v>10</v>
      </c>
      <c r="BW44" s="100">
        <v>10224</v>
      </c>
      <c r="BX44" s="100">
        <v>14.23895768025867</v>
      </c>
      <c r="BY44" s="100">
        <v>14557.910332296464</v>
      </c>
      <c r="BZ44" s="100">
        <v>10.928617304410976</v>
      </c>
      <c r="CA44" s="100">
        <v>11173.418332029782</v>
      </c>
      <c r="CB44" s="100">
        <v>13.942470925149204</v>
      </c>
      <c r="CC44" s="100">
        <v>14254.782273872546</v>
      </c>
      <c r="CD44" s="100">
        <v>11.899675750052014</v>
      </c>
      <c r="CE44" s="100">
        <v>12166.228486853179</v>
      </c>
      <c r="CF44" s="100">
        <v>11.524054672083199</v>
      </c>
      <c r="CG44" s="100">
        <v>11782.193496737862</v>
      </c>
      <c r="CH44" s="100">
        <v>12.296662430620888</v>
      </c>
      <c r="CI44" s="100">
        <v>12572.107669066796</v>
      </c>
      <c r="CJ44" s="100">
        <v>17.204905222452673</v>
      </c>
      <c r="CK44" s="100">
        <v>17590.295099435614</v>
      </c>
      <c r="CL44" s="100">
        <v>11.751568197798147</v>
      </c>
      <c r="CM44" s="100">
        <v>12014.803325428824</v>
      </c>
      <c r="CN44" s="100">
        <v>14.08580815574607</v>
      </c>
      <c r="CO44" s="100">
        <v>14401.330258434782</v>
      </c>
      <c r="CP44" s="100">
        <v>14.124007428393671</v>
      </c>
      <c r="CQ44" s="100">
        <v>14440.385194789689</v>
      </c>
      <c r="CR44" s="100">
        <v>13.15227319742591</v>
      </c>
      <c r="CS44" s="100">
        <v>13446.88411704825</v>
      </c>
      <c r="CT44" s="100">
        <v>14</v>
      </c>
      <c r="CU44" s="100">
        <v>14313.6</v>
      </c>
    </row>
    <row r="45" spans="2:99">
      <c r="C45" s="99" t="s">
        <v>211</v>
      </c>
      <c r="D45" s="100">
        <v>11</v>
      </c>
      <c r="E45" s="100">
        <v>13741.2</v>
      </c>
      <c r="F45" s="100">
        <v>12</v>
      </c>
      <c r="G45" s="100">
        <v>14990.400000000001</v>
      </c>
      <c r="H45" s="100">
        <v>18</v>
      </c>
      <c r="I45" s="100">
        <v>22485.600000000002</v>
      </c>
      <c r="J45" s="100">
        <v>9</v>
      </c>
      <c r="K45" s="100">
        <v>11242.800000000001</v>
      </c>
      <c r="L45" s="100">
        <v>17</v>
      </c>
      <c r="M45" s="100">
        <v>21236.400000000001</v>
      </c>
      <c r="N45" s="100">
        <v>16</v>
      </c>
      <c r="O45" s="100">
        <v>19987.2</v>
      </c>
      <c r="P45" s="100">
        <v>12</v>
      </c>
      <c r="Q45" s="100">
        <v>14990.400000000001</v>
      </c>
      <c r="R45" s="100">
        <v>9</v>
      </c>
      <c r="S45" s="100">
        <v>11242.800000000001</v>
      </c>
      <c r="T45" s="100">
        <v>14</v>
      </c>
      <c r="U45" s="100">
        <v>17488.8</v>
      </c>
      <c r="V45" s="100">
        <v>10</v>
      </c>
      <c r="W45" s="100">
        <v>12492</v>
      </c>
      <c r="X45" s="100">
        <v>18</v>
      </c>
      <c r="Y45" s="100">
        <v>22485.600000000002</v>
      </c>
      <c r="Z45" s="100">
        <v>9</v>
      </c>
      <c r="AA45" s="100">
        <v>11242.800000000001</v>
      </c>
      <c r="AB45" s="100">
        <v>12</v>
      </c>
      <c r="AC45" s="100">
        <v>14990.400000000001</v>
      </c>
      <c r="AD45" s="100">
        <v>11</v>
      </c>
      <c r="AE45" s="100">
        <v>13741.2</v>
      </c>
      <c r="AF45" s="100">
        <v>12</v>
      </c>
      <c r="AG45" s="100">
        <v>14990.400000000001</v>
      </c>
      <c r="AH45" s="100">
        <v>16</v>
      </c>
      <c r="AI45" s="100">
        <v>19987.2</v>
      </c>
      <c r="AJ45" s="100">
        <v>12</v>
      </c>
      <c r="AK45" s="100">
        <v>14990.400000000001</v>
      </c>
      <c r="AL45" s="100">
        <v>12</v>
      </c>
      <c r="AM45" s="100">
        <v>14990.400000000001</v>
      </c>
      <c r="AN45" s="100">
        <v>19</v>
      </c>
      <c r="AO45" s="100">
        <v>23734.799999999999</v>
      </c>
      <c r="AP45" s="100">
        <v>12</v>
      </c>
      <c r="AQ45" s="100">
        <v>14990.400000000001</v>
      </c>
      <c r="AR45" s="100">
        <v>17</v>
      </c>
      <c r="AS45" s="100">
        <v>21236.400000000001</v>
      </c>
      <c r="AT45" s="100">
        <v>10</v>
      </c>
      <c r="AU45" s="100">
        <v>12492</v>
      </c>
      <c r="AV45" s="100">
        <v>9</v>
      </c>
      <c r="AW45" s="100">
        <v>11242.800000000001</v>
      </c>
      <c r="AX45" s="100">
        <v>12.993496490504517</v>
      </c>
      <c r="AY45" s="100">
        <v>16231.475815938244</v>
      </c>
      <c r="AZ45" s="100">
        <v>15</v>
      </c>
      <c r="BA45" s="100">
        <v>18738</v>
      </c>
      <c r="BB45" s="100">
        <v>13</v>
      </c>
      <c r="BC45" s="100">
        <v>16239.6</v>
      </c>
      <c r="BD45" s="100">
        <v>15</v>
      </c>
      <c r="BE45" s="100">
        <v>18738</v>
      </c>
      <c r="BF45" s="100">
        <v>18</v>
      </c>
      <c r="BG45" s="100">
        <v>22485.600000000002</v>
      </c>
      <c r="BH45" s="100">
        <v>14</v>
      </c>
      <c r="BI45" s="100">
        <v>17488.8</v>
      </c>
      <c r="BJ45" s="100">
        <v>18</v>
      </c>
      <c r="BK45" s="100">
        <v>22485.600000000002</v>
      </c>
      <c r="BL45" s="100">
        <v>10</v>
      </c>
      <c r="BM45" s="100">
        <v>12492</v>
      </c>
      <c r="BN45" s="100">
        <v>10.463194093745527</v>
      </c>
      <c r="BO45" s="100">
        <v>13070.622061906912</v>
      </c>
      <c r="BP45" s="100">
        <v>12</v>
      </c>
      <c r="BQ45" s="100">
        <v>14990.400000000001</v>
      </c>
      <c r="BR45" s="100">
        <v>8.7753258144533408</v>
      </c>
      <c r="BS45" s="100">
        <v>10962.137007415115</v>
      </c>
      <c r="BT45" s="100">
        <v>11.175981184028442</v>
      </c>
      <c r="BU45" s="100">
        <v>13961.035695088331</v>
      </c>
      <c r="BV45" s="100">
        <v>12</v>
      </c>
      <c r="BW45" s="100">
        <v>14990.400000000001</v>
      </c>
      <c r="BX45" s="100">
        <v>12.459087970226337</v>
      </c>
      <c r="BY45" s="100">
        <v>15563.89269240674</v>
      </c>
      <c r="BZ45" s="100">
        <v>9.9351066403736148</v>
      </c>
      <c r="CA45" s="100">
        <v>12410.935215154721</v>
      </c>
      <c r="CB45" s="100">
        <v>12.083474801795976</v>
      </c>
      <c r="CC45" s="100">
        <v>15094.676722403534</v>
      </c>
      <c r="CD45" s="100">
        <v>12.749652589341443</v>
      </c>
      <c r="CE45" s="100">
        <v>15926.86601460533</v>
      </c>
      <c r="CF45" s="100">
        <v>11.524054672083199</v>
      </c>
      <c r="CG45" s="100">
        <v>14395.849096366333</v>
      </c>
      <c r="CH45" s="100">
        <v>11.418329399862253</v>
      </c>
      <c r="CI45" s="100">
        <v>14263.777086307928</v>
      </c>
      <c r="CJ45" s="100">
        <v>15.393862567457655</v>
      </c>
      <c r="CK45" s="100">
        <v>19230.013119268104</v>
      </c>
      <c r="CL45" s="100">
        <v>11.751568197798147</v>
      </c>
      <c r="CM45" s="100">
        <v>14680.058992689444</v>
      </c>
      <c r="CN45" s="100">
        <v>16.57153900676008</v>
      </c>
      <c r="CO45" s="100">
        <v>20701.166527244692</v>
      </c>
      <c r="CP45" s="100">
        <v>15.889508356942882</v>
      </c>
      <c r="CQ45" s="100">
        <v>19849.173839493047</v>
      </c>
      <c r="CR45" s="100">
        <v>13.15227319742591</v>
      </c>
      <c r="CS45" s="100">
        <v>16429.819678224445</v>
      </c>
      <c r="CT45" s="100">
        <v>13</v>
      </c>
      <c r="CU45" s="100">
        <v>16239.6</v>
      </c>
    </row>
    <row r="46" spans="2:99">
      <c r="C46" s="99" t="s">
        <v>212</v>
      </c>
      <c r="D46" s="100">
        <v>11</v>
      </c>
      <c r="E46" s="100">
        <v>13332</v>
      </c>
      <c r="F46" s="100">
        <v>11</v>
      </c>
      <c r="G46" s="100">
        <v>13332</v>
      </c>
      <c r="H46" s="100">
        <v>18</v>
      </c>
      <c r="I46" s="100">
        <v>21816</v>
      </c>
      <c r="J46" s="100">
        <v>9</v>
      </c>
      <c r="K46" s="100">
        <v>10908</v>
      </c>
      <c r="L46" s="100">
        <v>18</v>
      </c>
      <c r="M46" s="100">
        <v>21816</v>
      </c>
      <c r="N46" s="100">
        <v>14</v>
      </c>
      <c r="O46" s="100">
        <v>16968</v>
      </c>
      <c r="P46" s="100">
        <v>14</v>
      </c>
      <c r="Q46" s="100">
        <v>16968</v>
      </c>
      <c r="R46" s="100">
        <v>9</v>
      </c>
      <c r="S46" s="100">
        <v>10908</v>
      </c>
      <c r="T46" s="100">
        <v>14</v>
      </c>
      <c r="U46" s="100">
        <v>16968</v>
      </c>
      <c r="V46" s="100">
        <v>11</v>
      </c>
      <c r="W46" s="100">
        <v>13332</v>
      </c>
      <c r="X46" s="100">
        <v>17</v>
      </c>
      <c r="Y46" s="100">
        <v>20604</v>
      </c>
      <c r="Z46" s="100">
        <v>9</v>
      </c>
      <c r="AA46" s="100">
        <v>10908</v>
      </c>
      <c r="AB46" s="100">
        <v>15</v>
      </c>
      <c r="AC46" s="100">
        <v>18180</v>
      </c>
      <c r="AD46" s="100">
        <v>10</v>
      </c>
      <c r="AE46" s="100">
        <v>12120</v>
      </c>
      <c r="AF46" s="100">
        <v>11</v>
      </c>
      <c r="AG46" s="100">
        <v>13332</v>
      </c>
      <c r="AH46" s="100">
        <v>16</v>
      </c>
      <c r="AI46" s="100">
        <v>19392</v>
      </c>
      <c r="AJ46" s="100">
        <v>12</v>
      </c>
      <c r="AK46" s="100">
        <v>14544</v>
      </c>
      <c r="AL46" s="100">
        <v>13</v>
      </c>
      <c r="AM46" s="100">
        <v>15756</v>
      </c>
      <c r="AN46" s="100">
        <v>19</v>
      </c>
      <c r="AO46" s="100">
        <v>23028</v>
      </c>
      <c r="AP46" s="100">
        <v>13</v>
      </c>
      <c r="AQ46" s="100">
        <v>15756</v>
      </c>
      <c r="AR46" s="100">
        <v>19</v>
      </c>
      <c r="AS46" s="100">
        <v>23028</v>
      </c>
      <c r="AT46" s="100">
        <v>10</v>
      </c>
      <c r="AU46" s="100">
        <v>12120</v>
      </c>
      <c r="AV46" s="100">
        <v>9</v>
      </c>
      <c r="AW46" s="100">
        <v>10908</v>
      </c>
      <c r="AX46" s="100">
        <v>12.993496490504517</v>
      </c>
      <c r="AY46" s="100">
        <v>15748.117746491474</v>
      </c>
      <c r="AZ46" s="100">
        <v>17</v>
      </c>
      <c r="BA46" s="100">
        <v>20604</v>
      </c>
      <c r="BB46" s="100">
        <v>14</v>
      </c>
      <c r="BC46" s="100">
        <v>16968</v>
      </c>
      <c r="BD46" s="100">
        <v>16</v>
      </c>
      <c r="BE46" s="100">
        <v>19392</v>
      </c>
      <c r="BF46" s="100">
        <v>17</v>
      </c>
      <c r="BG46" s="100">
        <v>20604</v>
      </c>
      <c r="BH46" s="100">
        <v>15</v>
      </c>
      <c r="BI46" s="100">
        <v>18180</v>
      </c>
      <c r="BJ46" s="100">
        <v>20</v>
      </c>
      <c r="BK46" s="100">
        <v>24240</v>
      </c>
      <c r="BL46" s="100">
        <v>10</v>
      </c>
      <c r="BM46" s="100">
        <v>12120</v>
      </c>
      <c r="BN46" s="100">
        <v>11.414393556813302</v>
      </c>
      <c r="BO46" s="100">
        <v>13834.244990857722</v>
      </c>
      <c r="BP46" s="100">
        <v>13</v>
      </c>
      <c r="BQ46" s="100">
        <v>15756</v>
      </c>
      <c r="BR46" s="100">
        <v>9.6528583958986758</v>
      </c>
      <c r="BS46" s="100">
        <v>11699.264375829194</v>
      </c>
      <c r="BT46" s="100">
        <v>10.316290323718562</v>
      </c>
      <c r="BU46" s="100">
        <v>12503.343872346897</v>
      </c>
      <c r="BV46" s="100">
        <v>12</v>
      </c>
      <c r="BW46" s="100">
        <v>14544</v>
      </c>
      <c r="BX46" s="100">
        <v>15.128892535274838</v>
      </c>
      <c r="BY46" s="100">
        <v>18336.217752753106</v>
      </c>
      <c r="BZ46" s="100">
        <v>10.928617304410976</v>
      </c>
      <c r="CA46" s="100">
        <v>13245.484172946102</v>
      </c>
      <c r="CB46" s="100">
        <v>13.012972863472591</v>
      </c>
      <c r="CC46" s="100">
        <v>15771.723110528779</v>
      </c>
      <c r="CD46" s="100">
        <v>11.049698910762583</v>
      </c>
      <c r="CE46" s="100">
        <v>13392.235079844251</v>
      </c>
      <c r="CF46" s="100">
        <v>11.524054672083199</v>
      </c>
      <c r="CG46" s="100">
        <v>13967.154262564838</v>
      </c>
      <c r="CH46" s="100">
        <v>12.296662430620888</v>
      </c>
      <c r="CI46" s="100">
        <v>14903.554865912516</v>
      </c>
      <c r="CJ46" s="100">
        <v>15.393862567457655</v>
      </c>
      <c r="CK46" s="100">
        <v>18657.361431758676</v>
      </c>
      <c r="CL46" s="100">
        <v>13.55950176669017</v>
      </c>
      <c r="CM46" s="100">
        <v>16434.116141228486</v>
      </c>
      <c r="CN46" s="100">
        <v>14.08580815574607</v>
      </c>
      <c r="CO46" s="100">
        <v>17071.999484764237</v>
      </c>
      <c r="CP46" s="100">
        <v>14.124007428393671</v>
      </c>
      <c r="CQ46" s="100">
        <v>17118.297003213131</v>
      </c>
      <c r="CR46" s="100">
        <v>13.15227319742591</v>
      </c>
      <c r="CS46" s="100">
        <v>15940.555115280202</v>
      </c>
      <c r="CT46" s="100">
        <v>13</v>
      </c>
      <c r="CU46" s="100">
        <v>15756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11</v>
      </c>
      <c r="G47" s="100">
        <v>16803.599999999999</v>
      </c>
      <c r="H47" s="100">
        <v>17</v>
      </c>
      <c r="I47" s="100">
        <v>25969.199999999997</v>
      </c>
      <c r="J47" s="100">
        <v>9</v>
      </c>
      <c r="K47" s="100">
        <v>13748.4</v>
      </c>
      <c r="L47" s="100">
        <v>15</v>
      </c>
      <c r="M47" s="100">
        <v>22914</v>
      </c>
      <c r="N47" s="100">
        <v>16</v>
      </c>
      <c r="O47" s="100">
        <v>24441.599999999999</v>
      </c>
      <c r="P47" s="100">
        <v>13</v>
      </c>
      <c r="Q47" s="100">
        <v>19858.8</v>
      </c>
      <c r="R47" s="100">
        <v>9</v>
      </c>
      <c r="S47" s="100">
        <v>13748.4</v>
      </c>
      <c r="T47" s="100">
        <v>13</v>
      </c>
      <c r="U47" s="100">
        <v>19858.8</v>
      </c>
      <c r="V47" s="100">
        <v>10</v>
      </c>
      <c r="W47" s="100">
        <v>15276</v>
      </c>
      <c r="X47" s="100">
        <v>17</v>
      </c>
      <c r="Y47" s="100">
        <v>25969.199999999997</v>
      </c>
      <c r="Z47" s="100">
        <v>10</v>
      </c>
      <c r="AA47" s="100">
        <v>15276</v>
      </c>
      <c r="AB47" s="100">
        <v>14</v>
      </c>
      <c r="AC47" s="100">
        <v>21386.399999999998</v>
      </c>
      <c r="AD47" s="100">
        <v>9</v>
      </c>
      <c r="AE47" s="100">
        <v>13748.4</v>
      </c>
      <c r="AF47" s="100">
        <v>11</v>
      </c>
      <c r="AG47" s="100">
        <v>16803.599999999999</v>
      </c>
      <c r="AH47" s="100">
        <v>15</v>
      </c>
      <c r="AI47" s="100">
        <v>22914</v>
      </c>
      <c r="AJ47" s="100">
        <v>11</v>
      </c>
      <c r="AK47" s="100">
        <v>16803.599999999999</v>
      </c>
      <c r="AL47" s="100">
        <v>13</v>
      </c>
      <c r="AM47" s="100">
        <v>19858.8</v>
      </c>
      <c r="AN47" s="100">
        <v>18</v>
      </c>
      <c r="AO47" s="100">
        <v>27496.799999999999</v>
      </c>
      <c r="AP47" s="100">
        <v>10</v>
      </c>
      <c r="AQ47" s="100">
        <v>15276</v>
      </c>
      <c r="AR47" s="100">
        <v>15</v>
      </c>
      <c r="AS47" s="100">
        <v>22914</v>
      </c>
      <c r="AT47" s="100">
        <v>9</v>
      </c>
      <c r="AU47" s="100">
        <v>13748.4</v>
      </c>
      <c r="AV47" s="100">
        <v>9</v>
      </c>
      <c r="AW47" s="100">
        <v>13748.4</v>
      </c>
      <c r="AX47" s="100">
        <v>12.993496490504517</v>
      </c>
      <c r="AY47" s="100">
        <v>19848.865238894701</v>
      </c>
      <c r="AZ47" s="100">
        <v>16</v>
      </c>
      <c r="BA47" s="100">
        <v>24441.599999999999</v>
      </c>
      <c r="BB47" s="100">
        <v>13</v>
      </c>
      <c r="BC47" s="100">
        <v>19858.8</v>
      </c>
      <c r="BD47" s="100">
        <v>14</v>
      </c>
      <c r="BE47" s="100">
        <v>21386.399999999998</v>
      </c>
      <c r="BF47" s="100">
        <v>18</v>
      </c>
      <c r="BG47" s="100">
        <v>27496.799999999999</v>
      </c>
      <c r="BH47" s="100">
        <v>13</v>
      </c>
      <c r="BI47" s="100">
        <v>19858.8</v>
      </c>
      <c r="BJ47" s="100">
        <v>17</v>
      </c>
      <c r="BK47" s="100">
        <v>25969.199999999997</v>
      </c>
      <c r="BL47" s="100">
        <v>9</v>
      </c>
      <c r="BM47" s="100">
        <v>13748.4</v>
      </c>
      <c r="BN47" s="100">
        <v>9.5119946306777514</v>
      </c>
      <c r="BO47" s="100">
        <v>14530.522997823333</v>
      </c>
      <c r="BP47" s="100">
        <v>13</v>
      </c>
      <c r="BQ47" s="100">
        <v>19858.8</v>
      </c>
      <c r="BR47" s="100">
        <v>7.8977932330080076</v>
      </c>
      <c r="BS47" s="100">
        <v>12064.668942743032</v>
      </c>
      <c r="BT47" s="100">
        <v>10.316290323718562</v>
      </c>
      <c r="BU47" s="100">
        <v>15759.165098512474</v>
      </c>
      <c r="BV47" s="100">
        <v>12</v>
      </c>
      <c r="BW47" s="100">
        <v>18331.199999999997</v>
      </c>
      <c r="BX47" s="100">
        <v>14.23895768025867</v>
      </c>
      <c r="BY47" s="100">
        <v>21751.431752363143</v>
      </c>
      <c r="BZ47" s="100">
        <v>8.9415959763362522</v>
      </c>
      <c r="CA47" s="100">
        <v>13659.182013451258</v>
      </c>
      <c r="CB47" s="100">
        <v>13.012972863472591</v>
      </c>
      <c r="CC47" s="100">
        <v>19878.617346240728</v>
      </c>
      <c r="CD47" s="100">
        <v>11.049698910762583</v>
      </c>
      <c r="CE47" s="100">
        <v>16879.520056080921</v>
      </c>
      <c r="CF47" s="100">
        <v>9.7511231840703996</v>
      </c>
      <c r="CG47" s="100">
        <v>14895.815775985942</v>
      </c>
      <c r="CH47" s="100">
        <v>12.296662430620888</v>
      </c>
      <c r="CI47" s="100">
        <v>18784.381529016468</v>
      </c>
      <c r="CJ47" s="100">
        <v>15.393862567457655</v>
      </c>
      <c r="CK47" s="100">
        <v>23515.664458048312</v>
      </c>
      <c r="CL47" s="100">
        <v>11.751568197798147</v>
      </c>
      <c r="CM47" s="100">
        <v>17951.695578956449</v>
      </c>
      <c r="CN47" s="100">
        <v>15.742962056422078</v>
      </c>
      <c r="CO47" s="100">
        <v>24048.948837390366</v>
      </c>
      <c r="CP47" s="100">
        <v>15.006757892668276</v>
      </c>
      <c r="CQ47" s="100">
        <v>22924.323356840057</v>
      </c>
      <c r="CR47" s="100">
        <v>14.091721282956332</v>
      </c>
      <c r="CS47" s="100">
        <v>21526.513431844091</v>
      </c>
      <c r="CT47" s="100">
        <v>14</v>
      </c>
      <c r="CU47" s="100">
        <v>21386.399999999998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13</v>
      </c>
      <c r="G48" s="100">
        <v>11278.800000000001</v>
      </c>
      <c r="H48" s="100">
        <v>19</v>
      </c>
      <c r="I48" s="100">
        <v>16484.400000000001</v>
      </c>
      <c r="J48" s="100">
        <v>9</v>
      </c>
      <c r="K48" s="100">
        <v>7808.4000000000005</v>
      </c>
      <c r="L48" s="100">
        <v>16</v>
      </c>
      <c r="M48" s="100">
        <v>13881.6</v>
      </c>
      <c r="N48" s="100">
        <v>14</v>
      </c>
      <c r="O48" s="100">
        <v>12146.4</v>
      </c>
      <c r="P48" s="100">
        <v>13</v>
      </c>
      <c r="Q48" s="100">
        <v>11278.800000000001</v>
      </c>
      <c r="R48" s="100">
        <v>10</v>
      </c>
      <c r="S48" s="100">
        <v>8676</v>
      </c>
      <c r="T48" s="100">
        <v>16</v>
      </c>
      <c r="U48" s="100">
        <v>13881.6</v>
      </c>
      <c r="V48" s="100">
        <v>10</v>
      </c>
      <c r="W48" s="100">
        <v>8676</v>
      </c>
      <c r="X48" s="100">
        <v>19</v>
      </c>
      <c r="Y48" s="100">
        <v>16484.400000000001</v>
      </c>
      <c r="Z48" s="100">
        <v>11</v>
      </c>
      <c r="AA48" s="100">
        <v>9543.6</v>
      </c>
      <c r="AB48" s="100">
        <v>14</v>
      </c>
      <c r="AC48" s="100">
        <v>12146.4</v>
      </c>
      <c r="AD48" s="100">
        <v>11</v>
      </c>
      <c r="AE48" s="100">
        <v>9543.6</v>
      </c>
      <c r="AF48" s="100">
        <v>11</v>
      </c>
      <c r="AG48" s="100">
        <v>9543.6</v>
      </c>
      <c r="AH48" s="100">
        <v>17</v>
      </c>
      <c r="AI48" s="100">
        <v>14749.2</v>
      </c>
      <c r="AJ48" s="100">
        <v>11</v>
      </c>
      <c r="AK48" s="100">
        <v>9543.6</v>
      </c>
      <c r="AL48" s="100">
        <v>15</v>
      </c>
      <c r="AM48" s="100">
        <v>13014</v>
      </c>
      <c r="AN48" s="100">
        <v>17</v>
      </c>
      <c r="AO48" s="100">
        <v>14749.2</v>
      </c>
      <c r="AP48" s="100">
        <v>12</v>
      </c>
      <c r="AQ48" s="100">
        <v>10411.200000000001</v>
      </c>
      <c r="AR48" s="100">
        <v>18</v>
      </c>
      <c r="AS48" s="100">
        <v>15616.800000000001</v>
      </c>
      <c r="AT48" s="100">
        <v>10</v>
      </c>
      <c r="AU48" s="100">
        <v>8676</v>
      </c>
      <c r="AV48" s="100">
        <v>11</v>
      </c>
      <c r="AW48" s="100">
        <v>9543.6</v>
      </c>
      <c r="AX48" s="100">
        <v>12.993496490504517</v>
      </c>
      <c r="AY48" s="100">
        <v>11273.157555161719</v>
      </c>
      <c r="AZ48" s="100">
        <v>17</v>
      </c>
      <c r="BA48" s="100">
        <v>14749.2</v>
      </c>
      <c r="BB48" s="100">
        <v>15</v>
      </c>
      <c r="BC48" s="100">
        <v>13014</v>
      </c>
      <c r="BD48" s="100">
        <v>17</v>
      </c>
      <c r="BE48" s="100">
        <v>14749.2</v>
      </c>
      <c r="BF48" s="100">
        <v>19</v>
      </c>
      <c r="BG48" s="100">
        <v>16484.400000000001</v>
      </c>
      <c r="BH48" s="100">
        <v>16</v>
      </c>
      <c r="BI48" s="100">
        <v>13881.6</v>
      </c>
      <c r="BJ48" s="100">
        <v>20</v>
      </c>
      <c r="BK48" s="100">
        <v>17352</v>
      </c>
      <c r="BL48" s="100">
        <v>9</v>
      </c>
      <c r="BM48" s="100">
        <v>7808.4000000000005</v>
      </c>
      <c r="BN48" s="100">
        <v>11.414393556813302</v>
      </c>
      <c r="BO48" s="100">
        <v>9903.1278498912216</v>
      </c>
      <c r="BP48" s="100">
        <v>13</v>
      </c>
      <c r="BQ48" s="100">
        <v>11278.800000000001</v>
      </c>
      <c r="BR48" s="100">
        <v>8.7753258144533408</v>
      </c>
      <c r="BS48" s="100">
        <v>7613.4726766197191</v>
      </c>
      <c r="BT48" s="100">
        <v>12.035672044338321</v>
      </c>
      <c r="BU48" s="100">
        <v>10442.149065667927</v>
      </c>
      <c r="BV48" s="100">
        <v>11</v>
      </c>
      <c r="BW48" s="100">
        <v>9543.6</v>
      </c>
      <c r="BX48" s="100">
        <v>13.349022825242503</v>
      </c>
      <c r="BY48" s="100">
        <v>11581.612203180397</v>
      </c>
      <c r="BZ48" s="100">
        <v>11.922127968448336</v>
      </c>
      <c r="CA48" s="100">
        <v>10343.638225425777</v>
      </c>
      <c r="CB48" s="100">
        <v>13.012972863472591</v>
      </c>
      <c r="CC48" s="100">
        <v>11290.05525634882</v>
      </c>
      <c r="CD48" s="100">
        <v>12.749652589341443</v>
      </c>
      <c r="CE48" s="100">
        <v>11061.598586512635</v>
      </c>
      <c r="CF48" s="100">
        <v>10.6375889280768</v>
      </c>
      <c r="CG48" s="100">
        <v>9229.1721539994323</v>
      </c>
      <c r="CH48" s="100">
        <v>12.296662430620888</v>
      </c>
      <c r="CI48" s="100">
        <v>10668.584324806683</v>
      </c>
      <c r="CJ48" s="100">
        <v>16.299383894955163</v>
      </c>
      <c r="CK48" s="100">
        <v>14141.3454672631</v>
      </c>
      <c r="CL48" s="100">
        <v>13.55950176669017</v>
      </c>
      <c r="CM48" s="100">
        <v>11764.223732780392</v>
      </c>
      <c r="CN48" s="100">
        <v>15.742962056422078</v>
      </c>
      <c r="CO48" s="100">
        <v>13658.593880151795</v>
      </c>
      <c r="CP48" s="100">
        <v>16.772258821217484</v>
      </c>
      <c r="CQ48" s="100">
        <v>14551.611753288289</v>
      </c>
      <c r="CR48" s="100">
        <v>15.031169368486754</v>
      </c>
      <c r="CS48" s="100">
        <v>13041.042544099108</v>
      </c>
      <c r="CT48" s="100">
        <v>15</v>
      </c>
      <c r="CU48" s="100">
        <v>13014</v>
      </c>
    </row>
    <row r="49" spans="2:99">
      <c r="B49" s="99" t="s">
        <v>129</v>
      </c>
      <c r="C49" s="99" t="s">
        <v>215</v>
      </c>
      <c r="D49" s="100">
        <v>18</v>
      </c>
      <c r="E49" s="100">
        <v>17733.599999999999</v>
      </c>
      <c r="F49" s="100">
        <v>17</v>
      </c>
      <c r="G49" s="100">
        <v>16748.399999999998</v>
      </c>
      <c r="H49" s="100">
        <v>11</v>
      </c>
      <c r="I49" s="100">
        <v>10837.199999999999</v>
      </c>
      <c r="J49" s="100">
        <v>10</v>
      </c>
      <c r="K49" s="100">
        <v>9852</v>
      </c>
      <c r="L49" s="100">
        <v>10</v>
      </c>
      <c r="M49" s="100">
        <v>9852</v>
      </c>
      <c r="N49" s="100">
        <v>12</v>
      </c>
      <c r="O49" s="100">
        <v>11822.4</v>
      </c>
      <c r="P49" s="100">
        <v>15</v>
      </c>
      <c r="Q49" s="100">
        <v>14777.999999999998</v>
      </c>
      <c r="R49" s="100">
        <v>15</v>
      </c>
      <c r="S49" s="100">
        <v>14777.999999999998</v>
      </c>
      <c r="T49" s="100">
        <v>15</v>
      </c>
      <c r="U49" s="100">
        <v>14777.999999999998</v>
      </c>
      <c r="V49" s="100">
        <v>15</v>
      </c>
      <c r="W49" s="100">
        <v>14777.999999999998</v>
      </c>
      <c r="X49" s="100">
        <v>11</v>
      </c>
      <c r="Y49" s="100">
        <v>10837.199999999999</v>
      </c>
      <c r="Z49" s="100">
        <v>14</v>
      </c>
      <c r="AA49" s="100">
        <v>13792.8</v>
      </c>
      <c r="AB49" s="100">
        <v>14</v>
      </c>
      <c r="AC49" s="100">
        <v>13792.8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15</v>
      </c>
      <c r="AI49" s="100">
        <v>14777.999999999998</v>
      </c>
      <c r="AJ49" s="100">
        <v>11</v>
      </c>
      <c r="AK49" s="100">
        <v>10837.199999999999</v>
      </c>
      <c r="AL49" s="100">
        <v>10.819672131147541</v>
      </c>
      <c r="AM49" s="100">
        <v>10659.540983606557</v>
      </c>
      <c r="AN49" s="100">
        <v>7.0224719101123592</v>
      </c>
      <c r="AO49" s="100">
        <v>6918.5393258426957</v>
      </c>
      <c r="AP49" s="100">
        <v>16</v>
      </c>
      <c r="AQ49" s="100">
        <v>15763.199999999999</v>
      </c>
      <c r="AR49" s="100">
        <v>11.167785234899329</v>
      </c>
      <c r="AS49" s="100">
        <v>11002.502013422818</v>
      </c>
      <c r="AT49" s="100">
        <v>8.5034013605442187</v>
      </c>
      <c r="AU49" s="100">
        <v>8377.5510204081638</v>
      </c>
      <c r="AV49" s="100">
        <v>6.25</v>
      </c>
      <c r="AW49" s="100">
        <v>6157.5</v>
      </c>
      <c r="AX49" s="100">
        <v>10.093167701863354</v>
      </c>
      <c r="AY49" s="100">
        <v>9943.7888198757755</v>
      </c>
      <c r="AZ49" s="100">
        <v>9.4827586206896548</v>
      </c>
      <c r="BA49" s="100">
        <v>9342.4137931034475</v>
      </c>
      <c r="BB49" s="100">
        <v>10.670731707317074</v>
      </c>
      <c r="BC49" s="100">
        <v>10512.804878048781</v>
      </c>
      <c r="BD49" s="100">
        <v>9.6153846153846168</v>
      </c>
      <c r="BE49" s="100">
        <v>9473.0769230769238</v>
      </c>
      <c r="BF49" s="100">
        <v>8</v>
      </c>
      <c r="BG49" s="100">
        <v>7881.5999999999995</v>
      </c>
      <c r="BH49" s="100">
        <v>7.3224043715846996</v>
      </c>
      <c r="BI49" s="100">
        <v>7214.0327868852455</v>
      </c>
      <c r="BJ49" s="100">
        <v>7.9022988505747138</v>
      </c>
      <c r="BK49" s="100">
        <v>7785.3448275862074</v>
      </c>
      <c r="BL49" s="100">
        <v>13.786764705882353</v>
      </c>
      <c r="BM49" s="100">
        <v>13582.720588235294</v>
      </c>
      <c r="BN49" s="100">
        <v>10.802469135802468</v>
      </c>
      <c r="BO49" s="100">
        <v>10642.592592592591</v>
      </c>
      <c r="BP49" s="100">
        <v>8.223684210526315</v>
      </c>
      <c r="BQ49" s="100">
        <v>8101.9736842105249</v>
      </c>
      <c r="BR49" s="100">
        <v>12.583892617449663</v>
      </c>
      <c r="BS49" s="100">
        <v>12397.651006711407</v>
      </c>
      <c r="BT49" s="100">
        <v>16.73228346456693</v>
      </c>
      <c r="BU49" s="100">
        <v>16484.645669291338</v>
      </c>
      <c r="BV49" s="100">
        <v>10.256410256410257</v>
      </c>
      <c r="BW49" s="100">
        <v>10104.615384615385</v>
      </c>
      <c r="BX49" s="100">
        <v>14</v>
      </c>
      <c r="BY49" s="100">
        <v>13792.8</v>
      </c>
      <c r="BZ49" s="100">
        <v>11</v>
      </c>
      <c r="CA49" s="100">
        <v>10837.199999999999</v>
      </c>
      <c r="CB49" s="100">
        <v>13.541666666666668</v>
      </c>
      <c r="CC49" s="100">
        <v>13341.25</v>
      </c>
      <c r="CD49" s="100">
        <v>13</v>
      </c>
      <c r="CE49" s="100">
        <v>12807.599999999999</v>
      </c>
      <c r="CF49" s="100">
        <v>0.70909090909090899</v>
      </c>
      <c r="CG49" s="100">
        <v>698.59636363636355</v>
      </c>
      <c r="CH49" s="100">
        <v>9.1640327160818346E-20</v>
      </c>
      <c r="CI49" s="100">
        <v>9.0284050318838234E-17</v>
      </c>
      <c r="CJ49" s="100">
        <v>8.7581664652530344E-20</v>
      </c>
      <c r="CK49" s="100">
        <v>8.6285456015672884E-17</v>
      </c>
      <c r="CL49" s="100">
        <v>6.0055998618877964E-20</v>
      </c>
      <c r="CM49" s="100">
        <v>5.9167169839318561E-17</v>
      </c>
      <c r="CN49" s="100">
        <v>12.335526315789474</v>
      </c>
      <c r="CO49" s="100">
        <v>12152.96052631579</v>
      </c>
      <c r="CP49" s="100">
        <v>6.5789473684210522</v>
      </c>
      <c r="CQ49" s="100">
        <v>6481.5789473684199</v>
      </c>
      <c r="CR49" s="100">
        <v>8.2831325301204828</v>
      </c>
      <c r="CS49" s="100">
        <v>8160.5421686746995</v>
      </c>
      <c r="CT49" s="100">
        <v>7.9787234042553186</v>
      </c>
      <c r="CU49" s="100">
        <v>7860.6382978723395</v>
      </c>
    </row>
    <row r="50" spans="2:99">
      <c r="C50" s="99" t="s">
        <v>216</v>
      </c>
      <c r="D50" s="100">
        <v>18</v>
      </c>
      <c r="E50" s="100">
        <v>5076</v>
      </c>
      <c r="F50" s="100">
        <v>17</v>
      </c>
      <c r="G50" s="100">
        <v>4794</v>
      </c>
      <c r="H50" s="100">
        <v>10</v>
      </c>
      <c r="I50" s="100">
        <v>2820</v>
      </c>
      <c r="J50" s="100">
        <v>10</v>
      </c>
      <c r="K50" s="100">
        <v>2820</v>
      </c>
      <c r="L50" s="100">
        <v>11</v>
      </c>
      <c r="M50" s="100">
        <v>3102</v>
      </c>
      <c r="N50" s="100">
        <v>12</v>
      </c>
      <c r="O50" s="100">
        <v>3384</v>
      </c>
      <c r="P50" s="100">
        <v>16</v>
      </c>
      <c r="Q50" s="100">
        <v>4512</v>
      </c>
      <c r="R50" s="100">
        <v>19</v>
      </c>
      <c r="S50" s="100">
        <v>5358</v>
      </c>
      <c r="T50" s="100">
        <v>16</v>
      </c>
      <c r="U50" s="100">
        <v>4512</v>
      </c>
      <c r="V50" s="100">
        <v>17</v>
      </c>
      <c r="W50" s="100">
        <v>4794</v>
      </c>
      <c r="X50" s="100">
        <v>13</v>
      </c>
      <c r="Y50" s="100">
        <v>3666</v>
      </c>
      <c r="Z50" s="100">
        <v>16</v>
      </c>
      <c r="AA50" s="100">
        <v>4512</v>
      </c>
      <c r="AB50" s="100">
        <v>15</v>
      </c>
      <c r="AC50" s="100">
        <v>4230</v>
      </c>
      <c r="AD50" s="100">
        <v>8</v>
      </c>
      <c r="AE50" s="100">
        <v>2256</v>
      </c>
      <c r="AF50" s="100">
        <v>11</v>
      </c>
      <c r="AG50" s="100">
        <v>3102</v>
      </c>
      <c r="AH50" s="100">
        <v>15</v>
      </c>
      <c r="AI50" s="100">
        <v>4230</v>
      </c>
      <c r="AJ50" s="100">
        <v>13</v>
      </c>
      <c r="AK50" s="100">
        <v>3666</v>
      </c>
      <c r="AL50" s="100">
        <v>14</v>
      </c>
      <c r="AM50" s="100">
        <v>3948</v>
      </c>
      <c r="AN50" s="100">
        <v>11</v>
      </c>
      <c r="AO50" s="100">
        <v>3102</v>
      </c>
      <c r="AP50" s="100">
        <v>18</v>
      </c>
      <c r="AQ50" s="100">
        <v>5076</v>
      </c>
      <c r="AR50" s="100">
        <v>14</v>
      </c>
      <c r="AS50" s="100">
        <v>3948</v>
      </c>
      <c r="AT50" s="100">
        <v>11</v>
      </c>
      <c r="AU50" s="100">
        <v>3102</v>
      </c>
      <c r="AV50" s="100">
        <v>11</v>
      </c>
      <c r="AW50" s="100">
        <v>3102</v>
      </c>
      <c r="AX50" s="100">
        <v>12.993496490504517</v>
      </c>
      <c r="AY50" s="100">
        <v>3664.1660103222739</v>
      </c>
      <c r="AZ50" s="100">
        <v>12</v>
      </c>
      <c r="BA50" s="100">
        <v>3384</v>
      </c>
      <c r="BB50" s="100">
        <v>16</v>
      </c>
      <c r="BC50" s="100">
        <v>4512</v>
      </c>
      <c r="BD50" s="100">
        <v>17</v>
      </c>
      <c r="BE50" s="100">
        <v>4794</v>
      </c>
      <c r="BF50" s="100">
        <v>8</v>
      </c>
      <c r="BG50" s="100">
        <v>2256</v>
      </c>
      <c r="BH50" s="100">
        <v>12</v>
      </c>
      <c r="BI50" s="100">
        <v>3384</v>
      </c>
      <c r="BJ50" s="100">
        <v>14</v>
      </c>
      <c r="BK50" s="100">
        <v>3948</v>
      </c>
      <c r="BL50" s="100">
        <v>15</v>
      </c>
      <c r="BM50" s="100">
        <v>4230</v>
      </c>
      <c r="BN50" s="100">
        <v>12.365593019881077</v>
      </c>
      <c r="BO50" s="100">
        <v>3487.0972316064635</v>
      </c>
      <c r="BP50" s="100">
        <v>11</v>
      </c>
      <c r="BQ50" s="100">
        <v>3102</v>
      </c>
      <c r="BR50" s="100">
        <v>14.918053884570678</v>
      </c>
      <c r="BS50" s="100">
        <v>4206.8911954489313</v>
      </c>
      <c r="BT50" s="100">
        <v>15.474435485577841</v>
      </c>
      <c r="BU50" s="100">
        <v>4363.7908069329515</v>
      </c>
      <c r="BV50" s="100">
        <v>15</v>
      </c>
      <c r="BW50" s="100">
        <v>4230</v>
      </c>
      <c r="BX50" s="100">
        <v>12.459087970226337</v>
      </c>
      <c r="BY50" s="100">
        <v>3513.4628076038271</v>
      </c>
      <c r="BZ50" s="100">
        <v>11.922127968448336</v>
      </c>
      <c r="CA50" s="100">
        <v>3362.0400871024308</v>
      </c>
      <c r="CB50" s="100">
        <v>13.942470925149204</v>
      </c>
      <c r="CC50" s="100">
        <v>3931.7768008920752</v>
      </c>
      <c r="CD50" s="100">
        <v>12.749652589341443</v>
      </c>
      <c r="CE50" s="100">
        <v>3595.4020301942869</v>
      </c>
      <c r="CF50" s="100">
        <v>12.4105204160896</v>
      </c>
      <c r="CG50" s="100">
        <v>3499.7667573372673</v>
      </c>
      <c r="CH50" s="100">
        <v>11.418329399862253</v>
      </c>
      <c r="CI50" s="100">
        <v>3219.9688907611553</v>
      </c>
      <c r="CJ50" s="100">
        <v>14.488341239960146</v>
      </c>
      <c r="CK50" s="100">
        <v>4085.7122296687612</v>
      </c>
      <c r="CL50" s="100">
        <v>13.55950176669017</v>
      </c>
      <c r="CM50" s="100">
        <v>3823.779498206628</v>
      </c>
      <c r="CN50" s="100">
        <v>13.257231205408065</v>
      </c>
      <c r="CO50" s="100">
        <v>3738.5391999250742</v>
      </c>
      <c r="CP50" s="100">
        <v>7.9447541784714408</v>
      </c>
      <c r="CQ50" s="100">
        <v>2240.4206783289465</v>
      </c>
      <c r="CR50" s="100">
        <v>11.273377026365065</v>
      </c>
      <c r="CS50" s="100">
        <v>3179.0923214349482</v>
      </c>
      <c r="CT50" s="100">
        <v>10</v>
      </c>
      <c r="CU50" s="100">
        <v>2820</v>
      </c>
    </row>
    <row r="51" spans="2:99">
      <c r="C51" s="99" t="s">
        <v>217</v>
      </c>
      <c r="D51" s="100">
        <v>17</v>
      </c>
      <c r="E51" s="100">
        <v>14524.8</v>
      </c>
      <c r="F51" s="100">
        <v>16</v>
      </c>
      <c r="G51" s="100">
        <v>13670.4</v>
      </c>
      <c r="H51" s="100">
        <v>10</v>
      </c>
      <c r="I51" s="100">
        <v>8544</v>
      </c>
      <c r="J51" s="100">
        <v>10</v>
      </c>
      <c r="K51" s="100">
        <v>8544</v>
      </c>
      <c r="L51" s="100">
        <v>11</v>
      </c>
      <c r="M51" s="100">
        <v>9398.4</v>
      </c>
      <c r="N51" s="100">
        <v>12</v>
      </c>
      <c r="O51" s="100">
        <v>10252.799999999999</v>
      </c>
      <c r="P51" s="100">
        <v>14</v>
      </c>
      <c r="Q51" s="100">
        <v>11961.6</v>
      </c>
      <c r="R51" s="100">
        <v>18</v>
      </c>
      <c r="S51" s="100">
        <v>15379.199999999999</v>
      </c>
      <c r="T51" s="100">
        <v>15</v>
      </c>
      <c r="U51" s="100">
        <v>12816</v>
      </c>
      <c r="V51" s="100">
        <v>16</v>
      </c>
      <c r="W51" s="100">
        <v>13670.4</v>
      </c>
      <c r="X51" s="100">
        <v>12</v>
      </c>
      <c r="Y51" s="100">
        <v>10252.799999999999</v>
      </c>
      <c r="Z51" s="100">
        <v>15</v>
      </c>
      <c r="AA51" s="100">
        <v>12816</v>
      </c>
      <c r="AB51" s="100">
        <v>14</v>
      </c>
      <c r="AC51" s="100">
        <v>11961.6</v>
      </c>
      <c r="AD51" s="100">
        <v>8</v>
      </c>
      <c r="AE51" s="100">
        <v>6835.2</v>
      </c>
      <c r="AF51" s="100">
        <v>11</v>
      </c>
      <c r="AG51" s="100">
        <v>9398.4</v>
      </c>
      <c r="AH51" s="100">
        <v>15</v>
      </c>
      <c r="AI51" s="100">
        <v>12816</v>
      </c>
      <c r="AJ51" s="100">
        <v>12</v>
      </c>
      <c r="AK51" s="100">
        <v>10252.799999999999</v>
      </c>
      <c r="AL51" s="100">
        <v>13</v>
      </c>
      <c r="AM51" s="100">
        <v>11107.199999999999</v>
      </c>
      <c r="AN51" s="100">
        <v>11</v>
      </c>
      <c r="AO51" s="100">
        <v>9398.4</v>
      </c>
      <c r="AP51" s="100">
        <v>16</v>
      </c>
      <c r="AQ51" s="100">
        <v>13670.4</v>
      </c>
      <c r="AR51" s="100">
        <v>12</v>
      </c>
      <c r="AS51" s="100">
        <v>10252.799999999999</v>
      </c>
      <c r="AT51" s="100">
        <v>10</v>
      </c>
      <c r="AU51" s="100">
        <v>8544</v>
      </c>
      <c r="AV51" s="100">
        <v>9</v>
      </c>
      <c r="AW51" s="100">
        <v>7689.5999999999995</v>
      </c>
      <c r="AX51" s="100">
        <v>12.12726339113755</v>
      </c>
      <c r="AY51" s="100">
        <v>10361.533841387922</v>
      </c>
      <c r="AZ51" s="100">
        <v>11</v>
      </c>
      <c r="BA51" s="100">
        <v>9398.4</v>
      </c>
      <c r="BB51" s="100">
        <v>15</v>
      </c>
      <c r="BC51" s="100">
        <v>12816</v>
      </c>
      <c r="BD51" s="100">
        <v>16</v>
      </c>
      <c r="BE51" s="100">
        <v>13670.4</v>
      </c>
      <c r="BF51" s="100">
        <v>8</v>
      </c>
      <c r="BG51" s="100">
        <v>6835.2</v>
      </c>
      <c r="BH51" s="100">
        <v>12</v>
      </c>
      <c r="BI51" s="100">
        <v>10252.799999999999</v>
      </c>
      <c r="BJ51" s="100">
        <v>13</v>
      </c>
      <c r="BK51" s="100">
        <v>11107.199999999999</v>
      </c>
      <c r="BL51" s="100">
        <v>17</v>
      </c>
      <c r="BM51" s="100">
        <v>14524.8</v>
      </c>
      <c r="BN51" s="100">
        <v>11.414393556813302</v>
      </c>
      <c r="BO51" s="100">
        <v>9752.4578549412854</v>
      </c>
      <c r="BP51" s="100">
        <v>10</v>
      </c>
      <c r="BQ51" s="100">
        <v>8544</v>
      </c>
      <c r="BR51" s="100">
        <v>14.040521303125345</v>
      </c>
      <c r="BS51" s="100">
        <v>11996.221401390294</v>
      </c>
      <c r="BT51" s="100">
        <v>14.614744625267962</v>
      </c>
      <c r="BU51" s="100">
        <v>12486.837807828946</v>
      </c>
      <c r="BV51" s="100">
        <v>14</v>
      </c>
      <c r="BW51" s="100">
        <v>11961.6</v>
      </c>
      <c r="BX51" s="100">
        <v>13.349022825242503</v>
      </c>
      <c r="BY51" s="100">
        <v>11405.405101887194</v>
      </c>
      <c r="BZ51" s="100">
        <v>10.928617304410976</v>
      </c>
      <c r="CA51" s="100">
        <v>9337.4106248887365</v>
      </c>
      <c r="CB51" s="100">
        <v>14.871968986825816</v>
      </c>
      <c r="CC51" s="100">
        <v>12706.610302343977</v>
      </c>
      <c r="CD51" s="100">
        <v>11.049698910762583</v>
      </c>
      <c r="CE51" s="100">
        <v>9440.8627493555505</v>
      </c>
      <c r="CF51" s="100">
        <v>10.6375889280768</v>
      </c>
      <c r="CG51" s="100">
        <v>9088.7559801488187</v>
      </c>
      <c r="CH51" s="100">
        <v>10.539996369103617</v>
      </c>
      <c r="CI51" s="100">
        <v>9005.3728977621304</v>
      </c>
      <c r="CJ51" s="100">
        <v>11.771777257467619</v>
      </c>
      <c r="CK51" s="100">
        <v>10057.806488780334</v>
      </c>
      <c r="CL51" s="100">
        <v>13.55950176669017</v>
      </c>
      <c r="CM51" s="100">
        <v>11585.238309460081</v>
      </c>
      <c r="CN51" s="100">
        <v>14.08580815574607</v>
      </c>
      <c r="CO51" s="100">
        <v>12034.914488269442</v>
      </c>
      <c r="CP51" s="100">
        <v>7.9447541784714408</v>
      </c>
      <c r="CQ51" s="100">
        <v>6787.9979700859985</v>
      </c>
      <c r="CR51" s="100">
        <v>9.3944808553042201</v>
      </c>
      <c r="CS51" s="100">
        <v>8026.6444427719252</v>
      </c>
      <c r="CT51" s="100">
        <v>10</v>
      </c>
      <c r="CU51" s="100">
        <v>8544</v>
      </c>
    </row>
    <row r="52" spans="2:99">
      <c r="C52" s="99" t="s">
        <v>218</v>
      </c>
      <c r="D52" s="100">
        <v>18</v>
      </c>
      <c r="E52" s="100">
        <v>9720</v>
      </c>
      <c r="F52" s="100">
        <v>17</v>
      </c>
      <c r="G52" s="100">
        <v>9180</v>
      </c>
      <c r="H52" s="100">
        <v>11</v>
      </c>
      <c r="I52" s="100">
        <v>5940</v>
      </c>
      <c r="J52" s="100">
        <v>10</v>
      </c>
      <c r="K52" s="100">
        <v>5400</v>
      </c>
      <c r="L52" s="100">
        <v>10</v>
      </c>
      <c r="M52" s="100">
        <v>5400</v>
      </c>
      <c r="N52" s="100">
        <v>12</v>
      </c>
      <c r="O52" s="100">
        <v>6480</v>
      </c>
      <c r="P52" s="100">
        <v>17</v>
      </c>
      <c r="Q52" s="100">
        <v>9180</v>
      </c>
      <c r="R52" s="100">
        <v>19</v>
      </c>
      <c r="S52" s="100">
        <v>10260</v>
      </c>
      <c r="T52" s="100">
        <v>16</v>
      </c>
      <c r="U52" s="100">
        <v>8640</v>
      </c>
      <c r="V52" s="100">
        <v>16</v>
      </c>
      <c r="W52" s="100">
        <v>8640</v>
      </c>
      <c r="X52" s="100">
        <v>12</v>
      </c>
      <c r="Y52" s="100">
        <v>6480</v>
      </c>
      <c r="Z52" s="100">
        <v>15</v>
      </c>
      <c r="AA52" s="100">
        <v>8100</v>
      </c>
      <c r="AB52" s="100">
        <v>14</v>
      </c>
      <c r="AC52" s="100">
        <v>7560</v>
      </c>
      <c r="AD52" s="100">
        <v>10</v>
      </c>
      <c r="AE52" s="100">
        <v>5400</v>
      </c>
      <c r="AF52" s="100">
        <v>10</v>
      </c>
      <c r="AG52" s="100">
        <v>5400</v>
      </c>
      <c r="AH52" s="100">
        <v>15</v>
      </c>
      <c r="AI52" s="100">
        <v>8100</v>
      </c>
      <c r="AJ52" s="100">
        <v>14</v>
      </c>
      <c r="AK52" s="100">
        <v>7560</v>
      </c>
      <c r="AL52" s="100">
        <v>14</v>
      </c>
      <c r="AM52" s="100">
        <v>7560</v>
      </c>
      <c r="AN52" s="100">
        <v>11</v>
      </c>
      <c r="AO52" s="100">
        <v>5940</v>
      </c>
      <c r="AP52" s="100">
        <v>17</v>
      </c>
      <c r="AQ52" s="100">
        <v>9180</v>
      </c>
      <c r="AR52" s="100">
        <v>14</v>
      </c>
      <c r="AS52" s="100">
        <v>7560</v>
      </c>
      <c r="AT52" s="100">
        <v>10</v>
      </c>
      <c r="AU52" s="100">
        <v>5400</v>
      </c>
      <c r="AV52" s="100">
        <v>9</v>
      </c>
      <c r="AW52" s="100">
        <v>4860</v>
      </c>
      <c r="AX52" s="100">
        <v>12.993496490504517</v>
      </c>
      <c r="AY52" s="100">
        <v>7016.4881048724392</v>
      </c>
      <c r="AZ52" s="100">
        <v>11</v>
      </c>
      <c r="BA52" s="100">
        <v>5940</v>
      </c>
      <c r="BB52" s="100">
        <v>14</v>
      </c>
      <c r="BC52" s="100">
        <v>7560</v>
      </c>
      <c r="BD52" s="100">
        <v>17</v>
      </c>
      <c r="BE52" s="100">
        <v>9180</v>
      </c>
      <c r="BF52" s="100">
        <v>9</v>
      </c>
      <c r="BG52" s="100">
        <v>4860</v>
      </c>
      <c r="BH52" s="100">
        <v>13</v>
      </c>
      <c r="BI52" s="100">
        <v>7020</v>
      </c>
      <c r="BJ52" s="100">
        <v>13</v>
      </c>
      <c r="BK52" s="100">
        <v>7020</v>
      </c>
      <c r="BL52" s="100">
        <v>17</v>
      </c>
      <c r="BM52" s="100">
        <v>9180</v>
      </c>
      <c r="BN52" s="100">
        <v>14.267991946016625</v>
      </c>
      <c r="BO52" s="100">
        <v>7704.7156508489779</v>
      </c>
      <c r="BP52" s="100">
        <v>11</v>
      </c>
      <c r="BQ52" s="100">
        <v>5940</v>
      </c>
      <c r="BR52" s="100">
        <v>14.040521303125345</v>
      </c>
      <c r="BS52" s="100">
        <v>7581.8815036876867</v>
      </c>
      <c r="BT52" s="100">
        <v>12.8953629046482</v>
      </c>
      <c r="BU52" s="100">
        <v>6963.4959685100284</v>
      </c>
      <c r="BV52" s="100">
        <v>14</v>
      </c>
      <c r="BW52" s="100">
        <v>7560</v>
      </c>
      <c r="BX52" s="100">
        <v>13.349022825242503</v>
      </c>
      <c r="BY52" s="100">
        <v>7208.4723256309517</v>
      </c>
      <c r="BZ52" s="100">
        <v>10.928617304410976</v>
      </c>
      <c r="CA52" s="100">
        <v>5901.4533443819264</v>
      </c>
      <c r="CB52" s="100">
        <v>13.942470925149204</v>
      </c>
      <c r="CC52" s="100">
        <v>7528.93429958057</v>
      </c>
      <c r="CD52" s="100">
        <v>11.899675750052014</v>
      </c>
      <c r="CE52" s="100">
        <v>6425.8249050280874</v>
      </c>
      <c r="CF52" s="100">
        <v>12.4105204160896</v>
      </c>
      <c r="CG52" s="100">
        <v>6701.6810246883842</v>
      </c>
      <c r="CH52" s="100">
        <v>9.661663338344983</v>
      </c>
      <c r="CI52" s="100">
        <v>5217.2982027062908</v>
      </c>
      <c r="CJ52" s="100">
        <v>11.771777257467619</v>
      </c>
      <c r="CK52" s="100">
        <v>6356.7597190325141</v>
      </c>
      <c r="CL52" s="100">
        <v>14.463468551136179</v>
      </c>
      <c r="CM52" s="100">
        <v>7810.2730176135365</v>
      </c>
      <c r="CN52" s="100">
        <v>14.08580815574607</v>
      </c>
      <c r="CO52" s="100">
        <v>7606.3364041028781</v>
      </c>
      <c r="CP52" s="100">
        <v>7.9447541784714408</v>
      </c>
      <c r="CQ52" s="100">
        <v>4290.1672563745778</v>
      </c>
      <c r="CR52" s="100">
        <v>9.3944808553042201</v>
      </c>
      <c r="CS52" s="100">
        <v>5073.0196618642785</v>
      </c>
      <c r="CT52" s="100">
        <v>9</v>
      </c>
      <c r="CU52" s="100">
        <v>4860</v>
      </c>
    </row>
    <row r="53" spans="2:99">
      <c r="C53" s="99" t="s">
        <v>219</v>
      </c>
      <c r="D53" s="100">
        <v>17</v>
      </c>
      <c r="E53" s="100">
        <v>6915.6</v>
      </c>
      <c r="F53" s="100">
        <v>17</v>
      </c>
      <c r="G53" s="100">
        <v>6915.6</v>
      </c>
      <c r="H53" s="100">
        <v>10</v>
      </c>
      <c r="I53" s="100">
        <v>4068</v>
      </c>
      <c r="J53" s="100">
        <v>11</v>
      </c>
      <c r="K53" s="100">
        <v>4474.8</v>
      </c>
      <c r="L53" s="100">
        <v>10</v>
      </c>
      <c r="M53" s="100">
        <v>4068</v>
      </c>
      <c r="N53" s="100">
        <v>14</v>
      </c>
      <c r="O53" s="100">
        <v>5695.2</v>
      </c>
      <c r="P53" s="100">
        <v>16</v>
      </c>
      <c r="Q53" s="100">
        <v>6508.8</v>
      </c>
      <c r="R53" s="100">
        <v>18</v>
      </c>
      <c r="S53" s="100">
        <v>7322.4000000000005</v>
      </c>
      <c r="T53" s="100">
        <v>15</v>
      </c>
      <c r="U53" s="100">
        <v>6102</v>
      </c>
      <c r="V53" s="100">
        <v>17</v>
      </c>
      <c r="W53" s="100">
        <v>6915.6</v>
      </c>
      <c r="X53" s="100">
        <v>12</v>
      </c>
      <c r="Y53" s="100">
        <v>4881.6000000000004</v>
      </c>
      <c r="Z53" s="100">
        <v>14</v>
      </c>
      <c r="AA53" s="100">
        <v>5695.2</v>
      </c>
      <c r="AB53" s="100">
        <v>13</v>
      </c>
      <c r="AC53" s="100">
        <v>5288.4000000000005</v>
      </c>
      <c r="AD53" s="100">
        <v>10</v>
      </c>
      <c r="AE53" s="100">
        <v>4068</v>
      </c>
      <c r="AF53" s="100">
        <v>11</v>
      </c>
      <c r="AG53" s="100">
        <v>4474.8</v>
      </c>
      <c r="AH53" s="100">
        <v>17</v>
      </c>
      <c r="AI53" s="100">
        <v>6915.6</v>
      </c>
      <c r="AJ53" s="100">
        <v>12</v>
      </c>
      <c r="AK53" s="100">
        <v>4881.6000000000004</v>
      </c>
      <c r="AL53" s="100">
        <v>13</v>
      </c>
      <c r="AM53" s="100">
        <v>5288.4000000000005</v>
      </c>
      <c r="AN53" s="100">
        <v>11</v>
      </c>
      <c r="AO53" s="100">
        <v>4474.8</v>
      </c>
      <c r="AP53" s="100">
        <v>18</v>
      </c>
      <c r="AQ53" s="100">
        <v>7322.4000000000005</v>
      </c>
      <c r="AR53" s="100">
        <v>13</v>
      </c>
      <c r="AS53" s="100">
        <v>5288.4000000000005</v>
      </c>
      <c r="AT53" s="100">
        <v>11</v>
      </c>
      <c r="AU53" s="100">
        <v>4474.8</v>
      </c>
      <c r="AV53" s="100">
        <v>10</v>
      </c>
      <c r="AW53" s="100">
        <v>4068</v>
      </c>
      <c r="AX53" s="100">
        <v>12.993496490504517</v>
      </c>
      <c r="AY53" s="100">
        <v>5285.7543723372382</v>
      </c>
      <c r="AZ53" s="100">
        <v>11</v>
      </c>
      <c r="BA53" s="100">
        <v>4474.8</v>
      </c>
      <c r="BB53" s="100">
        <v>14</v>
      </c>
      <c r="BC53" s="100">
        <v>5695.2</v>
      </c>
      <c r="BD53" s="100">
        <v>16</v>
      </c>
      <c r="BE53" s="100">
        <v>6508.8</v>
      </c>
      <c r="BF53" s="100">
        <v>9</v>
      </c>
      <c r="BG53" s="100">
        <v>3661.2000000000003</v>
      </c>
      <c r="BH53" s="100">
        <v>13</v>
      </c>
      <c r="BI53" s="100">
        <v>5288.4000000000005</v>
      </c>
      <c r="BJ53" s="100">
        <v>12</v>
      </c>
      <c r="BK53" s="100">
        <v>4881.6000000000004</v>
      </c>
      <c r="BL53" s="100">
        <v>16</v>
      </c>
      <c r="BM53" s="100">
        <v>6508.8</v>
      </c>
      <c r="BN53" s="100">
        <v>14.267991946016625</v>
      </c>
      <c r="BO53" s="100">
        <v>5804.2191236395638</v>
      </c>
      <c r="BP53" s="100">
        <v>10</v>
      </c>
      <c r="BQ53" s="100">
        <v>4068</v>
      </c>
      <c r="BR53" s="100">
        <v>15.795586466016015</v>
      </c>
      <c r="BS53" s="100">
        <v>6425.6445743753147</v>
      </c>
      <c r="BT53" s="100">
        <v>14.614744625267962</v>
      </c>
      <c r="BU53" s="100">
        <v>5945.2781135590067</v>
      </c>
      <c r="BV53" s="100">
        <v>15</v>
      </c>
      <c r="BW53" s="100">
        <v>6102</v>
      </c>
      <c r="BX53" s="100">
        <v>14.23895768025867</v>
      </c>
      <c r="BY53" s="100">
        <v>5792.4079843292275</v>
      </c>
      <c r="BZ53" s="100">
        <v>10.928617304410976</v>
      </c>
      <c r="CA53" s="100">
        <v>4445.7615194343853</v>
      </c>
      <c r="CB53" s="100">
        <v>15.801467048502431</v>
      </c>
      <c r="CC53" s="100">
        <v>6428.0367953307896</v>
      </c>
      <c r="CD53" s="100">
        <v>13.599629428630871</v>
      </c>
      <c r="CE53" s="100">
        <v>5532.3292515670382</v>
      </c>
      <c r="CF53" s="100">
        <v>10.6375889280768</v>
      </c>
      <c r="CG53" s="100">
        <v>4327.3711759416428</v>
      </c>
      <c r="CH53" s="100">
        <v>9.661663338344983</v>
      </c>
      <c r="CI53" s="100">
        <v>3930.364646038739</v>
      </c>
      <c r="CJ53" s="100">
        <v>13.582819912462638</v>
      </c>
      <c r="CK53" s="100">
        <v>5525.4911403898013</v>
      </c>
      <c r="CL53" s="100">
        <v>12.655534982244159</v>
      </c>
      <c r="CM53" s="100">
        <v>5148.2716307769242</v>
      </c>
      <c r="CN53" s="100">
        <v>13.257231205408065</v>
      </c>
      <c r="CO53" s="100">
        <v>5393.0416543600013</v>
      </c>
      <c r="CP53" s="100">
        <v>7.9447541784714408</v>
      </c>
      <c r="CQ53" s="100">
        <v>3231.9259998021821</v>
      </c>
      <c r="CR53" s="100">
        <v>10.333928940834644</v>
      </c>
      <c r="CS53" s="100">
        <v>4203.8422931315336</v>
      </c>
      <c r="CT53" s="100">
        <v>9</v>
      </c>
      <c r="CU53" s="100">
        <v>3661.2000000000003</v>
      </c>
    </row>
    <row r="54" spans="2:99">
      <c r="C54" s="99" t="s">
        <v>220</v>
      </c>
      <c r="D54" s="100">
        <v>19</v>
      </c>
      <c r="E54" s="100">
        <v>6361.2</v>
      </c>
      <c r="F54" s="100">
        <v>16</v>
      </c>
      <c r="G54" s="100">
        <v>5356.8</v>
      </c>
      <c r="H54" s="100">
        <v>10</v>
      </c>
      <c r="I54" s="100">
        <v>3348</v>
      </c>
      <c r="J54" s="100">
        <v>12</v>
      </c>
      <c r="K54" s="100">
        <v>4017.6000000000004</v>
      </c>
      <c r="L54" s="100">
        <v>10</v>
      </c>
      <c r="M54" s="100">
        <v>3348</v>
      </c>
      <c r="N54" s="100">
        <v>14</v>
      </c>
      <c r="O54" s="100">
        <v>4687.2</v>
      </c>
      <c r="P54" s="100">
        <v>17</v>
      </c>
      <c r="Q54" s="100">
        <v>5691.6</v>
      </c>
      <c r="R54" s="100">
        <v>19</v>
      </c>
      <c r="S54" s="100">
        <v>6361.2</v>
      </c>
      <c r="T54" s="100">
        <v>15</v>
      </c>
      <c r="U54" s="100">
        <v>5022</v>
      </c>
      <c r="V54" s="100">
        <v>17</v>
      </c>
      <c r="W54" s="100">
        <v>5691.6</v>
      </c>
      <c r="X54" s="100">
        <v>12</v>
      </c>
      <c r="Y54" s="100">
        <v>4017.6000000000004</v>
      </c>
      <c r="Z54" s="100">
        <v>15</v>
      </c>
      <c r="AA54" s="100">
        <v>5022</v>
      </c>
      <c r="AB54" s="100">
        <v>14</v>
      </c>
      <c r="AC54" s="100">
        <v>4687.2</v>
      </c>
      <c r="AD54" s="100">
        <v>8</v>
      </c>
      <c r="AE54" s="100">
        <v>2678.4</v>
      </c>
      <c r="AF54" s="100">
        <v>10</v>
      </c>
      <c r="AG54" s="100">
        <v>3348</v>
      </c>
      <c r="AH54" s="100">
        <v>16</v>
      </c>
      <c r="AI54" s="100">
        <v>5356.8</v>
      </c>
      <c r="AJ54" s="100">
        <v>14</v>
      </c>
      <c r="AK54" s="100">
        <v>4687.2</v>
      </c>
      <c r="AL54" s="100">
        <v>13</v>
      </c>
      <c r="AM54" s="100">
        <v>4352.4000000000005</v>
      </c>
      <c r="AN54" s="100">
        <v>11</v>
      </c>
      <c r="AO54" s="100">
        <v>3682.8</v>
      </c>
      <c r="AP54" s="100">
        <v>18</v>
      </c>
      <c r="AQ54" s="100">
        <v>6026.4000000000005</v>
      </c>
      <c r="AR54" s="100">
        <v>12</v>
      </c>
      <c r="AS54" s="100">
        <v>4017.6000000000004</v>
      </c>
      <c r="AT54" s="100">
        <v>10</v>
      </c>
      <c r="AU54" s="100">
        <v>3348</v>
      </c>
      <c r="AV54" s="100">
        <v>11</v>
      </c>
      <c r="AW54" s="100">
        <v>3682.8</v>
      </c>
      <c r="AX54" s="100">
        <v>12.993496490504517</v>
      </c>
      <c r="AY54" s="100">
        <v>4350.2226250209123</v>
      </c>
      <c r="AZ54" s="100">
        <v>11</v>
      </c>
      <c r="BA54" s="100">
        <v>3682.8</v>
      </c>
      <c r="BB54" s="100">
        <v>15</v>
      </c>
      <c r="BC54" s="100">
        <v>5022</v>
      </c>
      <c r="BD54" s="100">
        <v>17</v>
      </c>
      <c r="BE54" s="100">
        <v>5691.6</v>
      </c>
      <c r="BF54" s="100">
        <v>8</v>
      </c>
      <c r="BG54" s="100">
        <v>2678.4</v>
      </c>
      <c r="BH54" s="100">
        <v>11</v>
      </c>
      <c r="BI54" s="100">
        <v>3682.8</v>
      </c>
      <c r="BJ54" s="100">
        <v>14</v>
      </c>
      <c r="BK54" s="100">
        <v>4687.2</v>
      </c>
      <c r="BL54" s="100">
        <v>18</v>
      </c>
      <c r="BM54" s="100">
        <v>6026.4000000000005</v>
      </c>
      <c r="BN54" s="100">
        <v>13.316792482948852</v>
      </c>
      <c r="BO54" s="100">
        <v>4458.4621232912759</v>
      </c>
      <c r="BP54" s="100">
        <v>10</v>
      </c>
      <c r="BQ54" s="100">
        <v>3348</v>
      </c>
      <c r="BR54" s="100">
        <v>14.918053884570678</v>
      </c>
      <c r="BS54" s="100">
        <v>4994.5644405542635</v>
      </c>
      <c r="BT54" s="100">
        <v>15.474435485577841</v>
      </c>
      <c r="BU54" s="100">
        <v>5180.8410005714613</v>
      </c>
      <c r="BV54" s="100">
        <v>17</v>
      </c>
      <c r="BW54" s="100">
        <v>5691.6</v>
      </c>
      <c r="BX54" s="100">
        <v>12.459087970226337</v>
      </c>
      <c r="BY54" s="100">
        <v>4171.3026524317775</v>
      </c>
      <c r="BZ54" s="100">
        <v>11.922127968448336</v>
      </c>
      <c r="CA54" s="100">
        <v>3991.5284438365034</v>
      </c>
      <c r="CB54" s="100">
        <v>15.801467048502431</v>
      </c>
      <c r="CC54" s="100">
        <v>5290.3311678386144</v>
      </c>
      <c r="CD54" s="100">
        <v>12.749652589341443</v>
      </c>
      <c r="CE54" s="100">
        <v>4268.5836869115155</v>
      </c>
      <c r="CF54" s="100">
        <v>11.524054672083199</v>
      </c>
      <c r="CG54" s="100">
        <v>3858.2535042134555</v>
      </c>
      <c r="CH54" s="100">
        <v>11.418329399862253</v>
      </c>
      <c r="CI54" s="100">
        <v>3822.8566830738828</v>
      </c>
      <c r="CJ54" s="100">
        <v>14.488341239960146</v>
      </c>
      <c r="CK54" s="100">
        <v>4850.6966471386568</v>
      </c>
      <c r="CL54" s="100">
        <v>14.463468551136179</v>
      </c>
      <c r="CM54" s="100">
        <v>4842.3692709203933</v>
      </c>
      <c r="CN54" s="100">
        <v>13.257231205408065</v>
      </c>
      <c r="CO54" s="100">
        <v>4438.52100757062</v>
      </c>
      <c r="CP54" s="100">
        <v>8.8275046427460442</v>
      </c>
      <c r="CQ54" s="100">
        <v>2955.4485543913756</v>
      </c>
      <c r="CR54" s="100">
        <v>11.273377026365065</v>
      </c>
      <c r="CS54" s="100">
        <v>3774.3266284270239</v>
      </c>
      <c r="CT54" s="100">
        <v>9</v>
      </c>
      <c r="CU54" s="100">
        <v>3013.2000000000003</v>
      </c>
    </row>
    <row r="55" spans="2:99">
      <c r="C55" s="99" t="s">
        <v>221</v>
      </c>
      <c r="D55" s="100">
        <v>17</v>
      </c>
      <c r="E55" s="100">
        <v>11281.2</v>
      </c>
      <c r="F55" s="100">
        <v>18</v>
      </c>
      <c r="G55" s="100">
        <v>11944.800000000001</v>
      </c>
      <c r="H55" s="100">
        <v>11</v>
      </c>
      <c r="I55" s="100">
        <v>7299.6</v>
      </c>
      <c r="J55" s="100">
        <v>12</v>
      </c>
      <c r="K55" s="100">
        <v>7963.2000000000007</v>
      </c>
      <c r="L55" s="100">
        <v>11</v>
      </c>
      <c r="M55" s="100">
        <v>7299.6</v>
      </c>
      <c r="N55" s="100">
        <v>12</v>
      </c>
      <c r="O55" s="100">
        <v>7963.2000000000007</v>
      </c>
      <c r="P55" s="100">
        <v>15</v>
      </c>
      <c r="Q55" s="100">
        <v>9954</v>
      </c>
      <c r="R55" s="100">
        <v>18</v>
      </c>
      <c r="S55" s="100">
        <v>11944.800000000001</v>
      </c>
      <c r="T55" s="100">
        <v>14</v>
      </c>
      <c r="U55" s="100">
        <v>9290.4</v>
      </c>
      <c r="V55" s="100">
        <v>17</v>
      </c>
      <c r="W55" s="100">
        <v>11281.2</v>
      </c>
      <c r="X55" s="100">
        <v>13</v>
      </c>
      <c r="Y55" s="100">
        <v>8626.8000000000011</v>
      </c>
      <c r="Z55" s="100">
        <v>14</v>
      </c>
      <c r="AA55" s="100">
        <v>9290.4</v>
      </c>
      <c r="AB55" s="100">
        <v>13</v>
      </c>
      <c r="AC55" s="100">
        <v>8626.8000000000011</v>
      </c>
      <c r="AD55" s="100">
        <v>8</v>
      </c>
      <c r="AE55" s="100">
        <v>5308.8</v>
      </c>
      <c r="AF55" s="100">
        <v>12</v>
      </c>
      <c r="AG55" s="100">
        <v>7963.2000000000007</v>
      </c>
      <c r="AH55" s="100">
        <v>15</v>
      </c>
      <c r="AI55" s="100">
        <v>9954</v>
      </c>
      <c r="AJ55" s="100">
        <v>13</v>
      </c>
      <c r="AK55" s="100">
        <v>8626.8000000000011</v>
      </c>
      <c r="AL55" s="100">
        <v>13</v>
      </c>
      <c r="AM55" s="100">
        <v>8626.8000000000011</v>
      </c>
      <c r="AN55" s="100">
        <v>11</v>
      </c>
      <c r="AO55" s="100">
        <v>7299.6</v>
      </c>
      <c r="AP55" s="100">
        <v>16</v>
      </c>
      <c r="AQ55" s="100">
        <v>10617.6</v>
      </c>
      <c r="AR55" s="100">
        <v>11</v>
      </c>
      <c r="AS55" s="100">
        <v>7299.6</v>
      </c>
      <c r="AT55" s="100">
        <v>11</v>
      </c>
      <c r="AU55" s="100">
        <v>7299.6</v>
      </c>
      <c r="AV55" s="100">
        <v>10</v>
      </c>
      <c r="AW55" s="100">
        <v>6636</v>
      </c>
      <c r="AX55" s="100">
        <v>11.261030291770583</v>
      </c>
      <c r="AY55" s="100">
        <v>7472.8197016189588</v>
      </c>
      <c r="AZ55" s="100">
        <v>11</v>
      </c>
      <c r="BA55" s="100">
        <v>7299.6</v>
      </c>
      <c r="BB55" s="100">
        <v>13</v>
      </c>
      <c r="BC55" s="100">
        <v>8626.8000000000011</v>
      </c>
      <c r="BD55" s="100">
        <v>16</v>
      </c>
      <c r="BE55" s="100">
        <v>10617.6</v>
      </c>
      <c r="BF55" s="100">
        <v>8</v>
      </c>
      <c r="BG55" s="100">
        <v>5308.8</v>
      </c>
      <c r="BH55" s="100">
        <v>12</v>
      </c>
      <c r="BI55" s="100">
        <v>7963.2000000000007</v>
      </c>
      <c r="BJ55" s="100">
        <v>12</v>
      </c>
      <c r="BK55" s="100">
        <v>7963.2000000000007</v>
      </c>
      <c r="BL55" s="100">
        <v>15</v>
      </c>
      <c r="BM55" s="100">
        <v>9954</v>
      </c>
      <c r="BN55" s="100">
        <v>13.316792482948852</v>
      </c>
      <c r="BO55" s="100">
        <v>8837.0234916848585</v>
      </c>
      <c r="BP55" s="100">
        <v>10</v>
      </c>
      <c r="BQ55" s="100">
        <v>6636</v>
      </c>
      <c r="BR55" s="100">
        <v>14.040521303125345</v>
      </c>
      <c r="BS55" s="100">
        <v>9317.2899367539794</v>
      </c>
      <c r="BT55" s="100">
        <v>14.614744625267962</v>
      </c>
      <c r="BU55" s="100">
        <v>9698.3445333278196</v>
      </c>
      <c r="BV55" s="100">
        <v>14</v>
      </c>
      <c r="BW55" s="100">
        <v>9290.4</v>
      </c>
      <c r="BX55" s="100">
        <v>13.349022825242503</v>
      </c>
      <c r="BY55" s="100">
        <v>8858.4115468309265</v>
      </c>
      <c r="BZ55" s="100">
        <v>11.922127968448336</v>
      </c>
      <c r="CA55" s="100">
        <v>7911.5241198623162</v>
      </c>
      <c r="CB55" s="100">
        <v>13.012972863472591</v>
      </c>
      <c r="CC55" s="100">
        <v>8635.408792200411</v>
      </c>
      <c r="CD55" s="100">
        <v>11.899675750052014</v>
      </c>
      <c r="CE55" s="100">
        <v>7896.6248277345167</v>
      </c>
      <c r="CF55" s="100">
        <v>11.524054672083199</v>
      </c>
      <c r="CG55" s="100">
        <v>7647.3626803944117</v>
      </c>
      <c r="CH55" s="100">
        <v>10.539996369103617</v>
      </c>
      <c r="CI55" s="100">
        <v>6994.3415905371603</v>
      </c>
      <c r="CJ55" s="100">
        <v>12.677298584965127</v>
      </c>
      <c r="CK55" s="100">
        <v>8412.6553409828593</v>
      </c>
      <c r="CL55" s="100">
        <v>12.655534982244159</v>
      </c>
      <c r="CM55" s="100">
        <v>8398.2130142172246</v>
      </c>
      <c r="CN55" s="100">
        <v>14.914385106084072</v>
      </c>
      <c r="CO55" s="100">
        <v>9897.1859563973903</v>
      </c>
      <c r="CP55" s="100">
        <v>7.0620037141968357</v>
      </c>
      <c r="CQ55" s="100">
        <v>4686.3456647410203</v>
      </c>
      <c r="CR55" s="100">
        <v>9.3944808553042201</v>
      </c>
      <c r="CS55" s="100">
        <v>6234.177495579881</v>
      </c>
      <c r="CT55" s="100">
        <v>10</v>
      </c>
      <c r="CU55" s="100">
        <v>6636</v>
      </c>
    </row>
    <row r="56" spans="2:99">
      <c r="C56" s="99" t="s">
        <v>222</v>
      </c>
      <c r="D56" s="100">
        <v>18</v>
      </c>
      <c r="E56" s="100">
        <v>17668.8</v>
      </c>
      <c r="F56" s="100">
        <v>16</v>
      </c>
      <c r="G56" s="100">
        <v>15705.599999999999</v>
      </c>
      <c r="H56" s="100">
        <v>10</v>
      </c>
      <c r="I56" s="100">
        <v>9816</v>
      </c>
      <c r="J56" s="100">
        <v>9</v>
      </c>
      <c r="K56" s="100">
        <v>8834.4</v>
      </c>
      <c r="L56" s="100">
        <v>10</v>
      </c>
      <c r="M56" s="100">
        <v>9816</v>
      </c>
      <c r="N56" s="100">
        <v>13</v>
      </c>
      <c r="O56" s="100">
        <v>12760.8</v>
      </c>
      <c r="P56" s="100">
        <v>16</v>
      </c>
      <c r="Q56" s="100">
        <v>15705.599999999999</v>
      </c>
      <c r="R56" s="100">
        <v>16</v>
      </c>
      <c r="S56" s="100">
        <v>15705.599999999999</v>
      </c>
      <c r="T56" s="100">
        <v>13</v>
      </c>
      <c r="U56" s="100">
        <v>12760.8</v>
      </c>
      <c r="V56" s="100">
        <v>16</v>
      </c>
      <c r="W56" s="100">
        <v>15705.599999999999</v>
      </c>
      <c r="X56" s="100">
        <v>11</v>
      </c>
      <c r="Y56" s="100">
        <v>10797.599999999999</v>
      </c>
      <c r="Z56" s="100">
        <v>13</v>
      </c>
      <c r="AA56" s="100">
        <v>12760.8</v>
      </c>
      <c r="AB56" s="100">
        <v>14</v>
      </c>
      <c r="AC56" s="100">
        <v>13742.399999999998</v>
      </c>
      <c r="AD56" s="100">
        <v>9</v>
      </c>
      <c r="AE56" s="100">
        <v>8834.4</v>
      </c>
      <c r="AF56" s="100">
        <v>12</v>
      </c>
      <c r="AG56" s="100">
        <v>11779.199999999999</v>
      </c>
      <c r="AH56" s="100">
        <v>15</v>
      </c>
      <c r="AI56" s="100">
        <v>14723.999999999998</v>
      </c>
      <c r="AJ56" s="100">
        <v>12</v>
      </c>
      <c r="AK56" s="100">
        <v>11779.199999999999</v>
      </c>
      <c r="AL56" s="100">
        <v>13</v>
      </c>
      <c r="AM56" s="100">
        <v>12760.8</v>
      </c>
      <c r="AN56" s="100">
        <v>10</v>
      </c>
      <c r="AO56" s="100">
        <v>9816</v>
      </c>
      <c r="AP56" s="100">
        <v>15</v>
      </c>
      <c r="AQ56" s="100">
        <v>14723.999999999998</v>
      </c>
      <c r="AR56" s="100">
        <v>12</v>
      </c>
      <c r="AS56" s="100">
        <v>11779.199999999999</v>
      </c>
      <c r="AT56" s="100">
        <v>9</v>
      </c>
      <c r="AU56" s="100">
        <v>8834.4</v>
      </c>
      <c r="AV56" s="100">
        <v>10</v>
      </c>
      <c r="AW56" s="100">
        <v>9816</v>
      </c>
      <c r="AX56" s="100">
        <v>14</v>
      </c>
      <c r="AY56" s="100">
        <v>13742.399999999998</v>
      </c>
      <c r="AZ56" s="100">
        <v>12</v>
      </c>
      <c r="BA56" s="100">
        <v>11779.199999999999</v>
      </c>
      <c r="BB56" s="100">
        <v>13</v>
      </c>
      <c r="BC56" s="100">
        <v>12760.8</v>
      </c>
      <c r="BD56" s="100">
        <v>16</v>
      </c>
      <c r="BE56" s="100">
        <v>15705.599999999999</v>
      </c>
      <c r="BF56" s="100">
        <v>9</v>
      </c>
      <c r="BG56" s="100">
        <v>8834.4</v>
      </c>
      <c r="BH56" s="100">
        <v>11</v>
      </c>
      <c r="BI56" s="100">
        <v>10797.599999999999</v>
      </c>
      <c r="BJ56" s="100">
        <v>13</v>
      </c>
      <c r="BK56" s="100">
        <v>12760.8</v>
      </c>
      <c r="BL56" s="100">
        <v>14</v>
      </c>
      <c r="BM56" s="100">
        <v>13742.399999999998</v>
      </c>
      <c r="BN56" s="100">
        <v>14</v>
      </c>
      <c r="BO56" s="100">
        <v>13742.399999999998</v>
      </c>
      <c r="BP56" s="100">
        <v>9</v>
      </c>
      <c r="BQ56" s="100">
        <v>8834.4</v>
      </c>
      <c r="BR56" s="100">
        <v>17</v>
      </c>
      <c r="BS56" s="100">
        <v>16687.199999999997</v>
      </c>
      <c r="BT56" s="100">
        <v>17</v>
      </c>
      <c r="BU56" s="100">
        <v>16687.199999999997</v>
      </c>
      <c r="BV56" s="100">
        <v>16</v>
      </c>
      <c r="BW56" s="100">
        <v>15705.599999999999</v>
      </c>
      <c r="BX56" s="100">
        <v>15</v>
      </c>
      <c r="BY56" s="100">
        <v>14723.999999999998</v>
      </c>
      <c r="BZ56" s="100">
        <v>10</v>
      </c>
      <c r="CA56" s="100">
        <v>9816</v>
      </c>
      <c r="CB56" s="100">
        <v>14</v>
      </c>
      <c r="CC56" s="100">
        <v>13742.399999999998</v>
      </c>
      <c r="CD56" s="100">
        <v>12</v>
      </c>
      <c r="CE56" s="100">
        <v>11779.199999999999</v>
      </c>
      <c r="CF56" s="100">
        <v>14</v>
      </c>
      <c r="CG56" s="100">
        <v>13742.399999999998</v>
      </c>
      <c r="CH56" s="100">
        <v>12</v>
      </c>
      <c r="CI56" s="100">
        <v>11779.199999999999</v>
      </c>
      <c r="CJ56" s="100">
        <v>13</v>
      </c>
      <c r="CK56" s="100">
        <v>12760.8</v>
      </c>
      <c r="CL56" s="100">
        <v>14</v>
      </c>
      <c r="CM56" s="100">
        <v>13742.399999999998</v>
      </c>
      <c r="CN56" s="100">
        <v>17</v>
      </c>
      <c r="CO56" s="100">
        <v>16687.199999999997</v>
      </c>
      <c r="CP56" s="100">
        <v>8</v>
      </c>
      <c r="CQ56" s="100">
        <v>7852.7999999999993</v>
      </c>
      <c r="CR56" s="100">
        <v>10</v>
      </c>
      <c r="CS56" s="100">
        <v>9816</v>
      </c>
      <c r="CT56" s="100">
        <v>9</v>
      </c>
      <c r="CU56" s="100">
        <v>8834.4</v>
      </c>
    </row>
    <row r="57" spans="2:99">
      <c r="C57" s="99" t="s">
        <v>223</v>
      </c>
      <c r="D57" s="100">
        <v>16</v>
      </c>
      <c r="E57" s="100">
        <v>22579.200000000001</v>
      </c>
      <c r="F57" s="100">
        <v>14</v>
      </c>
      <c r="G57" s="100">
        <v>19756.8</v>
      </c>
      <c r="H57" s="100">
        <v>10</v>
      </c>
      <c r="I57" s="100">
        <v>14112</v>
      </c>
      <c r="J57" s="100">
        <v>9</v>
      </c>
      <c r="K57" s="100">
        <v>12700.800000000001</v>
      </c>
      <c r="L57" s="100">
        <v>9</v>
      </c>
      <c r="M57" s="100">
        <v>12700.800000000001</v>
      </c>
      <c r="N57" s="100">
        <v>12</v>
      </c>
      <c r="O57" s="100">
        <v>16934.400000000001</v>
      </c>
      <c r="P57" s="100">
        <v>16</v>
      </c>
      <c r="Q57" s="100">
        <v>22579.200000000001</v>
      </c>
      <c r="R57" s="100">
        <v>15</v>
      </c>
      <c r="S57" s="100">
        <v>21168</v>
      </c>
      <c r="T57" s="100">
        <v>14</v>
      </c>
      <c r="U57" s="100">
        <v>19756.8</v>
      </c>
      <c r="V57" s="100">
        <v>14</v>
      </c>
      <c r="W57" s="100">
        <v>19756.8</v>
      </c>
      <c r="X57" s="100">
        <v>11</v>
      </c>
      <c r="Y57" s="100">
        <v>15523.2</v>
      </c>
      <c r="Z57" s="100">
        <v>14</v>
      </c>
      <c r="AA57" s="100">
        <v>19756.8</v>
      </c>
      <c r="AB57" s="100">
        <v>12</v>
      </c>
      <c r="AC57" s="100">
        <v>16934.400000000001</v>
      </c>
      <c r="AD57" s="100">
        <v>9</v>
      </c>
      <c r="AE57" s="100">
        <v>12700.800000000001</v>
      </c>
      <c r="AF57" s="100">
        <v>10</v>
      </c>
      <c r="AG57" s="100">
        <v>14112</v>
      </c>
      <c r="AH57" s="100">
        <v>15</v>
      </c>
      <c r="AI57" s="100">
        <v>21168</v>
      </c>
      <c r="AJ57" s="100">
        <v>11</v>
      </c>
      <c r="AK57" s="100">
        <v>15523.2</v>
      </c>
      <c r="AL57" s="100">
        <v>12</v>
      </c>
      <c r="AM57" s="100">
        <v>16934.400000000001</v>
      </c>
      <c r="AN57" s="100">
        <v>11</v>
      </c>
      <c r="AO57" s="100">
        <v>15523.2</v>
      </c>
      <c r="AP57" s="100">
        <v>14</v>
      </c>
      <c r="AQ57" s="100">
        <v>19756.8</v>
      </c>
      <c r="AR57" s="100">
        <v>13</v>
      </c>
      <c r="AS57" s="100">
        <v>18345.600000000002</v>
      </c>
      <c r="AT57" s="100">
        <v>9</v>
      </c>
      <c r="AU57" s="100">
        <v>12700.800000000001</v>
      </c>
      <c r="AV57" s="100">
        <v>9</v>
      </c>
      <c r="AW57" s="100">
        <v>12700.800000000001</v>
      </c>
      <c r="AX57" s="100">
        <v>11.261030291770583</v>
      </c>
      <c r="AY57" s="100">
        <v>15891.565947746647</v>
      </c>
      <c r="AZ57" s="100">
        <v>9</v>
      </c>
      <c r="BA57" s="100">
        <v>12700.800000000001</v>
      </c>
      <c r="BB57" s="100">
        <v>13</v>
      </c>
      <c r="BC57" s="100">
        <v>18345.600000000002</v>
      </c>
      <c r="BD57" s="100">
        <v>15</v>
      </c>
      <c r="BE57" s="100">
        <v>21168</v>
      </c>
      <c r="BF57" s="100">
        <v>7</v>
      </c>
      <c r="BG57" s="100">
        <v>9878.4</v>
      </c>
      <c r="BH57" s="100">
        <v>11</v>
      </c>
      <c r="BI57" s="100">
        <v>15523.2</v>
      </c>
      <c r="BJ57" s="100">
        <v>12</v>
      </c>
      <c r="BK57" s="100">
        <v>16934.400000000001</v>
      </c>
      <c r="BL57" s="100">
        <v>15</v>
      </c>
      <c r="BM57" s="100">
        <v>21168</v>
      </c>
      <c r="BN57" s="100">
        <v>11.414393556813302</v>
      </c>
      <c r="BO57" s="100">
        <v>16107.992187374932</v>
      </c>
      <c r="BP57" s="100">
        <v>9</v>
      </c>
      <c r="BQ57" s="100">
        <v>12700.800000000001</v>
      </c>
      <c r="BR57" s="100">
        <v>14.040521303125345</v>
      </c>
      <c r="BS57" s="100">
        <v>19813.983662970488</v>
      </c>
      <c r="BT57" s="100">
        <v>12.8953629046482</v>
      </c>
      <c r="BU57" s="100">
        <v>18197.93613103954</v>
      </c>
      <c r="BV57" s="100">
        <v>14</v>
      </c>
      <c r="BW57" s="100">
        <v>19756.8</v>
      </c>
      <c r="BX57" s="100">
        <v>11.56915311521017</v>
      </c>
      <c r="BY57" s="100">
        <v>16326.388876184594</v>
      </c>
      <c r="BZ57" s="100">
        <v>9.9351066403736148</v>
      </c>
      <c r="CA57" s="100">
        <v>14020.422490895246</v>
      </c>
      <c r="CB57" s="100">
        <v>14.871968986825816</v>
      </c>
      <c r="CC57" s="100">
        <v>20987.322634208595</v>
      </c>
      <c r="CD57" s="100">
        <v>11.049698910762583</v>
      </c>
      <c r="CE57" s="100">
        <v>15593.335102868157</v>
      </c>
      <c r="CF57" s="100">
        <v>9.7511231840703996</v>
      </c>
      <c r="CG57" s="100">
        <v>13760.785037360149</v>
      </c>
      <c r="CH57" s="100">
        <v>8.7833303075863487</v>
      </c>
      <c r="CI57" s="100">
        <v>12395.035730065856</v>
      </c>
      <c r="CJ57" s="100">
        <v>12.677298584965127</v>
      </c>
      <c r="CK57" s="100">
        <v>17890.203763102789</v>
      </c>
      <c r="CL57" s="100">
        <v>12.655534982244159</v>
      </c>
      <c r="CM57" s="100">
        <v>17859.490966942958</v>
      </c>
      <c r="CN57" s="100">
        <v>12.428654255070061</v>
      </c>
      <c r="CO57" s="100">
        <v>17539.31688475487</v>
      </c>
      <c r="CP57" s="100">
        <v>7.9447541784714408</v>
      </c>
      <c r="CQ57" s="100">
        <v>11211.637096658898</v>
      </c>
      <c r="CR57" s="100">
        <v>9.3944808553042201</v>
      </c>
      <c r="CS57" s="100">
        <v>13257.491383005316</v>
      </c>
      <c r="CT57" s="100">
        <v>8</v>
      </c>
      <c r="CU57" s="100">
        <v>11289.6</v>
      </c>
    </row>
    <row r="58" spans="2:99">
      <c r="C58" s="99" t="s">
        <v>224</v>
      </c>
      <c r="D58" s="100">
        <v>17</v>
      </c>
      <c r="E58" s="100">
        <v>20012.400000000001</v>
      </c>
      <c r="F58" s="100">
        <v>15</v>
      </c>
      <c r="G58" s="100">
        <v>17658</v>
      </c>
      <c r="H58" s="100">
        <v>9</v>
      </c>
      <c r="I58" s="100">
        <v>10594.800000000001</v>
      </c>
      <c r="J58" s="100">
        <v>10</v>
      </c>
      <c r="K58" s="100">
        <v>11772</v>
      </c>
      <c r="L58" s="100">
        <v>11</v>
      </c>
      <c r="M58" s="100">
        <v>12949.2</v>
      </c>
      <c r="N58" s="100">
        <v>12</v>
      </c>
      <c r="O58" s="100">
        <v>14126.400000000001</v>
      </c>
      <c r="P58" s="100">
        <v>16</v>
      </c>
      <c r="Q58" s="100">
        <v>18835.2</v>
      </c>
      <c r="R58" s="100">
        <v>16</v>
      </c>
      <c r="S58" s="100">
        <v>18835.2</v>
      </c>
      <c r="T58" s="100">
        <v>14</v>
      </c>
      <c r="U58" s="100">
        <v>16480.8</v>
      </c>
      <c r="V58" s="100">
        <v>16</v>
      </c>
      <c r="W58" s="100">
        <v>18835.2</v>
      </c>
      <c r="X58" s="100">
        <v>11</v>
      </c>
      <c r="Y58" s="100">
        <v>12949.2</v>
      </c>
      <c r="Z58" s="100">
        <v>13</v>
      </c>
      <c r="AA58" s="100">
        <v>15303.6</v>
      </c>
      <c r="AB58" s="100">
        <v>13</v>
      </c>
      <c r="AC58" s="100">
        <v>15303.6</v>
      </c>
      <c r="AD58" s="100">
        <v>8</v>
      </c>
      <c r="AE58" s="100">
        <v>9417.6</v>
      </c>
      <c r="AF58" s="100">
        <v>11</v>
      </c>
      <c r="AG58" s="100">
        <v>12949.2</v>
      </c>
      <c r="AH58" s="100">
        <v>15</v>
      </c>
      <c r="AI58" s="100">
        <v>17658</v>
      </c>
      <c r="AJ58" s="100">
        <v>12</v>
      </c>
      <c r="AK58" s="100">
        <v>14126.400000000001</v>
      </c>
      <c r="AL58" s="100">
        <v>11.721311475409836</v>
      </c>
      <c r="AM58" s="100">
        <v>13798.327868852459</v>
      </c>
      <c r="AN58" s="100">
        <v>7.0224719101123592</v>
      </c>
      <c r="AO58" s="100">
        <v>8266.8539325842703</v>
      </c>
      <c r="AP58" s="100">
        <v>16</v>
      </c>
      <c r="AQ58" s="100">
        <v>18835.2</v>
      </c>
      <c r="AR58" s="100">
        <v>11.167785234899329</v>
      </c>
      <c r="AS58" s="100">
        <v>13146.716778523491</v>
      </c>
      <c r="AT58" s="100">
        <v>8.5034013605442187</v>
      </c>
      <c r="AU58" s="100">
        <v>10010.204081632655</v>
      </c>
      <c r="AV58" s="100">
        <v>6.9444444444444438</v>
      </c>
      <c r="AW58" s="100">
        <v>8174.9999999999991</v>
      </c>
      <c r="AX58" s="100">
        <v>10.869565217391305</v>
      </c>
      <c r="AY58" s="100">
        <v>12795.652173913044</v>
      </c>
      <c r="AZ58" s="100">
        <v>9.4827586206896548</v>
      </c>
      <c r="BA58" s="100">
        <v>11163.103448275862</v>
      </c>
      <c r="BB58" s="100">
        <v>10.670731707317074</v>
      </c>
      <c r="BC58" s="100">
        <v>12561.58536585366</v>
      </c>
      <c r="BD58" s="100">
        <v>9.6153846153846168</v>
      </c>
      <c r="BE58" s="100">
        <v>11319.230769230771</v>
      </c>
      <c r="BF58" s="100">
        <v>8</v>
      </c>
      <c r="BG58" s="100">
        <v>9417.6</v>
      </c>
      <c r="BH58" s="100">
        <v>8.0546448087431699</v>
      </c>
      <c r="BI58" s="100">
        <v>9481.9278688524591</v>
      </c>
      <c r="BJ58" s="100">
        <v>8.6206896551724128</v>
      </c>
      <c r="BK58" s="100">
        <v>10148.275862068966</v>
      </c>
      <c r="BL58" s="100">
        <v>14.705882352941176</v>
      </c>
      <c r="BM58" s="100">
        <v>17311.764705882353</v>
      </c>
      <c r="BN58" s="100">
        <v>10.030864197530864</v>
      </c>
      <c r="BO58" s="100">
        <v>11808.333333333334</v>
      </c>
      <c r="BP58" s="100">
        <v>8.223684210526315</v>
      </c>
      <c r="BQ58" s="100">
        <v>9680.9210526315783</v>
      </c>
      <c r="BR58" s="100">
        <v>11.74496644295302</v>
      </c>
      <c r="BS58" s="100">
        <v>13826.174496644295</v>
      </c>
      <c r="BT58" s="100">
        <v>14.763779527559056</v>
      </c>
      <c r="BU58" s="100">
        <v>17379.921259842522</v>
      </c>
      <c r="BV58" s="100">
        <v>9.6153846153846168</v>
      </c>
      <c r="BW58" s="100">
        <v>11319.230769230771</v>
      </c>
      <c r="BX58" s="100">
        <v>12</v>
      </c>
      <c r="BY58" s="100">
        <v>14126.400000000001</v>
      </c>
      <c r="BZ58" s="100">
        <v>10</v>
      </c>
      <c r="CA58" s="100">
        <v>11772</v>
      </c>
      <c r="CB58" s="100">
        <v>14.444444444444443</v>
      </c>
      <c r="CC58" s="100">
        <v>17004</v>
      </c>
      <c r="CD58" s="100">
        <v>14</v>
      </c>
      <c r="CE58" s="100">
        <v>16480.8</v>
      </c>
      <c r="CF58" s="100">
        <v>0.76363636363636367</v>
      </c>
      <c r="CG58" s="100">
        <v>898.95272727272732</v>
      </c>
      <c r="CH58" s="100">
        <v>9.9971265993620008E-20</v>
      </c>
      <c r="CI58" s="100">
        <v>1.1768617432768947E-16</v>
      </c>
      <c r="CJ58" s="100">
        <v>8.1742887009028333E-20</v>
      </c>
      <c r="CK58" s="100">
        <v>9.6227726587028154E-17</v>
      </c>
      <c r="CL58" s="100">
        <v>5.6302498705198079E-20</v>
      </c>
      <c r="CM58" s="100">
        <v>6.6279301475759176E-17</v>
      </c>
      <c r="CN58" s="100">
        <v>11.513157894736841</v>
      </c>
      <c r="CO58" s="100">
        <v>13553.28947368421</v>
      </c>
      <c r="CP58" s="100">
        <v>7.4013157894736841</v>
      </c>
      <c r="CQ58" s="100">
        <v>8712.8289473684217</v>
      </c>
      <c r="CR58" s="100">
        <v>7.5301204819277112</v>
      </c>
      <c r="CS58" s="100">
        <v>8864.4578313253023</v>
      </c>
      <c r="CT58" s="100">
        <v>8.8652482269503547</v>
      </c>
      <c r="CU58" s="100">
        <v>10436.170212765957</v>
      </c>
    </row>
    <row r="59" spans="2:99">
      <c r="C59" s="99" t="s">
        <v>225</v>
      </c>
      <c r="D59" s="100">
        <v>18</v>
      </c>
      <c r="E59" s="100">
        <v>5464.7999999999993</v>
      </c>
      <c r="F59" s="100">
        <v>15</v>
      </c>
      <c r="G59" s="100">
        <v>4553.9999999999991</v>
      </c>
      <c r="H59" s="100">
        <v>12</v>
      </c>
      <c r="I59" s="100">
        <v>3643.2</v>
      </c>
      <c r="J59" s="100">
        <v>11</v>
      </c>
      <c r="K59" s="100">
        <v>3339.5999999999995</v>
      </c>
      <c r="L59" s="100">
        <v>12</v>
      </c>
      <c r="M59" s="100">
        <v>3643.2</v>
      </c>
      <c r="N59" s="100">
        <v>14</v>
      </c>
      <c r="O59" s="100">
        <v>4250.3999999999996</v>
      </c>
      <c r="P59" s="100">
        <v>18</v>
      </c>
      <c r="Q59" s="100">
        <v>5464.7999999999993</v>
      </c>
      <c r="R59" s="100">
        <v>17</v>
      </c>
      <c r="S59" s="100">
        <v>5161.2</v>
      </c>
      <c r="T59" s="100">
        <v>15</v>
      </c>
      <c r="U59" s="100">
        <v>4553.9999999999991</v>
      </c>
      <c r="V59" s="100">
        <v>16</v>
      </c>
      <c r="W59" s="100">
        <v>4857.5999999999995</v>
      </c>
      <c r="X59" s="100">
        <v>12</v>
      </c>
      <c r="Y59" s="100">
        <v>3643.2</v>
      </c>
      <c r="Z59" s="100">
        <v>16</v>
      </c>
      <c r="AA59" s="100">
        <v>4857.5999999999995</v>
      </c>
      <c r="AB59" s="100">
        <v>15</v>
      </c>
      <c r="AC59" s="100">
        <v>4553.9999999999991</v>
      </c>
      <c r="AD59" s="100">
        <v>10</v>
      </c>
      <c r="AE59" s="100">
        <v>3035.9999999999995</v>
      </c>
      <c r="AF59" s="100">
        <v>13</v>
      </c>
      <c r="AG59" s="100">
        <v>3946.7999999999997</v>
      </c>
      <c r="AH59" s="100">
        <v>18</v>
      </c>
      <c r="AI59" s="100">
        <v>5464.7999999999993</v>
      </c>
      <c r="AJ59" s="100">
        <v>14</v>
      </c>
      <c r="AK59" s="100">
        <v>4250.3999999999996</v>
      </c>
      <c r="AL59" s="100">
        <v>13</v>
      </c>
      <c r="AM59" s="100">
        <v>3946.7999999999997</v>
      </c>
      <c r="AN59" s="100">
        <v>12</v>
      </c>
      <c r="AO59" s="100">
        <v>3643.2</v>
      </c>
      <c r="AP59" s="100">
        <v>16</v>
      </c>
      <c r="AQ59" s="100">
        <v>4857.5999999999995</v>
      </c>
      <c r="AR59" s="100">
        <v>14</v>
      </c>
      <c r="AS59" s="100">
        <v>4250.3999999999996</v>
      </c>
      <c r="AT59" s="100">
        <v>10</v>
      </c>
      <c r="AU59" s="100">
        <v>3035.9999999999995</v>
      </c>
      <c r="AV59" s="100">
        <v>11</v>
      </c>
      <c r="AW59" s="100">
        <v>3339.5999999999995</v>
      </c>
      <c r="AX59" s="100">
        <v>12.12726339113755</v>
      </c>
      <c r="AY59" s="100">
        <v>3681.8371655493597</v>
      </c>
      <c r="AZ59" s="100">
        <v>11</v>
      </c>
      <c r="BA59" s="100">
        <v>3339.5999999999995</v>
      </c>
      <c r="BB59" s="100">
        <v>14</v>
      </c>
      <c r="BC59" s="100">
        <v>4250.3999999999996</v>
      </c>
      <c r="BD59" s="100">
        <v>17</v>
      </c>
      <c r="BE59" s="100">
        <v>5161.2</v>
      </c>
      <c r="BF59" s="100">
        <v>10</v>
      </c>
      <c r="BG59" s="100">
        <v>3035.9999999999995</v>
      </c>
      <c r="BH59" s="100">
        <v>11</v>
      </c>
      <c r="BI59" s="100">
        <v>3339.5999999999995</v>
      </c>
      <c r="BJ59" s="100">
        <v>15</v>
      </c>
      <c r="BK59" s="100">
        <v>4553.9999999999991</v>
      </c>
      <c r="BL59" s="100">
        <v>16</v>
      </c>
      <c r="BM59" s="100">
        <v>4857.5999999999995</v>
      </c>
      <c r="BN59" s="100">
        <v>14.267991946016625</v>
      </c>
      <c r="BO59" s="100">
        <v>4331.7623548106467</v>
      </c>
      <c r="BP59" s="100">
        <v>10</v>
      </c>
      <c r="BQ59" s="100">
        <v>3035.9999999999995</v>
      </c>
      <c r="BR59" s="100">
        <v>13.162988721680012</v>
      </c>
      <c r="BS59" s="100">
        <v>3996.2833759020514</v>
      </c>
      <c r="BT59" s="100">
        <v>12.8953629046482</v>
      </c>
      <c r="BU59" s="100">
        <v>3915.0321778511934</v>
      </c>
      <c r="BV59" s="100">
        <v>15</v>
      </c>
      <c r="BW59" s="100">
        <v>4553.9999999999991</v>
      </c>
      <c r="BX59" s="100">
        <v>13.349022825242503</v>
      </c>
      <c r="BY59" s="100">
        <v>4052.7633297436237</v>
      </c>
      <c r="BZ59" s="100">
        <v>11.922127968448336</v>
      </c>
      <c r="CA59" s="100">
        <v>3619.5580512209144</v>
      </c>
      <c r="CB59" s="100">
        <v>15.801467048502431</v>
      </c>
      <c r="CC59" s="100">
        <v>4797.3253959253379</v>
      </c>
      <c r="CD59" s="100">
        <v>12.749652589341443</v>
      </c>
      <c r="CE59" s="100">
        <v>3870.7945261240616</v>
      </c>
      <c r="CF59" s="100">
        <v>10.6375889280768</v>
      </c>
      <c r="CG59" s="100">
        <v>3229.5719985641163</v>
      </c>
      <c r="CH59" s="100">
        <v>9.661663338344983</v>
      </c>
      <c r="CI59" s="100">
        <v>2933.2809895215364</v>
      </c>
      <c r="CJ59" s="100">
        <v>13.582819912462638</v>
      </c>
      <c r="CK59" s="100">
        <v>4123.7441254236564</v>
      </c>
      <c r="CL59" s="100">
        <v>15.367435335582192</v>
      </c>
      <c r="CM59" s="100">
        <v>4665.5533678827533</v>
      </c>
      <c r="CN59" s="100">
        <v>13.257231205408065</v>
      </c>
      <c r="CO59" s="100">
        <v>4024.8953939618882</v>
      </c>
      <c r="CP59" s="100">
        <v>8.8275046427460442</v>
      </c>
      <c r="CQ59" s="100">
        <v>2680.0304095376987</v>
      </c>
      <c r="CR59" s="100">
        <v>10.333928940834644</v>
      </c>
      <c r="CS59" s="100">
        <v>3137.3808264373974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18</v>
      </c>
      <c r="E60" s="100">
        <v>11728.800000000001</v>
      </c>
      <c r="F60" s="100">
        <v>18</v>
      </c>
      <c r="G60" s="100">
        <v>11728.800000000001</v>
      </c>
      <c r="H60" s="100">
        <v>11</v>
      </c>
      <c r="I60" s="100">
        <v>7167.6</v>
      </c>
      <c r="J60" s="100">
        <v>10</v>
      </c>
      <c r="K60" s="100">
        <v>6516</v>
      </c>
      <c r="L60" s="100">
        <v>11</v>
      </c>
      <c r="M60" s="100">
        <v>7167.6</v>
      </c>
      <c r="N60" s="100">
        <v>12</v>
      </c>
      <c r="O60" s="100">
        <v>7819.2000000000007</v>
      </c>
      <c r="P60" s="100">
        <v>15</v>
      </c>
      <c r="Q60" s="100">
        <v>9774</v>
      </c>
      <c r="R60" s="100">
        <v>16</v>
      </c>
      <c r="S60" s="100">
        <v>10425.6</v>
      </c>
      <c r="T60" s="100">
        <v>16</v>
      </c>
      <c r="U60" s="100">
        <v>10425.6</v>
      </c>
      <c r="V60" s="100">
        <v>16</v>
      </c>
      <c r="W60" s="100">
        <v>10425.6</v>
      </c>
      <c r="X60" s="100">
        <v>13</v>
      </c>
      <c r="Y60" s="100">
        <v>8470.8000000000011</v>
      </c>
      <c r="Z60" s="100">
        <v>14</v>
      </c>
      <c r="AA60" s="100">
        <v>9122.4</v>
      </c>
      <c r="AB60" s="100">
        <v>14</v>
      </c>
      <c r="AC60" s="100">
        <v>9122.4</v>
      </c>
      <c r="AD60" s="100">
        <v>8</v>
      </c>
      <c r="AE60" s="100">
        <v>5212.8</v>
      </c>
      <c r="AF60" s="100">
        <v>12</v>
      </c>
      <c r="AG60" s="100">
        <v>7819.2000000000007</v>
      </c>
      <c r="AH60" s="100">
        <v>14</v>
      </c>
      <c r="AI60" s="100">
        <v>9122.4</v>
      </c>
      <c r="AJ60" s="100">
        <v>12</v>
      </c>
      <c r="AK60" s="100">
        <v>7819.2000000000007</v>
      </c>
      <c r="AL60" s="100">
        <v>13</v>
      </c>
      <c r="AM60" s="100">
        <v>8470.8000000000011</v>
      </c>
      <c r="AN60" s="100">
        <v>11</v>
      </c>
      <c r="AO60" s="100">
        <v>7167.6</v>
      </c>
      <c r="AP60" s="100">
        <v>15</v>
      </c>
      <c r="AQ60" s="100">
        <v>9774</v>
      </c>
      <c r="AR60" s="100">
        <v>12</v>
      </c>
      <c r="AS60" s="100">
        <v>7819.2000000000007</v>
      </c>
      <c r="AT60" s="100">
        <v>10</v>
      </c>
      <c r="AU60" s="100">
        <v>6516</v>
      </c>
      <c r="AV60" s="100">
        <v>10</v>
      </c>
      <c r="AW60" s="100">
        <v>6516</v>
      </c>
      <c r="AX60" s="100">
        <v>11.261030291770583</v>
      </c>
      <c r="AY60" s="100">
        <v>7337.687338117712</v>
      </c>
      <c r="AZ60" s="100">
        <v>12</v>
      </c>
      <c r="BA60" s="100">
        <v>7819.2000000000007</v>
      </c>
      <c r="BB60" s="100">
        <v>14</v>
      </c>
      <c r="BC60" s="100">
        <v>9122.4</v>
      </c>
      <c r="BD60" s="100">
        <v>16</v>
      </c>
      <c r="BE60" s="100">
        <v>10425.6</v>
      </c>
      <c r="BF60" s="100">
        <v>9</v>
      </c>
      <c r="BG60" s="100">
        <v>5864.4000000000005</v>
      </c>
      <c r="BH60" s="100">
        <v>12</v>
      </c>
      <c r="BI60" s="100">
        <v>7819.2000000000007</v>
      </c>
      <c r="BJ60" s="100">
        <v>14</v>
      </c>
      <c r="BK60" s="100">
        <v>9122.4</v>
      </c>
      <c r="BL60" s="100">
        <v>15</v>
      </c>
      <c r="BM60" s="100">
        <v>9774</v>
      </c>
      <c r="BN60" s="100">
        <v>13.316792482948852</v>
      </c>
      <c r="BO60" s="100">
        <v>8677.2219818894719</v>
      </c>
      <c r="BP60" s="100">
        <v>10</v>
      </c>
      <c r="BQ60" s="100">
        <v>6516</v>
      </c>
      <c r="BR60" s="100">
        <v>13.162988721680012</v>
      </c>
      <c r="BS60" s="100">
        <v>8577.0034510466958</v>
      </c>
      <c r="BT60" s="100">
        <v>12.8953629046482</v>
      </c>
      <c r="BU60" s="100">
        <v>8402.6184686687684</v>
      </c>
      <c r="BV60" s="100">
        <v>16</v>
      </c>
      <c r="BW60" s="100">
        <v>10425.6</v>
      </c>
      <c r="BX60" s="100">
        <v>14.23895768025867</v>
      </c>
      <c r="BY60" s="100">
        <v>9278.10482445655</v>
      </c>
      <c r="BZ60" s="100">
        <v>10.928617304410976</v>
      </c>
      <c r="CA60" s="100">
        <v>7121.087035554192</v>
      </c>
      <c r="CB60" s="100">
        <v>15.801467048502431</v>
      </c>
      <c r="CC60" s="100">
        <v>10296.235928804184</v>
      </c>
      <c r="CD60" s="100">
        <v>11.899675750052014</v>
      </c>
      <c r="CE60" s="100">
        <v>7753.8287187338919</v>
      </c>
      <c r="CF60" s="100">
        <v>11.524054672083199</v>
      </c>
      <c r="CG60" s="100">
        <v>7509.0740243294131</v>
      </c>
      <c r="CH60" s="100">
        <v>9.661663338344983</v>
      </c>
      <c r="CI60" s="100">
        <v>6295.5398312655916</v>
      </c>
      <c r="CJ60" s="100">
        <v>12.677298584965127</v>
      </c>
      <c r="CK60" s="100">
        <v>8260.5277579632766</v>
      </c>
      <c r="CL60" s="100">
        <v>13.55950176669017</v>
      </c>
      <c r="CM60" s="100">
        <v>8835.3713511753158</v>
      </c>
      <c r="CN60" s="100">
        <v>14.08580815574607</v>
      </c>
      <c r="CO60" s="100">
        <v>9178.3125942841398</v>
      </c>
      <c r="CP60" s="100">
        <v>7.9447541784714408</v>
      </c>
      <c r="CQ60" s="100">
        <v>5176.8018226919912</v>
      </c>
      <c r="CR60" s="100">
        <v>10.333928940834644</v>
      </c>
      <c r="CS60" s="100">
        <v>6733.5880978478544</v>
      </c>
      <c r="CT60" s="100">
        <v>10</v>
      </c>
      <c r="CU60" s="100">
        <v>6516</v>
      </c>
    </row>
    <row r="61" spans="2:99">
      <c r="C61" s="99" t="s">
        <v>227</v>
      </c>
      <c r="D61" s="100">
        <v>17</v>
      </c>
      <c r="E61" s="100">
        <v>16177.199999999999</v>
      </c>
      <c r="F61" s="100">
        <v>16</v>
      </c>
      <c r="G61" s="100">
        <v>15225.599999999999</v>
      </c>
      <c r="H61" s="100">
        <v>11</v>
      </c>
      <c r="I61" s="100">
        <v>10467.599999999999</v>
      </c>
      <c r="J61" s="100">
        <v>11</v>
      </c>
      <c r="K61" s="100">
        <v>10467.599999999999</v>
      </c>
      <c r="L61" s="100">
        <v>11</v>
      </c>
      <c r="M61" s="100">
        <v>10467.599999999999</v>
      </c>
      <c r="N61" s="100">
        <v>12</v>
      </c>
      <c r="O61" s="100">
        <v>11419.199999999999</v>
      </c>
      <c r="P61" s="100">
        <v>14</v>
      </c>
      <c r="Q61" s="100">
        <v>13322.399999999998</v>
      </c>
      <c r="R61" s="100">
        <v>16</v>
      </c>
      <c r="S61" s="100">
        <v>15225.599999999999</v>
      </c>
      <c r="T61" s="100">
        <v>14</v>
      </c>
      <c r="U61" s="100">
        <v>13322.399999999998</v>
      </c>
      <c r="V61" s="100">
        <v>15</v>
      </c>
      <c r="W61" s="100">
        <v>14273.999999999998</v>
      </c>
      <c r="X61" s="100">
        <v>12</v>
      </c>
      <c r="Y61" s="100">
        <v>11419.199999999999</v>
      </c>
      <c r="Z61" s="100">
        <v>13</v>
      </c>
      <c r="AA61" s="100">
        <v>12370.8</v>
      </c>
      <c r="AB61" s="100">
        <v>14</v>
      </c>
      <c r="AC61" s="100">
        <v>13322.399999999998</v>
      </c>
      <c r="AD61" s="100">
        <v>9</v>
      </c>
      <c r="AE61" s="100">
        <v>8564.4</v>
      </c>
      <c r="AF61" s="100">
        <v>10</v>
      </c>
      <c r="AG61" s="100">
        <v>9516</v>
      </c>
      <c r="AH61" s="100">
        <v>17</v>
      </c>
      <c r="AI61" s="100">
        <v>16177.199999999999</v>
      </c>
      <c r="AJ61" s="100">
        <v>13</v>
      </c>
      <c r="AK61" s="100">
        <v>12370.8</v>
      </c>
      <c r="AL61" s="100">
        <v>14</v>
      </c>
      <c r="AM61" s="100">
        <v>13322.399999999998</v>
      </c>
      <c r="AN61" s="100">
        <v>10</v>
      </c>
      <c r="AO61" s="100">
        <v>9516</v>
      </c>
      <c r="AP61" s="100">
        <v>17</v>
      </c>
      <c r="AQ61" s="100">
        <v>16177.199999999999</v>
      </c>
      <c r="AR61" s="100">
        <v>13</v>
      </c>
      <c r="AS61" s="100">
        <v>12370.8</v>
      </c>
      <c r="AT61" s="100">
        <v>9</v>
      </c>
      <c r="AU61" s="100">
        <v>8564.4</v>
      </c>
      <c r="AV61" s="100">
        <v>10</v>
      </c>
      <c r="AW61" s="100">
        <v>9516</v>
      </c>
      <c r="AX61" s="100">
        <v>12.993496490504517</v>
      </c>
      <c r="AY61" s="100">
        <v>12364.611260364098</v>
      </c>
      <c r="AZ61" s="100">
        <v>11</v>
      </c>
      <c r="BA61" s="100">
        <v>10467.599999999999</v>
      </c>
      <c r="BB61" s="100">
        <v>15</v>
      </c>
      <c r="BC61" s="100">
        <v>14273.999999999998</v>
      </c>
      <c r="BD61" s="100">
        <v>15</v>
      </c>
      <c r="BE61" s="100">
        <v>14273.999999999998</v>
      </c>
      <c r="BF61" s="100">
        <v>8</v>
      </c>
      <c r="BG61" s="100">
        <v>7612.7999999999993</v>
      </c>
      <c r="BH61" s="100">
        <v>13</v>
      </c>
      <c r="BI61" s="100">
        <v>12370.8</v>
      </c>
      <c r="BJ61" s="100">
        <v>12</v>
      </c>
      <c r="BK61" s="100">
        <v>11419.199999999999</v>
      </c>
      <c r="BL61" s="100">
        <v>16</v>
      </c>
      <c r="BM61" s="100">
        <v>15225.599999999999</v>
      </c>
      <c r="BN61" s="100">
        <v>12.365593019881077</v>
      </c>
      <c r="BO61" s="100">
        <v>11767.098317718832</v>
      </c>
      <c r="BP61" s="100">
        <v>10</v>
      </c>
      <c r="BQ61" s="100">
        <v>9516</v>
      </c>
      <c r="BR61" s="100">
        <v>14.040521303125345</v>
      </c>
      <c r="BS61" s="100">
        <v>13360.960072054077</v>
      </c>
      <c r="BT61" s="100">
        <v>13.755053764958083</v>
      </c>
      <c r="BU61" s="100">
        <v>13089.309162734111</v>
      </c>
      <c r="BV61" s="100">
        <v>14</v>
      </c>
      <c r="BW61" s="100">
        <v>13322.399999999998</v>
      </c>
      <c r="BX61" s="100">
        <v>11.56915311521017</v>
      </c>
      <c r="BY61" s="100">
        <v>11009.206104433997</v>
      </c>
      <c r="BZ61" s="100">
        <v>9.9351066403736148</v>
      </c>
      <c r="CA61" s="100">
        <v>9454.2474789795306</v>
      </c>
      <c r="CB61" s="100">
        <v>13.012972863472591</v>
      </c>
      <c r="CC61" s="100">
        <v>12383.144976880516</v>
      </c>
      <c r="CD61" s="100">
        <v>11.899675750052014</v>
      </c>
      <c r="CE61" s="100">
        <v>11323.731443749495</v>
      </c>
      <c r="CF61" s="100">
        <v>11.524054672083199</v>
      </c>
      <c r="CG61" s="100">
        <v>10966.290425954372</v>
      </c>
      <c r="CH61" s="100">
        <v>9.661663338344983</v>
      </c>
      <c r="CI61" s="100">
        <v>9194.0388327690853</v>
      </c>
      <c r="CJ61" s="100">
        <v>12.677298584965127</v>
      </c>
      <c r="CK61" s="100">
        <v>12063.717333452814</v>
      </c>
      <c r="CL61" s="100">
        <v>11.751568197798147</v>
      </c>
      <c r="CM61" s="100">
        <v>11182.792297024715</v>
      </c>
      <c r="CN61" s="100">
        <v>12.428654255070061</v>
      </c>
      <c r="CO61" s="100">
        <v>11827.107389124669</v>
      </c>
      <c r="CP61" s="100">
        <v>7.9447541784714408</v>
      </c>
      <c r="CQ61" s="100">
        <v>7560.2280762334221</v>
      </c>
      <c r="CR61" s="100">
        <v>9.3944808553042201</v>
      </c>
      <c r="CS61" s="100">
        <v>8939.7879819074951</v>
      </c>
      <c r="CT61" s="100">
        <v>10</v>
      </c>
      <c r="CU61" s="100">
        <v>9516</v>
      </c>
    </row>
    <row r="62" spans="2:99">
      <c r="C62" s="99" t="s">
        <v>228</v>
      </c>
      <c r="D62" s="100">
        <v>14</v>
      </c>
      <c r="E62" s="100">
        <v>23368.799999999999</v>
      </c>
      <c r="F62" s="100">
        <v>16</v>
      </c>
      <c r="G62" s="100">
        <v>26707.200000000001</v>
      </c>
      <c r="H62" s="100">
        <v>9</v>
      </c>
      <c r="I62" s="100">
        <v>15022.800000000001</v>
      </c>
      <c r="J62" s="100">
        <v>10</v>
      </c>
      <c r="K62" s="100">
        <v>16692</v>
      </c>
      <c r="L62" s="100">
        <v>9</v>
      </c>
      <c r="M62" s="100">
        <v>15022.800000000001</v>
      </c>
      <c r="N62" s="100">
        <v>12</v>
      </c>
      <c r="O62" s="100">
        <v>20030.400000000001</v>
      </c>
      <c r="P62" s="100">
        <v>14</v>
      </c>
      <c r="Q62" s="100">
        <v>23368.799999999999</v>
      </c>
      <c r="R62" s="100">
        <v>17</v>
      </c>
      <c r="S62" s="100">
        <v>28376.400000000001</v>
      </c>
      <c r="T62" s="100">
        <v>13</v>
      </c>
      <c r="U62" s="100">
        <v>21699.600000000002</v>
      </c>
      <c r="V62" s="100">
        <v>15</v>
      </c>
      <c r="W62" s="100">
        <v>25038</v>
      </c>
      <c r="X62" s="100">
        <v>11</v>
      </c>
      <c r="Y62" s="100">
        <v>18361.2</v>
      </c>
      <c r="Z62" s="100">
        <v>12</v>
      </c>
      <c r="AA62" s="100">
        <v>20030.400000000001</v>
      </c>
      <c r="AB62" s="100">
        <v>12</v>
      </c>
      <c r="AC62" s="100">
        <v>20030.400000000001</v>
      </c>
      <c r="AD62" s="100">
        <v>8</v>
      </c>
      <c r="AE62" s="100">
        <v>13353.6</v>
      </c>
      <c r="AF62" s="100">
        <v>10</v>
      </c>
      <c r="AG62" s="100">
        <v>16692</v>
      </c>
      <c r="AH62" s="100">
        <v>15</v>
      </c>
      <c r="AI62" s="100">
        <v>25038</v>
      </c>
      <c r="AJ62" s="100">
        <v>12</v>
      </c>
      <c r="AK62" s="100">
        <v>20030.400000000001</v>
      </c>
      <c r="AL62" s="100">
        <v>12</v>
      </c>
      <c r="AM62" s="100">
        <v>20030.400000000001</v>
      </c>
      <c r="AN62" s="100">
        <v>10</v>
      </c>
      <c r="AO62" s="100">
        <v>16692</v>
      </c>
      <c r="AP62" s="100">
        <v>15</v>
      </c>
      <c r="AQ62" s="100">
        <v>25038</v>
      </c>
      <c r="AR62" s="100">
        <v>12</v>
      </c>
      <c r="AS62" s="100">
        <v>20030.400000000001</v>
      </c>
      <c r="AT62" s="100">
        <v>9</v>
      </c>
      <c r="AU62" s="100">
        <v>15022.800000000001</v>
      </c>
      <c r="AV62" s="100">
        <v>10</v>
      </c>
      <c r="AW62" s="100">
        <v>16692</v>
      </c>
      <c r="AX62" s="100">
        <v>13</v>
      </c>
      <c r="AY62" s="100">
        <v>21699.600000000002</v>
      </c>
      <c r="AZ62" s="100">
        <v>11</v>
      </c>
      <c r="BA62" s="100">
        <v>18361.2</v>
      </c>
      <c r="BB62" s="100">
        <v>14</v>
      </c>
      <c r="BC62" s="100">
        <v>23368.799999999999</v>
      </c>
      <c r="BD62" s="100">
        <v>13</v>
      </c>
      <c r="BE62" s="100">
        <v>21699.600000000002</v>
      </c>
      <c r="BF62" s="100">
        <v>8</v>
      </c>
      <c r="BG62" s="100">
        <v>13353.6</v>
      </c>
      <c r="BH62" s="100">
        <v>11</v>
      </c>
      <c r="BI62" s="100">
        <v>18361.2</v>
      </c>
      <c r="BJ62" s="100">
        <v>11</v>
      </c>
      <c r="BK62" s="100">
        <v>18361.2</v>
      </c>
      <c r="BL62" s="100">
        <v>14</v>
      </c>
      <c r="BM62" s="100">
        <v>23368.799999999999</v>
      </c>
      <c r="BN62" s="100">
        <v>13</v>
      </c>
      <c r="BO62" s="100">
        <v>21699.600000000002</v>
      </c>
      <c r="BP62" s="100">
        <v>8</v>
      </c>
      <c r="BQ62" s="100">
        <v>13353.6</v>
      </c>
      <c r="BR62" s="100">
        <v>13</v>
      </c>
      <c r="BS62" s="100">
        <v>21699.600000000002</v>
      </c>
      <c r="BT62" s="100">
        <v>15</v>
      </c>
      <c r="BU62" s="100">
        <v>25038</v>
      </c>
      <c r="BV62" s="100">
        <v>15</v>
      </c>
      <c r="BW62" s="100">
        <v>25038</v>
      </c>
      <c r="BX62" s="100">
        <v>13</v>
      </c>
      <c r="BY62" s="100">
        <v>21699.600000000002</v>
      </c>
      <c r="BZ62" s="100">
        <v>10</v>
      </c>
      <c r="CA62" s="100">
        <v>16692</v>
      </c>
      <c r="CB62" s="100">
        <v>13</v>
      </c>
      <c r="CC62" s="100">
        <v>21699.600000000002</v>
      </c>
      <c r="CD62" s="100">
        <v>14</v>
      </c>
      <c r="CE62" s="100">
        <v>23368.799999999999</v>
      </c>
      <c r="CF62" s="100">
        <v>12</v>
      </c>
      <c r="CG62" s="100">
        <v>20030.400000000001</v>
      </c>
      <c r="CH62" s="100">
        <v>11</v>
      </c>
      <c r="CI62" s="100">
        <v>18361.2</v>
      </c>
      <c r="CJ62" s="100">
        <v>12</v>
      </c>
      <c r="CK62" s="100">
        <v>20030.400000000001</v>
      </c>
      <c r="CL62" s="100">
        <v>13</v>
      </c>
      <c r="CM62" s="100">
        <v>21699.600000000002</v>
      </c>
      <c r="CN62" s="100">
        <v>15</v>
      </c>
      <c r="CO62" s="100">
        <v>25038</v>
      </c>
      <c r="CP62" s="100">
        <v>8</v>
      </c>
      <c r="CQ62" s="100">
        <v>13353.6</v>
      </c>
      <c r="CR62" s="100">
        <v>10</v>
      </c>
      <c r="CS62" s="100">
        <v>16692</v>
      </c>
      <c r="CT62" s="100">
        <v>8</v>
      </c>
      <c r="CU62" s="100">
        <v>13353.6</v>
      </c>
    </row>
    <row r="63" spans="2:99">
      <c r="C63" s="99" t="s">
        <v>229</v>
      </c>
      <c r="D63" s="100">
        <v>18</v>
      </c>
      <c r="E63" s="100">
        <v>14320.800000000001</v>
      </c>
      <c r="F63" s="100">
        <v>17</v>
      </c>
      <c r="G63" s="100">
        <v>13525.2</v>
      </c>
      <c r="H63" s="100">
        <v>9</v>
      </c>
      <c r="I63" s="100">
        <v>7160.4000000000005</v>
      </c>
      <c r="J63" s="100">
        <v>10</v>
      </c>
      <c r="K63" s="100">
        <v>7956</v>
      </c>
      <c r="L63" s="100">
        <v>10</v>
      </c>
      <c r="M63" s="100">
        <v>7956</v>
      </c>
      <c r="N63" s="100">
        <v>14</v>
      </c>
      <c r="O63" s="100">
        <v>11138.4</v>
      </c>
      <c r="P63" s="100">
        <v>16</v>
      </c>
      <c r="Q63" s="100">
        <v>12729.6</v>
      </c>
      <c r="R63" s="100">
        <v>18</v>
      </c>
      <c r="S63" s="100">
        <v>14320.800000000001</v>
      </c>
      <c r="T63" s="100">
        <v>14</v>
      </c>
      <c r="U63" s="100">
        <v>11138.4</v>
      </c>
      <c r="V63" s="100">
        <v>15</v>
      </c>
      <c r="W63" s="100">
        <v>11934</v>
      </c>
      <c r="X63" s="100">
        <v>13</v>
      </c>
      <c r="Y63" s="100">
        <v>10342.800000000001</v>
      </c>
      <c r="Z63" s="100">
        <v>15</v>
      </c>
      <c r="AA63" s="100">
        <v>11934</v>
      </c>
      <c r="AB63" s="100">
        <v>13</v>
      </c>
      <c r="AC63" s="100">
        <v>10342.800000000001</v>
      </c>
      <c r="AD63" s="100">
        <v>9</v>
      </c>
      <c r="AE63" s="100">
        <v>7160.4000000000005</v>
      </c>
      <c r="AF63" s="100">
        <v>12</v>
      </c>
      <c r="AG63" s="100">
        <v>9547.2000000000007</v>
      </c>
      <c r="AH63" s="100">
        <v>14</v>
      </c>
      <c r="AI63" s="100">
        <v>11138.4</v>
      </c>
      <c r="AJ63" s="100">
        <v>12</v>
      </c>
      <c r="AK63" s="100">
        <v>9547.2000000000007</v>
      </c>
      <c r="AL63" s="100">
        <v>13</v>
      </c>
      <c r="AM63" s="100">
        <v>10342.800000000001</v>
      </c>
      <c r="AN63" s="100">
        <v>10</v>
      </c>
      <c r="AO63" s="100">
        <v>7956</v>
      </c>
      <c r="AP63" s="100">
        <v>16</v>
      </c>
      <c r="AQ63" s="100">
        <v>12729.6</v>
      </c>
      <c r="AR63" s="100">
        <v>12</v>
      </c>
      <c r="AS63" s="100">
        <v>9547.2000000000007</v>
      </c>
      <c r="AT63" s="100">
        <v>11</v>
      </c>
      <c r="AU63" s="100">
        <v>8751.6</v>
      </c>
      <c r="AV63" s="100">
        <v>10</v>
      </c>
      <c r="AW63" s="100">
        <v>7956</v>
      </c>
      <c r="AX63" s="100">
        <v>12.993496490504517</v>
      </c>
      <c r="AY63" s="100">
        <v>10337.625807845394</v>
      </c>
      <c r="AZ63" s="100">
        <v>12</v>
      </c>
      <c r="BA63" s="100">
        <v>9547.2000000000007</v>
      </c>
      <c r="BB63" s="100">
        <v>14</v>
      </c>
      <c r="BC63" s="100">
        <v>11138.4</v>
      </c>
      <c r="BD63" s="100">
        <v>17</v>
      </c>
      <c r="BE63" s="100">
        <v>13525.2</v>
      </c>
      <c r="BF63" s="100">
        <v>8</v>
      </c>
      <c r="BG63" s="100">
        <v>6364.8</v>
      </c>
      <c r="BH63" s="100">
        <v>11</v>
      </c>
      <c r="BI63" s="100">
        <v>8751.6</v>
      </c>
      <c r="BJ63" s="100">
        <v>14</v>
      </c>
      <c r="BK63" s="100">
        <v>11138.4</v>
      </c>
      <c r="BL63" s="100">
        <v>17</v>
      </c>
      <c r="BM63" s="100">
        <v>13525.2</v>
      </c>
      <c r="BN63" s="100">
        <v>12.365593019881077</v>
      </c>
      <c r="BO63" s="100">
        <v>9838.0658066173855</v>
      </c>
      <c r="BP63" s="100">
        <v>10</v>
      </c>
      <c r="BQ63" s="100">
        <v>7956</v>
      </c>
      <c r="BR63" s="100">
        <v>13.162988721680012</v>
      </c>
      <c r="BS63" s="100">
        <v>10472.473826968619</v>
      </c>
      <c r="BT63" s="100">
        <v>13.755053764958083</v>
      </c>
      <c r="BU63" s="100">
        <v>10943.520775400651</v>
      </c>
      <c r="BV63" s="100">
        <v>15</v>
      </c>
      <c r="BW63" s="100">
        <v>11934</v>
      </c>
      <c r="BX63" s="100">
        <v>13.349022825242503</v>
      </c>
      <c r="BY63" s="100">
        <v>10620.482559762935</v>
      </c>
      <c r="BZ63" s="100">
        <v>9.9351066403736148</v>
      </c>
      <c r="CA63" s="100">
        <v>7904.3708430812485</v>
      </c>
      <c r="CB63" s="100">
        <v>13.012972863472591</v>
      </c>
      <c r="CC63" s="100">
        <v>10353.121210178793</v>
      </c>
      <c r="CD63" s="100">
        <v>11.899675750052014</v>
      </c>
      <c r="CE63" s="100">
        <v>9467.382026741383</v>
      </c>
      <c r="CF63" s="100">
        <v>11.524054672083199</v>
      </c>
      <c r="CG63" s="100">
        <v>9168.5378971093942</v>
      </c>
      <c r="CH63" s="100">
        <v>10.539996369103617</v>
      </c>
      <c r="CI63" s="100">
        <v>8385.6211112588389</v>
      </c>
      <c r="CJ63" s="100">
        <v>11.771777257467619</v>
      </c>
      <c r="CK63" s="100">
        <v>9365.6259860412374</v>
      </c>
      <c r="CL63" s="100">
        <v>13.55950176669017</v>
      </c>
      <c r="CM63" s="100">
        <v>10787.9396055787</v>
      </c>
      <c r="CN63" s="100">
        <v>12.428654255070061</v>
      </c>
      <c r="CO63" s="100">
        <v>9888.237325333741</v>
      </c>
      <c r="CP63" s="100">
        <v>8.8275046427460442</v>
      </c>
      <c r="CQ63" s="100">
        <v>7023.1626937687533</v>
      </c>
      <c r="CR63" s="100">
        <v>9.3944808553042201</v>
      </c>
      <c r="CS63" s="100">
        <v>7474.2489684800375</v>
      </c>
      <c r="CT63" s="100">
        <v>8</v>
      </c>
      <c r="CU63" s="100">
        <v>6364.8</v>
      </c>
    </row>
    <row r="64" spans="2:99">
      <c r="C64" s="99" t="s">
        <v>230</v>
      </c>
      <c r="D64" s="100">
        <v>18</v>
      </c>
      <c r="E64" s="100">
        <v>18165.599999999999</v>
      </c>
      <c r="F64" s="100">
        <v>14</v>
      </c>
      <c r="G64" s="100">
        <v>14128.799999999997</v>
      </c>
      <c r="H64" s="100">
        <v>9</v>
      </c>
      <c r="I64" s="100">
        <v>9082.7999999999993</v>
      </c>
      <c r="J64" s="100">
        <v>10</v>
      </c>
      <c r="K64" s="100">
        <v>10091.999999999998</v>
      </c>
      <c r="L64" s="100">
        <v>10</v>
      </c>
      <c r="M64" s="100">
        <v>10091.999999999998</v>
      </c>
      <c r="N64" s="100">
        <v>11</v>
      </c>
      <c r="O64" s="100">
        <v>11101.199999999997</v>
      </c>
      <c r="P64" s="100">
        <v>17</v>
      </c>
      <c r="Q64" s="100">
        <v>17156.399999999998</v>
      </c>
      <c r="R64" s="100">
        <v>17</v>
      </c>
      <c r="S64" s="100">
        <v>17156.399999999998</v>
      </c>
      <c r="T64" s="100">
        <v>15</v>
      </c>
      <c r="U64" s="100">
        <v>15137.999999999996</v>
      </c>
      <c r="V64" s="100">
        <v>16</v>
      </c>
      <c r="W64" s="100">
        <v>16147.199999999997</v>
      </c>
      <c r="X64" s="100">
        <v>10</v>
      </c>
      <c r="Y64" s="100">
        <v>10091.999999999998</v>
      </c>
      <c r="Z64" s="100">
        <v>14</v>
      </c>
      <c r="AA64" s="100">
        <v>14128.799999999997</v>
      </c>
      <c r="AB64" s="100">
        <v>13</v>
      </c>
      <c r="AC64" s="100">
        <v>13119.599999999999</v>
      </c>
      <c r="AD64" s="100">
        <v>9</v>
      </c>
      <c r="AE64" s="100">
        <v>9082.7999999999993</v>
      </c>
      <c r="AF64" s="100">
        <v>10</v>
      </c>
      <c r="AG64" s="100">
        <v>10091.999999999998</v>
      </c>
      <c r="AH64" s="100">
        <v>14</v>
      </c>
      <c r="AI64" s="100">
        <v>14128.799999999997</v>
      </c>
      <c r="AJ64" s="100">
        <v>13</v>
      </c>
      <c r="AK64" s="100">
        <v>13119.599999999999</v>
      </c>
      <c r="AL64" s="100">
        <v>14</v>
      </c>
      <c r="AM64" s="100">
        <v>14128.799999999997</v>
      </c>
      <c r="AN64" s="100">
        <v>11</v>
      </c>
      <c r="AO64" s="100">
        <v>11101.199999999997</v>
      </c>
      <c r="AP64" s="100">
        <v>17</v>
      </c>
      <c r="AQ64" s="100">
        <v>17156.399999999998</v>
      </c>
      <c r="AR64" s="100">
        <v>12</v>
      </c>
      <c r="AS64" s="100">
        <v>12110.399999999998</v>
      </c>
      <c r="AT64" s="100">
        <v>11</v>
      </c>
      <c r="AU64" s="100">
        <v>11101.199999999997</v>
      </c>
      <c r="AV64" s="100">
        <v>9</v>
      </c>
      <c r="AW64" s="100">
        <v>9082.7999999999993</v>
      </c>
      <c r="AX64" s="100">
        <v>12.993496490504517</v>
      </c>
      <c r="AY64" s="100">
        <v>13113.036658217157</v>
      </c>
      <c r="AZ64" s="100">
        <v>10</v>
      </c>
      <c r="BA64" s="100">
        <v>10091.999999999998</v>
      </c>
      <c r="BB64" s="100">
        <v>15</v>
      </c>
      <c r="BC64" s="100">
        <v>15137.999999999996</v>
      </c>
      <c r="BD64" s="100">
        <v>16</v>
      </c>
      <c r="BE64" s="100">
        <v>16147.199999999997</v>
      </c>
      <c r="BF64" s="100">
        <v>8</v>
      </c>
      <c r="BG64" s="100">
        <v>8073.5999999999985</v>
      </c>
      <c r="BH64" s="100">
        <v>11</v>
      </c>
      <c r="BI64" s="100">
        <v>11101.199999999997</v>
      </c>
      <c r="BJ64" s="100">
        <v>12</v>
      </c>
      <c r="BK64" s="100">
        <v>12110.399999999998</v>
      </c>
      <c r="BL64" s="100">
        <v>16</v>
      </c>
      <c r="BM64" s="100">
        <v>16147.199999999997</v>
      </c>
      <c r="BN64" s="100">
        <v>11.414393556813302</v>
      </c>
      <c r="BO64" s="100">
        <v>11519.405977535982</v>
      </c>
      <c r="BP64" s="100">
        <v>10</v>
      </c>
      <c r="BQ64" s="100">
        <v>10091.999999999998</v>
      </c>
      <c r="BR64" s="100">
        <v>13.162988721680012</v>
      </c>
      <c r="BS64" s="100">
        <v>13284.088217919465</v>
      </c>
      <c r="BT64" s="100">
        <v>12.8953629046482</v>
      </c>
      <c r="BU64" s="100">
        <v>13014.000243370961</v>
      </c>
      <c r="BV64" s="100">
        <v>15</v>
      </c>
      <c r="BW64" s="100">
        <v>15137.999999999996</v>
      </c>
      <c r="BX64" s="100">
        <v>12.459087970226337</v>
      </c>
      <c r="BY64" s="100">
        <v>12573.711579552417</v>
      </c>
      <c r="BZ64" s="100">
        <v>9.9351066403736148</v>
      </c>
      <c r="CA64" s="100">
        <v>10026.509621465049</v>
      </c>
      <c r="CB64" s="100">
        <v>13.012972863472591</v>
      </c>
      <c r="CC64" s="100">
        <v>13132.692213816536</v>
      </c>
      <c r="CD64" s="100">
        <v>11.049698910762583</v>
      </c>
      <c r="CE64" s="100">
        <v>11151.356140741596</v>
      </c>
      <c r="CF64" s="100">
        <v>11.524054672083199</v>
      </c>
      <c r="CG64" s="100">
        <v>11630.075975066362</v>
      </c>
      <c r="CH64" s="100">
        <v>10.539996369103617</v>
      </c>
      <c r="CI64" s="100">
        <v>10636.964335699369</v>
      </c>
      <c r="CJ64" s="100">
        <v>11.771777257467619</v>
      </c>
      <c r="CK64" s="100">
        <v>11880.077608236319</v>
      </c>
      <c r="CL64" s="100">
        <v>13.55950176669017</v>
      </c>
      <c r="CM64" s="100">
        <v>13684.249182943717</v>
      </c>
      <c r="CN64" s="100">
        <v>12.428654255070061</v>
      </c>
      <c r="CO64" s="100">
        <v>12542.997874216704</v>
      </c>
      <c r="CP64" s="100">
        <v>7.9447541784714408</v>
      </c>
      <c r="CQ64" s="100">
        <v>8017.8459169133766</v>
      </c>
      <c r="CR64" s="100">
        <v>9.3944808553042201</v>
      </c>
      <c r="CS64" s="100">
        <v>9480.9100791730179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18</v>
      </c>
      <c r="E65" s="100">
        <v>18468</v>
      </c>
      <c r="F65" s="100">
        <v>16</v>
      </c>
      <c r="G65" s="100">
        <v>16416</v>
      </c>
      <c r="H65" s="100">
        <v>10</v>
      </c>
      <c r="I65" s="100">
        <v>10260</v>
      </c>
      <c r="J65" s="100">
        <v>10</v>
      </c>
      <c r="K65" s="100">
        <v>10260</v>
      </c>
      <c r="L65" s="100">
        <v>11</v>
      </c>
      <c r="M65" s="100">
        <v>11286</v>
      </c>
      <c r="N65" s="100">
        <v>12</v>
      </c>
      <c r="O65" s="100">
        <v>12312</v>
      </c>
      <c r="P65" s="100">
        <v>15</v>
      </c>
      <c r="Q65" s="100">
        <v>15390</v>
      </c>
      <c r="R65" s="100">
        <v>17</v>
      </c>
      <c r="S65" s="100">
        <v>17442</v>
      </c>
      <c r="T65" s="100">
        <v>13</v>
      </c>
      <c r="U65" s="100">
        <v>13338</v>
      </c>
      <c r="V65" s="100">
        <v>14</v>
      </c>
      <c r="W65" s="100">
        <v>14364</v>
      </c>
      <c r="X65" s="100">
        <v>12</v>
      </c>
      <c r="Y65" s="100">
        <v>12312</v>
      </c>
      <c r="Z65" s="100">
        <v>14</v>
      </c>
      <c r="AA65" s="100">
        <v>14364</v>
      </c>
      <c r="AB65" s="100">
        <v>14</v>
      </c>
      <c r="AC65" s="100">
        <v>14364</v>
      </c>
      <c r="AD65" s="100">
        <v>8</v>
      </c>
      <c r="AE65" s="100">
        <v>8208</v>
      </c>
      <c r="AF65" s="100">
        <v>12</v>
      </c>
      <c r="AG65" s="100">
        <v>12312</v>
      </c>
      <c r="AH65" s="100">
        <v>16</v>
      </c>
      <c r="AI65" s="100">
        <v>16416</v>
      </c>
      <c r="AJ65" s="100">
        <v>12</v>
      </c>
      <c r="AK65" s="100">
        <v>12312</v>
      </c>
      <c r="AL65" s="100">
        <v>13</v>
      </c>
      <c r="AM65" s="100">
        <v>13338</v>
      </c>
      <c r="AN65" s="100">
        <v>10</v>
      </c>
      <c r="AO65" s="100">
        <v>10260</v>
      </c>
      <c r="AP65" s="100">
        <v>17</v>
      </c>
      <c r="AQ65" s="100">
        <v>17442</v>
      </c>
      <c r="AR65" s="100">
        <v>13</v>
      </c>
      <c r="AS65" s="100">
        <v>13338</v>
      </c>
      <c r="AT65" s="100">
        <v>10</v>
      </c>
      <c r="AU65" s="100">
        <v>10260</v>
      </c>
      <c r="AV65" s="100">
        <v>9</v>
      </c>
      <c r="AW65" s="100">
        <v>9234</v>
      </c>
      <c r="AX65" s="100">
        <v>12.12726339113755</v>
      </c>
      <c r="AY65" s="100">
        <v>12442.572239307126</v>
      </c>
      <c r="AZ65" s="100">
        <v>11</v>
      </c>
      <c r="BA65" s="100">
        <v>11286</v>
      </c>
      <c r="BB65" s="100">
        <v>14</v>
      </c>
      <c r="BC65" s="100">
        <v>14364</v>
      </c>
      <c r="BD65" s="100">
        <v>16</v>
      </c>
      <c r="BE65" s="100">
        <v>16416</v>
      </c>
      <c r="BF65" s="100">
        <v>9</v>
      </c>
      <c r="BG65" s="100">
        <v>9234</v>
      </c>
      <c r="BH65" s="100">
        <v>12</v>
      </c>
      <c r="BI65" s="100">
        <v>12312</v>
      </c>
      <c r="BJ65" s="100">
        <v>14</v>
      </c>
      <c r="BK65" s="100">
        <v>14364</v>
      </c>
      <c r="BL65" s="100">
        <v>14</v>
      </c>
      <c r="BM65" s="100">
        <v>14364</v>
      </c>
      <c r="BN65" s="100">
        <v>12.365593019881077</v>
      </c>
      <c r="BO65" s="100">
        <v>12687.098438397985</v>
      </c>
      <c r="BP65" s="100">
        <v>10</v>
      </c>
      <c r="BQ65" s="100">
        <v>10260</v>
      </c>
      <c r="BR65" s="100">
        <v>14.040521303125345</v>
      </c>
      <c r="BS65" s="100">
        <v>14405.574857006604</v>
      </c>
      <c r="BT65" s="100">
        <v>12.8953629046482</v>
      </c>
      <c r="BU65" s="100">
        <v>13230.642340169054</v>
      </c>
      <c r="BV65" s="100">
        <v>15</v>
      </c>
      <c r="BW65" s="100">
        <v>15390</v>
      </c>
      <c r="BX65" s="100">
        <v>12.459087970226337</v>
      </c>
      <c r="BY65" s="100">
        <v>12783.024257452222</v>
      </c>
      <c r="BZ65" s="100">
        <v>9.9351066403736148</v>
      </c>
      <c r="CA65" s="100">
        <v>10193.419413023328</v>
      </c>
      <c r="CB65" s="100">
        <v>14.871968986825816</v>
      </c>
      <c r="CC65" s="100">
        <v>15258.640180483288</v>
      </c>
      <c r="CD65" s="100">
        <v>11.899675750052014</v>
      </c>
      <c r="CE65" s="100">
        <v>12209.067319553365</v>
      </c>
      <c r="CF65" s="100">
        <v>10.6375889280768</v>
      </c>
      <c r="CG65" s="100">
        <v>10914.166240206798</v>
      </c>
      <c r="CH65" s="100">
        <v>10.539996369103617</v>
      </c>
      <c r="CI65" s="100">
        <v>10814.036274700311</v>
      </c>
      <c r="CJ65" s="100">
        <v>12.677298584965127</v>
      </c>
      <c r="CK65" s="100">
        <v>13006.90834817422</v>
      </c>
      <c r="CL65" s="100">
        <v>13.55950176669017</v>
      </c>
      <c r="CM65" s="100">
        <v>13912.048812624114</v>
      </c>
      <c r="CN65" s="100">
        <v>14.08580815574607</v>
      </c>
      <c r="CO65" s="100">
        <v>14452.039167795469</v>
      </c>
      <c r="CP65" s="100">
        <v>7.0620037141968357</v>
      </c>
      <c r="CQ65" s="100">
        <v>7245.615810765953</v>
      </c>
      <c r="CR65" s="100">
        <v>11.273377026365065</v>
      </c>
      <c r="CS65" s="100">
        <v>11566.484829050556</v>
      </c>
      <c r="CT65" s="100">
        <v>10</v>
      </c>
      <c r="CU65" s="100">
        <v>10260</v>
      </c>
    </row>
    <row r="66" spans="2:99">
      <c r="C66" s="99" t="s">
        <v>232</v>
      </c>
      <c r="D66" s="100">
        <v>15</v>
      </c>
      <c r="E66" s="100">
        <v>17855.999999999996</v>
      </c>
      <c r="F66" s="100">
        <v>16</v>
      </c>
      <c r="G66" s="100">
        <v>19046.399999999998</v>
      </c>
      <c r="H66" s="100">
        <v>10</v>
      </c>
      <c r="I66" s="100">
        <v>11903.999999999998</v>
      </c>
      <c r="J66" s="100">
        <v>9</v>
      </c>
      <c r="K66" s="100">
        <v>10713.599999999999</v>
      </c>
      <c r="L66" s="100">
        <v>11</v>
      </c>
      <c r="M66" s="100">
        <v>13094.399999999998</v>
      </c>
      <c r="N66" s="100">
        <v>13</v>
      </c>
      <c r="O66" s="100">
        <v>15475.199999999999</v>
      </c>
      <c r="P66" s="100">
        <v>14</v>
      </c>
      <c r="Q66" s="100">
        <v>16665.599999999999</v>
      </c>
      <c r="R66" s="100">
        <v>15</v>
      </c>
      <c r="S66" s="100">
        <v>17855.999999999996</v>
      </c>
      <c r="T66" s="100">
        <v>14</v>
      </c>
      <c r="U66" s="100">
        <v>16665.599999999999</v>
      </c>
      <c r="V66" s="100">
        <v>14</v>
      </c>
      <c r="W66" s="100">
        <v>16665.599999999999</v>
      </c>
      <c r="X66" s="100">
        <v>12</v>
      </c>
      <c r="Y66" s="100">
        <v>14284.8</v>
      </c>
      <c r="Z66" s="100">
        <v>14</v>
      </c>
      <c r="AA66" s="100">
        <v>16665.599999999999</v>
      </c>
      <c r="AB66" s="100">
        <v>13</v>
      </c>
      <c r="AC66" s="100">
        <v>15475.199999999999</v>
      </c>
      <c r="AD66" s="100">
        <v>8</v>
      </c>
      <c r="AE66" s="100">
        <v>9523.1999999999989</v>
      </c>
      <c r="AF66" s="100">
        <v>11</v>
      </c>
      <c r="AG66" s="100">
        <v>13094.399999999998</v>
      </c>
      <c r="AH66" s="100">
        <v>15</v>
      </c>
      <c r="AI66" s="100">
        <v>17855.999999999996</v>
      </c>
      <c r="AJ66" s="100">
        <v>12</v>
      </c>
      <c r="AK66" s="100">
        <v>14284.8</v>
      </c>
      <c r="AL66" s="100">
        <v>13</v>
      </c>
      <c r="AM66" s="100">
        <v>15475.199999999999</v>
      </c>
      <c r="AN66" s="100">
        <v>10</v>
      </c>
      <c r="AO66" s="100">
        <v>11903.999999999998</v>
      </c>
      <c r="AP66" s="100">
        <v>17</v>
      </c>
      <c r="AQ66" s="100">
        <v>20236.8</v>
      </c>
      <c r="AR66" s="100">
        <v>11</v>
      </c>
      <c r="AS66" s="100">
        <v>13094.399999999998</v>
      </c>
      <c r="AT66" s="100">
        <v>10</v>
      </c>
      <c r="AU66" s="100">
        <v>11903.999999999998</v>
      </c>
      <c r="AV66" s="100">
        <v>10</v>
      </c>
      <c r="AW66" s="100">
        <v>11903.999999999998</v>
      </c>
      <c r="AX66" s="100">
        <v>12.12726339113755</v>
      </c>
      <c r="AY66" s="100">
        <v>14436.294340810138</v>
      </c>
      <c r="AZ66" s="100">
        <v>10</v>
      </c>
      <c r="BA66" s="100">
        <v>11903.999999999998</v>
      </c>
      <c r="BB66" s="100">
        <v>15</v>
      </c>
      <c r="BC66" s="100">
        <v>17855.999999999996</v>
      </c>
      <c r="BD66" s="100">
        <v>16</v>
      </c>
      <c r="BE66" s="100">
        <v>19046.399999999998</v>
      </c>
      <c r="BF66" s="100">
        <v>9</v>
      </c>
      <c r="BG66" s="100">
        <v>10713.599999999999</v>
      </c>
      <c r="BH66" s="100">
        <v>12</v>
      </c>
      <c r="BI66" s="100">
        <v>14284.8</v>
      </c>
      <c r="BJ66" s="100">
        <v>13</v>
      </c>
      <c r="BK66" s="100">
        <v>15475.199999999999</v>
      </c>
      <c r="BL66" s="100">
        <v>14</v>
      </c>
      <c r="BM66" s="100">
        <v>16665.599999999999</v>
      </c>
      <c r="BN66" s="100">
        <v>12.365593019881077</v>
      </c>
      <c r="BO66" s="100">
        <v>14720.001930866432</v>
      </c>
      <c r="BP66" s="100">
        <v>10</v>
      </c>
      <c r="BQ66" s="100">
        <v>11903.999999999998</v>
      </c>
      <c r="BR66" s="100">
        <v>13.162988721680012</v>
      </c>
      <c r="BS66" s="100">
        <v>15669.221774287884</v>
      </c>
      <c r="BT66" s="100">
        <v>12.8953629046482</v>
      </c>
      <c r="BU66" s="100">
        <v>15350.640001693217</v>
      </c>
      <c r="BV66" s="100">
        <v>15</v>
      </c>
      <c r="BW66" s="100">
        <v>17855.999999999996</v>
      </c>
      <c r="BX66" s="100">
        <v>13.349022825242503</v>
      </c>
      <c r="BY66" s="100">
        <v>15890.676771168673</v>
      </c>
      <c r="BZ66" s="100">
        <v>10.928617304410976</v>
      </c>
      <c r="CA66" s="100">
        <v>13009.426039170823</v>
      </c>
      <c r="CB66" s="100">
        <v>13.942470925149204</v>
      </c>
      <c r="CC66" s="100">
        <v>16597.117389297611</v>
      </c>
      <c r="CD66" s="100">
        <v>11.899675750052014</v>
      </c>
      <c r="CE66" s="100">
        <v>14165.374012861916</v>
      </c>
      <c r="CF66" s="100">
        <v>11.524054672083199</v>
      </c>
      <c r="CG66" s="100">
        <v>13718.234681647838</v>
      </c>
      <c r="CH66" s="100">
        <v>9.661663338344983</v>
      </c>
      <c r="CI66" s="100">
        <v>11501.244037965867</v>
      </c>
      <c r="CJ66" s="100">
        <v>12.677298584965127</v>
      </c>
      <c r="CK66" s="100">
        <v>15091.056235542486</v>
      </c>
      <c r="CL66" s="100">
        <v>11.751568197798147</v>
      </c>
      <c r="CM66" s="100">
        <v>13989.066782658912</v>
      </c>
      <c r="CN66" s="100">
        <v>11.600077304732057</v>
      </c>
      <c r="CO66" s="100">
        <v>13808.732023553039</v>
      </c>
      <c r="CP66" s="100">
        <v>7.0620037141968357</v>
      </c>
      <c r="CQ66" s="100">
        <v>8406.6092213799129</v>
      </c>
      <c r="CR66" s="100">
        <v>10.333928940834644</v>
      </c>
      <c r="CS66" s="100">
        <v>12301.509011169559</v>
      </c>
      <c r="CT66" s="100">
        <v>10</v>
      </c>
      <c r="CU66" s="100">
        <v>11903.999999999998</v>
      </c>
    </row>
    <row r="67" spans="2:99">
      <c r="C67" s="99" t="s">
        <v>233</v>
      </c>
      <c r="D67" s="100">
        <v>16</v>
      </c>
      <c r="E67" s="100">
        <v>17971.2</v>
      </c>
      <c r="F67" s="100">
        <v>17</v>
      </c>
      <c r="G67" s="100">
        <v>19094.400000000001</v>
      </c>
      <c r="H67" s="100">
        <v>9</v>
      </c>
      <c r="I67" s="100">
        <v>10108.800000000001</v>
      </c>
      <c r="J67" s="100">
        <v>11</v>
      </c>
      <c r="K67" s="100">
        <v>12355.2</v>
      </c>
      <c r="L67" s="100">
        <v>11</v>
      </c>
      <c r="M67" s="100">
        <v>12355.2</v>
      </c>
      <c r="N67" s="100">
        <v>11</v>
      </c>
      <c r="O67" s="100">
        <v>12355.2</v>
      </c>
      <c r="P67" s="100">
        <v>15</v>
      </c>
      <c r="Q67" s="100">
        <v>16848</v>
      </c>
      <c r="R67" s="100">
        <v>15</v>
      </c>
      <c r="S67" s="100">
        <v>16848</v>
      </c>
      <c r="T67" s="100">
        <v>15</v>
      </c>
      <c r="U67" s="100">
        <v>16848</v>
      </c>
      <c r="V67" s="100">
        <v>15</v>
      </c>
      <c r="W67" s="100">
        <v>16848</v>
      </c>
      <c r="X67" s="100">
        <v>12</v>
      </c>
      <c r="Y67" s="100">
        <v>13478.400000000001</v>
      </c>
      <c r="Z67" s="100">
        <v>15</v>
      </c>
      <c r="AA67" s="100">
        <v>16848</v>
      </c>
      <c r="AB67" s="100">
        <v>13</v>
      </c>
      <c r="AC67" s="100">
        <v>14601.6</v>
      </c>
      <c r="AD67" s="100">
        <v>8</v>
      </c>
      <c r="AE67" s="100">
        <v>8985.6</v>
      </c>
      <c r="AF67" s="100">
        <v>10</v>
      </c>
      <c r="AG67" s="100">
        <v>11232</v>
      </c>
      <c r="AH67" s="100">
        <v>16</v>
      </c>
      <c r="AI67" s="100">
        <v>17971.2</v>
      </c>
      <c r="AJ67" s="100">
        <v>12</v>
      </c>
      <c r="AK67" s="100">
        <v>13478.400000000001</v>
      </c>
      <c r="AL67" s="100">
        <v>14</v>
      </c>
      <c r="AM67" s="100">
        <v>15724.800000000001</v>
      </c>
      <c r="AN67" s="100">
        <v>11</v>
      </c>
      <c r="AO67" s="100">
        <v>12355.2</v>
      </c>
      <c r="AP67" s="100">
        <v>15</v>
      </c>
      <c r="AQ67" s="100">
        <v>16848</v>
      </c>
      <c r="AR67" s="100">
        <v>11</v>
      </c>
      <c r="AS67" s="100">
        <v>12355.2</v>
      </c>
      <c r="AT67" s="100">
        <v>9</v>
      </c>
      <c r="AU67" s="100">
        <v>10108.800000000001</v>
      </c>
      <c r="AV67" s="100">
        <v>10</v>
      </c>
      <c r="AW67" s="100">
        <v>11232</v>
      </c>
      <c r="AX67" s="100">
        <v>11.261030291770583</v>
      </c>
      <c r="AY67" s="100">
        <v>12648.389223716718</v>
      </c>
      <c r="AZ67" s="100">
        <v>11</v>
      </c>
      <c r="BA67" s="100">
        <v>12355.2</v>
      </c>
      <c r="BB67" s="100">
        <v>13</v>
      </c>
      <c r="BC67" s="100">
        <v>14601.6</v>
      </c>
      <c r="BD67" s="100">
        <v>17</v>
      </c>
      <c r="BE67" s="100">
        <v>19094.400000000001</v>
      </c>
      <c r="BF67" s="100">
        <v>8</v>
      </c>
      <c r="BG67" s="100">
        <v>8985.6</v>
      </c>
      <c r="BH67" s="100">
        <v>12</v>
      </c>
      <c r="BI67" s="100">
        <v>13478.400000000001</v>
      </c>
      <c r="BJ67" s="100">
        <v>12</v>
      </c>
      <c r="BK67" s="100">
        <v>13478.400000000001</v>
      </c>
      <c r="BL67" s="100">
        <v>14</v>
      </c>
      <c r="BM67" s="100">
        <v>15724.800000000001</v>
      </c>
      <c r="BN67" s="100">
        <v>11.414393556813302</v>
      </c>
      <c r="BO67" s="100">
        <v>12820.646843012701</v>
      </c>
      <c r="BP67" s="100">
        <v>9</v>
      </c>
      <c r="BQ67" s="100">
        <v>10108.800000000001</v>
      </c>
      <c r="BR67" s="100">
        <v>13.162988721680012</v>
      </c>
      <c r="BS67" s="100">
        <v>14784.668932190991</v>
      </c>
      <c r="BT67" s="100">
        <v>12.035672044338321</v>
      </c>
      <c r="BU67" s="100">
        <v>13518.466840200803</v>
      </c>
      <c r="BV67" s="100">
        <v>16</v>
      </c>
      <c r="BW67" s="100">
        <v>17971.2</v>
      </c>
      <c r="BX67" s="100">
        <v>12.459087970226337</v>
      </c>
      <c r="BY67" s="100">
        <v>13994.047608158222</v>
      </c>
      <c r="BZ67" s="100">
        <v>9.9351066403736148</v>
      </c>
      <c r="CA67" s="100">
        <v>11159.111778467644</v>
      </c>
      <c r="CB67" s="100">
        <v>13.012972863472591</v>
      </c>
      <c r="CC67" s="100">
        <v>14616.171120252415</v>
      </c>
      <c r="CD67" s="100">
        <v>11.899675750052014</v>
      </c>
      <c r="CE67" s="100">
        <v>13365.715802458422</v>
      </c>
      <c r="CF67" s="100">
        <v>12.4105204160896</v>
      </c>
      <c r="CG67" s="100">
        <v>13939.496531351839</v>
      </c>
      <c r="CH67" s="100">
        <v>9.661663338344983</v>
      </c>
      <c r="CI67" s="100">
        <v>10851.980261629085</v>
      </c>
      <c r="CJ67" s="100">
        <v>12.677298584965127</v>
      </c>
      <c r="CK67" s="100">
        <v>14239.141770632832</v>
      </c>
      <c r="CL67" s="100">
        <v>12.655534982244159</v>
      </c>
      <c r="CM67" s="100">
        <v>14214.69689205664</v>
      </c>
      <c r="CN67" s="100">
        <v>12.428654255070061</v>
      </c>
      <c r="CO67" s="100">
        <v>13959.864459294693</v>
      </c>
      <c r="CP67" s="100">
        <v>7.9447541784714408</v>
      </c>
      <c r="CQ67" s="100">
        <v>8923.5478932591232</v>
      </c>
      <c r="CR67" s="100">
        <v>10.333928940834644</v>
      </c>
      <c r="CS67" s="100">
        <v>11607.068986345474</v>
      </c>
      <c r="CT67" s="100">
        <v>8</v>
      </c>
      <c r="CU67" s="100">
        <v>8985.6</v>
      </c>
    </row>
    <row r="68" spans="2:99">
      <c r="C68" s="99" t="s">
        <v>234</v>
      </c>
      <c r="D68" s="100">
        <v>17</v>
      </c>
      <c r="E68" s="100">
        <v>17564.400000000001</v>
      </c>
      <c r="F68" s="100">
        <v>16</v>
      </c>
      <c r="G68" s="100">
        <v>16531.2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11</v>
      </c>
      <c r="M68" s="100">
        <v>11365.2</v>
      </c>
      <c r="N68" s="100">
        <v>12</v>
      </c>
      <c r="O68" s="100">
        <v>12398.400000000001</v>
      </c>
      <c r="P68" s="100">
        <v>15</v>
      </c>
      <c r="Q68" s="100">
        <v>15498</v>
      </c>
      <c r="R68" s="100">
        <v>18</v>
      </c>
      <c r="S68" s="100">
        <v>18597.600000000002</v>
      </c>
      <c r="T68" s="100">
        <v>14</v>
      </c>
      <c r="U68" s="100">
        <v>14464.800000000001</v>
      </c>
      <c r="V68" s="100">
        <v>15</v>
      </c>
      <c r="W68" s="100">
        <v>15498</v>
      </c>
      <c r="X68" s="100">
        <v>11</v>
      </c>
      <c r="Y68" s="100">
        <v>11365.2</v>
      </c>
      <c r="Z68" s="100">
        <v>14</v>
      </c>
      <c r="AA68" s="100">
        <v>14464.800000000001</v>
      </c>
      <c r="AB68" s="100">
        <v>13</v>
      </c>
      <c r="AC68" s="100">
        <v>13431.6</v>
      </c>
      <c r="AD68" s="100">
        <v>8</v>
      </c>
      <c r="AE68" s="100">
        <v>8265.6</v>
      </c>
      <c r="AF68" s="100">
        <v>11</v>
      </c>
      <c r="AG68" s="100">
        <v>11365.2</v>
      </c>
      <c r="AH68" s="100">
        <v>17</v>
      </c>
      <c r="AI68" s="100">
        <v>17564.400000000001</v>
      </c>
      <c r="AJ68" s="100">
        <v>13</v>
      </c>
      <c r="AK68" s="100">
        <v>13431.6</v>
      </c>
      <c r="AL68" s="100">
        <v>12</v>
      </c>
      <c r="AM68" s="100">
        <v>12398.400000000001</v>
      </c>
      <c r="AN68" s="100">
        <v>10</v>
      </c>
      <c r="AO68" s="100">
        <v>10332</v>
      </c>
      <c r="AP68" s="100">
        <v>17</v>
      </c>
      <c r="AQ68" s="100">
        <v>17564.400000000001</v>
      </c>
      <c r="AR68" s="100">
        <v>12</v>
      </c>
      <c r="AS68" s="100">
        <v>12398.400000000001</v>
      </c>
      <c r="AT68" s="100">
        <v>10</v>
      </c>
      <c r="AU68" s="100">
        <v>10332</v>
      </c>
      <c r="AV68" s="100">
        <v>10</v>
      </c>
      <c r="AW68" s="100">
        <v>10332</v>
      </c>
      <c r="AX68" s="100">
        <v>11.261030291770583</v>
      </c>
      <c r="AY68" s="100">
        <v>11634.896497457366</v>
      </c>
      <c r="AZ68" s="100">
        <v>10</v>
      </c>
      <c r="BA68" s="100">
        <v>10332</v>
      </c>
      <c r="BB68" s="100">
        <v>13</v>
      </c>
      <c r="BC68" s="100">
        <v>13431.6</v>
      </c>
      <c r="BD68" s="100">
        <v>16</v>
      </c>
      <c r="BE68" s="100">
        <v>16531.2</v>
      </c>
      <c r="BF68" s="100">
        <v>9</v>
      </c>
      <c r="BG68" s="100">
        <v>9298.8000000000011</v>
      </c>
      <c r="BH68" s="100">
        <v>13</v>
      </c>
      <c r="BI68" s="100">
        <v>13431.6</v>
      </c>
      <c r="BJ68" s="100">
        <v>14</v>
      </c>
      <c r="BK68" s="100">
        <v>14464.800000000001</v>
      </c>
      <c r="BL68" s="100">
        <v>15</v>
      </c>
      <c r="BM68" s="100">
        <v>15498</v>
      </c>
      <c r="BN68" s="100">
        <v>11.414393556813302</v>
      </c>
      <c r="BO68" s="100">
        <v>11793.351422899505</v>
      </c>
      <c r="BP68" s="100">
        <v>9</v>
      </c>
      <c r="BQ68" s="100">
        <v>9298.8000000000011</v>
      </c>
      <c r="BR68" s="100">
        <v>14.040521303125345</v>
      </c>
      <c r="BS68" s="100">
        <v>14506.666610389108</v>
      </c>
      <c r="BT68" s="100">
        <v>13.755053764958083</v>
      </c>
      <c r="BU68" s="100">
        <v>14211.721549954691</v>
      </c>
      <c r="BV68" s="100">
        <v>15</v>
      </c>
      <c r="BW68" s="100">
        <v>15498</v>
      </c>
      <c r="BX68" s="100">
        <v>12.459087970226337</v>
      </c>
      <c r="BY68" s="100">
        <v>12872.729690837852</v>
      </c>
      <c r="BZ68" s="100">
        <v>10.928617304410976</v>
      </c>
      <c r="CA68" s="100">
        <v>11291.44739891742</v>
      </c>
      <c r="CB68" s="100">
        <v>13.942470925149204</v>
      </c>
      <c r="CC68" s="100">
        <v>14405.360959864158</v>
      </c>
      <c r="CD68" s="100">
        <v>12.749652589341443</v>
      </c>
      <c r="CE68" s="100">
        <v>13172.94105530758</v>
      </c>
      <c r="CF68" s="100">
        <v>9.7511231840703996</v>
      </c>
      <c r="CG68" s="100">
        <v>10074.860473781537</v>
      </c>
      <c r="CH68" s="100">
        <v>10.539996369103617</v>
      </c>
      <c r="CI68" s="100">
        <v>10889.924248557858</v>
      </c>
      <c r="CJ68" s="100">
        <v>11.771777257467619</v>
      </c>
      <c r="CK68" s="100">
        <v>12162.600262415544</v>
      </c>
      <c r="CL68" s="100">
        <v>11.751568197798147</v>
      </c>
      <c r="CM68" s="100">
        <v>12141.720261965045</v>
      </c>
      <c r="CN68" s="100">
        <v>12.428654255070061</v>
      </c>
      <c r="CO68" s="100">
        <v>12841.285576338387</v>
      </c>
      <c r="CP68" s="100">
        <v>7.0620037141968357</v>
      </c>
      <c r="CQ68" s="100">
        <v>7296.4622375081708</v>
      </c>
      <c r="CR68" s="100">
        <v>9.3944808553042201</v>
      </c>
      <c r="CS68" s="100">
        <v>9706.3776197003208</v>
      </c>
      <c r="CT68" s="100">
        <v>9</v>
      </c>
      <c r="CU68" s="100">
        <v>9298.8000000000011</v>
      </c>
    </row>
    <row r="69" spans="2:99">
      <c r="C69" s="99" t="s">
        <v>235</v>
      </c>
      <c r="D69" s="100">
        <v>17</v>
      </c>
      <c r="E69" s="100">
        <v>12892.8</v>
      </c>
      <c r="F69" s="100">
        <v>17</v>
      </c>
      <c r="G69" s="100">
        <v>12892.8</v>
      </c>
      <c r="H69" s="100">
        <v>10</v>
      </c>
      <c r="I69" s="100">
        <v>7584</v>
      </c>
      <c r="J69" s="100">
        <v>10</v>
      </c>
      <c r="K69" s="100">
        <v>7584</v>
      </c>
      <c r="L69" s="100">
        <v>12</v>
      </c>
      <c r="M69" s="100">
        <v>9100.7999999999993</v>
      </c>
      <c r="N69" s="100">
        <v>11</v>
      </c>
      <c r="O69" s="100">
        <v>8342.4</v>
      </c>
      <c r="P69" s="100">
        <v>15</v>
      </c>
      <c r="Q69" s="100">
        <v>11376</v>
      </c>
      <c r="R69" s="100">
        <v>17</v>
      </c>
      <c r="S69" s="100">
        <v>12892.8</v>
      </c>
      <c r="T69" s="100">
        <v>14</v>
      </c>
      <c r="U69" s="100">
        <v>10617.6</v>
      </c>
      <c r="V69" s="100">
        <v>17</v>
      </c>
      <c r="W69" s="100">
        <v>12892.8</v>
      </c>
      <c r="X69" s="100">
        <v>11</v>
      </c>
      <c r="Y69" s="100">
        <v>8342.4</v>
      </c>
      <c r="Z69" s="100">
        <v>14</v>
      </c>
      <c r="AA69" s="100">
        <v>10617.6</v>
      </c>
      <c r="AB69" s="100">
        <v>13</v>
      </c>
      <c r="AC69" s="100">
        <v>9859.1999999999989</v>
      </c>
      <c r="AD69" s="100">
        <v>8</v>
      </c>
      <c r="AE69" s="100">
        <v>6067.2</v>
      </c>
      <c r="AF69" s="100">
        <v>12</v>
      </c>
      <c r="AG69" s="100">
        <v>9100.7999999999993</v>
      </c>
      <c r="AH69" s="100">
        <v>17</v>
      </c>
      <c r="AI69" s="100">
        <v>12892.8</v>
      </c>
      <c r="AJ69" s="100">
        <v>13</v>
      </c>
      <c r="AK69" s="100">
        <v>9859.1999999999989</v>
      </c>
      <c r="AL69" s="100">
        <v>13</v>
      </c>
      <c r="AM69" s="100">
        <v>9859.1999999999989</v>
      </c>
      <c r="AN69" s="100">
        <v>10</v>
      </c>
      <c r="AO69" s="100">
        <v>7584</v>
      </c>
      <c r="AP69" s="100">
        <v>18</v>
      </c>
      <c r="AQ69" s="100">
        <v>13651.199999999999</v>
      </c>
      <c r="AR69" s="100">
        <v>13</v>
      </c>
      <c r="AS69" s="100">
        <v>9859.1999999999989</v>
      </c>
      <c r="AT69" s="100">
        <v>11</v>
      </c>
      <c r="AU69" s="100">
        <v>8342.4</v>
      </c>
      <c r="AV69" s="100">
        <v>9</v>
      </c>
      <c r="AW69" s="100">
        <v>6825.5999999999995</v>
      </c>
      <c r="AX69" s="100">
        <v>12.12726339113755</v>
      </c>
      <c r="AY69" s="100">
        <v>9197.3165558387172</v>
      </c>
      <c r="AZ69" s="100">
        <v>12</v>
      </c>
      <c r="BA69" s="100">
        <v>9100.7999999999993</v>
      </c>
      <c r="BB69" s="100">
        <v>15</v>
      </c>
      <c r="BC69" s="100">
        <v>11376</v>
      </c>
      <c r="BD69" s="100">
        <v>15</v>
      </c>
      <c r="BE69" s="100">
        <v>11376</v>
      </c>
      <c r="BF69" s="100">
        <v>9</v>
      </c>
      <c r="BG69" s="100">
        <v>6825.5999999999995</v>
      </c>
      <c r="BH69" s="100">
        <v>11</v>
      </c>
      <c r="BI69" s="100">
        <v>8342.4</v>
      </c>
      <c r="BJ69" s="100">
        <v>13</v>
      </c>
      <c r="BK69" s="100">
        <v>9859.1999999999989</v>
      </c>
      <c r="BL69" s="100">
        <v>15</v>
      </c>
      <c r="BM69" s="100">
        <v>11376</v>
      </c>
      <c r="BN69" s="100">
        <v>13.316792482948852</v>
      </c>
      <c r="BO69" s="100">
        <v>10099.455419068408</v>
      </c>
      <c r="BP69" s="100">
        <v>9</v>
      </c>
      <c r="BQ69" s="100">
        <v>6825.5999999999995</v>
      </c>
      <c r="BR69" s="100">
        <v>14.918053884570678</v>
      </c>
      <c r="BS69" s="100">
        <v>11313.852066058402</v>
      </c>
      <c r="BT69" s="100">
        <v>15.474435485577841</v>
      </c>
      <c r="BU69" s="100">
        <v>11735.811872262235</v>
      </c>
      <c r="BV69" s="100">
        <v>16</v>
      </c>
      <c r="BW69" s="100">
        <v>12134.4</v>
      </c>
      <c r="BX69" s="100">
        <v>13.349022825242503</v>
      </c>
      <c r="BY69" s="100">
        <v>10123.898910663915</v>
      </c>
      <c r="BZ69" s="100">
        <v>11.922127968448336</v>
      </c>
      <c r="CA69" s="100">
        <v>9041.7418512712175</v>
      </c>
      <c r="CB69" s="100">
        <v>13.942470925149204</v>
      </c>
      <c r="CC69" s="100">
        <v>10573.969949633156</v>
      </c>
      <c r="CD69" s="100">
        <v>11.049698910762583</v>
      </c>
      <c r="CE69" s="100">
        <v>8380.0916539223435</v>
      </c>
      <c r="CF69" s="100">
        <v>11.524054672083199</v>
      </c>
      <c r="CG69" s="100">
        <v>8739.8430633078988</v>
      </c>
      <c r="CH69" s="100">
        <v>9.661663338344983</v>
      </c>
      <c r="CI69" s="100">
        <v>7327.4054758008351</v>
      </c>
      <c r="CJ69" s="100">
        <v>12.677298584965127</v>
      </c>
      <c r="CK69" s="100">
        <v>9614.463246837553</v>
      </c>
      <c r="CL69" s="100">
        <v>12.655534982244159</v>
      </c>
      <c r="CM69" s="100">
        <v>9597.9577305339699</v>
      </c>
      <c r="CN69" s="100">
        <v>13.257231205408065</v>
      </c>
      <c r="CO69" s="100">
        <v>10054.284146181477</v>
      </c>
      <c r="CP69" s="100">
        <v>8.8275046427460442</v>
      </c>
      <c r="CQ69" s="100">
        <v>6694.7795210586</v>
      </c>
      <c r="CR69" s="100">
        <v>11.273377026365065</v>
      </c>
      <c r="CS69" s="100">
        <v>8549.7291367952657</v>
      </c>
      <c r="CT69" s="100">
        <v>9</v>
      </c>
      <c r="CU69" s="100">
        <v>6825.5999999999995</v>
      </c>
    </row>
    <row r="70" spans="2:99">
      <c r="C70" s="99" t="s">
        <v>236</v>
      </c>
      <c r="D70" s="100">
        <v>16</v>
      </c>
      <c r="E70" s="100">
        <v>8563.1999999999989</v>
      </c>
      <c r="F70" s="100">
        <v>17</v>
      </c>
      <c r="G70" s="100">
        <v>9098.4</v>
      </c>
      <c r="H70" s="100">
        <v>10</v>
      </c>
      <c r="I70" s="100">
        <v>5351.9999999999991</v>
      </c>
      <c r="J70" s="100">
        <v>10</v>
      </c>
      <c r="K70" s="100">
        <v>5351.9999999999991</v>
      </c>
      <c r="L70" s="100">
        <v>11</v>
      </c>
      <c r="M70" s="100">
        <v>5887.1999999999989</v>
      </c>
      <c r="N70" s="100">
        <v>12</v>
      </c>
      <c r="O70" s="100">
        <v>6422.4</v>
      </c>
      <c r="P70" s="100">
        <v>15</v>
      </c>
      <c r="Q70" s="100">
        <v>8027.9999999999991</v>
      </c>
      <c r="R70" s="100">
        <v>18</v>
      </c>
      <c r="S70" s="100">
        <v>9633.5999999999985</v>
      </c>
      <c r="T70" s="100">
        <v>16</v>
      </c>
      <c r="U70" s="100">
        <v>8563.1999999999989</v>
      </c>
      <c r="V70" s="100">
        <v>17</v>
      </c>
      <c r="W70" s="100">
        <v>9098.4</v>
      </c>
      <c r="X70" s="100">
        <v>13</v>
      </c>
      <c r="Y70" s="100">
        <v>6957.5999999999995</v>
      </c>
      <c r="Z70" s="100">
        <v>15</v>
      </c>
      <c r="AA70" s="100">
        <v>8027.9999999999991</v>
      </c>
      <c r="AB70" s="100">
        <v>14</v>
      </c>
      <c r="AC70" s="100">
        <v>7492.7999999999993</v>
      </c>
      <c r="AD70" s="100">
        <v>8</v>
      </c>
      <c r="AE70" s="100">
        <v>4281.5999999999995</v>
      </c>
      <c r="AF70" s="100">
        <v>11</v>
      </c>
      <c r="AG70" s="100">
        <v>5887.1999999999989</v>
      </c>
      <c r="AH70" s="100">
        <v>16</v>
      </c>
      <c r="AI70" s="100">
        <v>8563.1999999999989</v>
      </c>
      <c r="AJ70" s="100">
        <v>14</v>
      </c>
      <c r="AK70" s="100">
        <v>7492.7999999999993</v>
      </c>
      <c r="AL70" s="100">
        <v>14</v>
      </c>
      <c r="AM70" s="100">
        <v>7492.7999999999993</v>
      </c>
      <c r="AN70" s="100">
        <v>10</v>
      </c>
      <c r="AO70" s="100">
        <v>5351.9999999999991</v>
      </c>
      <c r="AP70" s="100">
        <v>15</v>
      </c>
      <c r="AQ70" s="100">
        <v>8027.9999999999991</v>
      </c>
      <c r="AR70" s="100">
        <v>13</v>
      </c>
      <c r="AS70" s="100">
        <v>6957.5999999999995</v>
      </c>
      <c r="AT70" s="100">
        <v>11</v>
      </c>
      <c r="AU70" s="100">
        <v>5887.1999999999989</v>
      </c>
      <c r="AV70" s="100">
        <v>10</v>
      </c>
      <c r="AW70" s="100">
        <v>5351.9999999999991</v>
      </c>
      <c r="AX70" s="100">
        <v>12.993496490504517</v>
      </c>
      <c r="AY70" s="100">
        <v>6954.1193217180171</v>
      </c>
      <c r="AZ70" s="100">
        <v>11</v>
      </c>
      <c r="BA70" s="100">
        <v>5887.1999999999989</v>
      </c>
      <c r="BB70" s="100">
        <v>13</v>
      </c>
      <c r="BC70" s="100">
        <v>6957.5999999999995</v>
      </c>
      <c r="BD70" s="100">
        <v>15</v>
      </c>
      <c r="BE70" s="100">
        <v>8027.9999999999991</v>
      </c>
      <c r="BF70" s="100">
        <v>9</v>
      </c>
      <c r="BG70" s="100">
        <v>4816.7999999999993</v>
      </c>
      <c r="BH70" s="100">
        <v>12</v>
      </c>
      <c r="BI70" s="100">
        <v>6422.4</v>
      </c>
      <c r="BJ70" s="100">
        <v>14</v>
      </c>
      <c r="BK70" s="100">
        <v>7492.7999999999993</v>
      </c>
      <c r="BL70" s="100">
        <v>17</v>
      </c>
      <c r="BM70" s="100">
        <v>9098.4</v>
      </c>
      <c r="BN70" s="100">
        <v>13.316792482948852</v>
      </c>
      <c r="BO70" s="100">
        <v>7127.1473368742245</v>
      </c>
      <c r="BP70" s="100">
        <v>9</v>
      </c>
      <c r="BQ70" s="100">
        <v>4816.7999999999993</v>
      </c>
      <c r="BR70" s="100">
        <v>14.918053884570678</v>
      </c>
      <c r="BS70" s="100">
        <v>7984.1424390222264</v>
      </c>
      <c r="BT70" s="100">
        <v>14.614744625267962</v>
      </c>
      <c r="BU70" s="100">
        <v>7821.8113234434122</v>
      </c>
      <c r="BV70" s="100">
        <v>16</v>
      </c>
      <c r="BW70" s="100">
        <v>8563.1999999999989</v>
      </c>
      <c r="BX70" s="100">
        <v>13.349022825242503</v>
      </c>
      <c r="BY70" s="100">
        <v>7144.3970160697872</v>
      </c>
      <c r="BZ70" s="100">
        <v>11.922127968448336</v>
      </c>
      <c r="CA70" s="100">
        <v>6380.7228887135489</v>
      </c>
      <c r="CB70" s="100">
        <v>13.942470925149204</v>
      </c>
      <c r="CC70" s="100">
        <v>7462.0104391398527</v>
      </c>
      <c r="CD70" s="100">
        <v>12.749652589341443</v>
      </c>
      <c r="CE70" s="100">
        <v>6823.6140658155391</v>
      </c>
      <c r="CF70" s="100">
        <v>12.4105204160896</v>
      </c>
      <c r="CG70" s="100">
        <v>6642.1105266911527</v>
      </c>
      <c r="CH70" s="100">
        <v>10.539996369103617</v>
      </c>
      <c r="CI70" s="100">
        <v>5641.0060567442551</v>
      </c>
      <c r="CJ70" s="100">
        <v>12.677298584965127</v>
      </c>
      <c r="CK70" s="100">
        <v>6784.8902026733349</v>
      </c>
      <c r="CL70" s="100">
        <v>13.55950176669017</v>
      </c>
      <c r="CM70" s="100">
        <v>7257.0453455325778</v>
      </c>
      <c r="CN70" s="100">
        <v>14.08580815574607</v>
      </c>
      <c r="CO70" s="100">
        <v>7538.7245249552961</v>
      </c>
      <c r="CP70" s="100">
        <v>8.8275046427460442</v>
      </c>
      <c r="CQ70" s="100">
        <v>4724.480484797682</v>
      </c>
      <c r="CR70" s="100">
        <v>11.273377026365065</v>
      </c>
      <c r="CS70" s="100">
        <v>6033.5113845105816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5</v>
      </c>
      <c r="G71" s="100">
        <v>2820</v>
      </c>
      <c r="H71" s="100">
        <v>5</v>
      </c>
      <c r="I71" s="100">
        <v>2820</v>
      </c>
      <c r="J71" s="100">
        <v>6</v>
      </c>
      <c r="K71" s="100">
        <v>3384</v>
      </c>
      <c r="L71" s="100">
        <v>9</v>
      </c>
      <c r="M71" s="100">
        <v>5076</v>
      </c>
      <c r="N71" s="100">
        <v>7</v>
      </c>
      <c r="O71" s="100">
        <v>3948</v>
      </c>
      <c r="P71" s="100">
        <v>10</v>
      </c>
      <c r="Q71" s="100">
        <v>5640</v>
      </c>
      <c r="R71" s="100">
        <v>7</v>
      </c>
      <c r="S71" s="100">
        <v>3948</v>
      </c>
      <c r="T71" s="100">
        <v>7</v>
      </c>
      <c r="U71" s="100">
        <v>3948</v>
      </c>
      <c r="V71" s="100">
        <v>10</v>
      </c>
      <c r="W71" s="100">
        <v>5640</v>
      </c>
      <c r="X71" s="100">
        <v>7</v>
      </c>
      <c r="Y71" s="100">
        <v>3948</v>
      </c>
      <c r="Z71" s="100">
        <v>6</v>
      </c>
      <c r="AA71" s="100">
        <v>3384</v>
      </c>
      <c r="AB71" s="100">
        <v>9</v>
      </c>
      <c r="AC71" s="100">
        <v>5076</v>
      </c>
      <c r="AD71" s="100">
        <v>9</v>
      </c>
      <c r="AE71" s="100">
        <v>5076</v>
      </c>
      <c r="AF71" s="100">
        <v>7</v>
      </c>
      <c r="AG71" s="100">
        <v>3948</v>
      </c>
      <c r="AH71" s="100">
        <v>8</v>
      </c>
      <c r="AI71" s="100">
        <v>4512</v>
      </c>
      <c r="AJ71" s="100">
        <v>9</v>
      </c>
      <c r="AK71" s="100">
        <v>5076</v>
      </c>
      <c r="AL71" s="100">
        <v>8.1147540983606561</v>
      </c>
      <c r="AM71" s="100">
        <v>4576.7213114754104</v>
      </c>
      <c r="AN71" s="100">
        <v>6.3202247191011232</v>
      </c>
      <c r="AO71" s="100">
        <v>3564.6067415730336</v>
      </c>
      <c r="AP71" s="100">
        <v>6</v>
      </c>
      <c r="AQ71" s="100">
        <v>3384</v>
      </c>
      <c r="AR71" s="100">
        <v>6.8724832214765099</v>
      </c>
      <c r="AS71" s="100">
        <v>3876.0805369127515</v>
      </c>
      <c r="AT71" s="100">
        <v>6.8027210884353737</v>
      </c>
      <c r="AU71" s="100">
        <v>3836.7346938775509</v>
      </c>
      <c r="AV71" s="100">
        <v>6.9444444444444438</v>
      </c>
      <c r="AW71" s="100">
        <v>3916.6666666666661</v>
      </c>
      <c r="AX71" s="100">
        <v>6.2111801242236018</v>
      </c>
      <c r="AY71" s="100">
        <v>3503.1055900621113</v>
      </c>
      <c r="AZ71" s="100">
        <v>6.8965517241379306</v>
      </c>
      <c r="BA71" s="100">
        <v>3889.655172413793</v>
      </c>
      <c r="BB71" s="100">
        <v>6.0975609756097562</v>
      </c>
      <c r="BC71" s="100">
        <v>3439.0243902439024</v>
      </c>
      <c r="BD71" s="100">
        <v>6.8681318681318677</v>
      </c>
      <c r="BE71" s="100">
        <v>3873.6263736263736</v>
      </c>
      <c r="BF71" s="100">
        <v>6</v>
      </c>
      <c r="BG71" s="100">
        <v>3384</v>
      </c>
      <c r="BH71" s="100">
        <v>8.0546448087431699</v>
      </c>
      <c r="BI71" s="100">
        <v>4542.8196721311479</v>
      </c>
      <c r="BJ71" s="100">
        <v>7.1839080459770113</v>
      </c>
      <c r="BK71" s="100">
        <v>4051.7241379310344</v>
      </c>
      <c r="BL71" s="100">
        <v>6.4338235294117645</v>
      </c>
      <c r="BM71" s="100">
        <v>3628.6764705882351</v>
      </c>
      <c r="BN71" s="100">
        <v>6.9444444444444438</v>
      </c>
      <c r="BO71" s="100">
        <v>3916.6666666666661</v>
      </c>
      <c r="BP71" s="100">
        <v>6.5789473684210522</v>
      </c>
      <c r="BQ71" s="100">
        <v>3710.5263157894733</v>
      </c>
      <c r="BR71" s="100">
        <v>6.7114093959731544</v>
      </c>
      <c r="BS71" s="100">
        <v>3785.2348993288592</v>
      </c>
      <c r="BT71" s="100">
        <v>5.9055118110236222</v>
      </c>
      <c r="BU71" s="100">
        <v>3330.7086614173231</v>
      </c>
      <c r="BV71" s="100">
        <v>7.0512820512820511</v>
      </c>
      <c r="BW71" s="100">
        <v>3976.9230769230767</v>
      </c>
      <c r="BX71" s="100">
        <v>5</v>
      </c>
      <c r="BY71" s="100">
        <v>2820</v>
      </c>
      <c r="BZ71" s="100">
        <v>7</v>
      </c>
      <c r="CA71" s="100">
        <v>3948</v>
      </c>
      <c r="CB71" s="100">
        <v>6.3194444444444446</v>
      </c>
      <c r="CC71" s="100">
        <v>3564.166666666667</v>
      </c>
      <c r="CD71" s="100">
        <v>6</v>
      </c>
      <c r="CE71" s="100">
        <v>3384</v>
      </c>
      <c r="CF71" s="100">
        <v>0.49090909090909091</v>
      </c>
      <c r="CG71" s="100">
        <v>276.87272727272727</v>
      </c>
      <c r="CH71" s="100">
        <v>7.4978449495215009E-20</v>
      </c>
      <c r="CI71" s="100">
        <v>4.2287845515301266E-17</v>
      </c>
      <c r="CJ71" s="100">
        <v>2.9193888217510121E-20</v>
      </c>
      <c r="CK71" s="100">
        <v>1.6465352954675709E-17</v>
      </c>
      <c r="CL71" s="100">
        <v>3.3781499223118849E-20</v>
      </c>
      <c r="CM71" s="100">
        <v>1.905276556183903E-17</v>
      </c>
      <c r="CN71" s="100">
        <v>6.5789473684210522</v>
      </c>
      <c r="CO71" s="100">
        <v>3710.5263157894733</v>
      </c>
      <c r="CP71" s="100">
        <v>6.5789473684210522</v>
      </c>
      <c r="CQ71" s="100">
        <v>3710.5263157894733</v>
      </c>
      <c r="CR71" s="100">
        <v>7.5301204819277112</v>
      </c>
      <c r="CS71" s="100">
        <v>4246.9879518072294</v>
      </c>
      <c r="CT71" s="100">
        <v>7.0921985815602833</v>
      </c>
      <c r="CU71" s="100">
        <v>3999.9999999999995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6</v>
      </c>
      <c r="G72" s="100">
        <v>446.4</v>
      </c>
      <c r="H72" s="100">
        <v>6</v>
      </c>
      <c r="I72" s="100">
        <v>446.4</v>
      </c>
      <c r="J72" s="100">
        <v>6</v>
      </c>
      <c r="K72" s="100">
        <v>446.4</v>
      </c>
      <c r="L72" s="100">
        <v>9</v>
      </c>
      <c r="M72" s="100">
        <v>669.59999999999991</v>
      </c>
      <c r="N72" s="100">
        <v>7</v>
      </c>
      <c r="O72" s="100">
        <v>520.79999999999995</v>
      </c>
      <c r="P72" s="100">
        <v>10</v>
      </c>
      <c r="Q72" s="100">
        <v>743.99999999999989</v>
      </c>
      <c r="R72" s="100">
        <v>6</v>
      </c>
      <c r="S72" s="100">
        <v>446.4</v>
      </c>
      <c r="T72" s="100">
        <v>7</v>
      </c>
      <c r="U72" s="100">
        <v>520.79999999999995</v>
      </c>
      <c r="V72" s="100">
        <v>9</v>
      </c>
      <c r="W72" s="100">
        <v>669.59999999999991</v>
      </c>
      <c r="X72" s="100">
        <v>7</v>
      </c>
      <c r="Y72" s="100">
        <v>520.79999999999995</v>
      </c>
      <c r="Z72" s="100">
        <v>6</v>
      </c>
      <c r="AA72" s="100">
        <v>446.4</v>
      </c>
      <c r="AB72" s="100">
        <v>9</v>
      </c>
      <c r="AC72" s="100">
        <v>669.59999999999991</v>
      </c>
      <c r="AD72" s="100">
        <v>10</v>
      </c>
      <c r="AE72" s="100">
        <v>743.99999999999989</v>
      </c>
      <c r="AF72" s="100">
        <v>6</v>
      </c>
      <c r="AG72" s="100">
        <v>446.4</v>
      </c>
      <c r="AH72" s="100">
        <v>9</v>
      </c>
      <c r="AI72" s="100">
        <v>669.59999999999991</v>
      </c>
      <c r="AJ72" s="100">
        <v>11</v>
      </c>
      <c r="AK72" s="100">
        <v>818.39999999999986</v>
      </c>
      <c r="AL72" s="100">
        <v>9.0163934426229506</v>
      </c>
      <c r="AM72" s="100">
        <v>670.8196721311474</v>
      </c>
      <c r="AN72" s="100">
        <v>7.0224719101123592</v>
      </c>
      <c r="AO72" s="100">
        <v>522.47191011235941</v>
      </c>
      <c r="AP72" s="100">
        <v>6</v>
      </c>
      <c r="AQ72" s="100">
        <v>446.4</v>
      </c>
      <c r="AR72" s="100">
        <v>6.8724832214765099</v>
      </c>
      <c r="AS72" s="100">
        <v>511.3127516778523</v>
      </c>
      <c r="AT72" s="100">
        <v>6.8027210884353737</v>
      </c>
      <c r="AU72" s="100">
        <v>506.12244897959175</v>
      </c>
      <c r="AV72" s="100">
        <v>7.6388888888888884</v>
      </c>
      <c r="AW72" s="100">
        <v>568.33333333333326</v>
      </c>
      <c r="AX72" s="100">
        <v>6.2111801242236018</v>
      </c>
      <c r="AY72" s="100">
        <v>462.11180124223591</v>
      </c>
      <c r="AZ72" s="100">
        <v>7.7586206896551726</v>
      </c>
      <c r="BA72" s="100">
        <v>577.24137931034477</v>
      </c>
      <c r="BB72" s="100">
        <v>6.8597560975609753</v>
      </c>
      <c r="BC72" s="100">
        <v>510.36585365853648</v>
      </c>
      <c r="BD72" s="100">
        <v>7.5549450549450547</v>
      </c>
      <c r="BE72" s="100">
        <v>562.08791208791206</v>
      </c>
      <c r="BF72" s="100">
        <v>7</v>
      </c>
      <c r="BG72" s="100">
        <v>520.79999999999995</v>
      </c>
      <c r="BH72" s="100">
        <v>8.0546448087431699</v>
      </c>
      <c r="BI72" s="100">
        <v>599.26557377049176</v>
      </c>
      <c r="BJ72" s="100">
        <v>7.1839080459770113</v>
      </c>
      <c r="BK72" s="100">
        <v>534.48275862068954</v>
      </c>
      <c r="BL72" s="100">
        <v>6.4338235294117645</v>
      </c>
      <c r="BM72" s="100">
        <v>478.67647058823525</v>
      </c>
      <c r="BN72" s="100">
        <v>6.9444444444444438</v>
      </c>
      <c r="BO72" s="100">
        <v>516.66666666666652</v>
      </c>
      <c r="BP72" s="100">
        <v>7.4013157894736841</v>
      </c>
      <c r="BQ72" s="100">
        <v>550.65789473684208</v>
      </c>
      <c r="BR72" s="100">
        <v>6.7114093959731544</v>
      </c>
      <c r="BS72" s="100">
        <v>499.32885906040264</v>
      </c>
      <c r="BT72" s="100">
        <v>6.8897637795275593</v>
      </c>
      <c r="BU72" s="100">
        <v>512.59842519685037</v>
      </c>
      <c r="BV72" s="100">
        <v>6.4102564102564097</v>
      </c>
      <c r="BW72" s="100">
        <v>476.92307692307685</v>
      </c>
      <c r="BX72" s="100">
        <v>7</v>
      </c>
      <c r="BY72" s="100">
        <v>520.79999999999995</v>
      </c>
      <c r="BZ72" s="100">
        <v>7</v>
      </c>
      <c r="CA72" s="100">
        <v>520.79999999999995</v>
      </c>
      <c r="CB72" s="100">
        <v>7.2222222222222214</v>
      </c>
      <c r="CC72" s="100">
        <v>537.33333333333326</v>
      </c>
      <c r="CD72" s="100">
        <v>6</v>
      </c>
      <c r="CE72" s="100">
        <v>446.4</v>
      </c>
      <c r="CF72" s="100">
        <v>0.49090909090909091</v>
      </c>
      <c r="CG72" s="100">
        <v>36.523636363636356</v>
      </c>
      <c r="CH72" s="100">
        <v>7.4978449495215009E-20</v>
      </c>
      <c r="CI72" s="100">
        <v>5.5783966424439963E-18</v>
      </c>
      <c r="CJ72" s="100">
        <v>3.5032665861012138E-20</v>
      </c>
      <c r="CK72" s="100">
        <v>2.6064303400593027E-18</v>
      </c>
      <c r="CL72" s="100">
        <v>4.1288499050478594E-20</v>
      </c>
      <c r="CM72" s="100">
        <v>3.0718643293556071E-18</v>
      </c>
      <c r="CN72" s="100">
        <v>6.5789473684210522</v>
      </c>
      <c r="CO72" s="100">
        <v>489.47368421052624</v>
      </c>
      <c r="CP72" s="100">
        <v>7.4013157894736841</v>
      </c>
      <c r="CQ72" s="100">
        <v>550.65789473684208</v>
      </c>
      <c r="CR72" s="100">
        <v>7.5301204819277112</v>
      </c>
      <c r="CS72" s="100">
        <v>560.24096385542168</v>
      </c>
      <c r="CT72" s="100">
        <v>7.0921985815602833</v>
      </c>
      <c r="CU72" s="100">
        <v>527.659574468085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5</v>
      </c>
      <c r="G73" s="100">
        <v>2795.9999999999995</v>
      </c>
      <c r="H73" s="100">
        <v>6</v>
      </c>
      <c r="I73" s="100">
        <v>3355.2</v>
      </c>
      <c r="J73" s="100">
        <v>6</v>
      </c>
      <c r="K73" s="100">
        <v>3355.2</v>
      </c>
      <c r="L73" s="100">
        <v>10</v>
      </c>
      <c r="M73" s="100">
        <v>5591.9999999999991</v>
      </c>
      <c r="N73" s="100">
        <v>7</v>
      </c>
      <c r="O73" s="100">
        <v>3914.3999999999996</v>
      </c>
      <c r="P73" s="100">
        <v>10</v>
      </c>
      <c r="Q73" s="100">
        <v>5591.9999999999991</v>
      </c>
      <c r="R73" s="100">
        <v>7</v>
      </c>
      <c r="S73" s="100">
        <v>3914.3999999999996</v>
      </c>
      <c r="T73" s="100">
        <v>6</v>
      </c>
      <c r="U73" s="100">
        <v>3355.2</v>
      </c>
      <c r="V73" s="100">
        <v>10</v>
      </c>
      <c r="W73" s="100">
        <v>5591.9999999999991</v>
      </c>
      <c r="X73" s="100">
        <v>8</v>
      </c>
      <c r="Y73" s="100">
        <v>4473.5999999999995</v>
      </c>
      <c r="Z73" s="100">
        <v>5</v>
      </c>
      <c r="AA73" s="100">
        <v>2795.9999999999995</v>
      </c>
      <c r="AB73" s="100">
        <v>8</v>
      </c>
      <c r="AC73" s="100">
        <v>4473.5999999999995</v>
      </c>
      <c r="AD73" s="100">
        <v>9</v>
      </c>
      <c r="AE73" s="100">
        <v>5032.7999999999993</v>
      </c>
      <c r="AF73" s="100">
        <v>6</v>
      </c>
      <c r="AG73" s="100">
        <v>3355.2</v>
      </c>
      <c r="AH73" s="100">
        <v>7</v>
      </c>
      <c r="AI73" s="100">
        <v>3914.3999999999996</v>
      </c>
      <c r="AJ73" s="100">
        <v>10</v>
      </c>
      <c r="AK73" s="100">
        <v>5591.9999999999991</v>
      </c>
      <c r="AL73" s="100">
        <v>9.9180327868852451</v>
      </c>
      <c r="AM73" s="100">
        <v>5546.1639344262285</v>
      </c>
      <c r="AN73" s="100">
        <v>7.0224719101123592</v>
      </c>
      <c r="AO73" s="100">
        <v>3926.9662921348308</v>
      </c>
      <c r="AP73" s="100">
        <v>6</v>
      </c>
      <c r="AQ73" s="100">
        <v>3355.2</v>
      </c>
      <c r="AR73" s="100">
        <v>6.0134228187919465</v>
      </c>
      <c r="AS73" s="100">
        <v>3362.706040268456</v>
      </c>
      <c r="AT73" s="100">
        <v>6.8027210884353737</v>
      </c>
      <c r="AU73" s="100">
        <v>3804.0816326530603</v>
      </c>
      <c r="AV73" s="100">
        <v>6.9444444444444438</v>
      </c>
      <c r="AW73" s="100">
        <v>3883.3333333333326</v>
      </c>
      <c r="AX73" s="100">
        <v>6.987577639751553</v>
      </c>
      <c r="AY73" s="100">
        <v>3907.4534161490678</v>
      </c>
      <c r="AZ73" s="100">
        <v>6.8965517241379306</v>
      </c>
      <c r="BA73" s="100">
        <v>3856.5517241379303</v>
      </c>
      <c r="BB73" s="100">
        <v>6.8597560975609753</v>
      </c>
      <c r="BC73" s="100">
        <v>3835.9756097560967</v>
      </c>
      <c r="BD73" s="100">
        <v>6.8681318681318677</v>
      </c>
      <c r="BE73" s="100">
        <v>3840.6593406593402</v>
      </c>
      <c r="BF73" s="100">
        <v>6</v>
      </c>
      <c r="BG73" s="100">
        <v>3355.2</v>
      </c>
      <c r="BH73" s="100">
        <v>8.0546448087431699</v>
      </c>
      <c r="BI73" s="100">
        <v>4504.1573770491805</v>
      </c>
      <c r="BJ73" s="100">
        <v>7.1839080459770113</v>
      </c>
      <c r="BK73" s="100">
        <v>4017.2413793103442</v>
      </c>
      <c r="BL73" s="100">
        <v>6.4338235294117645</v>
      </c>
      <c r="BM73" s="100">
        <v>3597.7941176470581</v>
      </c>
      <c r="BN73" s="100">
        <v>6.9444444444444438</v>
      </c>
      <c r="BO73" s="100">
        <v>3883.3333333333326</v>
      </c>
      <c r="BP73" s="100">
        <v>7.4013157894736841</v>
      </c>
      <c r="BQ73" s="100">
        <v>4138.8157894736833</v>
      </c>
      <c r="BR73" s="100">
        <v>5.8724832214765099</v>
      </c>
      <c r="BS73" s="100">
        <v>3283.8926174496642</v>
      </c>
      <c r="BT73" s="100">
        <v>5.9055118110236222</v>
      </c>
      <c r="BU73" s="100">
        <v>3302.3622047244094</v>
      </c>
      <c r="BV73" s="100">
        <v>7.0512820512820511</v>
      </c>
      <c r="BW73" s="100">
        <v>3943.0769230769224</v>
      </c>
      <c r="BX73" s="100">
        <v>6</v>
      </c>
      <c r="BY73" s="100">
        <v>3355.2</v>
      </c>
      <c r="BZ73" s="100">
        <v>6</v>
      </c>
      <c r="CA73" s="100">
        <v>3355.2</v>
      </c>
      <c r="CB73" s="100">
        <v>6.3194444444444446</v>
      </c>
      <c r="CC73" s="100">
        <v>3533.833333333333</v>
      </c>
      <c r="CD73" s="100">
        <v>6</v>
      </c>
      <c r="CE73" s="100">
        <v>3355.2</v>
      </c>
      <c r="CF73" s="100">
        <v>0.49090909090909091</v>
      </c>
      <c r="CG73" s="100">
        <v>274.51636363636362</v>
      </c>
      <c r="CH73" s="100">
        <v>7.4978449495215009E-20</v>
      </c>
      <c r="CI73" s="100">
        <v>4.1927948957724225E-17</v>
      </c>
      <c r="CJ73" s="100">
        <v>3.5032665861012138E-20</v>
      </c>
      <c r="CK73" s="100">
        <v>1.9590266749477984E-17</v>
      </c>
      <c r="CL73" s="100">
        <v>3.3781499223118849E-20</v>
      </c>
      <c r="CM73" s="100">
        <v>1.8890614365568059E-17</v>
      </c>
      <c r="CN73" s="100">
        <v>5.7565789473684204</v>
      </c>
      <c r="CO73" s="100">
        <v>3219.0789473684204</v>
      </c>
      <c r="CP73" s="100">
        <v>6.5789473684210522</v>
      </c>
      <c r="CQ73" s="100">
        <v>3678.947368421052</v>
      </c>
      <c r="CR73" s="100">
        <v>6.7771084337349397</v>
      </c>
      <c r="CS73" s="100">
        <v>3789.7590361445777</v>
      </c>
      <c r="CT73" s="100">
        <v>6.2056737588652489</v>
      </c>
      <c r="CU73" s="100">
        <v>3470.2127659574467</v>
      </c>
    </row>
    <row r="74" spans="2:99">
      <c r="C74" s="99" t="s">
        <v>240</v>
      </c>
      <c r="D74" s="100">
        <v>7</v>
      </c>
      <c r="E74" s="100">
        <v>2822.4</v>
      </c>
      <c r="F74" s="100">
        <v>6</v>
      </c>
      <c r="G74" s="100">
        <v>2419.1999999999998</v>
      </c>
      <c r="H74" s="100">
        <v>6</v>
      </c>
      <c r="I74" s="100">
        <v>2419.1999999999998</v>
      </c>
      <c r="J74" s="100">
        <v>6</v>
      </c>
      <c r="K74" s="100">
        <v>2419.1999999999998</v>
      </c>
      <c r="L74" s="100">
        <v>9</v>
      </c>
      <c r="M74" s="100">
        <v>3628.7999999999997</v>
      </c>
      <c r="N74" s="100">
        <v>7</v>
      </c>
      <c r="O74" s="100">
        <v>2822.4</v>
      </c>
      <c r="P74" s="100">
        <v>9</v>
      </c>
      <c r="Q74" s="100">
        <v>3628.7999999999997</v>
      </c>
      <c r="R74" s="100">
        <v>7</v>
      </c>
      <c r="S74" s="100">
        <v>2822.4</v>
      </c>
      <c r="T74" s="100">
        <v>7</v>
      </c>
      <c r="U74" s="100">
        <v>2822.4</v>
      </c>
      <c r="V74" s="100">
        <v>10</v>
      </c>
      <c r="W74" s="100">
        <v>4032</v>
      </c>
      <c r="X74" s="100">
        <v>8</v>
      </c>
      <c r="Y74" s="100">
        <v>3225.6</v>
      </c>
      <c r="Z74" s="100">
        <v>5</v>
      </c>
      <c r="AA74" s="100">
        <v>2016</v>
      </c>
      <c r="AB74" s="100">
        <v>9</v>
      </c>
      <c r="AC74" s="100">
        <v>3628.7999999999997</v>
      </c>
      <c r="AD74" s="100">
        <v>9</v>
      </c>
      <c r="AE74" s="100">
        <v>3628.7999999999997</v>
      </c>
      <c r="AF74" s="100">
        <v>6</v>
      </c>
      <c r="AG74" s="100">
        <v>2419.1999999999998</v>
      </c>
      <c r="AH74" s="100">
        <v>8</v>
      </c>
      <c r="AI74" s="100">
        <v>3225.6</v>
      </c>
      <c r="AJ74" s="100">
        <v>10</v>
      </c>
      <c r="AK74" s="100">
        <v>4032</v>
      </c>
      <c r="AL74" s="100">
        <v>9.0163934426229506</v>
      </c>
      <c r="AM74" s="100">
        <v>3635.4098360655735</v>
      </c>
      <c r="AN74" s="100">
        <v>6.3202247191011232</v>
      </c>
      <c r="AO74" s="100">
        <v>2548.3146067415728</v>
      </c>
      <c r="AP74" s="100">
        <v>6</v>
      </c>
      <c r="AQ74" s="100">
        <v>2419.1999999999998</v>
      </c>
      <c r="AR74" s="100">
        <v>6.8724832214765099</v>
      </c>
      <c r="AS74" s="100">
        <v>2770.9852348993286</v>
      </c>
      <c r="AT74" s="100">
        <v>6.8027210884353737</v>
      </c>
      <c r="AU74" s="100">
        <v>2742.8571428571427</v>
      </c>
      <c r="AV74" s="100">
        <v>7.6388888888888884</v>
      </c>
      <c r="AW74" s="100">
        <v>3079.9999999999995</v>
      </c>
      <c r="AX74" s="100">
        <v>6.987577639751553</v>
      </c>
      <c r="AY74" s="100">
        <v>2817.391304347826</v>
      </c>
      <c r="AZ74" s="100">
        <v>6.0344827586206895</v>
      </c>
      <c r="BA74" s="100">
        <v>2433.1034482758619</v>
      </c>
      <c r="BB74" s="100">
        <v>6.8597560975609753</v>
      </c>
      <c r="BC74" s="100">
        <v>2765.853658536585</v>
      </c>
      <c r="BD74" s="100">
        <v>6.1813186813186807</v>
      </c>
      <c r="BE74" s="100">
        <v>2492.3076923076919</v>
      </c>
      <c r="BF74" s="100">
        <v>7</v>
      </c>
      <c r="BG74" s="100">
        <v>2822.4</v>
      </c>
      <c r="BH74" s="100">
        <v>8.0546448087431699</v>
      </c>
      <c r="BI74" s="100">
        <v>3247.6327868852459</v>
      </c>
      <c r="BJ74" s="100">
        <v>6.4655172413793105</v>
      </c>
      <c r="BK74" s="100">
        <v>2606.8965517241381</v>
      </c>
      <c r="BL74" s="100">
        <v>5.5147058823529411</v>
      </c>
      <c r="BM74" s="100">
        <v>2223.5294117647059</v>
      </c>
      <c r="BN74" s="100">
        <v>6.9444444444444438</v>
      </c>
      <c r="BO74" s="100">
        <v>2799.9999999999995</v>
      </c>
      <c r="BP74" s="100">
        <v>6.5789473684210522</v>
      </c>
      <c r="BQ74" s="100">
        <v>2652.6315789473683</v>
      </c>
      <c r="BR74" s="100">
        <v>5.8724832214765099</v>
      </c>
      <c r="BS74" s="100">
        <v>2367.7852348993288</v>
      </c>
      <c r="BT74" s="100">
        <v>5.9055118110236222</v>
      </c>
      <c r="BU74" s="100">
        <v>2381.1023622047246</v>
      </c>
      <c r="BV74" s="100">
        <v>7.0512820512820511</v>
      </c>
      <c r="BW74" s="100">
        <v>2843.0769230769229</v>
      </c>
      <c r="BX74" s="100">
        <v>6</v>
      </c>
      <c r="BY74" s="100">
        <v>2419.1999999999998</v>
      </c>
      <c r="BZ74" s="100">
        <v>7</v>
      </c>
      <c r="CA74" s="100">
        <v>2822.4</v>
      </c>
      <c r="CB74" s="100">
        <v>6.3194444444444446</v>
      </c>
      <c r="CC74" s="100">
        <v>2548</v>
      </c>
      <c r="CD74" s="100">
        <v>6</v>
      </c>
      <c r="CE74" s="100">
        <v>2419.1999999999998</v>
      </c>
      <c r="CF74" s="100">
        <v>0.43636363636363634</v>
      </c>
      <c r="CG74" s="100">
        <v>175.94181818181818</v>
      </c>
      <c r="CH74" s="100">
        <v>7.4978449495215009E-20</v>
      </c>
      <c r="CI74" s="100">
        <v>3.0231310836470693E-17</v>
      </c>
      <c r="CJ74" s="100">
        <v>2.9193888217510121E-20</v>
      </c>
      <c r="CK74" s="100">
        <v>1.1770975729300081E-17</v>
      </c>
      <c r="CL74" s="100">
        <v>3.3781499223118849E-20</v>
      </c>
      <c r="CM74" s="100">
        <v>1.3620700486761519E-17</v>
      </c>
      <c r="CN74" s="100">
        <v>5.7565789473684204</v>
      </c>
      <c r="CO74" s="100">
        <v>2321.0526315789471</v>
      </c>
      <c r="CP74" s="100">
        <v>7.4013157894736841</v>
      </c>
      <c r="CQ74" s="100">
        <v>2984.2105263157891</v>
      </c>
      <c r="CR74" s="100">
        <v>7.5301204819277112</v>
      </c>
      <c r="CS74" s="100">
        <v>3036.1445783132531</v>
      </c>
      <c r="CT74" s="100">
        <v>6.2056737588652489</v>
      </c>
      <c r="CU74" s="100">
        <v>2502.1276595744685</v>
      </c>
    </row>
    <row r="75" spans="2:99">
      <c r="C75" s="99" t="s">
        <v>241</v>
      </c>
      <c r="D75" s="100">
        <v>6</v>
      </c>
      <c r="E75" s="100">
        <v>3859.2</v>
      </c>
      <c r="F75" s="100">
        <v>6</v>
      </c>
      <c r="G75" s="100">
        <v>3859.2</v>
      </c>
      <c r="H75" s="100">
        <v>5</v>
      </c>
      <c r="I75" s="100">
        <v>3215.9999999999995</v>
      </c>
      <c r="J75" s="100">
        <v>6</v>
      </c>
      <c r="K75" s="100">
        <v>3859.2</v>
      </c>
      <c r="L75" s="100">
        <v>9</v>
      </c>
      <c r="M75" s="100">
        <v>5788.7999999999993</v>
      </c>
      <c r="N75" s="100">
        <v>7</v>
      </c>
      <c r="O75" s="100">
        <v>4502.3999999999996</v>
      </c>
      <c r="P75" s="100">
        <v>9</v>
      </c>
      <c r="Q75" s="100">
        <v>5788.7999999999993</v>
      </c>
      <c r="R75" s="100">
        <v>6</v>
      </c>
      <c r="S75" s="100">
        <v>3859.2</v>
      </c>
      <c r="T75" s="100">
        <v>6</v>
      </c>
      <c r="U75" s="100">
        <v>3859.2</v>
      </c>
      <c r="V75" s="100">
        <v>10</v>
      </c>
      <c r="W75" s="100">
        <v>6431.9999999999991</v>
      </c>
      <c r="X75" s="100">
        <v>7</v>
      </c>
      <c r="Y75" s="100">
        <v>4502.3999999999996</v>
      </c>
      <c r="Z75" s="100">
        <v>6</v>
      </c>
      <c r="AA75" s="100">
        <v>3859.2</v>
      </c>
      <c r="AB75" s="100">
        <v>10</v>
      </c>
      <c r="AC75" s="100">
        <v>6431.9999999999991</v>
      </c>
      <c r="AD75" s="100">
        <v>9</v>
      </c>
      <c r="AE75" s="100">
        <v>5788.7999999999993</v>
      </c>
      <c r="AF75" s="100">
        <v>6</v>
      </c>
      <c r="AG75" s="100">
        <v>3859.2</v>
      </c>
      <c r="AH75" s="100">
        <v>8</v>
      </c>
      <c r="AI75" s="100">
        <v>5145.5999999999995</v>
      </c>
      <c r="AJ75" s="100">
        <v>9</v>
      </c>
      <c r="AK75" s="100">
        <v>5788.7999999999993</v>
      </c>
      <c r="AL75" s="100">
        <v>8.1147540983606561</v>
      </c>
      <c r="AM75" s="100">
        <v>5219.4098360655735</v>
      </c>
      <c r="AN75" s="100">
        <v>7.0224719101123592</v>
      </c>
      <c r="AO75" s="100">
        <v>4516.8539325842694</v>
      </c>
      <c r="AP75" s="100">
        <v>6</v>
      </c>
      <c r="AQ75" s="100">
        <v>3859.2</v>
      </c>
      <c r="AR75" s="100">
        <v>6.0134228187919465</v>
      </c>
      <c r="AS75" s="100">
        <v>3867.8335570469794</v>
      </c>
      <c r="AT75" s="100">
        <v>6.8027210884353737</v>
      </c>
      <c r="AU75" s="100">
        <v>4375.5102040816319</v>
      </c>
      <c r="AV75" s="100">
        <v>6.25</v>
      </c>
      <c r="AW75" s="100">
        <v>4019.9999999999995</v>
      </c>
      <c r="AX75" s="100">
        <v>5.4347826086956523</v>
      </c>
      <c r="AY75" s="100">
        <v>3495.652173913043</v>
      </c>
      <c r="AZ75" s="100">
        <v>6.8965517241379306</v>
      </c>
      <c r="BA75" s="100">
        <v>4435.8620689655163</v>
      </c>
      <c r="BB75" s="100">
        <v>6.8597560975609753</v>
      </c>
      <c r="BC75" s="100">
        <v>4412.1951219512184</v>
      </c>
      <c r="BD75" s="100">
        <v>6.8681318681318677</v>
      </c>
      <c r="BE75" s="100">
        <v>4417.5824175824173</v>
      </c>
      <c r="BF75" s="100">
        <v>6</v>
      </c>
      <c r="BG75" s="100">
        <v>3859.2</v>
      </c>
      <c r="BH75" s="100">
        <v>6.5901639344262293</v>
      </c>
      <c r="BI75" s="100">
        <v>4238.7934426229504</v>
      </c>
      <c r="BJ75" s="100">
        <v>7.1839080459770113</v>
      </c>
      <c r="BK75" s="100">
        <v>4620.689655172413</v>
      </c>
      <c r="BL75" s="100">
        <v>5.5147058823529411</v>
      </c>
      <c r="BM75" s="100">
        <v>3547.0588235294113</v>
      </c>
      <c r="BN75" s="100">
        <v>6.1728395061728394</v>
      </c>
      <c r="BO75" s="100">
        <v>3970.37037037037</v>
      </c>
      <c r="BP75" s="100">
        <v>6.5789473684210522</v>
      </c>
      <c r="BQ75" s="100">
        <v>4231.5789473684199</v>
      </c>
      <c r="BR75" s="100">
        <v>5.8724832214765099</v>
      </c>
      <c r="BS75" s="100">
        <v>3777.1812080536906</v>
      </c>
      <c r="BT75" s="100">
        <v>5.9055118110236222</v>
      </c>
      <c r="BU75" s="100">
        <v>3798.4251968503936</v>
      </c>
      <c r="BV75" s="100">
        <v>5.7692307692307692</v>
      </c>
      <c r="BW75" s="100">
        <v>3710.7692307692305</v>
      </c>
      <c r="BX75" s="100">
        <v>6</v>
      </c>
      <c r="BY75" s="100">
        <v>3859.2</v>
      </c>
      <c r="BZ75" s="100">
        <v>6</v>
      </c>
      <c r="CA75" s="100">
        <v>3859.2</v>
      </c>
      <c r="CB75" s="100">
        <v>6.3194444444444446</v>
      </c>
      <c r="CC75" s="100">
        <v>4064.6666666666665</v>
      </c>
      <c r="CD75" s="100">
        <v>5</v>
      </c>
      <c r="CE75" s="100">
        <v>3215.9999999999995</v>
      </c>
      <c r="CF75" s="100">
        <v>0.49090909090909091</v>
      </c>
      <c r="CG75" s="100">
        <v>315.75272727272721</v>
      </c>
      <c r="CH75" s="100">
        <v>7.4978449495215009E-20</v>
      </c>
      <c r="CI75" s="100">
        <v>4.8226138715322286E-17</v>
      </c>
      <c r="CJ75" s="100">
        <v>3.5032665861012138E-20</v>
      </c>
      <c r="CK75" s="100">
        <v>2.2533010681803005E-17</v>
      </c>
      <c r="CL75" s="100">
        <v>3.7534999136798722E-20</v>
      </c>
      <c r="CM75" s="100">
        <v>2.4142511444788934E-17</v>
      </c>
      <c r="CN75" s="100">
        <v>5.7565789473684204</v>
      </c>
      <c r="CO75" s="100">
        <v>3702.6315789473674</v>
      </c>
      <c r="CP75" s="100">
        <v>6.5789473684210522</v>
      </c>
      <c r="CQ75" s="100">
        <v>4231.5789473684199</v>
      </c>
      <c r="CR75" s="100">
        <v>6.024096385542169</v>
      </c>
      <c r="CS75" s="100">
        <v>3874.6987951807228</v>
      </c>
      <c r="CT75" s="100">
        <v>7.0921985815602833</v>
      </c>
      <c r="CU75" s="100">
        <v>4561.7021276595733</v>
      </c>
    </row>
    <row r="76" spans="2:99">
      <c r="C76" s="99" t="s">
        <v>242</v>
      </c>
      <c r="D76" s="100">
        <v>6</v>
      </c>
      <c r="E76" s="100">
        <v>4672.7999999999993</v>
      </c>
      <c r="F76" s="100">
        <v>5</v>
      </c>
      <c r="G76" s="100">
        <v>3894</v>
      </c>
      <c r="H76" s="100">
        <v>5</v>
      </c>
      <c r="I76" s="100">
        <v>3894</v>
      </c>
      <c r="J76" s="100">
        <v>6</v>
      </c>
      <c r="K76" s="100">
        <v>4672.7999999999993</v>
      </c>
      <c r="L76" s="100">
        <v>9</v>
      </c>
      <c r="M76" s="100">
        <v>7009.2</v>
      </c>
      <c r="N76" s="100">
        <v>7</v>
      </c>
      <c r="O76" s="100">
        <v>5451.5999999999995</v>
      </c>
      <c r="P76" s="100">
        <v>10</v>
      </c>
      <c r="Q76" s="100">
        <v>7788</v>
      </c>
      <c r="R76" s="100">
        <v>6</v>
      </c>
      <c r="S76" s="100">
        <v>4672.7999999999993</v>
      </c>
      <c r="T76" s="100">
        <v>7</v>
      </c>
      <c r="U76" s="100">
        <v>5451.5999999999995</v>
      </c>
      <c r="V76" s="100">
        <v>9</v>
      </c>
      <c r="W76" s="100">
        <v>7009.2</v>
      </c>
      <c r="X76" s="100">
        <v>6</v>
      </c>
      <c r="Y76" s="100">
        <v>4672.7999999999993</v>
      </c>
      <c r="Z76" s="100">
        <v>5</v>
      </c>
      <c r="AA76" s="100">
        <v>3894</v>
      </c>
      <c r="AB76" s="100">
        <v>9</v>
      </c>
      <c r="AC76" s="100">
        <v>7009.2</v>
      </c>
      <c r="AD76" s="100">
        <v>10</v>
      </c>
      <c r="AE76" s="100">
        <v>7788</v>
      </c>
      <c r="AF76" s="100">
        <v>6</v>
      </c>
      <c r="AG76" s="100">
        <v>4672.7999999999993</v>
      </c>
      <c r="AH76" s="100">
        <v>9</v>
      </c>
      <c r="AI76" s="100">
        <v>7009.2</v>
      </c>
      <c r="AJ76" s="100">
        <v>9</v>
      </c>
      <c r="AK76" s="100">
        <v>7009.2</v>
      </c>
      <c r="AL76" s="100">
        <v>9.0163934426229506</v>
      </c>
      <c r="AM76" s="100">
        <v>7021.9672131147536</v>
      </c>
      <c r="AN76" s="100">
        <v>7.0224719101123592</v>
      </c>
      <c r="AO76" s="100">
        <v>5469.1011235955048</v>
      </c>
      <c r="AP76" s="100">
        <v>5</v>
      </c>
      <c r="AQ76" s="100">
        <v>3894</v>
      </c>
      <c r="AR76" s="100">
        <v>6.8724832214765099</v>
      </c>
      <c r="AS76" s="100">
        <v>5352.2899328859057</v>
      </c>
      <c r="AT76" s="100">
        <v>6.8027210884353737</v>
      </c>
      <c r="AU76" s="100">
        <v>5297.9591836734689</v>
      </c>
      <c r="AV76" s="100">
        <v>6.25</v>
      </c>
      <c r="AW76" s="100">
        <v>4867.5</v>
      </c>
      <c r="AX76" s="100">
        <v>6.987577639751553</v>
      </c>
      <c r="AY76" s="100">
        <v>5441.9254658385089</v>
      </c>
      <c r="AZ76" s="100">
        <v>6.0344827586206895</v>
      </c>
      <c r="BA76" s="100">
        <v>4699.6551724137926</v>
      </c>
      <c r="BB76" s="100">
        <v>6.8597560975609753</v>
      </c>
      <c r="BC76" s="100">
        <v>5342.378048780487</v>
      </c>
      <c r="BD76" s="100">
        <v>6.8681318681318677</v>
      </c>
      <c r="BE76" s="100">
        <v>5348.9010989010985</v>
      </c>
      <c r="BF76" s="100">
        <v>6</v>
      </c>
      <c r="BG76" s="100">
        <v>4672.7999999999993</v>
      </c>
      <c r="BH76" s="100">
        <v>7.3224043715846996</v>
      </c>
      <c r="BI76" s="100">
        <v>5702.688524590164</v>
      </c>
      <c r="BJ76" s="100">
        <v>6.4655172413793105</v>
      </c>
      <c r="BK76" s="100">
        <v>5035.3448275862065</v>
      </c>
      <c r="BL76" s="100">
        <v>5.5147058823529411</v>
      </c>
      <c r="BM76" s="100">
        <v>4294.8529411764703</v>
      </c>
      <c r="BN76" s="100">
        <v>5.4012345679012341</v>
      </c>
      <c r="BO76" s="100">
        <v>4206.4814814814808</v>
      </c>
      <c r="BP76" s="100">
        <v>6.5789473684210522</v>
      </c>
      <c r="BQ76" s="100">
        <v>5123.6842105263149</v>
      </c>
      <c r="BR76" s="100">
        <v>6.7114093959731544</v>
      </c>
      <c r="BS76" s="100">
        <v>5226.8456375838923</v>
      </c>
      <c r="BT76" s="100">
        <v>5.9055118110236222</v>
      </c>
      <c r="BU76" s="100">
        <v>4599.212598425197</v>
      </c>
      <c r="BV76" s="100">
        <v>6.4102564102564097</v>
      </c>
      <c r="BW76" s="100">
        <v>4992.3076923076915</v>
      </c>
      <c r="BX76" s="100">
        <v>5</v>
      </c>
      <c r="BY76" s="100">
        <v>3894</v>
      </c>
      <c r="BZ76" s="100">
        <v>6</v>
      </c>
      <c r="CA76" s="100">
        <v>4672.7999999999993</v>
      </c>
      <c r="CB76" s="100">
        <v>5.4166666666666661</v>
      </c>
      <c r="CC76" s="100">
        <v>4218.4999999999991</v>
      </c>
      <c r="CD76" s="100">
        <v>5</v>
      </c>
      <c r="CE76" s="100">
        <v>3894</v>
      </c>
      <c r="CF76" s="100">
        <v>0.49090909090909091</v>
      </c>
      <c r="CG76" s="100">
        <v>382.32</v>
      </c>
      <c r="CH76" s="100">
        <v>7.4978449495215009E-20</v>
      </c>
      <c r="CI76" s="100">
        <v>5.8393216466873441E-17</v>
      </c>
      <c r="CJ76" s="100">
        <v>2.9193888217510121E-20</v>
      </c>
      <c r="CK76" s="100">
        <v>2.2736200143796882E-17</v>
      </c>
      <c r="CL76" s="100">
        <v>3.3781499223118849E-20</v>
      </c>
      <c r="CM76" s="100">
        <v>2.6309031594964959E-17</v>
      </c>
      <c r="CN76" s="100">
        <v>6.5789473684210522</v>
      </c>
      <c r="CO76" s="100">
        <v>5123.6842105263149</v>
      </c>
      <c r="CP76" s="100">
        <v>6.5789473684210522</v>
      </c>
      <c r="CQ76" s="100">
        <v>5123.6842105263149</v>
      </c>
      <c r="CR76" s="100">
        <v>6.7771084337349397</v>
      </c>
      <c r="CS76" s="100">
        <v>5278.0120481927706</v>
      </c>
      <c r="CT76" s="100">
        <v>7.0921985815602833</v>
      </c>
      <c r="CU76" s="100">
        <v>5523.4042553191484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6</v>
      </c>
      <c r="G77" s="100">
        <v>1670.3999999999999</v>
      </c>
      <c r="H77" s="100">
        <v>6</v>
      </c>
      <c r="I77" s="100">
        <v>1670.3999999999999</v>
      </c>
      <c r="J77" s="100">
        <v>6</v>
      </c>
      <c r="K77" s="100">
        <v>1670.3999999999999</v>
      </c>
      <c r="L77" s="100">
        <v>9</v>
      </c>
      <c r="M77" s="100">
        <v>2505.6</v>
      </c>
      <c r="N77" s="100">
        <v>7</v>
      </c>
      <c r="O77" s="100">
        <v>1948.7999999999997</v>
      </c>
      <c r="P77" s="100">
        <v>11</v>
      </c>
      <c r="Q77" s="100">
        <v>3062.3999999999996</v>
      </c>
      <c r="R77" s="100">
        <v>6</v>
      </c>
      <c r="S77" s="100">
        <v>1670.3999999999999</v>
      </c>
      <c r="T77" s="100">
        <v>7</v>
      </c>
      <c r="U77" s="100">
        <v>1948.7999999999997</v>
      </c>
      <c r="V77" s="100">
        <v>9</v>
      </c>
      <c r="W77" s="100">
        <v>2505.6</v>
      </c>
      <c r="X77" s="100">
        <v>7</v>
      </c>
      <c r="Y77" s="100">
        <v>1948.7999999999997</v>
      </c>
      <c r="Z77" s="100">
        <v>5</v>
      </c>
      <c r="AA77" s="100">
        <v>1392</v>
      </c>
      <c r="AB77" s="100">
        <v>8</v>
      </c>
      <c r="AC77" s="100">
        <v>2227.1999999999998</v>
      </c>
      <c r="AD77" s="100">
        <v>9</v>
      </c>
      <c r="AE77" s="100">
        <v>2505.6</v>
      </c>
      <c r="AF77" s="100">
        <v>6</v>
      </c>
      <c r="AG77" s="100">
        <v>1670.3999999999999</v>
      </c>
      <c r="AH77" s="100">
        <v>8</v>
      </c>
      <c r="AI77" s="100">
        <v>2227.1999999999998</v>
      </c>
      <c r="AJ77" s="100">
        <v>9</v>
      </c>
      <c r="AK77" s="100">
        <v>2505.6</v>
      </c>
      <c r="AL77" s="100">
        <v>9.0163934426229506</v>
      </c>
      <c r="AM77" s="100">
        <v>2510.1639344262294</v>
      </c>
      <c r="AN77" s="100">
        <v>7.0224719101123592</v>
      </c>
      <c r="AO77" s="100">
        <v>1955.0561797752807</v>
      </c>
      <c r="AP77" s="100">
        <v>6</v>
      </c>
      <c r="AQ77" s="100">
        <v>1670.3999999999999</v>
      </c>
      <c r="AR77" s="100">
        <v>7.7315436241610742</v>
      </c>
      <c r="AS77" s="100">
        <v>2152.4617449664429</v>
      </c>
      <c r="AT77" s="100">
        <v>6.8027210884353737</v>
      </c>
      <c r="AU77" s="100">
        <v>1893.877551020408</v>
      </c>
      <c r="AV77" s="100">
        <v>6.9444444444444438</v>
      </c>
      <c r="AW77" s="100">
        <v>1933.333333333333</v>
      </c>
      <c r="AX77" s="100">
        <v>6.2111801242236018</v>
      </c>
      <c r="AY77" s="100">
        <v>1729.1925465838506</v>
      </c>
      <c r="AZ77" s="100">
        <v>6.8965517241379306</v>
      </c>
      <c r="BA77" s="100">
        <v>1919.9999999999998</v>
      </c>
      <c r="BB77" s="100">
        <v>6.0975609756097562</v>
      </c>
      <c r="BC77" s="100">
        <v>1697.560975609756</v>
      </c>
      <c r="BD77" s="100">
        <v>6.8681318681318677</v>
      </c>
      <c r="BE77" s="100">
        <v>1912.0879120879117</v>
      </c>
      <c r="BF77" s="100">
        <v>6</v>
      </c>
      <c r="BG77" s="100">
        <v>1670.3999999999999</v>
      </c>
      <c r="BH77" s="100">
        <v>7.3224043715846996</v>
      </c>
      <c r="BI77" s="100">
        <v>2038.5573770491801</v>
      </c>
      <c r="BJ77" s="100">
        <v>7.1839080459770113</v>
      </c>
      <c r="BK77" s="100">
        <v>1999.9999999999998</v>
      </c>
      <c r="BL77" s="100">
        <v>6.4338235294117645</v>
      </c>
      <c r="BM77" s="100">
        <v>1791.1764705882351</v>
      </c>
      <c r="BN77" s="100">
        <v>6.1728395061728394</v>
      </c>
      <c r="BO77" s="100">
        <v>1718.5185185185182</v>
      </c>
      <c r="BP77" s="100">
        <v>6.5789473684210522</v>
      </c>
      <c r="BQ77" s="100">
        <v>1831.5789473684208</v>
      </c>
      <c r="BR77" s="100">
        <v>6.7114093959731544</v>
      </c>
      <c r="BS77" s="100">
        <v>1868.4563758389261</v>
      </c>
      <c r="BT77" s="100">
        <v>6.8897637795275593</v>
      </c>
      <c r="BU77" s="100">
        <v>1918.1102362204724</v>
      </c>
      <c r="BV77" s="100">
        <v>7.0512820512820511</v>
      </c>
      <c r="BW77" s="100">
        <v>1963.0769230769229</v>
      </c>
      <c r="BX77" s="100">
        <v>6</v>
      </c>
      <c r="BY77" s="100">
        <v>1670.3999999999999</v>
      </c>
      <c r="BZ77" s="100">
        <v>7</v>
      </c>
      <c r="CA77" s="100">
        <v>1948.7999999999997</v>
      </c>
      <c r="CB77" s="100">
        <v>6.3194444444444446</v>
      </c>
      <c r="CC77" s="100">
        <v>1759.3333333333333</v>
      </c>
      <c r="CD77" s="100">
        <v>6</v>
      </c>
      <c r="CE77" s="100">
        <v>1670.3999999999999</v>
      </c>
      <c r="CF77" s="100">
        <v>0.49090909090909091</v>
      </c>
      <c r="CG77" s="100">
        <v>136.6690909090909</v>
      </c>
      <c r="CH77" s="100">
        <v>7.4978449495215009E-20</v>
      </c>
      <c r="CI77" s="100">
        <v>2.0874000339467856E-17</v>
      </c>
      <c r="CJ77" s="100">
        <v>3.5032665861012138E-20</v>
      </c>
      <c r="CK77" s="100">
        <v>9.7530941757057789E-18</v>
      </c>
      <c r="CL77" s="100">
        <v>3.3781499223118849E-20</v>
      </c>
      <c r="CM77" s="100">
        <v>9.4047693837162863E-18</v>
      </c>
      <c r="CN77" s="100">
        <v>6.5789473684210522</v>
      </c>
      <c r="CO77" s="100">
        <v>1831.5789473684208</v>
      </c>
      <c r="CP77" s="100">
        <v>7.4013157894736841</v>
      </c>
      <c r="CQ77" s="100">
        <v>2060.5263157894733</v>
      </c>
      <c r="CR77" s="100">
        <v>6.7771084337349397</v>
      </c>
      <c r="CS77" s="100">
        <v>1886.7469879518071</v>
      </c>
      <c r="CT77" s="100">
        <v>7.0921985815602833</v>
      </c>
      <c r="CU77" s="100">
        <v>1974.4680851063827</v>
      </c>
    </row>
    <row r="78" spans="2:99">
      <c r="C78" s="99" t="s">
        <v>244</v>
      </c>
      <c r="D78" s="100">
        <v>7</v>
      </c>
      <c r="E78" s="100">
        <v>3864</v>
      </c>
      <c r="F78" s="100">
        <v>6</v>
      </c>
      <c r="G78" s="100">
        <v>3312</v>
      </c>
      <c r="H78" s="100">
        <v>5</v>
      </c>
      <c r="I78" s="100">
        <v>2760</v>
      </c>
      <c r="J78" s="100">
        <v>7</v>
      </c>
      <c r="K78" s="100">
        <v>3864</v>
      </c>
      <c r="L78" s="100">
        <v>9</v>
      </c>
      <c r="M78" s="100">
        <v>4968</v>
      </c>
      <c r="N78" s="100">
        <v>7</v>
      </c>
      <c r="O78" s="100">
        <v>3864</v>
      </c>
      <c r="P78" s="100">
        <v>9</v>
      </c>
      <c r="Q78" s="100">
        <v>4968</v>
      </c>
      <c r="R78" s="100">
        <v>6</v>
      </c>
      <c r="S78" s="100">
        <v>3312</v>
      </c>
      <c r="T78" s="100">
        <v>6</v>
      </c>
      <c r="U78" s="100">
        <v>3312</v>
      </c>
      <c r="V78" s="100">
        <v>10</v>
      </c>
      <c r="W78" s="100">
        <v>5520</v>
      </c>
      <c r="X78" s="100">
        <v>7</v>
      </c>
      <c r="Y78" s="100">
        <v>3864</v>
      </c>
      <c r="Z78" s="100">
        <v>5</v>
      </c>
      <c r="AA78" s="100">
        <v>2760</v>
      </c>
      <c r="AB78" s="100">
        <v>8</v>
      </c>
      <c r="AC78" s="100">
        <v>4416</v>
      </c>
      <c r="AD78" s="100">
        <v>9</v>
      </c>
      <c r="AE78" s="100">
        <v>4968</v>
      </c>
      <c r="AF78" s="100">
        <v>6</v>
      </c>
      <c r="AG78" s="100">
        <v>3312</v>
      </c>
      <c r="AH78" s="100">
        <v>8</v>
      </c>
      <c r="AI78" s="100">
        <v>4416</v>
      </c>
      <c r="AJ78" s="100">
        <v>10</v>
      </c>
      <c r="AK78" s="100">
        <v>5520</v>
      </c>
      <c r="AL78" s="100">
        <v>9.0163934426229506</v>
      </c>
      <c r="AM78" s="100">
        <v>4977.0491803278692</v>
      </c>
      <c r="AN78" s="100">
        <v>7.0224719101123592</v>
      </c>
      <c r="AO78" s="100">
        <v>3876.4044943820222</v>
      </c>
      <c r="AP78" s="100">
        <v>6</v>
      </c>
      <c r="AQ78" s="100">
        <v>3312</v>
      </c>
      <c r="AR78" s="100">
        <v>6.0134228187919465</v>
      </c>
      <c r="AS78" s="100">
        <v>3319.4093959731545</v>
      </c>
      <c r="AT78" s="100">
        <v>6.8027210884353737</v>
      </c>
      <c r="AU78" s="100">
        <v>3755.1020408163263</v>
      </c>
      <c r="AV78" s="100">
        <v>6.25</v>
      </c>
      <c r="AW78" s="100">
        <v>3450</v>
      </c>
      <c r="AX78" s="100">
        <v>6.2111801242236018</v>
      </c>
      <c r="AY78" s="100">
        <v>3428.571428571428</v>
      </c>
      <c r="AZ78" s="100">
        <v>6.8965517241379306</v>
      </c>
      <c r="BA78" s="100">
        <v>3806.8965517241377</v>
      </c>
      <c r="BB78" s="100">
        <v>6.0975609756097562</v>
      </c>
      <c r="BC78" s="100">
        <v>3365.8536585365855</v>
      </c>
      <c r="BD78" s="100">
        <v>6.8681318681318677</v>
      </c>
      <c r="BE78" s="100">
        <v>3791.2087912087909</v>
      </c>
      <c r="BF78" s="100">
        <v>6</v>
      </c>
      <c r="BG78" s="100">
        <v>3312</v>
      </c>
      <c r="BH78" s="100">
        <v>7.3224043715846996</v>
      </c>
      <c r="BI78" s="100">
        <v>4041.967213114754</v>
      </c>
      <c r="BJ78" s="100">
        <v>6.4655172413793105</v>
      </c>
      <c r="BK78" s="100">
        <v>3568.9655172413795</v>
      </c>
      <c r="BL78" s="100">
        <v>5.5147058823529411</v>
      </c>
      <c r="BM78" s="100">
        <v>3044.1176470588234</v>
      </c>
      <c r="BN78" s="100">
        <v>6.1728395061728394</v>
      </c>
      <c r="BO78" s="100">
        <v>3407.4074074074074</v>
      </c>
      <c r="BP78" s="100">
        <v>6.5789473684210522</v>
      </c>
      <c r="BQ78" s="100">
        <v>3631.5789473684208</v>
      </c>
      <c r="BR78" s="100">
        <v>6.7114093959731544</v>
      </c>
      <c r="BS78" s="100">
        <v>3704.6979865771814</v>
      </c>
      <c r="BT78" s="100">
        <v>4.9212598425196852</v>
      </c>
      <c r="BU78" s="100">
        <v>2716.535433070866</v>
      </c>
      <c r="BV78" s="100">
        <v>7.0512820512820511</v>
      </c>
      <c r="BW78" s="100">
        <v>3892.3076923076924</v>
      </c>
      <c r="BX78" s="100">
        <v>6</v>
      </c>
      <c r="BY78" s="100">
        <v>3312</v>
      </c>
      <c r="BZ78" s="100">
        <v>6</v>
      </c>
      <c r="CA78" s="100">
        <v>3312</v>
      </c>
      <c r="CB78" s="100">
        <v>6.3194444444444446</v>
      </c>
      <c r="CC78" s="100">
        <v>3488.3333333333335</v>
      </c>
      <c r="CD78" s="100">
        <v>5</v>
      </c>
      <c r="CE78" s="100">
        <v>2760</v>
      </c>
      <c r="CF78" s="100">
        <v>0.49090909090909091</v>
      </c>
      <c r="CG78" s="100">
        <v>270.9818181818182</v>
      </c>
      <c r="CH78" s="100">
        <v>6.6647510662413347E-20</v>
      </c>
      <c r="CI78" s="100">
        <v>3.6789425885652167E-17</v>
      </c>
      <c r="CJ78" s="100">
        <v>3.5032665861012138E-20</v>
      </c>
      <c r="CK78" s="100">
        <v>1.93380315552787E-17</v>
      </c>
      <c r="CL78" s="100">
        <v>3.3781499223118849E-20</v>
      </c>
      <c r="CM78" s="100">
        <v>1.8647387571161605E-17</v>
      </c>
      <c r="CN78" s="100">
        <v>5.7565789473684204</v>
      </c>
      <c r="CO78" s="100">
        <v>3177.6315789473679</v>
      </c>
      <c r="CP78" s="100">
        <v>7.4013157894736841</v>
      </c>
      <c r="CQ78" s="100">
        <v>4085.5263157894738</v>
      </c>
      <c r="CR78" s="100">
        <v>6.7771084337349397</v>
      </c>
      <c r="CS78" s="100">
        <v>3740.9638554216867</v>
      </c>
      <c r="CT78" s="100">
        <v>7.0921985815602833</v>
      </c>
      <c r="CU78" s="100">
        <v>3914.8936170212764</v>
      </c>
    </row>
    <row r="79" spans="2:99">
      <c r="C79" s="99" t="s">
        <v>245</v>
      </c>
      <c r="D79" s="100">
        <v>7</v>
      </c>
      <c r="E79" s="100">
        <v>5300.4</v>
      </c>
      <c r="F79" s="100">
        <v>6</v>
      </c>
      <c r="G79" s="100">
        <v>4543.2</v>
      </c>
      <c r="H79" s="100">
        <v>5</v>
      </c>
      <c r="I79" s="100">
        <v>3785.9999999999995</v>
      </c>
      <c r="J79" s="100">
        <v>6</v>
      </c>
      <c r="K79" s="100">
        <v>4543.2</v>
      </c>
      <c r="L79" s="100">
        <v>9</v>
      </c>
      <c r="M79" s="100">
        <v>6814.7999999999993</v>
      </c>
      <c r="N79" s="100">
        <v>7</v>
      </c>
      <c r="O79" s="100">
        <v>5300.4</v>
      </c>
      <c r="P79" s="100">
        <v>10</v>
      </c>
      <c r="Q79" s="100">
        <v>7571.9999999999991</v>
      </c>
      <c r="R79" s="100">
        <v>6</v>
      </c>
      <c r="S79" s="100">
        <v>4543.2</v>
      </c>
      <c r="T79" s="100">
        <v>6</v>
      </c>
      <c r="U79" s="100">
        <v>4543.2</v>
      </c>
      <c r="V79" s="100">
        <v>9</v>
      </c>
      <c r="W79" s="100">
        <v>6814.7999999999993</v>
      </c>
      <c r="X79" s="100">
        <v>7</v>
      </c>
      <c r="Y79" s="100">
        <v>5300.4</v>
      </c>
      <c r="Z79" s="100">
        <v>5</v>
      </c>
      <c r="AA79" s="100">
        <v>3785.9999999999995</v>
      </c>
      <c r="AB79" s="100">
        <v>9</v>
      </c>
      <c r="AC79" s="100">
        <v>6814.7999999999993</v>
      </c>
      <c r="AD79" s="100">
        <v>10</v>
      </c>
      <c r="AE79" s="100">
        <v>7571.9999999999991</v>
      </c>
      <c r="AF79" s="100">
        <v>6</v>
      </c>
      <c r="AG79" s="100">
        <v>4543.2</v>
      </c>
      <c r="AH79" s="100">
        <v>7</v>
      </c>
      <c r="AI79" s="100">
        <v>5300.4</v>
      </c>
      <c r="AJ79" s="100">
        <v>10</v>
      </c>
      <c r="AK79" s="100">
        <v>7571.9999999999991</v>
      </c>
      <c r="AL79" s="100">
        <v>9.0163934426229506</v>
      </c>
      <c r="AM79" s="100">
        <v>6827.2131147540977</v>
      </c>
      <c r="AN79" s="100">
        <v>7.7247191011235952</v>
      </c>
      <c r="AO79" s="100">
        <v>5849.1573033707855</v>
      </c>
      <c r="AP79" s="100">
        <v>6</v>
      </c>
      <c r="AQ79" s="100">
        <v>4543.2</v>
      </c>
      <c r="AR79" s="100">
        <v>6.8724832214765099</v>
      </c>
      <c r="AS79" s="100">
        <v>5203.8442953020131</v>
      </c>
      <c r="AT79" s="100">
        <v>5.9523809523809517</v>
      </c>
      <c r="AU79" s="100">
        <v>4507.142857142856</v>
      </c>
      <c r="AV79" s="100">
        <v>7.6388888888888884</v>
      </c>
      <c r="AW79" s="100">
        <v>5784.1666666666661</v>
      </c>
      <c r="AX79" s="100">
        <v>6.987577639751553</v>
      </c>
      <c r="AY79" s="100">
        <v>5290.9937888198756</v>
      </c>
      <c r="AZ79" s="100">
        <v>6.0344827586206895</v>
      </c>
      <c r="BA79" s="100">
        <v>4569.3103448275861</v>
      </c>
      <c r="BB79" s="100">
        <v>6.0975609756097562</v>
      </c>
      <c r="BC79" s="100">
        <v>4617.0731707317073</v>
      </c>
      <c r="BD79" s="100">
        <v>6.1813186813186807</v>
      </c>
      <c r="BE79" s="100">
        <v>4680.4945054945047</v>
      </c>
      <c r="BF79" s="100">
        <v>6</v>
      </c>
      <c r="BG79" s="100">
        <v>4543.2</v>
      </c>
      <c r="BH79" s="100">
        <v>6.5901639344262293</v>
      </c>
      <c r="BI79" s="100">
        <v>4990.0721311475399</v>
      </c>
      <c r="BJ79" s="100">
        <v>6.4655172413793105</v>
      </c>
      <c r="BK79" s="100">
        <v>4895.689655172413</v>
      </c>
      <c r="BL79" s="100">
        <v>5.5147058823529411</v>
      </c>
      <c r="BM79" s="100">
        <v>4175.7352941176468</v>
      </c>
      <c r="BN79" s="100">
        <v>6.1728395061728394</v>
      </c>
      <c r="BO79" s="100">
        <v>4674.0740740740739</v>
      </c>
      <c r="BP79" s="100">
        <v>6.5789473684210522</v>
      </c>
      <c r="BQ79" s="100">
        <v>4981.5789473684199</v>
      </c>
      <c r="BR79" s="100">
        <v>5.8724832214765099</v>
      </c>
      <c r="BS79" s="100">
        <v>4446.6442953020132</v>
      </c>
      <c r="BT79" s="100">
        <v>5.9055118110236222</v>
      </c>
      <c r="BU79" s="100">
        <v>4471.6535433070867</v>
      </c>
      <c r="BV79" s="100">
        <v>5.7692307692307692</v>
      </c>
      <c r="BW79" s="100">
        <v>4368.4615384615381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6.3194444444444446</v>
      </c>
      <c r="CC79" s="100">
        <v>4785.083333333333</v>
      </c>
      <c r="CD79" s="100">
        <v>5</v>
      </c>
      <c r="CE79" s="100">
        <v>3785.9999999999995</v>
      </c>
      <c r="CF79" s="100">
        <v>0.43636363636363634</v>
      </c>
      <c r="CG79" s="100">
        <v>330.41454545454542</v>
      </c>
      <c r="CH79" s="100">
        <v>7.4978449495215009E-20</v>
      </c>
      <c r="CI79" s="100">
        <v>5.6773681957776801E-17</v>
      </c>
      <c r="CJ79" s="100">
        <v>3.5032665861012138E-20</v>
      </c>
      <c r="CK79" s="100">
        <v>2.652673458995839E-17</v>
      </c>
      <c r="CL79" s="100">
        <v>3.3781499223118849E-20</v>
      </c>
      <c r="CM79" s="100">
        <v>2.557935121174559E-17</v>
      </c>
      <c r="CN79" s="100">
        <v>6.5789473684210522</v>
      </c>
      <c r="CO79" s="100">
        <v>4981.5789473684199</v>
      </c>
      <c r="CP79" s="100">
        <v>6.5789473684210522</v>
      </c>
      <c r="CQ79" s="100">
        <v>4981.5789473684199</v>
      </c>
      <c r="CR79" s="100">
        <v>6.7771084337349397</v>
      </c>
      <c r="CS79" s="100">
        <v>5131.6265060240958</v>
      </c>
      <c r="CT79" s="100">
        <v>7.0921985815602833</v>
      </c>
      <c r="CU79" s="100">
        <v>5370.2127659574462</v>
      </c>
    </row>
    <row r="80" spans="2:99">
      <c r="C80" s="99" t="s">
        <v>246</v>
      </c>
      <c r="D80" s="100">
        <v>6</v>
      </c>
      <c r="E80" s="100">
        <v>4831.2</v>
      </c>
      <c r="F80" s="100">
        <v>6</v>
      </c>
      <c r="G80" s="100">
        <v>4831.2</v>
      </c>
      <c r="H80" s="100">
        <v>5</v>
      </c>
      <c r="I80" s="100">
        <v>4025.9999999999995</v>
      </c>
      <c r="J80" s="100">
        <v>6</v>
      </c>
      <c r="K80" s="100">
        <v>4831.2</v>
      </c>
      <c r="L80" s="100">
        <v>9</v>
      </c>
      <c r="M80" s="100">
        <v>7246.7999999999993</v>
      </c>
      <c r="N80" s="100">
        <v>6</v>
      </c>
      <c r="O80" s="100">
        <v>4831.2</v>
      </c>
      <c r="P80" s="100">
        <v>8</v>
      </c>
      <c r="Q80" s="100">
        <v>6441.5999999999995</v>
      </c>
      <c r="R80" s="100">
        <v>6</v>
      </c>
      <c r="S80" s="100">
        <v>4831.2</v>
      </c>
      <c r="T80" s="100">
        <v>7</v>
      </c>
      <c r="U80" s="100">
        <v>5636.4</v>
      </c>
      <c r="V80" s="100">
        <v>10</v>
      </c>
      <c r="W80" s="100">
        <v>8051.9999999999991</v>
      </c>
      <c r="X80" s="100">
        <v>8</v>
      </c>
      <c r="Y80" s="100">
        <v>6441.5999999999995</v>
      </c>
      <c r="Z80" s="100">
        <v>5</v>
      </c>
      <c r="AA80" s="100">
        <v>4025.9999999999995</v>
      </c>
      <c r="AB80" s="100">
        <v>8</v>
      </c>
      <c r="AC80" s="100">
        <v>6441.5999999999995</v>
      </c>
      <c r="AD80" s="100">
        <v>10</v>
      </c>
      <c r="AE80" s="100">
        <v>8051.9999999999991</v>
      </c>
      <c r="AF80" s="100">
        <v>6</v>
      </c>
      <c r="AG80" s="100">
        <v>4831.2</v>
      </c>
      <c r="AH80" s="100">
        <v>8</v>
      </c>
      <c r="AI80" s="100">
        <v>6441.5999999999995</v>
      </c>
      <c r="AJ80" s="100">
        <v>9</v>
      </c>
      <c r="AK80" s="100">
        <v>7246.7999999999993</v>
      </c>
      <c r="AL80" s="100">
        <v>8.1147540983606561</v>
      </c>
      <c r="AM80" s="100">
        <v>6534</v>
      </c>
      <c r="AN80" s="100">
        <v>6.3202247191011232</v>
      </c>
      <c r="AO80" s="100">
        <v>5089.044943820224</v>
      </c>
      <c r="AP80" s="100">
        <v>5</v>
      </c>
      <c r="AQ80" s="100">
        <v>4025.9999999999995</v>
      </c>
      <c r="AR80" s="100">
        <v>6.0134228187919465</v>
      </c>
      <c r="AS80" s="100">
        <v>4842.0080536912747</v>
      </c>
      <c r="AT80" s="100">
        <v>6.8027210884353737</v>
      </c>
      <c r="AU80" s="100">
        <v>5477.551020408162</v>
      </c>
      <c r="AV80" s="100">
        <v>6.9444444444444438</v>
      </c>
      <c r="AW80" s="100">
        <v>5591.6666666666661</v>
      </c>
      <c r="AX80" s="100">
        <v>6.2111801242236018</v>
      </c>
      <c r="AY80" s="100">
        <v>5001.2422360248438</v>
      </c>
      <c r="AZ80" s="100">
        <v>6.0344827586206895</v>
      </c>
      <c r="BA80" s="100">
        <v>4858.9655172413786</v>
      </c>
      <c r="BB80" s="100">
        <v>6.0975609756097562</v>
      </c>
      <c r="BC80" s="100">
        <v>4909.7560975609749</v>
      </c>
      <c r="BD80" s="100">
        <v>6.1813186813186807</v>
      </c>
      <c r="BE80" s="100">
        <v>4977.1978021978011</v>
      </c>
      <c r="BF80" s="100">
        <v>6</v>
      </c>
      <c r="BG80" s="100">
        <v>4831.2</v>
      </c>
      <c r="BH80" s="100">
        <v>7.3224043715846996</v>
      </c>
      <c r="BI80" s="100">
        <v>5896</v>
      </c>
      <c r="BJ80" s="100">
        <v>5.7471264367816088</v>
      </c>
      <c r="BK80" s="100">
        <v>4627.5862068965507</v>
      </c>
      <c r="BL80" s="100">
        <v>6.4338235294117645</v>
      </c>
      <c r="BM80" s="100">
        <v>5180.5147058823522</v>
      </c>
      <c r="BN80" s="100">
        <v>6.1728395061728394</v>
      </c>
      <c r="BO80" s="100">
        <v>4970.3703703703695</v>
      </c>
      <c r="BP80" s="100">
        <v>6.5789473684210522</v>
      </c>
      <c r="BQ80" s="100">
        <v>5297.3684210526308</v>
      </c>
      <c r="BR80" s="100">
        <v>6.7114093959731544</v>
      </c>
      <c r="BS80" s="100">
        <v>5404.0268456375834</v>
      </c>
      <c r="BT80" s="100">
        <v>4.9212598425196852</v>
      </c>
      <c r="BU80" s="100">
        <v>3962.5984251968503</v>
      </c>
      <c r="BV80" s="100">
        <v>5.7692307692307692</v>
      </c>
      <c r="BW80" s="100">
        <v>4645.3846153846152</v>
      </c>
      <c r="BX80" s="100">
        <v>6</v>
      </c>
      <c r="BY80" s="100">
        <v>4831.2</v>
      </c>
      <c r="BZ80" s="100">
        <v>6</v>
      </c>
      <c r="CA80" s="100">
        <v>4831.2</v>
      </c>
      <c r="CB80" s="100">
        <v>7.2222222222222214</v>
      </c>
      <c r="CC80" s="100">
        <v>5815.3333333333321</v>
      </c>
      <c r="CD80" s="100">
        <v>5</v>
      </c>
      <c r="CE80" s="100">
        <v>4025.9999999999995</v>
      </c>
      <c r="CF80" s="100">
        <v>0.43636363636363634</v>
      </c>
      <c r="CG80" s="100">
        <v>351.35999999999996</v>
      </c>
      <c r="CH80" s="100">
        <v>6.6647510662413347E-20</v>
      </c>
      <c r="CI80" s="100">
        <v>5.3664575585375222E-17</v>
      </c>
      <c r="CJ80" s="100">
        <v>2.9193888217510121E-20</v>
      </c>
      <c r="CK80" s="100">
        <v>2.3506918792739149E-17</v>
      </c>
      <c r="CL80" s="100">
        <v>3.3781499223118849E-20</v>
      </c>
      <c r="CM80" s="100">
        <v>2.7200863174455294E-17</v>
      </c>
      <c r="CN80" s="100">
        <v>6.5789473684210522</v>
      </c>
      <c r="CO80" s="100">
        <v>5297.3684210526308</v>
      </c>
      <c r="CP80" s="100">
        <v>6.5789473684210522</v>
      </c>
      <c r="CQ80" s="100">
        <v>5297.3684210526308</v>
      </c>
      <c r="CR80" s="100">
        <v>6.024096385542169</v>
      </c>
      <c r="CS80" s="100">
        <v>4850.6024096385545</v>
      </c>
      <c r="CT80" s="100">
        <v>6.2056737588652489</v>
      </c>
      <c r="CU80" s="100">
        <v>4996.8085106382978</v>
      </c>
    </row>
    <row r="81" spans="2:99">
      <c r="C81" s="99" t="s">
        <v>247</v>
      </c>
      <c r="D81" s="100">
        <v>7</v>
      </c>
      <c r="E81" s="100">
        <v>5275.2</v>
      </c>
      <c r="F81" s="100">
        <v>5</v>
      </c>
      <c r="G81" s="100">
        <v>3768</v>
      </c>
      <c r="H81" s="100">
        <v>5</v>
      </c>
      <c r="I81" s="100">
        <v>3768</v>
      </c>
      <c r="J81" s="100">
        <v>6</v>
      </c>
      <c r="K81" s="100">
        <v>4521.6000000000004</v>
      </c>
      <c r="L81" s="100">
        <v>10</v>
      </c>
      <c r="M81" s="100">
        <v>7536</v>
      </c>
      <c r="N81" s="100">
        <v>7</v>
      </c>
      <c r="O81" s="100">
        <v>5275.2</v>
      </c>
      <c r="P81" s="100">
        <v>9</v>
      </c>
      <c r="Q81" s="100">
        <v>6782.4000000000005</v>
      </c>
      <c r="R81" s="100">
        <v>6</v>
      </c>
      <c r="S81" s="100">
        <v>4521.6000000000004</v>
      </c>
      <c r="T81" s="100">
        <v>6</v>
      </c>
      <c r="U81" s="100">
        <v>4521.6000000000004</v>
      </c>
      <c r="V81" s="100">
        <v>9</v>
      </c>
      <c r="W81" s="100">
        <v>6782.4000000000005</v>
      </c>
      <c r="X81" s="100">
        <v>7</v>
      </c>
      <c r="Y81" s="100">
        <v>5275.2</v>
      </c>
      <c r="Z81" s="100">
        <v>5</v>
      </c>
      <c r="AA81" s="100">
        <v>3768</v>
      </c>
      <c r="AB81" s="100">
        <v>9</v>
      </c>
      <c r="AC81" s="100">
        <v>6782.4000000000005</v>
      </c>
      <c r="AD81" s="100">
        <v>9</v>
      </c>
      <c r="AE81" s="100">
        <v>6782.4000000000005</v>
      </c>
      <c r="AF81" s="100">
        <v>6</v>
      </c>
      <c r="AG81" s="100">
        <v>4521.6000000000004</v>
      </c>
      <c r="AH81" s="100">
        <v>7</v>
      </c>
      <c r="AI81" s="100">
        <v>5275.2</v>
      </c>
      <c r="AJ81" s="100">
        <v>9</v>
      </c>
      <c r="AK81" s="100">
        <v>6782.4000000000005</v>
      </c>
      <c r="AL81" s="100">
        <v>9.0163934426229506</v>
      </c>
      <c r="AM81" s="100">
        <v>6794.7540983606559</v>
      </c>
      <c r="AN81" s="100">
        <v>7.0224719101123592</v>
      </c>
      <c r="AO81" s="100">
        <v>5292.1348314606739</v>
      </c>
      <c r="AP81" s="100">
        <v>5</v>
      </c>
      <c r="AQ81" s="100">
        <v>3768</v>
      </c>
      <c r="AR81" s="100">
        <v>6.8724832214765099</v>
      </c>
      <c r="AS81" s="100">
        <v>5179.1033557046976</v>
      </c>
      <c r="AT81" s="100">
        <v>6.8027210884353737</v>
      </c>
      <c r="AU81" s="100">
        <v>5126.5306122448974</v>
      </c>
      <c r="AV81" s="100">
        <v>6.25</v>
      </c>
      <c r="AW81" s="100">
        <v>4710</v>
      </c>
      <c r="AX81" s="100">
        <v>6.987577639751553</v>
      </c>
      <c r="AY81" s="100">
        <v>5265.8385093167708</v>
      </c>
      <c r="AZ81" s="100">
        <v>6.8965517241379306</v>
      </c>
      <c r="BA81" s="100">
        <v>5197.2413793103451</v>
      </c>
      <c r="BB81" s="100">
        <v>6.8597560975609753</v>
      </c>
      <c r="BC81" s="100">
        <v>5169.5121951219508</v>
      </c>
      <c r="BD81" s="100">
        <v>6.8681318681318677</v>
      </c>
      <c r="BE81" s="100">
        <v>5175.8241758241757</v>
      </c>
      <c r="BF81" s="100">
        <v>6</v>
      </c>
      <c r="BG81" s="100">
        <v>4521.6000000000004</v>
      </c>
      <c r="BH81" s="100">
        <v>7.3224043715846996</v>
      </c>
      <c r="BI81" s="100">
        <v>5518.1639344262294</v>
      </c>
      <c r="BJ81" s="100">
        <v>5.7471264367816088</v>
      </c>
      <c r="BK81" s="100">
        <v>4331.0344827586205</v>
      </c>
      <c r="BL81" s="100">
        <v>6.4338235294117645</v>
      </c>
      <c r="BM81" s="100">
        <v>4848.5294117647063</v>
      </c>
      <c r="BN81" s="100">
        <v>6.1728395061728394</v>
      </c>
      <c r="BO81" s="100">
        <v>4651.8518518518522</v>
      </c>
      <c r="BP81" s="100">
        <v>6.5789473684210522</v>
      </c>
      <c r="BQ81" s="100">
        <v>4957.894736842105</v>
      </c>
      <c r="BR81" s="100">
        <v>5.8724832214765099</v>
      </c>
      <c r="BS81" s="100">
        <v>4425.5033557046982</v>
      </c>
      <c r="BT81" s="100">
        <v>5.9055118110236222</v>
      </c>
      <c r="BU81" s="100">
        <v>4450.3937007874019</v>
      </c>
      <c r="BV81" s="100">
        <v>6.4102564102564097</v>
      </c>
      <c r="BW81" s="100">
        <v>4830.7692307692305</v>
      </c>
      <c r="BX81" s="100">
        <v>6</v>
      </c>
      <c r="BY81" s="100">
        <v>4521.6000000000004</v>
      </c>
      <c r="BZ81" s="100">
        <v>6</v>
      </c>
      <c r="CA81" s="100">
        <v>4521.6000000000004</v>
      </c>
      <c r="CB81" s="100">
        <v>6.3194444444444446</v>
      </c>
      <c r="CC81" s="100">
        <v>4762.3333333333339</v>
      </c>
      <c r="CD81" s="100">
        <v>6</v>
      </c>
      <c r="CE81" s="100">
        <v>4521.6000000000004</v>
      </c>
      <c r="CF81" s="100">
        <v>0.49090909090909091</v>
      </c>
      <c r="CG81" s="100">
        <v>369.9490909090909</v>
      </c>
      <c r="CH81" s="100">
        <v>7.4978449495215009E-20</v>
      </c>
      <c r="CI81" s="100">
        <v>5.6503759539594035E-17</v>
      </c>
      <c r="CJ81" s="100">
        <v>2.9193888217510121E-20</v>
      </c>
      <c r="CK81" s="100">
        <v>2.2000514160715626E-17</v>
      </c>
      <c r="CL81" s="100">
        <v>3.7534999136798722E-20</v>
      </c>
      <c r="CM81" s="100">
        <v>2.8286375349491517E-17</v>
      </c>
      <c r="CN81" s="100">
        <v>5.7565789473684204</v>
      </c>
      <c r="CO81" s="100">
        <v>4338.1578947368416</v>
      </c>
      <c r="CP81" s="100">
        <v>7.4013157894736841</v>
      </c>
      <c r="CQ81" s="100">
        <v>5577.6315789473683</v>
      </c>
      <c r="CR81" s="100">
        <v>6.7771084337349397</v>
      </c>
      <c r="CS81" s="100">
        <v>5107.2289156626503</v>
      </c>
      <c r="CT81" s="100">
        <v>7.0921985815602833</v>
      </c>
      <c r="CU81" s="100">
        <v>5344.6808510638293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5</v>
      </c>
      <c r="G82" s="100">
        <v>2543.9999999999995</v>
      </c>
      <c r="H82" s="100">
        <v>5</v>
      </c>
      <c r="I82" s="100">
        <v>2543.9999999999995</v>
      </c>
      <c r="J82" s="100">
        <v>7</v>
      </c>
      <c r="K82" s="100">
        <v>3561.5999999999995</v>
      </c>
      <c r="L82" s="100">
        <v>9</v>
      </c>
      <c r="M82" s="100">
        <v>4579.1999999999989</v>
      </c>
      <c r="N82" s="100">
        <v>7</v>
      </c>
      <c r="O82" s="100">
        <v>3561.5999999999995</v>
      </c>
      <c r="P82" s="100">
        <v>9</v>
      </c>
      <c r="Q82" s="100">
        <v>4579.1999999999989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9</v>
      </c>
      <c r="W82" s="100">
        <v>4579.1999999999989</v>
      </c>
      <c r="X82" s="100">
        <v>8</v>
      </c>
      <c r="Y82" s="100">
        <v>4070.3999999999992</v>
      </c>
      <c r="Z82" s="100">
        <v>5</v>
      </c>
      <c r="AA82" s="100">
        <v>2543.9999999999995</v>
      </c>
      <c r="AB82" s="100">
        <v>9</v>
      </c>
      <c r="AC82" s="100">
        <v>4579.1999999999989</v>
      </c>
      <c r="AD82" s="100">
        <v>10</v>
      </c>
      <c r="AE82" s="100">
        <v>5087.9999999999991</v>
      </c>
      <c r="AF82" s="100">
        <v>6</v>
      </c>
      <c r="AG82" s="100">
        <v>3052.7999999999993</v>
      </c>
      <c r="AH82" s="100">
        <v>7</v>
      </c>
      <c r="AI82" s="100">
        <v>3561.5999999999995</v>
      </c>
      <c r="AJ82" s="100">
        <v>10</v>
      </c>
      <c r="AK82" s="100">
        <v>5087.9999999999991</v>
      </c>
      <c r="AL82" s="100">
        <v>9.0163934426229506</v>
      </c>
      <c r="AM82" s="100">
        <v>4587.5409836065564</v>
      </c>
      <c r="AN82" s="100">
        <v>7.0224719101123592</v>
      </c>
      <c r="AO82" s="100">
        <v>3573.0337078651678</v>
      </c>
      <c r="AP82" s="100">
        <v>5</v>
      </c>
      <c r="AQ82" s="100">
        <v>2543.9999999999995</v>
      </c>
      <c r="AR82" s="100">
        <v>6.0134228187919465</v>
      </c>
      <c r="AS82" s="100">
        <v>3059.6295302013418</v>
      </c>
      <c r="AT82" s="100">
        <v>6.8027210884353737</v>
      </c>
      <c r="AU82" s="100">
        <v>3461.2244897959176</v>
      </c>
      <c r="AV82" s="100">
        <v>7.6388888888888884</v>
      </c>
      <c r="AW82" s="100">
        <v>3886.6666666666656</v>
      </c>
      <c r="AX82" s="100">
        <v>6.987577639751553</v>
      </c>
      <c r="AY82" s="100">
        <v>3555.2795031055894</v>
      </c>
      <c r="AZ82" s="100">
        <v>6.8965517241379306</v>
      </c>
      <c r="BA82" s="100">
        <v>3508.9655172413782</v>
      </c>
      <c r="BB82" s="100">
        <v>6.0975609756097562</v>
      </c>
      <c r="BC82" s="100">
        <v>3102.4390243902435</v>
      </c>
      <c r="BD82" s="100">
        <v>6.8681318681318677</v>
      </c>
      <c r="BE82" s="100">
        <v>3494.5054945054935</v>
      </c>
      <c r="BF82" s="100">
        <v>7</v>
      </c>
      <c r="BG82" s="100">
        <v>3561.5999999999995</v>
      </c>
      <c r="BH82" s="100">
        <v>6.5901639344262293</v>
      </c>
      <c r="BI82" s="100">
        <v>3353.0754098360649</v>
      </c>
      <c r="BJ82" s="100">
        <v>7.1839080459770113</v>
      </c>
      <c r="BK82" s="100">
        <v>3655.1724137931028</v>
      </c>
      <c r="BL82" s="100">
        <v>5.5147058823529411</v>
      </c>
      <c r="BM82" s="100">
        <v>2805.8823529411757</v>
      </c>
      <c r="BN82" s="100">
        <v>6.9444444444444438</v>
      </c>
      <c r="BO82" s="100">
        <v>3533.3333333333321</v>
      </c>
      <c r="BP82" s="100">
        <v>6.5789473684210522</v>
      </c>
      <c r="BQ82" s="100">
        <v>3347.3684210526308</v>
      </c>
      <c r="BR82" s="100">
        <v>5.8724832214765099</v>
      </c>
      <c r="BS82" s="100">
        <v>2987.9194630872475</v>
      </c>
      <c r="BT82" s="100">
        <v>5.9055118110236222</v>
      </c>
      <c r="BU82" s="100">
        <v>3004.7244094488183</v>
      </c>
      <c r="BV82" s="100">
        <v>6.4102564102564097</v>
      </c>
      <c r="BW82" s="100">
        <v>3261.5384615384605</v>
      </c>
      <c r="BX82" s="100">
        <v>6</v>
      </c>
      <c r="BY82" s="100">
        <v>3052.7999999999993</v>
      </c>
      <c r="BZ82" s="100">
        <v>6</v>
      </c>
      <c r="CA82" s="100">
        <v>3052.7999999999993</v>
      </c>
      <c r="CB82" s="100">
        <v>5.4166666666666661</v>
      </c>
      <c r="CC82" s="100">
        <v>2755.9999999999991</v>
      </c>
      <c r="CD82" s="100">
        <v>6</v>
      </c>
      <c r="CE82" s="100">
        <v>3052.7999999999993</v>
      </c>
      <c r="CF82" s="100">
        <v>0.49090909090909091</v>
      </c>
      <c r="CG82" s="100">
        <v>249.7745454545454</v>
      </c>
      <c r="CH82" s="100">
        <v>8.3309388328016672E-20</v>
      </c>
      <c r="CI82" s="100">
        <v>4.2387816781294876E-17</v>
      </c>
      <c r="CJ82" s="100">
        <v>3.5032665861012138E-20</v>
      </c>
      <c r="CK82" s="100">
        <v>1.7824620390082972E-17</v>
      </c>
      <c r="CL82" s="100">
        <v>3.7534999136798722E-20</v>
      </c>
      <c r="CM82" s="100">
        <v>1.9097807560803185E-17</v>
      </c>
      <c r="CN82" s="100">
        <v>6.5789473684210522</v>
      </c>
      <c r="CO82" s="100">
        <v>3347.3684210526308</v>
      </c>
      <c r="CP82" s="100">
        <v>7.4013157894736841</v>
      </c>
      <c r="CQ82" s="100">
        <v>3765.7894736842095</v>
      </c>
      <c r="CR82" s="100">
        <v>6.7771084337349397</v>
      </c>
      <c r="CS82" s="100">
        <v>3448.1927710843365</v>
      </c>
      <c r="CT82" s="100">
        <v>6.2056737588652489</v>
      </c>
      <c r="CU82" s="100">
        <v>3157.4468085106378</v>
      </c>
    </row>
    <row r="83" spans="2:99">
      <c r="C83" s="99" t="s">
        <v>249</v>
      </c>
      <c r="D83" s="100">
        <v>7</v>
      </c>
      <c r="E83" s="100">
        <v>6022.8</v>
      </c>
      <c r="F83" s="100">
        <v>6</v>
      </c>
      <c r="G83" s="100">
        <v>5162.3999999999996</v>
      </c>
      <c r="H83" s="100">
        <v>5</v>
      </c>
      <c r="I83" s="100">
        <v>4302</v>
      </c>
      <c r="J83" s="100">
        <v>6</v>
      </c>
      <c r="K83" s="100">
        <v>5162.3999999999996</v>
      </c>
      <c r="L83" s="100">
        <v>8</v>
      </c>
      <c r="M83" s="100">
        <v>6883.2</v>
      </c>
      <c r="N83" s="100">
        <v>7</v>
      </c>
      <c r="O83" s="100">
        <v>6022.8</v>
      </c>
      <c r="P83" s="100">
        <v>9</v>
      </c>
      <c r="Q83" s="100">
        <v>7743.5999999999995</v>
      </c>
      <c r="R83" s="100">
        <v>5</v>
      </c>
      <c r="S83" s="100">
        <v>4302</v>
      </c>
      <c r="T83" s="100">
        <v>7</v>
      </c>
      <c r="U83" s="100">
        <v>6022.8</v>
      </c>
      <c r="V83" s="100">
        <v>10</v>
      </c>
      <c r="W83" s="100">
        <v>8604</v>
      </c>
      <c r="X83" s="100">
        <v>7</v>
      </c>
      <c r="Y83" s="100">
        <v>6022.8</v>
      </c>
      <c r="Z83" s="100">
        <v>6</v>
      </c>
      <c r="AA83" s="100">
        <v>5162.3999999999996</v>
      </c>
      <c r="AB83" s="100">
        <v>8</v>
      </c>
      <c r="AC83" s="100">
        <v>6883.2</v>
      </c>
      <c r="AD83" s="100">
        <v>8</v>
      </c>
      <c r="AE83" s="100">
        <v>6883.2</v>
      </c>
      <c r="AF83" s="100">
        <v>5</v>
      </c>
      <c r="AG83" s="100">
        <v>4302</v>
      </c>
      <c r="AH83" s="100">
        <v>8</v>
      </c>
      <c r="AI83" s="100">
        <v>6883.2</v>
      </c>
      <c r="AJ83" s="100">
        <v>9</v>
      </c>
      <c r="AK83" s="100">
        <v>7743.5999999999995</v>
      </c>
      <c r="AL83" s="100">
        <v>8.1147540983606561</v>
      </c>
      <c r="AM83" s="100">
        <v>6981.9344262295081</v>
      </c>
      <c r="AN83" s="100">
        <v>7.0224719101123592</v>
      </c>
      <c r="AO83" s="100">
        <v>6042.1348314606739</v>
      </c>
      <c r="AP83" s="100">
        <v>5</v>
      </c>
      <c r="AQ83" s="100">
        <v>4302</v>
      </c>
      <c r="AR83" s="100">
        <v>6.8724832214765099</v>
      </c>
      <c r="AS83" s="100">
        <v>5913.0845637583889</v>
      </c>
      <c r="AT83" s="100">
        <v>6.8027210884353737</v>
      </c>
      <c r="AU83" s="100">
        <v>5853.0612244897957</v>
      </c>
      <c r="AV83" s="100">
        <v>6.25</v>
      </c>
      <c r="AW83" s="100">
        <v>5377.5</v>
      </c>
      <c r="AX83" s="100">
        <v>6.2111801242236018</v>
      </c>
      <c r="AY83" s="100">
        <v>5344.0993788819869</v>
      </c>
      <c r="AZ83" s="100">
        <v>6.0344827586206895</v>
      </c>
      <c r="BA83" s="100">
        <v>5192.0689655172409</v>
      </c>
      <c r="BB83" s="100">
        <v>6.0975609756097562</v>
      </c>
      <c r="BC83" s="100">
        <v>5246.3414634146338</v>
      </c>
      <c r="BD83" s="100">
        <v>5.4945054945054945</v>
      </c>
      <c r="BE83" s="100">
        <v>4727.472527472527</v>
      </c>
      <c r="BF83" s="100">
        <v>6</v>
      </c>
      <c r="BG83" s="100">
        <v>5162.3999999999996</v>
      </c>
      <c r="BH83" s="100">
        <v>7.3224043715846996</v>
      </c>
      <c r="BI83" s="100">
        <v>6300.1967213114758</v>
      </c>
      <c r="BJ83" s="100">
        <v>6.4655172413793105</v>
      </c>
      <c r="BK83" s="100">
        <v>5562.9310344827591</v>
      </c>
      <c r="BL83" s="100">
        <v>5.5147058823529411</v>
      </c>
      <c r="BM83" s="100">
        <v>4744.8529411764703</v>
      </c>
      <c r="BN83" s="100">
        <v>6.9444444444444438</v>
      </c>
      <c r="BO83" s="100">
        <v>5974.9999999999991</v>
      </c>
      <c r="BP83" s="100">
        <v>7.4013157894736841</v>
      </c>
      <c r="BQ83" s="100">
        <v>6368.0921052631575</v>
      </c>
      <c r="BR83" s="100">
        <v>5.8724832214765099</v>
      </c>
      <c r="BS83" s="100">
        <v>5052.6845637583892</v>
      </c>
      <c r="BT83" s="100">
        <v>4.9212598425196852</v>
      </c>
      <c r="BU83" s="100">
        <v>4234.251968503937</v>
      </c>
      <c r="BV83" s="100">
        <v>6.4102564102564097</v>
      </c>
      <c r="BW83" s="100">
        <v>5515.3846153846143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6.3194444444444446</v>
      </c>
      <c r="CC83" s="100">
        <v>5437.25</v>
      </c>
      <c r="CD83" s="100">
        <v>5</v>
      </c>
      <c r="CE83" s="100">
        <v>4302</v>
      </c>
      <c r="CF83" s="100">
        <v>0.43636363636363634</v>
      </c>
      <c r="CG83" s="100">
        <v>375.44727272727272</v>
      </c>
      <c r="CH83" s="100">
        <v>6.6647510662413347E-20</v>
      </c>
      <c r="CI83" s="100">
        <v>5.7343518173940443E-17</v>
      </c>
      <c r="CJ83" s="100">
        <v>2.9193888217510121E-20</v>
      </c>
      <c r="CK83" s="100">
        <v>2.5118421422345708E-17</v>
      </c>
      <c r="CL83" s="100">
        <v>3.7534999136798722E-20</v>
      </c>
      <c r="CM83" s="100">
        <v>3.229511325730162E-17</v>
      </c>
      <c r="CN83" s="100">
        <v>6.5789473684210522</v>
      </c>
      <c r="CO83" s="100">
        <v>5660.5263157894733</v>
      </c>
      <c r="CP83" s="100">
        <v>6.5789473684210522</v>
      </c>
      <c r="CQ83" s="100">
        <v>5660.5263157894733</v>
      </c>
      <c r="CR83" s="100">
        <v>6.7771084337349397</v>
      </c>
      <c r="CS83" s="100">
        <v>5831.0240963855422</v>
      </c>
      <c r="CT83" s="100">
        <v>6.2056737588652489</v>
      </c>
      <c r="CU83" s="100">
        <v>5339.3617021276596</v>
      </c>
    </row>
    <row r="84" spans="2:99">
      <c r="C84" s="99" t="s">
        <v>250</v>
      </c>
      <c r="D84" s="100">
        <v>7</v>
      </c>
      <c r="E84" s="100">
        <v>5468.4</v>
      </c>
      <c r="F84" s="100">
        <v>5</v>
      </c>
      <c r="G84" s="100">
        <v>3905.9999999999995</v>
      </c>
      <c r="H84" s="100">
        <v>5</v>
      </c>
      <c r="I84" s="100">
        <v>3905.9999999999995</v>
      </c>
      <c r="J84" s="100">
        <v>6</v>
      </c>
      <c r="K84" s="100">
        <v>4687.2</v>
      </c>
      <c r="L84" s="100">
        <v>9</v>
      </c>
      <c r="M84" s="100">
        <v>7030.7999999999993</v>
      </c>
      <c r="N84" s="100">
        <v>6</v>
      </c>
      <c r="O84" s="100">
        <v>4687.2</v>
      </c>
      <c r="P84" s="100">
        <v>10</v>
      </c>
      <c r="Q84" s="100">
        <v>7811.9999999999991</v>
      </c>
      <c r="R84" s="100">
        <v>6</v>
      </c>
      <c r="S84" s="100">
        <v>4687.2</v>
      </c>
      <c r="T84" s="100">
        <v>6</v>
      </c>
      <c r="U84" s="100">
        <v>4687.2</v>
      </c>
      <c r="V84" s="100">
        <v>9</v>
      </c>
      <c r="W84" s="100">
        <v>7030.7999999999993</v>
      </c>
      <c r="X84" s="100">
        <v>6</v>
      </c>
      <c r="Y84" s="100">
        <v>4687.2</v>
      </c>
      <c r="Z84" s="100">
        <v>5</v>
      </c>
      <c r="AA84" s="100">
        <v>3905.9999999999995</v>
      </c>
      <c r="AB84" s="100">
        <v>9</v>
      </c>
      <c r="AC84" s="100">
        <v>7030.7999999999993</v>
      </c>
      <c r="AD84" s="100">
        <v>10</v>
      </c>
      <c r="AE84" s="100">
        <v>7811.9999999999991</v>
      </c>
      <c r="AF84" s="100">
        <v>6</v>
      </c>
      <c r="AG84" s="100">
        <v>4687.2</v>
      </c>
      <c r="AH84" s="100">
        <v>7</v>
      </c>
      <c r="AI84" s="100">
        <v>5468.4</v>
      </c>
      <c r="AJ84" s="100">
        <v>10</v>
      </c>
      <c r="AK84" s="100">
        <v>7811.9999999999991</v>
      </c>
      <c r="AL84" s="100">
        <v>9.9180327868852451</v>
      </c>
      <c r="AM84" s="100">
        <v>7747.9672131147527</v>
      </c>
      <c r="AN84" s="100">
        <v>7.0224719101123592</v>
      </c>
      <c r="AO84" s="100">
        <v>5485.9550561797741</v>
      </c>
      <c r="AP84" s="100">
        <v>5</v>
      </c>
      <c r="AQ84" s="100">
        <v>3905.9999999999995</v>
      </c>
      <c r="AR84" s="100">
        <v>6.8724832214765099</v>
      </c>
      <c r="AS84" s="100">
        <v>5368.7838926174491</v>
      </c>
      <c r="AT84" s="100">
        <v>6.8027210884353737</v>
      </c>
      <c r="AU84" s="100">
        <v>5314.2857142857138</v>
      </c>
      <c r="AV84" s="100">
        <v>7.6388888888888884</v>
      </c>
      <c r="AW84" s="100">
        <v>5967.4999999999991</v>
      </c>
      <c r="AX84" s="100">
        <v>6.2111801242236018</v>
      </c>
      <c r="AY84" s="100">
        <v>4852.1739130434771</v>
      </c>
      <c r="AZ84" s="100">
        <v>6.0344827586206895</v>
      </c>
      <c r="BA84" s="100">
        <v>4714.1379310344819</v>
      </c>
      <c r="BB84" s="100">
        <v>6.8597560975609753</v>
      </c>
      <c r="BC84" s="100">
        <v>5358.8414634146338</v>
      </c>
      <c r="BD84" s="100">
        <v>6.8681318681318677</v>
      </c>
      <c r="BE84" s="100">
        <v>5365.3846153846143</v>
      </c>
      <c r="BF84" s="100">
        <v>6</v>
      </c>
      <c r="BG84" s="100">
        <v>4687.2</v>
      </c>
      <c r="BH84" s="100">
        <v>7.3224043715846996</v>
      </c>
      <c r="BI84" s="100">
        <v>5720.2622950819668</v>
      </c>
      <c r="BJ84" s="100">
        <v>6.4655172413793105</v>
      </c>
      <c r="BK84" s="100">
        <v>5050.8620689655172</v>
      </c>
      <c r="BL84" s="100">
        <v>6.4338235294117645</v>
      </c>
      <c r="BM84" s="100">
        <v>5026.1029411764703</v>
      </c>
      <c r="BN84" s="100">
        <v>6.9444444444444438</v>
      </c>
      <c r="BO84" s="100">
        <v>5424.9999999999991</v>
      </c>
      <c r="BP84" s="100">
        <v>5.7565789473684204</v>
      </c>
      <c r="BQ84" s="100">
        <v>4497.03947368421</v>
      </c>
      <c r="BR84" s="100">
        <v>6.7114093959731544</v>
      </c>
      <c r="BS84" s="100">
        <v>5242.9530201342277</v>
      </c>
      <c r="BT84" s="100">
        <v>5.9055118110236222</v>
      </c>
      <c r="BU84" s="100">
        <v>4613.3858267716532</v>
      </c>
      <c r="BV84" s="100">
        <v>7.0512820512820511</v>
      </c>
      <c r="BW84" s="100">
        <v>5508.4615384615381</v>
      </c>
      <c r="BX84" s="100">
        <v>6</v>
      </c>
      <c r="BY84" s="100">
        <v>4687.2</v>
      </c>
      <c r="BZ84" s="100">
        <v>7</v>
      </c>
      <c r="CA84" s="100">
        <v>5468.4</v>
      </c>
      <c r="CB84" s="100">
        <v>6.3194444444444446</v>
      </c>
      <c r="CC84" s="100">
        <v>4936.75</v>
      </c>
      <c r="CD84" s="100">
        <v>6</v>
      </c>
      <c r="CE84" s="100">
        <v>4687.2</v>
      </c>
      <c r="CF84" s="100">
        <v>0.43636363636363634</v>
      </c>
      <c r="CG84" s="100">
        <v>340.88727272727266</v>
      </c>
      <c r="CH84" s="100">
        <v>6.6647510662413347E-20</v>
      </c>
      <c r="CI84" s="100">
        <v>5.2065035329477305E-17</v>
      </c>
      <c r="CJ84" s="100">
        <v>2.9193888217510121E-20</v>
      </c>
      <c r="CK84" s="100">
        <v>2.2806265475518903E-17</v>
      </c>
      <c r="CL84" s="100">
        <v>3.3781499223118849E-20</v>
      </c>
      <c r="CM84" s="100">
        <v>2.6390107193100442E-17</v>
      </c>
      <c r="CN84" s="100">
        <v>6.5789473684210522</v>
      </c>
      <c r="CO84" s="100">
        <v>5139.4736842105258</v>
      </c>
      <c r="CP84" s="100">
        <v>6.5789473684210522</v>
      </c>
      <c r="CQ84" s="100">
        <v>5139.4736842105258</v>
      </c>
      <c r="CR84" s="100">
        <v>6.7771084337349397</v>
      </c>
      <c r="CS84" s="100">
        <v>5294.2771084337346</v>
      </c>
      <c r="CT84" s="100">
        <v>6.2056737588652489</v>
      </c>
      <c r="CU84" s="100">
        <v>4847.8723404255315</v>
      </c>
    </row>
    <row r="85" spans="2:99">
      <c r="C85" s="99" t="s">
        <v>251</v>
      </c>
      <c r="D85" s="100">
        <v>8</v>
      </c>
      <c r="E85" s="100">
        <v>1200</v>
      </c>
      <c r="F85" s="100">
        <v>6</v>
      </c>
      <c r="G85" s="100">
        <v>900</v>
      </c>
      <c r="H85" s="100">
        <v>5</v>
      </c>
      <c r="I85" s="100">
        <v>750</v>
      </c>
      <c r="J85" s="100">
        <v>6</v>
      </c>
      <c r="K85" s="100">
        <v>900</v>
      </c>
      <c r="L85" s="100">
        <v>9</v>
      </c>
      <c r="M85" s="100">
        <v>1350</v>
      </c>
      <c r="N85" s="100">
        <v>7</v>
      </c>
      <c r="O85" s="100">
        <v>1050</v>
      </c>
      <c r="P85" s="100">
        <v>9</v>
      </c>
      <c r="Q85" s="100">
        <v>1350</v>
      </c>
      <c r="R85" s="100">
        <v>6</v>
      </c>
      <c r="S85" s="100">
        <v>900</v>
      </c>
      <c r="T85" s="100">
        <v>7</v>
      </c>
      <c r="U85" s="100">
        <v>1050</v>
      </c>
      <c r="V85" s="100">
        <v>11</v>
      </c>
      <c r="W85" s="100">
        <v>1650</v>
      </c>
      <c r="X85" s="100">
        <v>7</v>
      </c>
      <c r="Y85" s="100">
        <v>1050</v>
      </c>
      <c r="Z85" s="100">
        <v>6</v>
      </c>
      <c r="AA85" s="100">
        <v>900</v>
      </c>
      <c r="AB85" s="100">
        <v>10</v>
      </c>
      <c r="AC85" s="100">
        <v>1500</v>
      </c>
      <c r="AD85" s="100">
        <v>10</v>
      </c>
      <c r="AE85" s="100">
        <v>1500</v>
      </c>
      <c r="AF85" s="100">
        <v>6</v>
      </c>
      <c r="AG85" s="100">
        <v>900</v>
      </c>
      <c r="AH85" s="100">
        <v>8</v>
      </c>
      <c r="AI85" s="100">
        <v>1200</v>
      </c>
      <c r="AJ85" s="100">
        <v>9</v>
      </c>
      <c r="AK85" s="100">
        <v>1350</v>
      </c>
      <c r="AL85" s="100">
        <v>9.0163934426229506</v>
      </c>
      <c r="AM85" s="100">
        <v>1352.4590163934427</v>
      </c>
      <c r="AN85" s="100">
        <v>7.0224719101123592</v>
      </c>
      <c r="AO85" s="100">
        <v>1053.370786516854</v>
      </c>
      <c r="AP85" s="100">
        <v>6</v>
      </c>
      <c r="AQ85" s="100">
        <v>900</v>
      </c>
      <c r="AR85" s="100">
        <v>6.8724832214765099</v>
      </c>
      <c r="AS85" s="100">
        <v>1030.8724832214764</v>
      </c>
      <c r="AT85" s="100">
        <v>6.8027210884353737</v>
      </c>
      <c r="AU85" s="100">
        <v>1020.408163265306</v>
      </c>
      <c r="AV85" s="100">
        <v>6.9444444444444438</v>
      </c>
      <c r="AW85" s="100">
        <v>1041.6666666666665</v>
      </c>
      <c r="AX85" s="100">
        <v>6.987577639751553</v>
      </c>
      <c r="AY85" s="100">
        <v>1048.1366459627329</v>
      </c>
      <c r="AZ85" s="100">
        <v>6.8965517241379306</v>
      </c>
      <c r="BA85" s="100">
        <v>1034.4827586206895</v>
      </c>
      <c r="BB85" s="100">
        <v>6.8597560975609753</v>
      </c>
      <c r="BC85" s="100">
        <v>1028.9634146341464</v>
      </c>
      <c r="BD85" s="100">
        <v>6.1813186813186807</v>
      </c>
      <c r="BE85" s="100">
        <v>927.19780219780205</v>
      </c>
      <c r="BF85" s="100">
        <v>7</v>
      </c>
      <c r="BG85" s="100">
        <v>1050</v>
      </c>
      <c r="BH85" s="100">
        <v>8.0546448087431699</v>
      </c>
      <c r="BI85" s="100">
        <v>1208.1967213114756</v>
      </c>
      <c r="BJ85" s="100">
        <v>7.9022988505747138</v>
      </c>
      <c r="BK85" s="100">
        <v>1185.344827586207</v>
      </c>
      <c r="BL85" s="100">
        <v>6.4338235294117645</v>
      </c>
      <c r="BM85" s="100">
        <v>965.07352941176464</v>
      </c>
      <c r="BN85" s="100">
        <v>6.9444444444444438</v>
      </c>
      <c r="BO85" s="100">
        <v>1041.6666666666665</v>
      </c>
      <c r="BP85" s="100">
        <v>7.4013157894736841</v>
      </c>
      <c r="BQ85" s="100">
        <v>1110.1973684210527</v>
      </c>
      <c r="BR85" s="100">
        <v>5.8724832214765099</v>
      </c>
      <c r="BS85" s="100">
        <v>880.8724832214765</v>
      </c>
      <c r="BT85" s="100">
        <v>5.9055118110236222</v>
      </c>
      <c r="BU85" s="100">
        <v>885.82677165354335</v>
      </c>
      <c r="BV85" s="100">
        <v>6.4102564102564097</v>
      </c>
      <c r="BW85" s="100">
        <v>961.53846153846143</v>
      </c>
      <c r="BX85" s="100">
        <v>6</v>
      </c>
      <c r="BY85" s="100">
        <v>900</v>
      </c>
      <c r="BZ85" s="100">
        <v>7</v>
      </c>
      <c r="CA85" s="100">
        <v>1050</v>
      </c>
      <c r="CB85" s="100">
        <v>6.3194444444444446</v>
      </c>
      <c r="CC85" s="100">
        <v>947.91666666666674</v>
      </c>
      <c r="CD85" s="100">
        <v>6</v>
      </c>
      <c r="CE85" s="100">
        <v>900</v>
      </c>
      <c r="CF85" s="100">
        <v>0.49090909090909091</v>
      </c>
      <c r="CG85" s="100">
        <v>73.63636363636364</v>
      </c>
      <c r="CH85" s="100">
        <v>8.3309388328016672E-20</v>
      </c>
      <c r="CI85" s="100">
        <v>1.24964082492025E-17</v>
      </c>
      <c r="CJ85" s="100">
        <v>2.9193888217510121E-20</v>
      </c>
      <c r="CK85" s="100">
        <v>4.3790832326265182E-18</v>
      </c>
      <c r="CL85" s="100">
        <v>3.7534999136798722E-20</v>
      </c>
      <c r="CM85" s="100">
        <v>5.6302498705198082E-18</v>
      </c>
      <c r="CN85" s="100">
        <v>6.5789473684210522</v>
      </c>
      <c r="CO85" s="100">
        <v>986.8421052631578</v>
      </c>
      <c r="CP85" s="100">
        <v>6.5789473684210522</v>
      </c>
      <c r="CQ85" s="100">
        <v>986.8421052631578</v>
      </c>
      <c r="CR85" s="100">
        <v>6.7771084337349397</v>
      </c>
      <c r="CS85" s="100">
        <v>1016.566265060241</v>
      </c>
      <c r="CT85" s="100">
        <v>7.0921985815602833</v>
      </c>
      <c r="CU85" s="100">
        <v>1063.8297872340424</v>
      </c>
    </row>
    <row r="86" spans="2:99">
      <c r="C86" s="99" t="s">
        <v>252</v>
      </c>
      <c r="D86" s="100">
        <v>7</v>
      </c>
      <c r="E86" s="100">
        <v>3780</v>
      </c>
      <c r="F86" s="100">
        <v>6</v>
      </c>
      <c r="G86" s="100">
        <v>3240</v>
      </c>
      <c r="H86" s="100">
        <v>5</v>
      </c>
      <c r="I86" s="100">
        <v>2700</v>
      </c>
      <c r="J86" s="100">
        <v>7</v>
      </c>
      <c r="K86" s="100">
        <v>3780</v>
      </c>
      <c r="L86" s="100">
        <v>9</v>
      </c>
      <c r="M86" s="100">
        <v>4860</v>
      </c>
      <c r="N86" s="100">
        <v>7</v>
      </c>
      <c r="O86" s="100">
        <v>3780</v>
      </c>
      <c r="P86" s="100">
        <v>10</v>
      </c>
      <c r="Q86" s="100">
        <v>5400</v>
      </c>
      <c r="R86" s="100">
        <v>6</v>
      </c>
      <c r="S86" s="100">
        <v>3240</v>
      </c>
      <c r="T86" s="100">
        <v>7</v>
      </c>
      <c r="U86" s="100">
        <v>3780</v>
      </c>
      <c r="V86" s="100">
        <v>10</v>
      </c>
      <c r="W86" s="100">
        <v>5400</v>
      </c>
      <c r="X86" s="100">
        <v>7</v>
      </c>
      <c r="Y86" s="100">
        <v>3780</v>
      </c>
      <c r="Z86" s="100">
        <v>5</v>
      </c>
      <c r="AA86" s="100">
        <v>2700</v>
      </c>
      <c r="AB86" s="100">
        <v>9</v>
      </c>
      <c r="AC86" s="100">
        <v>4860</v>
      </c>
      <c r="AD86" s="100">
        <v>9</v>
      </c>
      <c r="AE86" s="100">
        <v>4860</v>
      </c>
      <c r="AF86" s="100">
        <v>6</v>
      </c>
      <c r="AG86" s="100">
        <v>3240</v>
      </c>
      <c r="AH86" s="100">
        <v>8</v>
      </c>
      <c r="AI86" s="100">
        <v>4320</v>
      </c>
      <c r="AJ86" s="100">
        <v>9</v>
      </c>
      <c r="AK86" s="100">
        <v>4860</v>
      </c>
      <c r="AL86" s="100">
        <v>9.0163934426229506</v>
      </c>
      <c r="AM86" s="100">
        <v>4868.8524590163934</v>
      </c>
      <c r="AN86" s="100">
        <v>7.0224719101123592</v>
      </c>
      <c r="AO86" s="100">
        <v>3792.1348314606739</v>
      </c>
      <c r="AP86" s="100">
        <v>6</v>
      </c>
      <c r="AQ86" s="100">
        <v>3240</v>
      </c>
      <c r="AR86" s="100">
        <v>6.0134228187919465</v>
      </c>
      <c r="AS86" s="100">
        <v>3247.2483221476509</v>
      </c>
      <c r="AT86" s="100">
        <v>6.8027210884353737</v>
      </c>
      <c r="AU86" s="100">
        <v>3673.4693877551017</v>
      </c>
      <c r="AV86" s="100">
        <v>7.6388888888888884</v>
      </c>
      <c r="AW86" s="100">
        <v>4125</v>
      </c>
      <c r="AX86" s="100">
        <v>6.2111801242236018</v>
      </c>
      <c r="AY86" s="100">
        <v>3354.0372670807451</v>
      </c>
      <c r="AZ86" s="100">
        <v>6.8965517241379306</v>
      </c>
      <c r="BA86" s="100">
        <v>3724.1379310344823</v>
      </c>
      <c r="BB86" s="100">
        <v>6.0975609756097562</v>
      </c>
      <c r="BC86" s="100">
        <v>3292.6829268292681</v>
      </c>
      <c r="BD86" s="100">
        <v>6.1813186813186807</v>
      </c>
      <c r="BE86" s="100">
        <v>3337.9120879120874</v>
      </c>
      <c r="BF86" s="100">
        <v>6</v>
      </c>
      <c r="BG86" s="100">
        <v>3240</v>
      </c>
      <c r="BH86" s="100">
        <v>7.3224043715846996</v>
      </c>
      <c r="BI86" s="100">
        <v>3954.0983606557379</v>
      </c>
      <c r="BJ86" s="100">
        <v>7.1839080459770113</v>
      </c>
      <c r="BK86" s="100">
        <v>3879.3103448275861</v>
      </c>
      <c r="BL86" s="100">
        <v>6.4338235294117645</v>
      </c>
      <c r="BM86" s="100">
        <v>3474.2647058823527</v>
      </c>
      <c r="BN86" s="100">
        <v>6.1728395061728394</v>
      </c>
      <c r="BO86" s="100">
        <v>3333.3333333333335</v>
      </c>
      <c r="BP86" s="100">
        <v>7.4013157894736841</v>
      </c>
      <c r="BQ86" s="100">
        <v>3996.7105263157896</v>
      </c>
      <c r="BR86" s="100">
        <v>6.7114093959731544</v>
      </c>
      <c r="BS86" s="100">
        <v>3624.1610738255035</v>
      </c>
      <c r="BT86" s="100">
        <v>5.9055118110236222</v>
      </c>
      <c r="BU86" s="100">
        <v>3188.9763779527561</v>
      </c>
      <c r="BV86" s="100">
        <v>7.0512820512820511</v>
      </c>
      <c r="BW86" s="100">
        <v>3807.6923076923076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7.2222222222222214</v>
      </c>
      <c r="CC86" s="100">
        <v>3899.9999999999995</v>
      </c>
      <c r="CD86" s="100">
        <v>5</v>
      </c>
      <c r="CE86" s="100">
        <v>2700</v>
      </c>
      <c r="CF86" s="100">
        <v>0.43636363636363634</v>
      </c>
      <c r="CG86" s="100">
        <v>235.63636363636363</v>
      </c>
      <c r="CH86" s="100">
        <v>6.6647510662413347E-20</v>
      </c>
      <c r="CI86" s="100">
        <v>3.5989655757703205E-17</v>
      </c>
      <c r="CJ86" s="100">
        <v>3.5032665861012138E-20</v>
      </c>
      <c r="CK86" s="100">
        <v>1.8917639564946555E-17</v>
      </c>
      <c r="CL86" s="100">
        <v>3.3781499223118849E-20</v>
      </c>
      <c r="CM86" s="100">
        <v>1.8242009580484178E-17</v>
      </c>
      <c r="CN86" s="100">
        <v>6.5789473684210522</v>
      </c>
      <c r="CO86" s="100">
        <v>3552.6315789473683</v>
      </c>
      <c r="CP86" s="100">
        <v>7.4013157894736841</v>
      </c>
      <c r="CQ86" s="100">
        <v>3996.7105263157896</v>
      </c>
      <c r="CR86" s="100">
        <v>6.7771084337349397</v>
      </c>
      <c r="CS86" s="100">
        <v>3659.6385542168673</v>
      </c>
      <c r="CT86" s="100">
        <v>7.0921985815602833</v>
      </c>
      <c r="CU86" s="100">
        <v>3829.7872340425529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5</v>
      </c>
      <c r="G87" s="100">
        <v>5370</v>
      </c>
      <c r="H87" s="100">
        <v>7</v>
      </c>
      <c r="I87" s="100">
        <v>7518</v>
      </c>
      <c r="J87" s="100">
        <v>9</v>
      </c>
      <c r="K87" s="100">
        <v>9666</v>
      </c>
      <c r="L87" s="100">
        <v>7</v>
      </c>
      <c r="M87" s="100">
        <v>7518</v>
      </c>
      <c r="N87" s="100">
        <v>9</v>
      </c>
      <c r="O87" s="100">
        <v>9666</v>
      </c>
      <c r="P87" s="100">
        <v>11</v>
      </c>
      <c r="Q87" s="100">
        <v>11814</v>
      </c>
      <c r="R87" s="100">
        <v>8</v>
      </c>
      <c r="S87" s="100">
        <v>8592</v>
      </c>
      <c r="T87" s="100">
        <v>7</v>
      </c>
      <c r="U87" s="100">
        <v>7518</v>
      </c>
      <c r="V87" s="100">
        <v>8</v>
      </c>
      <c r="W87" s="100">
        <v>8592</v>
      </c>
      <c r="X87" s="100">
        <v>12</v>
      </c>
      <c r="Y87" s="100">
        <v>12888</v>
      </c>
      <c r="Z87" s="100">
        <v>10</v>
      </c>
      <c r="AA87" s="100">
        <v>10740</v>
      </c>
      <c r="AB87" s="100">
        <v>9</v>
      </c>
      <c r="AC87" s="100">
        <v>9666</v>
      </c>
      <c r="AD87" s="100">
        <v>8</v>
      </c>
      <c r="AE87" s="100">
        <v>8592</v>
      </c>
      <c r="AF87" s="100">
        <v>6</v>
      </c>
      <c r="AG87" s="100">
        <v>6444</v>
      </c>
      <c r="AH87" s="100">
        <v>8</v>
      </c>
      <c r="AI87" s="100">
        <v>8592</v>
      </c>
      <c r="AJ87" s="100">
        <v>7</v>
      </c>
      <c r="AK87" s="100">
        <v>7518</v>
      </c>
      <c r="AL87" s="100">
        <v>7</v>
      </c>
      <c r="AM87" s="100">
        <v>7518</v>
      </c>
      <c r="AN87" s="100">
        <v>9</v>
      </c>
      <c r="AO87" s="100">
        <v>9666</v>
      </c>
      <c r="AP87" s="100">
        <v>7</v>
      </c>
      <c r="AQ87" s="100">
        <v>7518</v>
      </c>
      <c r="AR87" s="100">
        <v>12</v>
      </c>
      <c r="AS87" s="100">
        <v>12888</v>
      </c>
      <c r="AT87" s="100">
        <v>8</v>
      </c>
      <c r="AU87" s="100">
        <v>8592</v>
      </c>
      <c r="AV87" s="100">
        <v>11</v>
      </c>
      <c r="AW87" s="100">
        <v>11814</v>
      </c>
      <c r="AX87" s="100">
        <v>7</v>
      </c>
      <c r="AY87" s="100">
        <v>7518</v>
      </c>
      <c r="AZ87" s="100">
        <v>7</v>
      </c>
      <c r="BA87" s="100">
        <v>7518</v>
      </c>
      <c r="BB87" s="100">
        <v>10</v>
      </c>
      <c r="BC87" s="100">
        <v>10740</v>
      </c>
      <c r="BD87" s="100">
        <v>9</v>
      </c>
      <c r="BE87" s="100">
        <v>9666</v>
      </c>
      <c r="BF87" s="100">
        <v>10</v>
      </c>
      <c r="BG87" s="100">
        <v>10740</v>
      </c>
      <c r="BH87" s="100">
        <v>7</v>
      </c>
      <c r="BI87" s="100">
        <v>7518</v>
      </c>
      <c r="BJ87" s="100">
        <v>7</v>
      </c>
      <c r="BK87" s="100">
        <v>7518</v>
      </c>
      <c r="BL87" s="100">
        <v>8</v>
      </c>
      <c r="BM87" s="100">
        <v>8592</v>
      </c>
      <c r="BN87" s="100">
        <v>8</v>
      </c>
      <c r="BO87" s="100">
        <v>8592</v>
      </c>
      <c r="BP87" s="100">
        <v>12</v>
      </c>
      <c r="BQ87" s="100">
        <v>12888</v>
      </c>
      <c r="BR87" s="100">
        <v>10</v>
      </c>
      <c r="BS87" s="100">
        <v>10740</v>
      </c>
      <c r="BT87" s="100">
        <v>7</v>
      </c>
      <c r="BU87" s="100">
        <v>7518</v>
      </c>
      <c r="BV87" s="100">
        <v>8</v>
      </c>
      <c r="BW87" s="100">
        <v>8592</v>
      </c>
      <c r="BX87" s="100">
        <v>11</v>
      </c>
      <c r="BY87" s="100">
        <v>11814</v>
      </c>
      <c r="BZ87" s="100">
        <v>9</v>
      </c>
      <c r="CA87" s="100">
        <v>9666</v>
      </c>
      <c r="CB87" s="100">
        <v>7</v>
      </c>
      <c r="CC87" s="100">
        <v>7518</v>
      </c>
      <c r="CD87" s="100">
        <v>7</v>
      </c>
      <c r="CE87" s="100">
        <v>7518</v>
      </c>
      <c r="CF87" s="100">
        <v>10</v>
      </c>
      <c r="CG87" s="100">
        <v>10740</v>
      </c>
      <c r="CH87" s="100">
        <v>7</v>
      </c>
      <c r="CI87" s="100">
        <v>7518</v>
      </c>
      <c r="CJ87" s="100">
        <v>9</v>
      </c>
      <c r="CK87" s="100">
        <v>9666</v>
      </c>
      <c r="CL87" s="100">
        <v>9</v>
      </c>
      <c r="CM87" s="100">
        <v>9666</v>
      </c>
      <c r="CN87" s="100">
        <v>11</v>
      </c>
      <c r="CO87" s="100">
        <v>11814</v>
      </c>
      <c r="CP87" s="100">
        <v>9</v>
      </c>
      <c r="CQ87" s="100">
        <v>9666</v>
      </c>
      <c r="CR87" s="100">
        <v>7</v>
      </c>
      <c r="CS87" s="100">
        <v>7518</v>
      </c>
      <c r="CT87" s="100">
        <v>7</v>
      </c>
      <c r="CU87" s="100">
        <v>7518</v>
      </c>
    </row>
    <row r="88" spans="2:99">
      <c r="C88" s="99" t="s">
        <v>254</v>
      </c>
      <c r="D88" s="100">
        <v>10</v>
      </c>
      <c r="E88" s="100">
        <v>9924</v>
      </c>
      <c r="F88" s="100">
        <v>6</v>
      </c>
      <c r="G88" s="100">
        <v>5954.4</v>
      </c>
      <c r="H88" s="100">
        <v>7</v>
      </c>
      <c r="I88" s="100">
        <v>6946.8</v>
      </c>
      <c r="J88" s="100">
        <v>10</v>
      </c>
      <c r="K88" s="100">
        <v>9924</v>
      </c>
      <c r="L88" s="100">
        <v>6</v>
      </c>
      <c r="M88" s="100">
        <v>5954.4</v>
      </c>
      <c r="N88" s="100">
        <v>8</v>
      </c>
      <c r="O88" s="100">
        <v>7939.2</v>
      </c>
      <c r="P88" s="100">
        <v>10</v>
      </c>
      <c r="Q88" s="100">
        <v>9924</v>
      </c>
      <c r="R88" s="100">
        <v>8</v>
      </c>
      <c r="S88" s="100">
        <v>7939.2</v>
      </c>
      <c r="T88" s="100">
        <v>6</v>
      </c>
      <c r="U88" s="100">
        <v>5954.4</v>
      </c>
      <c r="V88" s="100">
        <v>8</v>
      </c>
      <c r="W88" s="100">
        <v>7939.2</v>
      </c>
      <c r="X88" s="100">
        <v>11</v>
      </c>
      <c r="Y88" s="100">
        <v>10916.4</v>
      </c>
      <c r="Z88" s="100">
        <v>10</v>
      </c>
      <c r="AA88" s="100">
        <v>9924</v>
      </c>
      <c r="AB88" s="100">
        <v>9</v>
      </c>
      <c r="AC88" s="100">
        <v>8931.6</v>
      </c>
      <c r="AD88" s="100">
        <v>8</v>
      </c>
      <c r="AE88" s="100">
        <v>7939.2</v>
      </c>
      <c r="AF88" s="100">
        <v>6</v>
      </c>
      <c r="AG88" s="100">
        <v>5954.4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7</v>
      </c>
      <c r="AM88" s="100">
        <v>6946.8</v>
      </c>
      <c r="AN88" s="100">
        <v>9</v>
      </c>
      <c r="AO88" s="100">
        <v>8931.6</v>
      </c>
      <c r="AP88" s="100">
        <v>7</v>
      </c>
      <c r="AQ88" s="100">
        <v>6946.8</v>
      </c>
      <c r="AR88" s="100">
        <v>12</v>
      </c>
      <c r="AS88" s="100">
        <v>11908.8</v>
      </c>
      <c r="AT88" s="100">
        <v>9</v>
      </c>
      <c r="AU88" s="100">
        <v>8931.6</v>
      </c>
      <c r="AV88" s="100">
        <v>11</v>
      </c>
      <c r="AW88" s="100">
        <v>10916.4</v>
      </c>
      <c r="AX88" s="100">
        <v>7</v>
      </c>
      <c r="AY88" s="100">
        <v>6946.8</v>
      </c>
      <c r="AZ88" s="100">
        <v>7</v>
      </c>
      <c r="BA88" s="100">
        <v>6946.8</v>
      </c>
      <c r="BB88" s="100">
        <v>10</v>
      </c>
      <c r="BC88" s="100">
        <v>9924</v>
      </c>
      <c r="BD88" s="100">
        <v>9</v>
      </c>
      <c r="BE88" s="100">
        <v>8931.6</v>
      </c>
      <c r="BF88" s="100">
        <v>9</v>
      </c>
      <c r="BG88" s="100">
        <v>8931.6</v>
      </c>
      <c r="BH88" s="100">
        <v>6</v>
      </c>
      <c r="BI88" s="100">
        <v>5954.4</v>
      </c>
      <c r="BJ88" s="100">
        <v>7</v>
      </c>
      <c r="BK88" s="100">
        <v>6946.8</v>
      </c>
      <c r="BL88" s="100">
        <v>9</v>
      </c>
      <c r="BM88" s="100">
        <v>8931.6</v>
      </c>
      <c r="BN88" s="100">
        <v>9</v>
      </c>
      <c r="BO88" s="100">
        <v>8931.6</v>
      </c>
      <c r="BP88" s="100">
        <v>12</v>
      </c>
      <c r="BQ88" s="100">
        <v>11908.8</v>
      </c>
      <c r="BR88" s="100">
        <v>11</v>
      </c>
      <c r="BS88" s="100">
        <v>10916.4</v>
      </c>
      <c r="BT88" s="100">
        <v>8</v>
      </c>
      <c r="BU88" s="100">
        <v>7939.2</v>
      </c>
      <c r="BV88" s="100">
        <v>9</v>
      </c>
      <c r="BW88" s="100">
        <v>8931.6</v>
      </c>
      <c r="BX88" s="100">
        <v>10</v>
      </c>
      <c r="BY88" s="100">
        <v>9924</v>
      </c>
      <c r="BZ88" s="100">
        <v>9</v>
      </c>
      <c r="CA88" s="100">
        <v>8931.6</v>
      </c>
      <c r="CB88" s="100">
        <v>7</v>
      </c>
      <c r="CC88" s="100">
        <v>6946.8</v>
      </c>
      <c r="CD88" s="100">
        <v>8</v>
      </c>
      <c r="CE88" s="100">
        <v>7939.2</v>
      </c>
      <c r="CF88" s="100">
        <v>12</v>
      </c>
      <c r="CG88" s="100">
        <v>11908.8</v>
      </c>
      <c r="CH88" s="100">
        <v>7</v>
      </c>
      <c r="CI88" s="100">
        <v>6946.8</v>
      </c>
      <c r="CJ88" s="100">
        <v>9</v>
      </c>
      <c r="CK88" s="100">
        <v>8931.6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10</v>
      </c>
      <c r="CQ88" s="100">
        <v>9924</v>
      </c>
      <c r="CR88" s="100">
        <v>7</v>
      </c>
      <c r="CS88" s="100">
        <v>6946.8</v>
      </c>
      <c r="CT88" s="100">
        <v>7</v>
      </c>
      <c r="CU88" s="100">
        <v>6946.8</v>
      </c>
    </row>
    <row r="89" spans="2:99">
      <c r="C89" s="99" t="s">
        <v>255</v>
      </c>
      <c r="D89" s="100">
        <v>10</v>
      </c>
      <c r="E89" s="100">
        <v>10620</v>
      </c>
      <c r="F89" s="100">
        <v>6</v>
      </c>
      <c r="G89" s="100">
        <v>6372</v>
      </c>
      <c r="H89" s="100">
        <v>6</v>
      </c>
      <c r="I89" s="100">
        <v>6372</v>
      </c>
      <c r="J89" s="100">
        <v>10</v>
      </c>
      <c r="K89" s="100">
        <v>10620</v>
      </c>
      <c r="L89" s="100">
        <v>7</v>
      </c>
      <c r="M89" s="100">
        <v>7434</v>
      </c>
      <c r="N89" s="100">
        <v>9</v>
      </c>
      <c r="O89" s="100">
        <v>9558</v>
      </c>
      <c r="P89" s="100">
        <v>10</v>
      </c>
      <c r="Q89" s="100">
        <v>10620</v>
      </c>
      <c r="R89" s="100">
        <v>8</v>
      </c>
      <c r="S89" s="100">
        <v>8496</v>
      </c>
      <c r="T89" s="100">
        <v>6</v>
      </c>
      <c r="U89" s="100">
        <v>6372</v>
      </c>
      <c r="V89" s="100">
        <v>9</v>
      </c>
      <c r="W89" s="100">
        <v>9558</v>
      </c>
      <c r="X89" s="100">
        <v>11</v>
      </c>
      <c r="Y89" s="100">
        <v>11682</v>
      </c>
      <c r="Z89" s="100">
        <v>11</v>
      </c>
      <c r="AA89" s="100">
        <v>11682</v>
      </c>
      <c r="AB89" s="100">
        <v>8</v>
      </c>
      <c r="AC89" s="100">
        <v>8496</v>
      </c>
      <c r="AD89" s="100">
        <v>7</v>
      </c>
      <c r="AE89" s="100">
        <v>7434</v>
      </c>
      <c r="AF89" s="100">
        <v>6</v>
      </c>
      <c r="AG89" s="100">
        <v>6372</v>
      </c>
      <c r="AH89" s="100">
        <v>7</v>
      </c>
      <c r="AI89" s="100">
        <v>7434</v>
      </c>
      <c r="AJ89" s="100">
        <v>8</v>
      </c>
      <c r="AK89" s="100">
        <v>8496</v>
      </c>
      <c r="AL89" s="100">
        <v>7</v>
      </c>
      <c r="AM89" s="100">
        <v>7434</v>
      </c>
      <c r="AN89" s="100">
        <v>10</v>
      </c>
      <c r="AO89" s="100">
        <v>10620</v>
      </c>
      <c r="AP89" s="100">
        <v>7</v>
      </c>
      <c r="AQ89" s="100">
        <v>7434</v>
      </c>
      <c r="AR89" s="100">
        <v>11</v>
      </c>
      <c r="AS89" s="100">
        <v>11682</v>
      </c>
      <c r="AT89" s="100">
        <v>8</v>
      </c>
      <c r="AU89" s="100">
        <v>8496</v>
      </c>
      <c r="AV89" s="100">
        <v>11</v>
      </c>
      <c r="AW89" s="100">
        <v>11682</v>
      </c>
      <c r="AX89" s="100">
        <v>7</v>
      </c>
      <c r="AY89" s="100">
        <v>7434</v>
      </c>
      <c r="AZ89" s="100">
        <v>7</v>
      </c>
      <c r="BA89" s="100">
        <v>7434</v>
      </c>
      <c r="BB89" s="100">
        <v>9</v>
      </c>
      <c r="BC89" s="100">
        <v>9558</v>
      </c>
      <c r="BD89" s="100">
        <v>9</v>
      </c>
      <c r="BE89" s="100">
        <v>9558</v>
      </c>
      <c r="BF89" s="100">
        <v>11</v>
      </c>
      <c r="BG89" s="100">
        <v>11682</v>
      </c>
      <c r="BH89" s="100">
        <v>6</v>
      </c>
      <c r="BI89" s="100">
        <v>6372</v>
      </c>
      <c r="BJ89" s="100">
        <v>7</v>
      </c>
      <c r="BK89" s="100">
        <v>7434</v>
      </c>
      <c r="BL89" s="100">
        <v>8</v>
      </c>
      <c r="BM89" s="100">
        <v>8496</v>
      </c>
      <c r="BN89" s="100">
        <v>7</v>
      </c>
      <c r="BO89" s="100">
        <v>7434</v>
      </c>
      <c r="BP89" s="100">
        <v>12</v>
      </c>
      <c r="BQ89" s="100">
        <v>12744</v>
      </c>
      <c r="BR89" s="100">
        <v>10</v>
      </c>
      <c r="BS89" s="100">
        <v>10620</v>
      </c>
      <c r="BT89" s="100">
        <v>8</v>
      </c>
      <c r="BU89" s="100">
        <v>8496</v>
      </c>
      <c r="BV89" s="100">
        <v>8</v>
      </c>
      <c r="BW89" s="100">
        <v>8496</v>
      </c>
      <c r="BX89" s="100">
        <v>12</v>
      </c>
      <c r="BY89" s="100">
        <v>12744</v>
      </c>
      <c r="BZ89" s="100">
        <v>9</v>
      </c>
      <c r="CA89" s="100">
        <v>9558</v>
      </c>
      <c r="CB89" s="100">
        <v>7</v>
      </c>
      <c r="CC89" s="100">
        <v>7434</v>
      </c>
      <c r="CD89" s="100">
        <v>8</v>
      </c>
      <c r="CE89" s="100">
        <v>8496</v>
      </c>
      <c r="CF89" s="100">
        <v>10</v>
      </c>
      <c r="CG89" s="100">
        <v>10620</v>
      </c>
      <c r="CH89" s="100">
        <v>7</v>
      </c>
      <c r="CI89" s="100">
        <v>7434</v>
      </c>
      <c r="CJ89" s="100">
        <v>8</v>
      </c>
      <c r="CK89" s="100">
        <v>8496</v>
      </c>
      <c r="CL89" s="100">
        <v>10</v>
      </c>
      <c r="CM89" s="100">
        <v>10620</v>
      </c>
      <c r="CN89" s="100">
        <v>11</v>
      </c>
      <c r="CO89" s="100">
        <v>11682</v>
      </c>
      <c r="CP89" s="100">
        <v>9</v>
      </c>
      <c r="CQ89" s="100">
        <v>9558</v>
      </c>
      <c r="CR89" s="100">
        <v>7</v>
      </c>
      <c r="CS89" s="100">
        <v>7434</v>
      </c>
      <c r="CT89" s="100">
        <v>8</v>
      </c>
      <c r="CU89" s="100">
        <v>8496</v>
      </c>
    </row>
    <row r="90" spans="2:99">
      <c r="C90" s="99" t="s">
        <v>256</v>
      </c>
      <c r="D90" s="100">
        <v>11</v>
      </c>
      <c r="E90" s="100">
        <v>12196.8</v>
      </c>
      <c r="F90" s="100">
        <v>6</v>
      </c>
      <c r="G90" s="100">
        <v>6652.7999999999993</v>
      </c>
      <c r="H90" s="100">
        <v>7</v>
      </c>
      <c r="I90" s="100">
        <v>7761.5999999999995</v>
      </c>
      <c r="J90" s="100">
        <v>9</v>
      </c>
      <c r="K90" s="100">
        <v>9979.1999999999989</v>
      </c>
      <c r="L90" s="100">
        <v>7</v>
      </c>
      <c r="M90" s="100">
        <v>7761.5999999999995</v>
      </c>
      <c r="N90" s="100">
        <v>10</v>
      </c>
      <c r="O90" s="100">
        <v>11088</v>
      </c>
      <c r="P90" s="100">
        <v>11</v>
      </c>
      <c r="Q90" s="100">
        <v>12196.8</v>
      </c>
      <c r="R90" s="100">
        <v>8</v>
      </c>
      <c r="S90" s="100">
        <v>8870.4</v>
      </c>
      <c r="T90" s="100">
        <v>6</v>
      </c>
      <c r="U90" s="100">
        <v>6652.7999999999993</v>
      </c>
      <c r="V90" s="100">
        <v>7</v>
      </c>
      <c r="W90" s="100">
        <v>7761.5999999999995</v>
      </c>
      <c r="X90" s="100">
        <v>12</v>
      </c>
      <c r="Y90" s="100">
        <v>13305.599999999999</v>
      </c>
      <c r="Z90" s="100">
        <v>10</v>
      </c>
      <c r="AA90" s="100">
        <v>11088</v>
      </c>
      <c r="AB90" s="100">
        <v>9</v>
      </c>
      <c r="AC90" s="100">
        <v>9979.1999999999989</v>
      </c>
      <c r="AD90" s="100">
        <v>8</v>
      </c>
      <c r="AE90" s="100">
        <v>8870.4</v>
      </c>
      <c r="AF90" s="100">
        <v>5</v>
      </c>
      <c r="AG90" s="100">
        <v>5544</v>
      </c>
      <c r="AH90" s="100">
        <v>8</v>
      </c>
      <c r="AI90" s="100">
        <v>8870.4</v>
      </c>
      <c r="AJ90" s="100">
        <v>8</v>
      </c>
      <c r="AK90" s="100">
        <v>8870.4</v>
      </c>
      <c r="AL90" s="100">
        <v>7</v>
      </c>
      <c r="AM90" s="100">
        <v>7761.5999999999995</v>
      </c>
      <c r="AN90" s="100">
        <v>9</v>
      </c>
      <c r="AO90" s="100">
        <v>9979.1999999999989</v>
      </c>
      <c r="AP90" s="100">
        <v>8</v>
      </c>
      <c r="AQ90" s="100">
        <v>8870.4</v>
      </c>
      <c r="AR90" s="100">
        <v>12</v>
      </c>
      <c r="AS90" s="100">
        <v>13305.599999999999</v>
      </c>
      <c r="AT90" s="100">
        <v>9</v>
      </c>
      <c r="AU90" s="100">
        <v>9979.1999999999989</v>
      </c>
      <c r="AV90" s="100">
        <v>10</v>
      </c>
      <c r="AW90" s="100">
        <v>11088</v>
      </c>
      <c r="AX90" s="100">
        <v>8</v>
      </c>
      <c r="AY90" s="100">
        <v>8870.4</v>
      </c>
      <c r="AZ90" s="100">
        <v>7</v>
      </c>
      <c r="BA90" s="100">
        <v>7761.5999999999995</v>
      </c>
      <c r="BB90" s="100">
        <v>10</v>
      </c>
      <c r="BC90" s="100">
        <v>11088</v>
      </c>
      <c r="BD90" s="100">
        <v>8</v>
      </c>
      <c r="BE90" s="100">
        <v>8870.4</v>
      </c>
      <c r="BF90" s="100">
        <v>10</v>
      </c>
      <c r="BG90" s="100">
        <v>11088</v>
      </c>
      <c r="BH90" s="100">
        <v>7</v>
      </c>
      <c r="BI90" s="100">
        <v>7761.5999999999995</v>
      </c>
      <c r="BJ90" s="100">
        <v>7</v>
      </c>
      <c r="BK90" s="100">
        <v>7761.5999999999995</v>
      </c>
      <c r="BL90" s="100">
        <v>7</v>
      </c>
      <c r="BM90" s="100">
        <v>7761.5999999999995</v>
      </c>
      <c r="BN90" s="100">
        <v>9</v>
      </c>
      <c r="BO90" s="100">
        <v>9979.1999999999989</v>
      </c>
      <c r="BP90" s="100">
        <v>12</v>
      </c>
      <c r="BQ90" s="100">
        <v>13305.599999999999</v>
      </c>
      <c r="BR90" s="100">
        <v>10</v>
      </c>
      <c r="BS90" s="100">
        <v>11088</v>
      </c>
      <c r="BT90" s="100">
        <v>7</v>
      </c>
      <c r="BU90" s="100">
        <v>7761.5999999999995</v>
      </c>
      <c r="BV90" s="100">
        <v>8</v>
      </c>
      <c r="BW90" s="100">
        <v>8870.4</v>
      </c>
      <c r="BX90" s="100">
        <v>12</v>
      </c>
      <c r="BY90" s="100">
        <v>13305.599999999999</v>
      </c>
      <c r="BZ90" s="100">
        <v>8</v>
      </c>
      <c r="CA90" s="100">
        <v>8870.4</v>
      </c>
      <c r="CB90" s="100">
        <v>8</v>
      </c>
      <c r="CC90" s="100">
        <v>8870.4</v>
      </c>
      <c r="CD90" s="100">
        <v>7</v>
      </c>
      <c r="CE90" s="100">
        <v>7761.5999999999995</v>
      </c>
      <c r="CF90" s="100">
        <v>11</v>
      </c>
      <c r="CG90" s="100">
        <v>12196.8</v>
      </c>
      <c r="CH90" s="100">
        <v>7</v>
      </c>
      <c r="CI90" s="100">
        <v>7761.5999999999995</v>
      </c>
      <c r="CJ90" s="100">
        <v>9</v>
      </c>
      <c r="CK90" s="100">
        <v>9979.1999999999989</v>
      </c>
      <c r="CL90" s="100">
        <v>10</v>
      </c>
      <c r="CM90" s="100">
        <v>11088</v>
      </c>
      <c r="CN90" s="100">
        <v>10</v>
      </c>
      <c r="CO90" s="100">
        <v>11088</v>
      </c>
      <c r="CP90" s="100">
        <v>9</v>
      </c>
      <c r="CQ90" s="100">
        <v>9979.1999999999989</v>
      </c>
      <c r="CR90" s="100">
        <v>7</v>
      </c>
      <c r="CS90" s="100">
        <v>7761.5999999999995</v>
      </c>
      <c r="CT90" s="100">
        <v>8</v>
      </c>
      <c r="CU90" s="100">
        <v>8870.4</v>
      </c>
    </row>
    <row r="91" spans="2:99">
      <c r="C91" s="99" t="s">
        <v>257</v>
      </c>
      <c r="D91" s="100">
        <v>11</v>
      </c>
      <c r="E91" s="100">
        <v>12500.399999999998</v>
      </c>
      <c r="F91" s="100">
        <v>5</v>
      </c>
      <c r="G91" s="100">
        <v>5681.9999999999991</v>
      </c>
      <c r="H91" s="100">
        <v>6</v>
      </c>
      <c r="I91" s="100">
        <v>6818.4</v>
      </c>
      <c r="J91" s="100">
        <v>10</v>
      </c>
      <c r="K91" s="100">
        <v>11363.999999999998</v>
      </c>
      <c r="L91" s="100">
        <v>7</v>
      </c>
      <c r="M91" s="100">
        <v>7954.7999999999993</v>
      </c>
      <c r="N91" s="100">
        <v>9</v>
      </c>
      <c r="O91" s="100">
        <v>10227.599999999999</v>
      </c>
      <c r="P91" s="100">
        <v>10</v>
      </c>
      <c r="Q91" s="100">
        <v>11363.999999999998</v>
      </c>
      <c r="R91" s="100">
        <v>8</v>
      </c>
      <c r="S91" s="100">
        <v>9091.1999999999989</v>
      </c>
      <c r="T91" s="100">
        <v>6</v>
      </c>
      <c r="U91" s="100">
        <v>6818.4</v>
      </c>
      <c r="V91" s="100">
        <v>9</v>
      </c>
      <c r="W91" s="100">
        <v>10227.599999999999</v>
      </c>
      <c r="X91" s="100">
        <v>11</v>
      </c>
      <c r="Y91" s="100">
        <v>12500.399999999998</v>
      </c>
      <c r="Z91" s="100">
        <v>10</v>
      </c>
      <c r="AA91" s="100">
        <v>11363.999999999998</v>
      </c>
      <c r="AB91" s="100">
        <v>9</v>
      </c>
      <c r="AC91" s="100">
        <v>10227.599999999999</v>
      </c>
      <c r="AD91" s="100">
        <v>8</v>
      </c>
      <c r="AE91" s="100">
        <v>9091.1999999999989</v>
      </c>
      <c r="AF91" s="100">
        <v>6</v>
      </c>
      <c r="AG91" s="100">
        <v>6818.4</v>
      </c>
      <c r="AH91" s="100">
        <v>9</v>
      </c>
      <c r="AI91" s="100">
        <v>10227.599999999999</v>
      </c>
      <c r="AJ91" s="100">
        <v>8</v>
      </c>
      <c r="AK91" s="100">
        <v>9091.1999999999989</v>
      </c>
      <c r="AL91" s="100">
        <v>7</v>
      </c>
      <c r="AM91" s="100">
        <v>7954.7999999999993</v>
      </c>
      <c r="AN91" s="100">
        <v>9</v>
      </c>
      <c r="AO91" s="100">
        <v>10227.599999999999</v>
      </c>
      <c r="AP91" s="100">
        <v>8</v>
      </c>
      <c r="AQ91" s="100">
        <v>9091.1999999999989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11</v>
      </c>
      <c r="AW91" s="100">
        <v>12500.399999999998</v>
      </c>
      <c r="AX91" s="100">
        <v>7</v>
      </c>
      <c r="AY91" s="100">
        <v>7954.7999999999993</v>
      </c>
      <c r="AZ91" s="100">
        <v>6</v>
      </c>
      <c r="BA91" s="100">
        <v>6818.4</v>
      </c>
      <c r="BB91" s="100">
        <v>9</v>
      </c>
      <c r="BC91" s="100">
        <v>10227.599999999999</v>
      </c>
      <c r="BD91" s="100">
        <v>10</v>
      </c>
      <c r="BE91" s="100">
        <v>11363.999999999998</v>
      </c>
      <c r="BF91" s="100">
        <v>9</v>
      </c>
      <c r="BG91" s="100">
        <v>10227.599999999999</v>
      </c>
      <c r="BH91" s="100">
        <v>7</v>
      </c>
      <c r="BI91" s="100">
        <v>7954.7999999999993</v>
      </c>
      <c r="BJ91" s="100">
        <v>7</v>
      </c>
      <c r="BK91" s="100">
        <v>7954.7999999999993</v>
      </c>
      <c r="BL91" s="100">
        <v>8</v>
      </c>
      <c r="BM91" s="100">
        <v>9091.1999999999989</v>
      </c>
      <c r="BN91" s="100">
        <v>8</v>
      </c>
      <c r="BO91" s="100">
        <v>9091.1999999999989</v>
      </c>
      <c r="BP91" s="100">
        <v>12</v>
      </c>
      <c r="BQ91" s="100">
        <v>13636.8</v>
      </c>
      <c r="BR91" s="100">
        <v>10</v>
      </c>
      <c r="BS91" s="100">
        <v>11363.999999999998</v>
      </c>
      <c r="BT91" s="100">
        <v>8</v>
      </c>
      <c r="BU91" s="100">
        <v>9091.1999999999989</v>
      </c>
      <c r="BV91" s="100">
        <v>9</v>
      </c>
      <c r="BW91" s="100">
        <v>10227.599999999999</v>
      </c>
      <c r="BX91" s="100">
        <v>10</v>
      </c>
      <c r="BY91" s="100">
        <v>11363.999999999998</v>
      </c>
      <c r="BZ91" s="100">
        <v>9</v>
      </c>
      <c r="CA91" s="100">
        <v>10227.599999999999</v>
      </c>
      <c r="CB91" s="100">
        <v>7</v>
      </c>
      <c r="CC91" s="100">
        <v>7954.7999999999993</v>
      </c>
      <c r="CD91" s="100">
        <v>7</v>
      </c>
      <c r="CE91" s="100">
        <v>7954.7999999999993</v>
      </c>
      <c r="CF91" s="100">
        <v>11</v>
      </c>
      <c r="CG91" s="100">
        <v>12500.399999999998</v>
      </c>
      <c r="CH91" s="100">
        <v>7</v>
      </c>
      <c r="CI91" s="100">
        <v>7954.7999999999993</v>
      </c>
      <c r="CJ91" s="100">
        <v>8</v>
      </c>
      <c r="CK91" s="100">
        <v>9091.1999999999989</v>
      </c>
      <c r="CL91" s="100">
        <v>9</v>
      </c>
      <c r="CM91" s="100">
        <v>10227.599999999999</v>
      </c>
      <c r="CN91" s="100">
        <v>10</v>
      </c>
      <c r="CO91" s="100">
        <v>11363.999999999998</v>
      </c>
      <c r="CP91" s="100">
        <v>9</v>
      </c>
      <c r="CQ91" s="100">
        <v>10227.599999999999</v>
      </c>
      <c r="CR91" s="100">
        <v>7</v>
      </c>
      <c r="CS91" s="100">
        <v>7954.7999999999993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6</v>
      </c>
      <c r="G92" s="100">
        <v>4708.7999999999993</v>
      </c>
      <c r="H92" s="100">
        <v>7</v>
      </c>
      <c r="I92" s="100">
        <v>5493.5999999999995</v>
      </c>
      <c r="J92" s="100">
        <v>10</v>
      </c>
      <c r="K92" s="100">
        <v>7848</v>
      </c>
      <c r="L92" s="100">
        <v>7</v>
      </c>
      <c r="M92" s="100">
        <v>5493.5999999999995</v>
      </c>
      <c r="N92" s="100">
        <v>9</v>
      </c>
      <c r="O92" s="100">
        <v>7063.2</v>
      </c>
      <c r="P92" s="100">
        <v>11</v>
      </c>
      <c r="Q92" s="100">
        <v>8632.7999999999993</v>
      </c>
      <c r="R92" s="100">
        <v>9</v>
      </c>
      <c r="S92" s="100">
        <v>7063.2</v>
      </c>
      <c r="T92" s="100">
        <v>7</v>
      </c>
      <c r="U92" s="100">
        <v>5493.5999999999995</v>
      </c>
      <c r="V92" s="100">
        <v>9</v>
      </c>
      <c r="W92" s="100">
        <v>7063.2</v>
      </c>
      <c r="X92" s="100">
        <v>11</v>
      </c>
      <c r="Y92" s="100">
        <v>8632.7999999999993</v>
      </c>
      <c r="Z92" s="100">
        <v>11</v>
      </c>
      <c r="AA92" s="100">
        <v>8632.7999999999993</v>
      </c>
      <c r="AB92" s="100">
        <v>9</v>
      </c>
      <c r="AC92" s="100">
        <v>7063.2</v>
      </c>
      <c r="AD92" s="100">
        <v>8</v>
      </c>
      <c r="AE92" s="100">
        <v>6278.4</v>
      </c>
      <c r="AF92" s="100">
        <v>6</v>
      </c>
      <c r="AG92" s="100">
        <v>4708.7999999999993</v>
      </c>
      <c r="AH92" s="100">
        <v>8</v>
      </c>
      <c r="AI92" s="100">
        <v>6278.4</v>
      </c>
      <c r="AJ92" s="100">
        <v>7</v>
      </c>
      <c r="AK92" s="100">
        <v>5493.5999999999995</v>
      </c>
      <c r="AL92" s="100">
        <v>7</v>
      </c>
      <c r="AM92" s="100">
        <v>5493.5999999999995</v>
      </c>
      <c r="AN92" s="100">
        <v>10</v>
      </c>
      <c r="AO92" s="100">
        <v>7848</v>
      </c>
      <c r="AP92" s="100">
        <v>7</v>
      </c>
      <c r="AQ92" s="100">
        <v>5493.5999999999995</v>
      </c>
      <c r="AR92" s="100">
        <v>12</v>
      </c>
      <c r="AS92" s="100">
        <v>9417.5999999999985</v>
      </c>
      <c r="AT92" s="100">
        <v>8</v>
      </c>
      <c r="AU92" s="100">
        <v>6278.4</v>
      </c>
      <c r="AV92" s="100">
        <v>12</v>
      </c>
      <c r="AW92" s="100">
        <v>9417.5999999999985</v>
      </c>
      <c r="AX92" s="100">
        <v>8</v>
      </c>
      <c r="AY92" s="100">
        <v>6278.4</v>
      </c>
      <c r="AZ92" s="100">
        <v>7</v>
      </c>
      <c r="BA92" s="100">
        <v>5493.5999999999995</v>
      </c>
      <c r="BB92" s="100">
        <v>9</v>
      </c>
      <c r="BC92" s="100">
        <v>7063.2</v>
      </c>
      <c r="BD92" s="100">
        <v>9</v>
      </c>
      <c r="BE92" s="100">
        <v>7063.2</v>
      </c>
      <c r="BF92" s="100">
        <v>10</v>
      </c>
      <c r="BG92" s="100">
        <v>7848</v>
      </c>
      <c r="BH92" s="100">
        <v>6</v>
      </c>
      <c r="BI92" s="100">
        <v>4708.7999999999993</v>
      </c>
      <c r="BJ92" s="100">
        <v>8</v>
      </c>
      <c r="BK92" s="100">
        <v>6278.4</v>
      </c>
      <c r="BL92" s="100">
        <v>9</v>
      </c>
      <c r="BM92" s="100">
        <v>7063.2</v>
      </c>
      <c r="BN92" s="100">
        <v>9</v>
      </c>
      <c r="BO92" s="100">
        <v>7063.2</v>
      </c>
      <c r="BP92" s="100">
        <v>13</v>
      </c>
      <c r="BQ92" s="100">
        <v>10202.4</v>
      </c>
      <c r="BR92" s="100">
        <v>10</v>
      </c>
      <c r="BS92" s="100">
        <v>7848</v>
      </c>
      <c r="BT92" s="100">
        <v>8</v>
      </c>
      <c r="BU92" s="100">
        <v>6278.4</v>
      </c>
      <c r="BV92" s="100">
        <v>8</v>
      </c>
      <c r="BW92" s="100">
        <v>6278.4</v>
      </c>
      <c r="BX92" s="100">
        <v>11</v>
      </c>
      <c r="BY92" s="100">
        <v>8632.7999999999993</v>
      </c>
      <c r="BZ92" s="100">
        <v>8</v>
      </c>
      <c r="CA92" s="100">
        <v>6278.4</v>
      </c>
      <c r="CB92" s="100">
        <v>7</v>
      </c>
      <c r="CC92" s="100">
        <v>5493.5999999999995</v>
      </c>
      <c r="CD92" s="100">
        <v>7</v>
      </c>
      <c r="CE92" s="100">
        <v>5493.5999999999995</v>
      </c>
      <c r="CF92" s="100">
        <v>10</v>
      </c>
      <c r="CG92" s="100">
        <v>7848</v>
      </c>
      <c r="CH92" s="100">
        <v>8</v>
      </c>
      <c r="CI92" s="100">
        <v>6278.4</v>
      </c>
      <c r="CJ92" s="100">
        <v>8</v>
      </c>
      <c r="CK92" s="100">
        <v>6278.4</v>
      </c>
      <c r="CL92" s="100">
        <v>10</v>
      </c>
      <c r="CM92" s="100">
        <v>7848</v>
      </c>
      <c r="CN92" s="100">
        <v>10</v>
      </c>
      <c r="CO92" s="100">
        <v>7848</v>
      </c>
      <c r="CP92" s="100">
        <v>9</v>
      </c>
      <c r="CQ92" s="100">
        <v>7063.2</v>
      </c>
      <c r="CR92" s="100">
        <v>7</v>
      </c>
      <c r="CS92" s="100">
        <v>5493.5999999999995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11</v>
      </c>
      <c r="E93" s="100">
        <v>7629.6</v>
      </c>
      <c r="F93" s="100">
        <v>6</v>
      </c>
      <c r="G93" s="100">
        <v>4161.6000000000004</v>
      </c>
      <c r="H93" s="100">
        <v>6</v>
      </c>
      <c r="I93" s="100">
        <v>4161.6000000000004</v>
      </c>
      <c r="J93" s="100">
        <v>10</v>
      </c>
      <c r="K93" s="100">
        <v>6936</v>
      </c>
      <c r="L93" s="100">
        <v>8</v>
      </c>
      <c r="M93" s="100">
        <v>5548.8</v>
      </c>
      <c r="N93" s="100">
        <v>9</v>
      </c>
      <c r="O93" s="100">
        <v>6242.4000000000005</v>
      </c>
      <c r="P93" s="100">
        <v>12</v>
      </c>
      <c r="Q93" s="100">
        <v>8323.2000000000007</v>
      </c>
      <c r="R93" s="100">
        <v>8</v>
      </c>
      <c r="S93" s="100">
        <v>5548.8</v>
      </c>
      <c r="T93" s="100">
        <v>7</v>
      </c>
      <c r="U93" s="100">
        <v>4855.2</v>
      </c>
      <c r="V93" s="100">
        <v>8</v>
      </c>
      <c r="W93" s="100">
        <v>5548.8</v>
      </c>
      <c r="X93" s="100">
        <v>12</v>
      </c>
      <c r="Y93" s="100">
        <v>8323.2000000000007</v>
      </c>
      <c r="Z93" s="100">
        <v>10</v>
      </c>
      <c r="AA93" s="100">
        <v>6936</v>
      </c>
      <c r="AB93" s="100">
        <v>9</v>
      </c>
      <c r="AC93" s="100">
        <v>6242.4000000000005</v>
      </c>
      <c r="AD93" s="100">
        <v>9</v>
      </c>
      <c r="AE93" s="100">
        <v>6242.4000000000005</v>
      </c>
      <c r="AF93" s="100">
        <v>6</v>
      </c>
      <c r="AG93" s="100">
        <v>4161.6000000000004</v>
      </c>
      <c r="AH93" s="100">
        <v>8</v>
      </c>
      <c r="AI93" s="100">
        <v>5548.8</v>
      </c>
      <c r="AJ93" s="100">
        <v>8</v>
      </c>
      <c r="AK93" s="100">
        <v>5548.8</v>
      </c>
      <c r="AL93" s="100">
        <v>8</v>
      </c>
      <c r="AM93" s="100">
        <v>5548.8</v>
      </c>
      <c r="AN93" s="100">
        <v>9</v>
      </c>
      <c r="AO93" s="100">
        <v>6242.4000000000005</v>
      </c>
      <c r="AP93" s="100">
        <v>7</v>
      </c>
      <c r="AQ93" s="100">
        <v>4855.2</v>
      </c>
      <c r="AR93" s="100">
        <v>11</v>
      </c>
      <c r="AS93" s="100">
        <v>7629.6</v>
      </c>
      <c r="AT93" s="100">
        <v>8</v>
      </c>
      <c r="AU93" s="100">
        <v>5548.8</v>
      </c>
      <c r="AV93" s="100">
        <v>12</v>
      </c>
      <c r="AW93" s="100">
        <v>8323.2000000000007</v>
      </c>
      <c r="AX93" s="100">
        <v>7</v>
      </c>
      <c r="AY93" s="100">
        <v>4855.2</v>
      </c>
      <c r="AZ93" s="100">
        <v>7</v>
      </c>
      <c r="BA93" s="100">
        <v>4855.2</v>
      </c>
      <c r="BB93" s="100">
        <v>10</v>
      </c>
      <c r="BC93" s="100">
        <v>6936</v>
      </c>
      <c r="BD93" s="100">
        <v>10</v>
      </c>
      <c r="BE93" s="100">
        <v>6936</v>
      </c>
      <c r="BF93" s="100">
        <v>10</v>
      </c>
      <c r="BG93" s="100">
        <v>6936</v>
      </c>
      <c r="BH93" s="100">
        <v>7</v>
      </c>
      <c r="BI93" s="100">
        <v>4855.2</v>
      </c>
      <c r="BJ93" s="100">
        <v>7</v>
      </c>
      <c r="BK93" s="100">
        <v>4855.2</v>
      </c>
      <c r="BL93" s="100">
        <v>8</v>
      </c>
      <c r="BM93" s="100">
        <v>5548.8</v>
      </c>
      <c r="BN93" s="100">
        <v>8</v>
      </c>
      <c r="BO93" s="100">
        <v>5548.8</v>
      </c>
      <c r="BP93" s="100">
        <v>12</v>
      </c>
      <c r="BQ93" s="100">
        <v>8323.2000000000007</v>
      </c>
      <c r="BR93" s="100">
        <v>11</v>
      </c>
      <c r="BS93" s="100">
        <v>7629.6</v>
      </c>
      <c r="BT93" s="100">
        <v>8</v>
      </c>
      <c r="BU93" s="100">
        <v>5548.8</v>
      </c>
      <c r="BV93" s="100">
        <v>8</v>
      </c>
      <c r="BW93" s="100">
        <v>5548.8</v>
      </c>
      <c r="BX93" s="100">
        <v>12</v>
      </c>
      <c r="BY93" s="100">
        <v>8323.2000000000007</v>
      </c>
      <c r="BZ93" s="100">
        <v>8</v>
      </c>
      <c r="CA93" s="100">
        <v>5548.8</v>
      </c>
      <c r="CB93" s="100">
        <v>7</v>
      </c>
      <c r="CC93" s="100">
        <v>4855.2</v>
      </c>
      <c r="CD93" s="100">
        <v>8</v>
      </c>
      <c r="CE93" s="100">
        <v>5548.8</v>
      </c>
      <c r="CF93" s="100">
        <v>10</v>
      </c>
      <c r="CG93" s="100">
        <v>6936</v>
      </c>
      <c r="CH93" s="100">
        <v>8</v>
      </c>
      <c r="CI93" s="100">
        <v>5548.8</v>
      </c>
      <c r="CJ93" s="100">
        <v>9</v>
      </c>
      <c r="CK93" s="100">
        <v>6242.4000000000005</v>
      </c>
      <c r="CL93" s="100">
        <v>10</v>
      </c>
      <c r="CM93" s="100">
        <v>6936</v>
      </c>
      <c r="CN93" s="100">
        <v>11</v>
      </c>
      <c r="CO93" s="100">
        <v>7629.6</v>
      </c>
      <c r="CP93" s="100">
        <v>10</v>
      </c>
      <c r="CQ93" s="100">
        <v>6936</v>
      </c>
      <c r="CR93" s="100">
        <v>7</v>
      </c>
      <c r="CS93" s="100">
        <v>4855.2</v>
      </c>
      <c r="CT93" s="100">
        <v>7</v>
      </c>
      <c r="CU93" s="100">
        <v>4855.2</v>
      </c>
    </row>
    <row r="94" spans="2:99">
      <c r="C94" s="99" t="s">
        <v>260</v>
      </c>
      <c r="D94" s="100">
        <v>11</v>
      </c>
      <c r="E94" s="100">
        <v>13120.8</v>
      </c>
      <c r="F94" s="100">
        <v>5</v>
      </c>
      <c r="G94" s="100">
        <v>5964</v>
      </c>
      <c r="H94" s="100">
        <v>6</v>
      </c>
      <c r="I94" s="100">
        <v>7156.7999999999993</v>
      </c>
      <c r="J94" s="100">
        <v>10</v>
      </c>
      <c r="K94" s="100">
        <v>11928</v>
      </c>
      <c r="L94" s="100">
        <v>6</v>
      </c>
      <c r="M94" s="100">
        <v>7156.7999999999993</v>
      </c>
      <c r="N94" s="100">
        <v>10</v>
      </c>
      <c r="O94" s="100">
        <v>11928</v>
      </c>
      <c r="P94" s="100">
        <v>11</v>
      </c>
      <c r="Q94" s="100">
        <v>13120.8</v>
      </c>
      <c r="R94" s="100">
        <v>8</v>
      </c>
      <c r="S94" s="100">
        <v>9542.4</v>
      </c>
      <c r="T94" s="100">
        <v>6</v>
      </c>
      <c r="U94" s="100">
        <v>7156.7999999999993</v>
      </c>
      <c r="V94" s="100">
        <v>8</v>
      </c>
      <c r="W94" s="100">
        <v>9542.4</v>
      </c>
      <c r="X94" s="100">
        <v>11</v>
      </c>
      <c r="Y94" s="100">
        <v>13120.8</v>
      </c>
      <c r="Z94" s="100">
        <v>11</v>
      </c>
      <c r="AA94" s="100">
        <v>13120.8</v>
      </c>
      <c r="AB94" s="100">
        <v>9</v>
      </c>
      <c r="AC94" s="100">
        <v>10735.199999999999</v>
      </c>
      <c r="AD94" s="100">
        <v>7</v>
      </c>
      <c r="AE94" s="100">
        <v>8349.6</v>
      </c>
      <c r="AF94" s="100">
        <v>5</v>
      </c>
      <c r="AG94" s="100">
        <v>5964</v>
      </c>
      <c r="AH94" s="100">
        <v>8</v>
      </c>
      <c r="AI94" s="100">
        <v>9542.4</v>
      </c>
      <c r="AJ94" s="100">
        <v>8</v>
      </c>
      <c r="AK94" s="100">
        <v>9542.4</v>
      </c>
      <c r="AL94" s="100">
        <v>6</v>
      </c>
      <c r="AM94" s="100">
        <v>7156.7999999999993</v>
      </c>
      <c r="AN94" s="100">
        <v>10</v>
      </c>
      <c r="AO94" s="100">
        <v>11928</v>
      </c>
      <c r="AP94" s="100">
        <v>7</v>
      </c>
      <c r="AQ94" s="100">
        <v>8349.6</v>
      </c>
      <c r="AR94" s="100">
        <v>11</v>
      </c>
      <c r="AS94" s="100">
        <v>13120.8</v>
      </c>
      <c r="AT94" s="100">
        <v>8</v>
      </c>
      <c r="AU94" s="100">
        <v>9542.4</v>
      </c>
      <c r="AV94" s="100">
        <v>12</v>
      </c>
      <c r="AW94" s="100">
        <v>14313.599999999999</v>
      </c>
      <c r="AX94" s="100">
        <v>7</v>
      </c>
      <c r="AY94" s="100">
        <v>8349.6</v>
      </c>
      <c r="AZ94" s="100">
        <v>7</v>
      </c>
      <c r="BA94" s="100">
        <v>8349.6</v>
      </c>
      <c r="BB94" s="100">
        <v>10</v>
      </c>
      <c r="BC94" s="100">
        <v>11928</v>
      </c>
      <c r="BD94" s="100">
        <v>10</v>
      </c>
      <c r="BE94" s="100">
        <v>11928</v>
      </c>
      <c r="BF94" s="100">
        <v>9</v>
      </c>
      <c r="BG94" s="100">
        <v>10735.199999999999</v>
      </c>
      <c r="BH94" s="100">
        <v>6</v>
      </c>
      <c r="BI94" s="100">
        <v>7156.7999999999993</v>
      </c>
      <c r="BJ94" s="100">
        <v>6</v>
      </c>
      <c r="BK94" s="100">
        <v>7156.7999999999993</v>
      </c>
      <c r="BL94" s="100">
        <v>8</v>
      </c>
      <c r="BM94" s="100">
        <v>9542.4</v>
      </c>
      <c r="BN94" s="100">
        <v>8</v>
      </c>
      <c r="BO94" s="100">
        <v>9542.4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8</v>
      </c>
      <c r="BU94" s="100">
        <v>9542.4</v>
      </c>
      <c r="BV94" s="100">
        <v>8</v>
      </c>
      <c r="BW94" s="100">
        <v>9542.4</v>
      </c>
      <c r="BX94" s="100">
        <v>10</v>
      </c>
      <c r="BY94" s="100">
        <v>11928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7</v>
      </c>
      <c r="CE94" s="100">
        <v>8349.6</v>
      </c>
      <c r="CF94" s="100">
        <v>10</v>
      </c>
      <c r="CG94" s="100">
        <v>11928</v>
      </c>
      <c r="CH94" s="100">
        <v>7</v>
      </c>
      <c r="CI94" s="100">
        <v>8349.6</v>
      </c>
      <c r="CJ94" s="100">
        <v>8</v>
      </c>
      <c r="CK94" s="100">
        <v>9542.4</v>
      </c>
      <c r="CL94" s="100">
        <v>10</v>
      </c>
      <c r="CM94" s="100">
        <v>11928</v>
      </c>
      <c r="CN94" s="100">
        <v>10</v>
      </c>
      <c r="CO94" s="100">
        <v>11928</v>
      </c>
      <c r="CP94" s="100">
        <v>10</v>
      </c>
      <c r="CQ94" s="100">
        <v>11928</v>
      </c>
      <c r="CR94" s="100">
        <v>7</v>
      </c>
      <c r="CS94" s="100">
        <v>8349.6</v>
      </c>
      <c r="CT94" s="100">
        <v>8</v>
      </c>
      <c r="CU94" s="100">
        <v>9542.4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12</v>
      </c>
      <c r="G95" s="100">
        <v>3945.6000000000004</v>
      </c>
      <c r="H95" s="100">
        <v>10</v>
      </c>
      <c r="I95" s="100">
        <v>3288</v>
      </c>
      <c r="J95" s="100">
        <v>7</v>
      </c>
      <c r="K95" s="100">
        <v>2301.6</v>
      </c>
      <c r="L95" s="100">
        <v>9</v>
      </c>
      <c r="M95" s="100">
        <v>2959.2000000000003</v>
      </c>
      <c r="N95" s="100">
        <v>12</v>
      </c>
      <c r="O95" s="100">
        <v>3945.6000000000004</v>
      </c>
      <c r="P95" s="100">
        <v>12</v>
      </c>
      <c r="Q95" s="100">
        <v>3945.6000000000004</v>
      </c>
      <c r="R95" s="100">
        <v>11</v>
      </c>
      <c r="S95" s="100">
        <v>3616.8</v>
      </c>
      <c r="T95" s="100">
        <v>8</v>
      </c>
      <c r="U95" s="100">
        <v>2630.4</v>
      </c>
      <c r="V95" s="100">
        <v>7</v>
      </c>
      <c r="W95" s="100">
        <v>2301.6</v>
      </c>
      <c r="X95" s="100">
        <v>9</v>
      </c>
      <c r="Y95" s="100">
        <v>2959.2000000000003</v>
      </c>
      <c r="Z95" s="100">
        <v>10</v>
      </c>
      <c r="AA95" s="100">
        <v>3288</v>
      </c>
      <c r="AB95" s="100">
        <v>10</v>
      </c>
      <c r="AC95" s="100">
        <v>3288</v>
      </c>
      <c r="AD95" s="100">
        <v>8</v>
      </c>
      <c r="AE95" s="100">
        <v>2630.4</v>
      </c>
      <c r="AF95" s="100">
        <v>6</v>
      </c>
      <c r="AG95" s="100">
        <v>1972.8000000000002</v>
      </c>
      <c r="AH95" s="100">
        <v>9</v>
      </c>
      <c r="AI95" s="100">
        <v>2959.2000000000003</v>
      </c>
      <c r="AJ95" s="100">
        <v>7</v>
      </c>
      <c r="AK95" s="100">
        <v>2301.6</v>
      </c>
      <c r="AL95" s="100">
        <v>7</v>
      </c>
      <c r="AM95" s="100">
        <v>2301.6</v>
      </c>
      <c r="AN95" s="100">
        <v>10</v>
      </c>
      <c r="AO95" s="100">
        <v>3288</v>
      </c>
      <c r="AP95" s="100">
        <v>11</v>
      </c>
      <c r="AQ95" s="100">
        <v>3616.8</v>
      </c>
      <c r="AR95" s="100">
        <v>7</v>
      </c>
      <c r="AS95" s="100">
        <v>2301.6</v>
      </c>
      <c r="AT95" s="100">
        <v>6</v>
      </c>
      <c r="AU95" s="100">
        <v>1972.8000000000002</v>
      </c>
      <c r="AV95" s="100">
        <v>7</v>
      </c>
      <c r="AW95" s="100">
        <v>2301.6</v>
      </c>
      <c r="AX95" s="100">
        <v>7</v>
      </c>
      <c r="AY95" s="100">
        <v>2301.6</v>
      </c>
      <c r="AZ95" s="100">
        <v>9</v>
      </c>
      <c r="BA95" s="100">
        <v>2959.2000000000003</v>
      </c>
      <c r="BB95" s="100">
        <v>12</v>
      </c>
      <c r="BC95" s="100">
        <v>3945.6000000000004</v>
      </c>
      <c r="BD95" s="100">
        <v>8</v>
      </c>
      <c r="BE95" s="100">
        <v>2630.4</v>
      </c>
      <c r="BF95" s="100">
        <v>11</v>
      </c>
      <c r="BG95" s="100">
        <v>3616.8</v>
      </c>
      <c r="BH95" s="100">
        <v>8</v>
      </c>
      <c r="BI95" s="100">
        <v>2630.4</v>
      </c>
      <c r="BJ95" s="100">
        <v>9</v>
      </c>
      <c r="BK95" s="100">
        <v>2959.2000000000003</v>
      </c>
      <c r="BL95" s="100">
        <v>8</v>
      </c>
      <c r="BM95" s="100">
        <v>2630.4</v>
      </c>
      <c r="BN95" s="100">
        <v>6</v>
      </c>
      <c r="BO95" s="100">
        <v>1972.8000000000002</v>
      </c>
      <c r="BP95" s="100">
        <v>8</v>
      </c>
      <c r="BQ95" s="100">
        <v>2630.4</v>
      </c>
      <c r="BR95" s="100">
        <v>11</v>
      </c>
      <c r="BS95" s="100">
        <v>3616.8</v>
      </c>
      <c r="BT95" s="100">
        <v>13</v>
      </c>
      <c r="BU95" s="100">
        <v>4274.4000000000005</v>
      </c>
      <c r="BV95" s="100">
        <v>10</v>
      </c>
      <c r="BW95" s="100">
        <v>3288</v>
      </c>
      <c r="BX95" s="100">
        <v>8</v>
      </c>
      <c r="BY95" s="100">
        <v>2630.4</v>
      </c>
      <c r="BZ95" s="100">
        <v>10</v>
      </c>
      <c r="CA95" s="100">
        <v>3288</v>
      </c>
      <c r="CB95" s="100">
        <v>10</v>
      </c>
      <c r="CC95" s="100">
        <v>3288</v>
      </c>
      <c r="CD95" s="100">
        <v>8</v>
      </c>
      <c r="CE95" s="100">
        <v>2630.4</v>
      </c>
      <c r="CF95" s="100">
        <v>9</v>
      </c>
      <c r="CG95" s="100">
        <v>2959.2000000000003</v>
      </c>
      <c r="CH95" s="100">
        <v>10</v>
      </c>
      <c r="CI95" s="100">
        <v>3288</v>
      </c>
      <c r="CJ95" s="100">
        <v>9</v>
      </c>
      <c r="CK95" s="100">
        <v>2959.2000000000003</v>
      </c>
      <c r="CL95" s="100">
        <v>11</v>
      </c>
      <c r="CM95" s="100">
        <v>3616.8</v>
      </c>
      <c r="CN95" s="100">
        <v>10</v>
      </c>
      <c r="CO95" s="100">
        <v>3288</v>
      </c>
      <c r="CP95" s="100">
        <v>9</v>
      </c>
      <c r="CQ95" s="100">
        <v>2959.2000000000003</v>
      </c>
      <c r="CR95" s="100">
        <v>11</v>
      </c>
      <c r="CS95" s="100">
        <v>3616.8</v>
      </c>
      <c r="CT95" s="100">
        <v>9</v>
      </c>
      <c r="CU95" s="100">
        <v>2959.2000000000003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12</v>
      </c>
      <c r="G96" s="100">
        <v>8337.5999999999985</v>
      </c>
      <c r="H96" s="100">
        <v>10</v>
      </c>
      <c r="I96" s="100">
        <v>6948</v>
      </c>
      <c r="J96" s="100">
        <v>7</v>
      </c>
      <c r="K96" s="100">
        <v>4863.5999999999995</v>
      </c>
      <c r="L96" s="100">
        <v>8</v>
      </c>
      <c r="M96" s="100">
        <v>5558.4</v>
      </c>
      <c r="N96" s="100">
        <v>11</v>
      </c>
      <c r="O96" s="100">
        <v>7642.7999999999993</v>
      </c>
      <c r="P96" s="100">
        <v>12</v>
      </c>
      <c r="Q96" s="100">
        <v>8337.5999999999985</v>
      </c>
      <c r="R96" s="100">
        <v>10</v>
      </c>
      <c r="S96" s="100">
        <v>6948</v>
      </c>
      <c r="T96" s="100">
        <v>7</v>
      </c>
      <c r="U96" s="100">
        <v>4863.5999999999995</v>
      </c>
      <c r="V96" s="100">
        <v>8</v>
      </c>
      <c r="W96" s="100">
        <v>5558.4</v>
      </c>
      <c r="X96" s="100">
        <v>8</v>
      </c>
      <c r="Y96" s="100">
        <v>5558.4</v>
      </c>
      <c r="Z96" s="100">
        <v>9</v>
      </c>
      <c r="AA96" s="100">
        <v>6253.2</v>
      </c>
      <c r="AB96" s="100">
        <v>9</v>
      </c>
      <c r="AC96" s="100">
        <v>6253.2</v>
      </c>
      <c r="AD96" s="100">
        <v>9</v>
      </c>
      <c r="AE96" s="100">
        <v>6253.2</v>
      </c>
      <c r="AF96" s="100">
        <v>7</v>
      </c>
      <c r="AG96" s="100">
        <v>4863.5999999999995</v>
      </c>
      <c r="AH96" s="100">
        <v>8</v>
      </c>
      <c r="AI96" s="100">
        <v>5558.4</v>
      </c>
      <c r="AJ96" s="100">
        <v>8</v>
      </c>
      <c r="AK96" s="100">
        <v>5558.4</v>
      </c>
      <c r="AL96" s="100">
        <v>6</v>
      </c>
      <c r="AM96" s="100">
        <v>4168.7999999999993</v>
      </c>
      <c r="AN96" s="100">
        <v>10</v>
      </c>
      <c r="AO96" s="100">
        <v>6948</v>
      </c>
      <c r="AP96" s="100">
        <v>11</v>
      </c>
      <c r="AQ96" s="100">
        <v>7642.7999999999993</v>
      </c>
      <c r="AR96" s="100">
        <v>7</v>
      </c>
      <c r="AS96" s="100">
        <v>4863.5999999999995</v>
      </c>
      <c r="AT96" s="100">
        <v>6</v>
      </c>
      <c r="AU96" s="100">
        <v>4168.7999999999993</v>
      </c>
      <c r="AV96" s="100">
        <v>6</v>
      </c>
      <c r="AW96" s="100">
        <v>4168.7999999999993</v>
      </c>
      <c r="AX96" s="100">
        <v>7</v>
      </c>
      <c r="AY96" s="100">
        <v>4863.5999999999995</v>
      </c>
      <c r="AZ96" s="100">
        <v>10</v>
      </c>
      <c r="BA96" s="100">
        <v>6948</v>
      </c>
      <c r="BB96" s="100">
        <v>11</v>
      </c>
      <c r="BC96" s="100">
        <v>7642.7999999999993</v>
      </c>
      <c r="BD96" s="100">
        <v>7</v>
      </c>
      <c r="BE96" s="100">
        <v>4863.5999999999995</v>
      </c>
      <c r="BF96" s="100">
        <v>10</v>
      </c>
      <c r="BG96" s="100">
        <v>6948</v>
      </c>
      <c r="BH96" s="100">
        <v>7</v>
      </c>
      <c r="BI96" s="100">
        <v>4863.5999999999995</v>
      </c>
      <c r="BJ96" s="100">
        <v>10</v>
      </c>
      <c r="BK96" s="100">
        <v>6948</v>
      </c>
      <c r="BL96" s="100">
        <v>9</v>
      </c>
      <c r="BM96" s="100">
        <v>6253.2</v>
      </c>
      <c r="BN96" s="100">
        <v>6</v>
      </c>
      <c r="BO96" s="100">
        <v>4168.7999999999993</v>
      </c>
      <c r="BP96" s="100">
        <v>8</v>
      </c>
      <c r="BQ96" s="100">
        <v>5558.4</v>
      </c>
      <c r="BR96" s="100">
        <v>11</v>
      </c>
      <c r="BS96" s="100">
        <v>7642.7999999999993</v>
      </c>
      <c r="BT96" s="100">
        <v>12</v>
      </c>
      <c r="BU96" s="100">
        <v>8337.5999999999985</v>
      </c>
      <c r="BV96" s="100">
        <v>11</v>
      </c>
      <c r="BW96" s="100">
        <v>7642.7999999999993</v>
      </c>
      <c r="BX96" s="100">
        <v>7</v>
      </c>
      <c r="BY96" s="100">
        <v>4863.5999999999995</v>
      </c>
      <c r="BZ96" s="100">
        <v>9</v>
      </c>
      <c r="CA96" s="100">
        <v>6253.2</v>
      </c>
      <c r="CB96" s="100">
        <v>10</v>
      </c>
      <c r="CC96" s="100">
        <v>6948</v>
      </c>
      <c r="CD96" s="100">
        <v>7</v>
      </c>
      <c r="CE96" s="100">
        <v>4863.5999999999995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10</v>
      </c>
      <c r="CK96" s="100">
        <v>6948</v>
      </c>
      <c r="CL96" s="100">
        <v>9</v>
      </c>
      <c r="CM96" s="100">
        <v>6253.2</v>
      </c>
      <c r="CN96" s="100">
        <v>10</v>
      </c>
      <c r="CO96" s="100">
        <v>6948</v>
      </c>
      <c r="CP96" s="100">
        <v>9</v>
      </c>
      <c r="CQ96" s="100">
        <v>6253.2</v>
      </c>
      <c r="CR96" s="100">
        <v>10</v>
      </c>
      <c r="CS96" s="100">
        <v>6948</v>
      </c>
      <c r="CT96" s="100">
        <v>8</v>
      </c>
      <c r="CU96" s="100">
        <v>5558.4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12</v>
      </c>
      <c r="G97" s="100">
        <v>4708.7999999999993</v>
      </c>
      <c r="H97" s="100">
        <v>10</v>
      </c>
      <c r="I97" s="100">
        <v>3924</v>
      </c>
      <c r="J97" s="100">
        <v>7</v>
      </c>
      <c r="K97" s="100">
        <v>2746.7999999999997</v>
      </c>
      <c r="L97" s="100">
        <v>10</v>
      </c>
      <c r="M97" s="100">
        <v>3924</v>
      </c>
      <c r="N97" s="100">
        <v>11</v>
      </c>
      <c r="O97" s="100">
        <v>4316.3999999999996</v>
      </c>
      <c r="P97" s="100">
        <v>10</v>
      </c>
      <c r="Q97" s="100">
        <v>3924</v>
      </c>
      <c r="R97" s="100">
        <v>12</v>
      </c>
      <c r="S97" s="100">
        <v>4708.7999999999993</v>
      </c>
      <c r="T97" s="100">
        <v>7</v>
      </c>
      <c r="U97" s="100">
        <v>2746.7999999999997</v>
      </c>
      <c r="V97" s="100">
        <v>8</v>
      </c>
      <c r="W97" s="100">
        <v>3139.2</v>
      </c>
      <c r="X97" s="100">
        <v>9</v>
      </c>
      <c r="Y97" s="100">
        <v>3531.6</v>
      </c>
      <c r="Z97" s="100">
        <v>10</v>
      </c>
      <c r="AA97" s="100">
        <v>3924</v>
      </c>
      <c r="AB97" s="100">
        <v>9</v>
      </c>
      <c r="AC97" s="100">
        <v>3531.6</v>
      </c>
      <c r="AD97" s="100">
        <v>8</v>
      </c>
      <c r="AE97" s="100">
        <v>3139.2</v>
      </c>
      <c r="AF97" s="100">
        <v>7</v>
      </c>
      <c r="AG97" s="100">
        <v>2746.7999999999997</v>
      </c>
      <c r="AH97" s="100">
        <v>8</v>
      </c>
      <c r="AI97" s="100">
        <v>3139.2</v>
      </c>
      <c r="AJ97" s="100">
        <v>7</v>
      </c>
      <c r="AK97" s="100">
        <v>2746.7999999999997</v>
      </c>
      <c r="AL97" s="100">
        <v>6</v>
      </c>
      <c r="AM97" s="100">
        <v>2354.3999999999996</v>
      </c>
      <c r="AN97" s="100">
        <v>12</v>
      </c>
      <c r="AO97" s="100">
        <v>4708.7999999999993</v>
      </c>
      <c r="AP97" s="100">
        <v>11</v>
      </c>
      <c r="AQ97" s="100">
        <v>4316.3999999999996</v>
      </c>
      <c r="AR97" s="100">
        <v>7</v>
      </c>
      <c r="AS97" s="100">
        <v>2746.7999999999997</v>
      </c>
      <c r="AT97" s="100">
        <v>6</v>
      </c>
      <c r="AU97" s="100">
        <v>2354.3999999999996</v>
      </c>
      <c r="AV97" s="100">
        <v>8</v>
      </c>
      <c r="AW97" s="100">
        <v>3139.2</v>
      </c>
      <c r="AX97" s="100">
        <v>6</v>
      </c>
      <c r="AY97" s="100">
        <v>2354.3999999999996</v>
      </c>
      <c r="AZ97" s="100">
        <v>9</v>
      </c>
      <c r="BA97" s="100">
        <v>3531.6</v>
      </c>
      <c r="BB97" s="100">
        <v>10</v>
      </c>
      <c r="BC97" s="100">
        <v>3924</v>
      </c>
      <c r="BD97" s="100">
        <v>7</v>
      </c>
      <c r="BE97" s="100">
        <v>2746.7999999999997</v>
      </c>
      <c r="BF97" s="100">
        <v>10</v>
      </c>
      <c r="BG97" s="100">
        <v>3924</v>
      </c>
      <c r="BH97" s="100">
        <v>7</v>
      </c>
      <c r="BI97" s="100">
        <v>2746.7999999999997</v>
      </c>
      <c r="BJ97" s="100">
        <v>10</v>
      </c>
      <c r="BK97" s="100">
        <v>3924</v>
      </c>
      <c r="BL97" s="100">
        <v>9</v>
      </c>
      <c r="BM97" s="100">
        <v>3531.6</v>
      </c>
      <c r="BN97" s="100">
        <v>6</v>
      </c>
      <c r="BO97" s="100">
        <v>2354.3999999999996</v>
      </c>
      <c r="BP97" s="100">
        <v>8</v>
      </c>
      <c r="BQ97" s="100">
        <v>3139.2</v>
      </c>
      <c r="BR97" s="100">
        <v>10</v>
      </c>
      <c r="BS97" s="100">
        <v>3924</v>
      </c>
      <c r="BT97" s="100">
        <v>13</v>
      </c>
      <c r="BU97" s="100">
        <v>5101.2</v>
      </c>
      <c r="BV97" s="100">
        <v>11</v>
      </c>
      <c r="BW97" s="100">
        <v>4316.3999999999996</v>
      </c>
      <c r="BX97" s="100">
        <v>8</v>
      </c>
      <c r="BY97" s="100">
        <v>3139.2</v>
      </c>
      <c r="BZ97" s="100">
        <v>9</v>
      </c>
      <c r="CA97" s="100">
        <v>3531.6</v>
      </c>
      <c r="CB97" s="100">
        <v>9</v>
      </c>
      <c r="CC97" s="100">
        <v>3531.6</v>
      </c>
      <c r="CD97" s="100">
        <v>8</v>
      </c>
      <c r="CE97" s="100">
        <v>3139.2</v>
      </c>
      <c r="CF97" s="100">
        <v>8</v>
      </c>
      <c r="CG97" s="100">
        <v>3139.2</v>
      </c>
      <c r="CH97" s="100">
        <v>9</v>
      </c>
      <c r="CI97" s="100">
        <v>3531.6</v>
      </c>
      <c r="CJ97" s="100">
        <v>10</v>
      </c>
      <c r="CK97" s="100">
        <v>3924</v>
      </c>
      <c r="CL97" s="100">
        <v>11</v>
      </c>
      <c r="CM97" s="100">
        <v>4316.3999999999996</v>
      </c>
      <c r="CN97" s="100">
        <v>10</v>
      </c>
      <c r="CO97" s="100">
        <v>3924</v>
      </c>
      <c r="CP97" s="100">
        <v>9</v>
      </c>
      <c r="CQ97" s="100">
        <v>3531.6</v>
      </c>
      <c r="CR97" s="100">
        <v>10</v>
      </c>
      <c r="CS97" s="100">
        <v>3924</v>
      </c>
      <c r="CT97" s="100">
        <v>8</v>
      </c>
      <c r="CU97" s="100">
        <v>3139.2</v>
      </c>
    </row>
    <row r="98" spans="2:99">
      <c r="C98" s="99" t="s">
        <v>264</v>
      </c>
      <c r="D98" s="100">
        <v>8</v>
      </c>
      <c r="E98" s="100">
        <v>4204.8</v>
      </c>
      <c r="F98" s="100">
        <v>10</v>
      </c>
      <c r="G98" s="100">
        <v>5256</v>
      </c>
      <c r="H98" s="100">
        <v>11</v>
      </c>
      <c r="I98" s="100">
        <v>5781.6</v>
      </c>
      <c r="J98" s="100">
        <v>6</v>
      </c>
      <c r="K98" s="100">
        <v>3153.6000000000004</v>
      </c>
      <c r="L98" s="100">
        <v>9</v>
      </c>
      <c r="M98" s="100">
        <v>4730.4000000000005</v>
      </c>
      <c r="N98" s="100">
        <v>12</v>
      </c>
      <c r="O98" s="100">
        <v>6307.2000000000007</v>
      </c>
      <c r="P98" s="100">
        <v>12</v>
      </c>
      <c r="Q98" s="100">
        <v>6307.2000000000007</v>
      </c>
      <c r="R98" s="100">
        <v>10</v>
      </c>
      <c r="S98" s="100">
        <v>5256</v>
      </c>
      <c r="T98" s="100">
        <v>8</v>
      </c>
      <c r="U98" s="100">
        <v>4204.8</v>
      </c>
      <c r="V98" s="100">
        <v>9</v>
      </c>
      <c r="W98" s="100">
        <v>4730.4000000000005</v>
      </c>
      <c r="X98" s="100">
        <v>9</v>
      </c>
      <c r="Y98" s="100">
        <v>4730.4000000000005</v>
      </c>
      <c r="Z98" s="100">
        <v>10</v>
      </c>
      <c r="AA98" s="100">
        <v>5256</v>
      </c>
      <c r="AB98" s="100">
        <v>9</v>
      </c>
      <c r="AC98" s="100">
        <v>4730.4000000000005</v>
      </c>
      <c r="AD98" s="100">
        <v>9</v>
      </c>
      <c r="AE98" s="100">
        <v>4730.4000000000005</v>
      </c>
      <c r="AF98" s="100">
        <v>7</v>
      </c>
      <c r="AG98" s="100">
        <v>3679.2000000000003</v>
      </c>
      <c r="AH98" s="100">
        <v>9</v>
      </c>
      <c r="AI98" s="100">
        <v>4730.4000000000005</v>
      </c>
      <c r="AJ98" s="100">
        <v>7</v>
      </c>
      <c r="AK98" s="100">
        <v>3679.2000000000003</v>
      </c>
      <c r="AL98" s="100">
        <v>6</v>
      </c>
      <c r="AM98" s="100">
        <v>3153.6000000000004</v>
      </c>
      <c r="AN98" s="100">
        <v>12</v>
      </c>
      <c r="AO98" s="100">
        <v>6307.2000000000007</v>
      </c>
      <c r="AP98" s="100">
        <v>10</v>
      </c>
      <c r="AQ98" s="100">
        <v>5256</v>
      </c>
      <c r="AR98" s="100">
        <v>8</v>
      </c>
      <c r="AS98" s="100">
        <v>4204.8</v>
      </c>
      <c r="AT98" s="100">
        <v>6</v>
      </c>
      <c r="AU98" s="100">
        <v>3153.6000000000004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10</v>
      </c>
      <c r="BA98" s="100">
        <v>5256</v>
      </c>
      <c r="BB98" s="100">
        <v>12</v>
      </c>
      <c r="BC98" s="100">
        <v>6307.2000000000007</v>
      </c>
      <c r="BD98" s="100">
        <v>7</v>
      </c>
      <c r="BE98" s="100">
        <v>3679.2000000000003</v>
      </c>
      <c r="BF98" s="100">
        <v>11</v>
      </c>
      <c r="BG98" s="100">
        <v>5781.6</v>
      </c>
      <c r="BH98" s="100">
        <v>7</v>
      </c>
      <c r="BI98" s="100">
        <v>3679.2000000000003</v>
      </c>
      <c r="BJ98" s="100">
        <v>11</v>
      </c>
      <c r="BK98" s="100">
        <v>5781.6</v>
      </c>
      <c r="BL98" s="100">
        <v>9</v>
      </c>
      <c r="BM98" s="100">
        <v>4730.4000000000005</v>
      </c>
      <c r="BN98" s="100">
        <v>6</v>
      </c>
      <c r="BO98" s="100">
        <v>3153.6000000000004</v>
      </c>
      <c r="BP98" s="100">
        <v>8</v>
      </c>
      <c r="BQ98" s="100">
        <v>4204.8</v>
      </c>
      <c r="BR98" s="100">
        <v>11</v>
      </c>
      <c r="BS98" s="100">
        <v>5781.6</v>
      </c>
      <c r="BT98" s="100">
        <v>11</v>
      </c>
      <c r="BU98" s="100">
        <v>5781.6</v>
      </c>
      <c r="BV98" s="100">
        <v>11</v>
      </c>
      <c r="BW98" s="100">
        <v>5781.6</v>
      </c>
      <c r="BX98" s="100">
        <v>8</v>
      </c>
      <c r="BY98" s="100">
        <v>4204.8</v>
      </c>
      <c r="BZ98" s="100">
        <v>11</v>
      </c>
      <c r="CA98" s="100">
        <v>5781.6</v>
      </c>
      <c r="CB98" s="100">
        <v>10</v>
      </c>
      <c r="CC98" s="100">
        <v>5256</v>
      </c>
      <c r="CD98" s="100">
        <v>8</v>
      </c>
      <c r="CE98" s="100">
        <v>4204.8</v>
      </c>
      <c r="CF98" s="100">
        <v>8</v>
      </c>
      <c r="CG98" s="100">
        <v>4204.8</v>
      </c>
      <c r="CH98" s="100">
        <v>9</v>
      </c>
      <c r="CI98" s="100">
        <v>4730.4000000000005</v>
      </c>
      <c r="CJ98" s="100">
        <v>11</v>
      </c>
      <c r="CK98" s="100">
        <v>5781.6</v>
      </c>
      <c r="CL98" s="100">
        <v>10</v>
      </c>
      <c r="CM98" s="100">
        <v>5256</v>
      </c>
      <c r="CN98" s="100">
        <v>11</v>
      </c>
      <c r="CO98" s="100">
        <v>5781.6</v>
      </c>
      <c r="CP98" s="100">
        <v>10</v>
      </c>
      <c r="CQ98" s="100">
        <v>5256</v>
      </c>
      <c r="CR98" s="100">
        <v>10</v>
      </c>
      <c r="CS98" s="100">
        <v>5256</v>
      </c>
      <c r="CT98" s="100">
        <v>8</v>
      </c>
      <c r="CU98" s="100">
        <v>4204.8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8</v>
      </c>
      <c r="G99" s="100">
        <v>33667.199999999997</v>
      </c>
      <c r="H99" s="100">
        <v>8</v>
      </c>
      <c r="I99" s="100">
        <v>33667.199999999997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9</v>
      </c>
      <c r="O99" s="100">
        <v>37875.599999999999</v>
      </c>
      <c r="P99" s="100">
        <v>8</v>
      </c>
      <c r="Q99" s="100">
        <v>33667.199999999997</v>
      </c>
      <c r="R99" s="100">
        <v>8</v>
      </c>
      <c r="S99" s="100">
        <v>33667.199999999997</v>
      </c>
      <c r="T99" s="100">
        <v>5</v>
      </c>
      <c r="U99" s="100">
        <v>21042</v>
      </c>
      <c r="V99" s="100">
        <v>6</v>
      </c>
      <c r="W99" s="100">
        <v>25250.399999999998</v>
      </c>
      <c r="X99" s="100">
        <v>6</v>
      </c>
      <c r="Y99" s="100">
        <v>25250.399999999998</v>
      </c>
      <c r="Z99" s="100">
        <v>7</v>
      </c>
      <c r="AA99" s="100">
        <v>29458.799999999996</v>
      </c>
      <c r="AB99" s="100">
        <v>7</v>
      </c>
      <c r="AC99" s="100">
        <v>29458.799999999996</v>
      </c>
      <c r="AD99" s="100">
        <v>6</v>
      </c>
      <c r="AE99" s="100">
        <v>25250.399999999998</v>
      </c>
      <c r="AF99" s="100">
        <v>5</v>
      </c>
      <c r="AG99" s="100">
        <v>21042</v>
      </c>
      <c r="AH99" s="100">
        <v>7</v>
      </c>
      <c r="AI99" s="100">
        <v>29458.799999999996</v>
      </c>
      <c r="AJ99" s="100">
        <v>6</v>
      </c>
      <c r="AK99" s="100">
        <v>25250.399999999998</v>
      </c>
      <c r="AL99" s="100">
        <v>4</v>
      </c>
      <c r="AM99" s="100">
        <v>16833.599999999999</v>
      </c>
      <c r="AN99" s="100">
        <v>8</v>
      </c>
      <c r="AO99" s="100">
        <v>33667.199999999997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4</v>
      </c>
      <c r="AU99" s="100">
        <v>16833.599999999999</v>
      </c>
      <c r="AV99" s="100">
        <v>5</v>
      </c>
      <c r="AW99" s="100">
        <v>21042</v>
      </c>
      <c r="AX99" s="100">
        <v>5</v>
      </c>
      <c r="AY99" s="100">
        <v>21042</v>
      </c>
      <c r="AZ99" s="100">
        <v>7</v>
      </c>
      <c r="BA99" s="100">
        <v>29458.799999999996</v>
      </c>
      <c r="BB99" s="100">
        <v>9</v>
      </c>
      <c r="BC99" s="100">
        <v>37875.599999999999</v>
      </c>
      <c r="BD99" s="100">
        <v>5</v>
      </c>
      <c r="BE99" s="100">
        <v>21042</v>
      </c>
      <c r="BF99" s="100">
        <v>8</v>
      </c>
      <c r="BG99" s="100">
        <v>33667.199999999997</v>
      </c>
      <c r="BH99" s="100">
        <v>5</v>
      </c>
      <c r="BI99" s="100">
        <v>21042</v>
      </c>
      <c r="BJ99" s="100">
        <v>7</v>
      </c>
      <c r="BK99" s="100">
        <v>29458.799999999996</v>
      </c>
      <c r="BL99" s="100">
        <v>6</v>
      </c>
      <c r="BM99" s="100">
        <v>25250.399999999998</v>
      </c>
      <c r="BN99" s="100">
        <v>5</v>
      </c>
      <c r="BO99" s="100">
        <v>21042</v>
      </c>
      <c r="BP99" s="100">
        <v>6</v>
      </c>
      <c r="BQ99" s="100">
        <v>25250.399999999998</v>
      </c>
      <c r="BR99" s="100">
        <v>8</v>
      </c>
      <c r="BS99" s="100">
        <v>33667.199999999997</v>
      </c>
      <c r="BT99" s="100">
        <v>8</v>
      </c>
      <c r="BU99" s="100">
        <v>33667.199999999997</v>
      </c>
      <c r="BV99" s="100">
        <v>8</v>
      </c>
      <c r="BW99" s="100">
        <v>33667.199999999997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5</v>
      </c>
      <c r="CE99" s="100">
        <v>21042</v>
      </c>
      <c r="CF99" s="100">
        <v>7</v>
      </c>
      <c r="CG99" s="100">
        <v>29458.799999999996</v>
      </c>
      <c r="CH99" s="100">
        <v>6</v>
      </c>
      <c r="CI99" s="100">
        <v>25250.399999999998</v>
      </c>
      <c r="CJ99" s="100">
        <v>7</v>
      </c>
      <c r="CK99" s="100">
        <v>29458.799999999996</v>
      </c>
      <c r="CL99" s="100">
        <v>8</v>
      </c>
      <c r="CM99" s="100">
        <v>33667.199999999997</v>
      </c>
      <c r="CN99" s="100">
        <v>8</v>
      </c>
      <c r="CO99" s="100">
        <v>33667.199999999997</v>
      </c>
      <c r="CP99" s="100">
        <v>7</v>
      </c>
      <c r="CQ99" s="100">
        <v>29458.799999999996</v>
      </c>
      <c r="CR99" s="100">
        <v>7</v>
      </c>
      <c r="CS99" s="100">
        <v>29458.799999999996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7</v>
      </c>
      <c r="E100" s="100">
        <v>2268</v>
      </c>
      <c r="F100" s="100">
        <v>10</v>
      </c>
      <c r="G100" s="100">
        <v>3240</v>
      </c>
      <c r="H100" s="100">
        <v>10</v>
      </c>
      <c r="I100" s="100">
        <v>3240</v>
      </c>
      <c r="J100" s="100">
        <v>6</v>
      </c>
      <c r="K100" s="100">
        <v>1944</v>
      </c>
      <c r="L100" s="100">
        <v>9</v>
      </c>
      <c r="M100" s="100">
        <v>2916</v>
      </c>
      <c r="N100" s="100">
        <v>12</v>
      </c>
      <c r="O100" s="100">
        <v>3888</v>
      </c>
      <c r="P100" s="100">
        <v>11</v>
      </c>
      <c r="Q100" s="100">
        <v>3564</v>
      </c>
      <c r="R100" s="100">
        <v>12</v>
      </c>
      <c r="S100" s="100">
        <v>3888</v>
      </c>
      <c r="T100" s="100">
        <v>8</v>
      </c>
      <c r="U100" s="100">
        <v>2592</v>
      </c>
      <c r="V100" s="100">
        <v>8</v>
      </c>
      <c r="W100" s="100">
        <v>2592</v>
      </c>
      <c r="X100" s="100">
        <v>9</v>
      </c>
      <c r="Y100" s="100">
        <v>2916</v>
      </c>
      <c r="Z100" s="100">
        <v>9</v>
      </c>
      <c r="AA100" s="100">
        <v>2916</v>
      </c>
      <c r="AB100" s="100">
        <v>10</v>
      </c>
      <c r="AC100" s="100">
        <v>3240</v>
      </c>
      <c r="AD100" s="100">
        <v>8</v>
      </c>
      <c r="AE100" s="100">
        <v>2592</v>
      </c>
      <c r="AF100" s="100">
        <v>6</v>
      </c>
      <c r="AG100" s="100">
        <v>1944</v>
      </c>
      <c r="AH100" s="100">
        <v>8</v>
      </c>
      <c r="AI100" s="100">
        <v>2592</v>
      </c>
      <c r="AJ100" s="100">
        <v>7</v>
      </c>
      <c r="AK100" s="100">
        <v>2268</v>
      </c>
      <c r="AL100" s="100">
        <v>7</v>
      </c>
      <c r="AM100" s="100">
        <v>2268</v>
      </c>
      <c r="AN100" s="100">
        <v>11</v>
      </c>
      <c r="AO100" s="100">
        <v>3564</v>
      </c>
      <c r="AP100" s="100">
        <v>11</v>
      </c>
      <c r="AQ100" s="100">
        <v>3564</v>
      </c>
      <c r="AR100" s="100">
        <v>7</v>
      </c>
      <c r="AS100" s="100">
        <v>2268</v>
      </c>
      <c r="AT100" s="100">
        <v>7</v>
      </c>
      <c r="AU100" s="100">
        <v>2268</v>
      </c>
      <c r="AV100" s="100">
        <v>7</v>
      </c>
      <c r="AW100" s="100">
        <v>2268</v>
      </c>
      <c r="AX100" s="100">
        <v>6</v>
      </c>
      <c r="AY100" s="100">
        <v>1944</v>
      </c>
      <c r="AZ100" s="100">
        <v>9</v>
      </c>
      <c r="BA100" s="100">
        <v>2916</v>
      </c>
      <c r="BB100" s="100">
        <v>12</v>
      </c>
      <c r="BC100" s="100">
        <v>3888</v>
      </c>
      <c r="BD100" s="100">
        <v>8</v>
      </c>
      <c r="BE100" s="100">
        <v>2592</v>
      </c>
      <c r="BF100" s="100">
        <v>11</v>
      </c>
      <c r="BG100" s="100">
        <v>3564</v>
      </c>
      <c r="BH100" s="100">
        <v>7</v>
      </c>
      <c r="BI100" s="100">
        <v>2268</v>
      </c>
      <c r="BJ100" s="100">
        <v>11</v>
      </c>
      <c r="BK100" s="100">
        <v>3564</v>
      </c>
      <c r="BL100" s="100">
        <v>9</v>
      </c>
      <c r="BM100" s="100">
        <v>2916</v>
      </c>
      <c r="BN100" s="100">
        <v>6</v>
      </c>
      <c r="BO100" s="100">
        <v>1944</v>
      </c>
      <c r="BP100" s="100">
        <v>8</v>
      </c>
      <c r="BQ100" s="100">
        <v>2592</v>
      </c>
      <c r="BR100" s="100">
        <v>12</v>
      </c>
      <c r="BS100" s="100">
        <v>3888</v>
      </c>
      <c r="BT100" s="100">
        <v>12</v>
      </c>
      <c r="BU100" s="100">
        <v>3888</v>
      </c>
      <c r="BV100" s="100">
        <v>11</v>
      </c>
      <c r="BW100" s="100">
        <v>3564</v>
      </c>
      <c r="BX100" s="100">
        <v>8</v>
      </c>
      <c r="BY100" s="100">
        <v>2592</v>
      </c>
      <c r="BZ100" s="100">
        <v>10</v>
      </c>
      <c r="CA100" s="100">
        <v>3240</v>
      </c>
      <c r="CB100" s="100">
        <v>10</v>
      </c>
      <c r="CC100" s="100">
        <v>3240</v>
      </c>
      <c r="CD100" s="100">
        <v>8</v>
      </c>
      <c r="CE100" s="100">
        <v>2592</v>
      </c>
      <c r="CF100" s="100">
        <v>9</v>
      </c>
      <c r="CG100" s="100">
        <v>2916</v>
      </c>
      <c r="CH100" s="100">
        <v>9</v>
      </c>
      <c r="CI100" s="100">
        <v>2916</v>
      </c>
      <c r="CJ100" s="100">
        <v>10</v>
      </c>
      <c r="CK100" s="100">
        <v>3240</v>
      </c>
      <c r="CL100" s="100">
        <v>9</v>
      </c>
      <c r="CM100" s="100">
        <v>2916</v>
      </c>
      <c r="CN100" s="100">
        <v>11</v>
      </c>
      <c r="CO100" s="100">
        <v>3564</v>
      </c>
      <c r="CP100" s="100">
        <v>10</v>
      </c>
      <c r="CQ100" s="100">
        <v>3240</v>
      </c>
      <c r="CR100" s="100">
        <v>11</v>
      </c>
      <c r="CS100" s="100">
        <v>3564</v>
      </c>
      <c r="CT100" s="100">
        <v>7</v>
      </c>
      <c r="CU100" s="100">
        <v>2268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11</v>
      </c>
      <c r="G101" s="100">
        <v>7959.6</v>
      </c>
      <c r="H101" s="100">
        <v>10</v>
      </c>
      <c r="I101" s="100">
        <v>7236</v>
      </c>
      <c r="J101" s="100">
        <v>7</v>
      </c>
      <c r="K101" s="100">
        <v>5065.2</v>
      </c>
      <c r="L101" s="100">
        <v>8</v>
      </c>
      <c r="M101" s="100">
        <v>5788.8</v>
      </c>
      <c r="N101" s="100">
        <v>10</v>
      </c>
      <c r="O101" s="100">
        <v>7236</v>
      </c>
      <c r="P101" s="100">
        <v>11</v>
      </c>
      <c r="Q101" s="100">
        <v>7959.6</v>
      </c>
      <c r="R101" s="100">
        <v>11</v>
      </c>
      <c r="S101" s="100">
        <v>7959.6</v>
      </c>
      <c r="T101" s="100">
        <v>8</v>
      </c>
      <c r="U101" s="100">
        <v>5788.8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10</v>
      </c>
      <c r="AA101" s="100">
        <v>7236</v>
      </c>
      <c r="AB101" s="100">
        <v>10</v>
      </c>
      <c r="AC101" s="100">
        <v>7236</v>
      </c>
      <c r="AD101" s="100">
        <v>7</v>
      </c>
      <c r="AE101" s="100">
        <v>5065.2</v>
      </c>
      <c r="AF101" s="100">
        <v>7</v>
      </c>
      <c r="AG101" s="100">
        <v>5065.2</v>
      </c>
      <c r="AH101" s="100">
        <v>8</v>
      </c>
      <c r="AI101" s="100">
        <v>5788.8</v>
      </c>
      <c r="AJ101" s="100">
        <v>7</v>
      </c>
      <c r="AK101" s="100">
        <v>5065.2</v>
      </c>
      <c r="AL101" s="100">
        <v>5</v>
      </c>
      <c r="AM101" s="100">
        <v>3618</v>
      </c>
      <c r="AN101" s="100">
        <v>10</v>
      </c>
      <c r="AO101" s="100">
        <v>7236</v>
      </c>
      <c r="AP101" s="100">
        <v>11</v>
      </c>
      <c r="AQ101" s="100">
        <v>7959.6</v>
      </c>
      <c r="AR101" s="100">
        <v>6</v>
      </c>
      <c r="AS101" s="100">
        <v>4341.6000000000004</v>
      </c>
      <c r="AT101" s="100">
        <v>5</v>
      </c>
      <c r="AU101" s="100">
        <v>3618</v>
      </c>
      <c r="AV101" s="100">
        <v>7</v>
      </c>
      <c r="AW101" s="100">
        <v>5065.2</v>
      </c>
      <c r="AX101" s="100">
        <v>7</v>
      </c>
      <c r="AY101" s="100">
        <v>5065.2</v>
      </c>
      <c r="AZ101" s="100">
        <v>8</v>
      </c>
      <c r="BA101" s="100">
        <v>5788.8</v>
      </c>
      <c r="BB101" s="100">
        <v>12</v>
      </c>
      <c r="BC101" s="100">
        <v>8683.2000000000007</v>
      </c>
      <c r="BD101" s="100">
        <v>7</v>
      </c>
      <c r="BE101" s="100">
        <v>5065.2</v>
      </c>
      <c r="BF101" s="100">
        <v>11</v>
      </c>
      <c r="BG101" s="100">
        <v>7959.6</v>
      </c>
      <c r="BH101" s="100">
        <v>6</v>
      </c>
      <c r="BI101" s="100">
        <v>4341.6000000000004</v>
      </c>
      <c r="BJ101" s="100">
        <v>9</v>
      </c>
      <c r="BK101" s="100">
        <v>6512.4000000000005</v>
      </c>
      <c r="BL101" s="100">
        <v>8</v>
      </c>
      <c r="BM101" s="100">
        <v>5788.8</v>
      </c>
      <c r="BN101" s="100">
        <v>6</v>
      </c>
      <c r="BO101" s="100">
        <v>4341.6000000000004</v>
      </c>
      <c r="BP101" s="100">
        <v>9</v>
      </c>
      <c r="BQ101" s="100">
        <v>6512.4000000000005</v>
      </c>
      <c r="BR101" s="100">
        <v>11</v>
      </c>
      <c r="BS101" s="100">
        <v>7959.6</v>
      </c>
      <c r="BT101" s="100">
        <v>11</v>
      </c>
      <c r="BU101" s="100">
        <v>7959.6</v>
      </c>
      <c r="BV101" s="100">
        <v>9</v>
      </c>
      <c r="BW101" s="100">
        <v>6512.4000000000005</v>
      </c>
      <c r="BX101" s="100">
        <v>8</v>
      </c>
      <c r="BY101" s="100">
        <v>5788.8</v>
      </c>
      <c r="BZ101" s="100">
        <v>9</v>
      </c>
      <c r="CA101" s="100">
        <v>6512.4000000000005</v>
      </c>
      <c r="CB101" s="100">
        <v>9</v>
      </c>
      <c r="CC101" s="100">
        <v>6512.4000000000005</v>
      </c>
      <c r="CD101" s="100">
        <v>8</v>
      </c>
      <c r="CE101" s="100">
        <v>5788.8</v>
      </c>
      <c r="CF101" s="100">
        <v>8</v>
      </c>
      <c r="CG101" s="100">
        <v>5788.8</v>
      </c>
      <c r="CH101" s="100">
        <v>9</v>
      </c>
      <c r="CI101" s="100">
        <v>6512.4000000000005</v>
      </c>
      <c r="CJ101" s="100">
        <v>10</v>
      </c>
      <c r="CK101" s="100">
        <v>7236</v>
      </c>
      <c r="CL101" s="100">
        <v>9</v>
      </c>
      <c r="CM101" s="100">
        <v>6512.4000000000005</v>
      </c>
      <c r="CN101" s="100">
        <v>11</v>
      </c>
      <c r="CO101" s="100">
        <v>7959.6</v>
      </c>
      <c r="CP101" s="100">
        <v>10</v>
      </c>
      <c r="CQ101" s="100">
        <v>7236</v>
      </c>
      <c r="CR101" s="100">
        <v>10</v>
      </c>
      <c r="CS101" s="100">
        <v>7236</v>
      </c>
      <c r="CT101" s="100">
        <v>8</v>
      </c>
      <c r="CU101" s="100">
        <v>5788.8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11</v>
      </c>
      <c r="G102" s="100">
        <v>5847.6</v>
      </c>
      <c r="H102" s="100">
        <v>9</v>
      </c>
      <c r="I102" s="100">
        <v>4784.4000000000005</v>
      </c>
      <c r="J102" s="100">
        <v>7</v>
      </c>
      <c r="K102" s="100">
        <v>3721.2000000000003</v>
      </c>
      <c r="L102" s="100">
        <v>9</v>
      </c>
      <c r="M102" s="100">
        <v>4784.4000000000005</v>
      </c>
      <c r="N102" s="100">
        <v>10</v>
      </c>
      <c r="O102" s="100">
        <v>5316</v>
      </c>
      <c r="P102" s="100">
        <v>10</v>
      </c>
      <c r="Q102" s="100">
        <v>5316</v>
      </c>
      <c r="R102" s="100">
        <v>11</v>
      </c>
      <c r="S102" s="100">
        <v>5847.6</v>
      </c>
      <c r="T102" s="100">
        <v>7</v>
      </c>
      <c r="U102" s="100">
        <v>3721.2000000000003</v>
      </c>
      <c r="V102" s="100">
        <v>8</v>
      </c>
      <c r="W102" s="100">
        <v>4252.8</v>
      </c>
      <c r="X102" s="100">
        <v>8</v>
      </c>
      <c r="Y102" s="100">
        <v>4252.8</v>
      </c>
      <c r="Z102" s="100">
        <v>10</v>
      </c>
      <c r="AA102" s="100">
        <v>5316</v>
      </c>
      <c r="AB102" s="100">
        <v>9</v>
      </c>
      <c r="AC102" s="100">
        <v>4784.4000000000005</v>
      </c>
      <c r="AD102" s="100">
        <v>7</v>
      </c>
      <c r="AE102" s="100">
        <v>3721.2000000000003</v>
      </c>
      <c r="AF102" s="100">
        <v>6</v>
      </c>
      <c r="AG102" s="100">
        <v>3189.6000000000004</v>
      </c>
      <c r="AH102" s="100">
        <v>8</v>
      </c>
      <c r="AI102" s="100">
        <v>4252.8</v>
      </c>
      <c r="AJ102" s="100">
        <v>7</v>
      </c>
      <c r="AK102" s="100">
        <v>3721.2000000000003</v>
      </c>
      <c r="AL102" s="100">
        <v>6</v>
      </c>
      <c r="AM102" s="100">
        <v>3189.6000000000004</v>
      </c>
      <c r="AN102" s="100">
        <v>10</v>
      </c>
      <c r="AO102" s="100">
        <v>5316</v>
      </c>
      <c r="AP102" s="100">
        <v>11</v>
      </c>
      <c r="AQ102" s="100">
        <v>5847.6</v>
      </c>
      <c r="AR102" s="100">
        <v>7</v>
      </c>
      <c r="AS102" s="100">
        <v>3721.2000000000003</v>
      </c>
      <c r="AT102" s="100">
        <v>6</v>
      </c>
      <c r="AU102" s="100">
        <v>3189.6000000000004</v>
      </c>
      <c r="AV102" s="100">
        <v>8</v>
      </c>
      <c r="AW102" s="100">
        <v>4252.8</v>
      </c>
      <c r="AX102" s="100">
        <v>7</v>
      </c>
      <c r="AY102" s="100">
        <v>3721.2000000000003</v>
      </c>
      <c r="AZ102" s="100">
        <v>9</v>
      </c>
      <c r="BA102" s="100">
        <v>4784.4000000000005</v>
      </c>
      <c r="BB102" s="100">
        <v>10</v>
      </c>
      <c r="BC102" s="100">
        <v>5316</v>
      </c>
      <c r="BD102" s="100">
        <v>7</v>
      </c>
      <c r="BE102" s="100">
        <v>3721.2000000000003</v>
      </c>
      <c r="BF102" s="100">
        <v>12</v>
      </c>
      <c r="BG102" s="100">
        <v>6379.2000000000007</v>
      </c>
      <c r="BH102" s="100">
        <v>6</v>
      </c>
      <c r="BI102" s="100">
        <v>3189.6000000000004</v>
      </c>
      <c r="BJ102" s="100">
        <v>10</v>
      </c>
      <c r="BK102" s="100">
        <v>5316</v>
      </c>
      <c r="BL102" s="100">
        <v>8</v>
      </c>
      <c r="BM102" s="100">
        <v>4252.8</v>
      </c>
      <c r="BN102" s="100">
        <v>6</v>
      </c>
      <c r="BO102" s="100">
        <v>3189.6000000000004</v>
      </c>
      <c r="BP102" s="100">
        <v>8</v>
      </c>
      <c r="BQ102" s="100">
        <v>4252.8</v>
      </c>
      <c r="BR102" s="100">
        <v>11</v>
      </c>
      <c r="BS102" s="100">
        <v>5847.6</v>
      </c>
      <c r="BT102" s="100">
        <v>11</v>
      </c>
      <c r="BU102" s="100">
        <v>5847.6</v>
      </c>
      <c r="BV102" s="100">
        <v>10</v>
      </c>
      <c r="BW102" s="100">
        <v>5316</v>
      </c>
      <c r="BX102" s="100">
        <v>9</v>
      </c>
      <c r="BY102" s="100">
        <v>4784.4000000000005</v>
      </c>
      <c r="BZ102" s="100">
        <v>10</v>
      </c>
      <c r="CA102" s="100">
        <v>5316</v>
      </c>
      <c r="CB102" s="100">
        <v>10</v>
      </c>
      <c r="CC102" s="100">
        <v>5316</v>
      </c>
      <c r="CD102" s="100">
        <v>8</v>
      </c>
      <c r="CE102" s="100">
        <v>4252.8</v>
      </c>
      <c r="CF102" s="100">
        <v>8</v>
      </c>
      <c r="CG102" s="100">
        <v>4252.8</v>
      </c>
      <c r="CH102" s="100">
        <v>9</v>
      </c>
      <c r="CI102" s="100">
        <v>4784.4000000000005</v>
      </c>
      <c r="CJ102" s="100">
        <v>10</v>
      </c>
      <c r="CK102" s="100">
        <v>5316</v>
      </c>
      <c r="CL102" s="100">
        <v>9</v>
      </c>
      <c r="CM102" s="100">
        <v>4784.4000000000005</v>
      </c>
      <c r="CN102" s="100">
        <v>11</v>
      </c>
      <c r="CO102" s="100">
        <v>5847.6</v>
      </c>
      <c r="CP102" s="100">
        <v>10</v>
      </c>
      <c r="CQ102" s="100">
        <v>5316</v>
      </c>
      <c r="CR102" s="100">
        <v>9</v>
      </c>
      <c r="CS102" s="100">
        <v>4784.4000000000005</v>
      </c>
      <c r="CT102" s="100">
        <v>8</v>
      </c>
      <c r="CU102" s="100">
        <v>4252.8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</v>
      </c>
      <c r="G103" s="100">
        <v>5891.9999999999991</v>
      </c>
      <c r="H103" s="100">
        <v>10</v>
      </c>
      <c r="I103" s="100">
        <v>5891.9999999999991</v>
      </c>
      <c r="J103" s="100">
        <v>6</v>
      </c>
      <c r="K103" s="100">
        <v>3535.2</v>
      </c>
      <c r="L103" s="100">
        <v>8</v>
      </c>
      <c r="M103" s="100">
        <v>4713.5999999999995</v>
      </c>
      <c r="N103" s="100">
        <v>10</v>
      </c>
      <c r="O103" s="100">
        <v>5891.9999999999991</v>
      </c>
      <c r="P103" s="100">
        <v>11</v>
      </c>
      <c r="Q103" s="100">
        <v>6481.1999999999989</v>
      </c>
      <c r="R103" s="100">
        <v>11</v>
      </c>
      <c r="S103" s="100">
        <v>6481.1999999999989</v>
      </c>
      <c r="T103" s="100">
        <v>7</v>
      </c>
      <c r="U103" s="100">
        <v>4124.3999999999996</v>
      </c>
      <c r="V103" s="100">
        <v>7</v>
      </c>
      <c r="W103" s="100">
        <v>4124.3999999999996</v>
      </c>
      <c r="X103" s="100">
        <v>8</v>
      </c>
      <c r="Y103" s="100">
        <v>4713.5999999999995</v>
      </c>
      <c r="Z103" s="100">
        <v>9</v>
      </c>
      <c r="AA103" s="100">
        <v>5302.7999999999993</v>
      </c>
      <c r="AB103" s="100">
        <v>9</v>
      </c>
      <c r="AC103" s="100">
        <v>5302.7999999999993</v>
      </c>
      <c r="AD103" s="100">
        <v>8</v>
      </c>
      <c r="AE103" s="100">
        <v>4713.5999999999995</v>
      </c>
      <c r="AF103" s="100">
        <v>7</v>
      </c>
      <c r="AG103" s="100">
        <v>4124.3999999999996</v>
      </c>
      <c r="AH103" s="100">
        <v>8</v>
      </c>
      <c r="AI103" s="100">
        <v>4713.5999999999995</v>
      </c>
      <c r="AJ103" s="100">
        <v>7</v>
      </c>
      <c r="AK103" s="100">
        <v>4124.3999999999996</v>
      </c>
      <c r="AL103" s="100">
        <v>6</v>
      </c>
      <c r="AM103" s="100">
        <v>3535.2</v>
      </c>
      <c r="AN103" s="100">
        <v>11</v>
      </c>
      <c r="AO103" s="100">
        <v>6481.1999999999989</v>
      </c>
      <c r="AP103" s="100">
        <v>10</v>
      </c>
      <c r="AQ103" s="100">
        <v>5891.9999999999991</v>
      </c>
      <c r="AR103" s="100">
        <v>7</v>
      </c>
      <c r="AS103" s="100">
        <v>4124.3999999999996</v>
      </c>
      <c r="AT103" s="100">
        <v>6</v>
      </c>
      <c r="AU103" s="100">
        <v>3535.2</v>
      </c>
      <c r="AV103" s="100">
        <v>7</v>
      </c>
      <c r="AW103" s="100">
        <v>4124.3999999999996</v>
      </c>
      <c r="AX103" s="100">
        <v>7</v>
      </c>
      <c r="AY103" s="100">
        <v>4124.3999999999996</v>
      </c>
      <c r="AZ103" s="100">
        <v>9</v>
      </c>
      <c r="BA103" s="100">
        <v>5302.7999999999993</v>
      </c>
      <c r="BB103" s="100">
        <v>12</v>
      </c>
      <c r="BC103" s="100">
        <v>7070.4</v>
      </c>
      <c r="BD103" s="100">
        <v>7</v>
      </c>
      <c r="BE103" s="100">
        <v>4124.3999999999996</v>
      </c>
      <c r="BF103" s="100">
        <v>11</v>
      </c>
      <c r="BG103" s="100">
        <v>6481.1999999999989</v>
      </c>
      <c r="BH103" s="100">
        <v>7</v>
      </c>
      <c r="BI103" s="100">
        <v>4124.3999999999996</v>
      </c>
      <c r="BJ103" s="100">
        <v>10</v>
      </c>
      <c r="BK103" s="100">
        <v>5891.9999999999991</v>
      </c>
      <c r="BL103" s="100">
        <v>8</v>
      </c>
      <c r="BM103" s="100">
        <v>4713.5999999999995</v>
      </c>
      <c r="BN103" s="100">
        <v>6</v>
      </c>
      <c r="BO103" s="100">
        <v>3535.2</v>
      </c>
      <c r="BP103" s="100">
        <v>9</v>
      </c>
      <c r="BQ103" s="100">
        <v>5302.7999999999993</v>
      </c>
      <c r="BR103" s="100">
        <v>11</v>
      </c>
      <c r="BS103" s="100">
        <v>6481.1999999999989</v>
      </c>
      <c r="BT103" s="100">
        <v>13</v>
      </c>
      <c r="BU103" s="100">
        <v>7659.5999999999995</v>
      </c>
      <c r="BV103" s="100">
        <v>11</v>
      </c>
      <c r="BW103" s="100">
        <v>6481.1999999999989</v>
      </c>
      <c r="BX103" s="100">
        <v>8</v>
      </c>
      <c r="BY103" s="100">
        <v>4713.5999999999995</v>
      </c>
      <c r="BZ103" s="100">
        <v>10</v>
      </c>
      <c r="CA103" s="100">
        <v>5891.9999999999991</v>
      </c>
      <c r="CB103" s="100">
        <v>10</v>
      </c>
      <c r="CC103" s="100">
        <v>5891.9999999999991</v>
      </c>
      <c r="CD103" s="100">
        <v>8</v>
      </c>
      <c r="CE103" s="100">
        <v>4713.5999999999995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10</v>
      </c>
      <c r="CK103" s="100">
        <v>5891.9999999999991</v>
      </c>
      <c r="CL103" s="100">
        <v>10</v>
      </c>
      <c r="CM103" s="100">
        <v>5891.9999999999991</v>
      </c>
      <c r="CN103" s="100">
        <v>10</v>
      </c>
      <c r="CO103" s="100">
        <v>5891.9999999999991</v>
      </c>
      <c r="CP103" s="100">
        <v>8</v>
      </c>
      <c r="CQ103" s="100">
        <v>4713.5999999999995</v>
      </c>
      <c r="CR103" s="100">
        <v>10</v>
      </c>
      <c r="CS103" s="100">
        <v>5891.9999999999991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7</v>
      </c>
      <c r="E104" s="100">
        <v>4426.8</v>
      </c>
      <c r="F104" s="100">
        <v>10</v>
      </c>
      <c r="G104" s="100">
        <v>6324</v>
      </c>
      <c r="H104" s="100">
        <v>10</v>
      </c>
      <c r="I104" s="100">
        <v>6324</v>
      </c>
      <c r="J104" s="100">
        <v>6</v>
      </c>
      <c r="K104" s="100">
        <v>3794.3999999999996</v>
      </c>
      <c r="L104" s="100">
        <v>8</v>
      </c>
      <c r="M104" s="100">
        <v>5059.2</v>
      </c>
      <c r="N104" s="100">
        <v>10</v>
      </c>
      <c r="O104" s="100">
        <v>6324</v>
      </c>
      <c r="P104" s="100">
        <v>11</v>
      </c>
      <c r="Q104" s="100">
        <v>6956.4</v>
      </c>
      <c r="R104" s="100">
        <v>11</v>
      </c>
      <c r="S104" s="100">
        <v>6956.4</v>
      </c>
      <c r="T104" s="100">
        <v>7</v>
      </c>
      <c r="U104" s="100">
        <v>4426.8</v>
      </c>
      <c r="V104" s="100">
        <v>8</v>
      </c>
      <c r="W104" s="100">
        <v>5059.2</v>
      </c>
      <c r="X104" s="100">
        <v>9</v>
      </c>
      <c r="Y104" s="100">
        <v>5691.5999999999995</v>
      </c>
      <c r="Z104" s="100">
        <v>9</v>
      </c>
      <c r="AA104" s="100">
        <v>5691.5999999999995</v>
      </c>
      <c r="AB104" s="100">
        <v>9</v>
      </c>
      <c r="AC104" s="100">
        <v>5691.5999999999995</v>
      </c>
      <c r="AD104" s="100">
        <v>8</v>
      </c>
      <c r="AE104" s="100">
        <v>5059.2</v>
      </c>
      <c r="AF104" s="100">
        <v>7</v>
      </c>
      <c r="AG104" s="100">
        <v>4426.8</v>
      </c>
      <c r="AH104" s="100">
        <v>9</v>
      </c>
      <c r="AI104" s="100">
        <v>5691.5999999999995</v>
      </c>
      <c r="AJ104" s="100">
        <v>8</v>
      </c>
      <c r="AK104" s="100">
        <v>5059.2</v>
      </c>
      <c r="AL104" s="100">
        <v>6</v>
      </c>
      <c r="AM104" s="100">
        <v>3794.3999999999996</v>
      </c>
      <c r="AN104" s="100">
        <v>11</v>
      </c>
      <c r="AO104" s="100">
        <v>6956.4</v>
      </c>
      <c r="AP104" s="100">
        <v>11</v>
      </c>
      <c r="AQ104" s="100">
        <v>6956.4</v>
      </c>
      <c r="AR104" s="100">
        <v>7</v>
      </c>
      <c r="AS104" s="100">
        <v>4426.8</v>
      </c>
      <c r="AT104" s="100">
        <v>6</v>
      </c>
      <c r="AU104" s="100">
        <v>3794.3999999999996</v>
      </c>
      <c r="AV104" s="100">
        <v>6</v>
      </c>
      <c r="AW104" s="100">
        <v>3794.3999999999996</v>
      </c>
      <c r="AX104" s="100">
        <v>6</v>
      </c>
      <c r="AY104" s="100">
        <v>3794.3999999999996</v>
      </c>
      <c r="AZ104" s="100">
        <v>10</v>
      </c>
      <c r="BA104" s="100">
        <v>6324</v>
      </c>
      <c r="BB104" s="100">
        <v>12</v>
      </c>
      <c r="BC104" s="100">
        <v>7588.7999999999993</v>
      </c>
      <c r="BD104" s="100">
        <v>7</v>
      </c>
      <c r="BE104" s="100">
        <v>4426.8</v>
      </c>
      <c r="BF104" s="100">
        <v>12</v>
      </c>
      <c r="BG104" s="100">
        <v>7588.7999999999993</v>
      </c>
      <c r="BH104" s="100">
        <v>7</v>
      </c>
      <c r="BI104" s="100">
        <v>4426.8</v>
      </c>
      <c r="BJ104" s="100">
        <v>10</v>
      </c>
      <c r="BK104" s="100">
        <v>6324</v>
      </c>
      <c r="BL104" s="100">
        <v>8</v>
      </c>
      <c r="BM104" s="100">
        <v>5059.2</v>
      </c>
      <c r="BN104" s="100">
        <v>6</v>
      </c>
      <c r="BO104" s="100">
        <v>3794.3999999999996</v>
      </c>
      <c r="BP104" s="100">
        <v>8</v>
      </c>
      <c r="BQ104" s="100">
        <v>5059.2</v>
      </c>
      <c r="BR104" s="100">
        <v>11</v>
      </c>
      <c r="BS104" s="100">
        <v>6956.4</v>
      </c>
      <c r="BT104" s="100">
        <v>12</v>
      </c>
      <c r="BU104" s="100">
        <v>7588.7999999999993</v>
      </c>
      <c r="BV104" s="100">
        <v>10</v>
      </c>
      <c r="BW104" s="100">
        <v>6324</v>
      </c>
      <c r="BX104" s="100">
        <v>8</v>
      </c>
      <c r="BY104" s="100">
        <v>5059.2</v>
      </c>
      <c r="BZ104" s="100">
        <v>10</v>
      </c>
      <c r="CA104" s="100">
        <v>6324</v>
      </c>
      <c r="CB104" s="100">
        <v>10</v>
      </c>
      <c r="CC104" s="100">
        <v>6324</v>
      </c>
      <c r="CD104" s="100">
        <v>8</v>
      </c>
      <c r="CE104" s="100">
        <v>5059.2</v>
      </c>
      <c r="CF104" s="100">
        <v>9</v>
      </c>
      <c r="CG104" s="100">
        <v>5691.5999999999995</v>
      </c>
      <c r="CH104" s="100">
        <v>10</v>
      </c>
      <c r="CI104" s="100">
        <v>6324</v>
      </c>
      <c r="CJ104" s="100">
        <v>9</v>
      </c>
      <c r="CK104" s="100">
        <v>5691.5999999999995</v>
      </c>
      <c r="CL104" s="100">
        <v>9</v>
      </c>
      <c r="CM104" s="100">
        <v>5691.5999999999995</v>
      </c>
      <c r="CN104" s="100">
        <v>11</v>
      </c>
      <c r="CO104" s="100">
        <v>6956.4</v>
      </c>
      <c r="CP104" s="100">
        <v>9</v>
      </c>
      <c r="CQ104" s="100">
        <v>5691.5999999999995</v>
      </c>
      <c r="CR104" s="100">
        <v>10</v>
      </c>
      <c r="CS104" s="100">
        <v>6324</v>
      </c>
      <c r="CT104" s="100">
        <v>8</v>
      </c>
      <c r="CU104" s="100">
        <v>5059.2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11</v>
      </c>
      <c r="G105" s="100">
        <v>6124.7999999999993</v>
      </c>
      <c r="H105" s="100">
        <v>9</v>
      </c>
      <c r="I105" s="100">
        <v>5011.2</v>
      </c>
      <c r="J105" s="100">
        <v>7</v>
      </c>
      <c r="K105" s="100">
        <v>3897.5999999999995</v>
      </c>
      <c r="L105" s="100">
        <v>9</v>
      </c>
      <c r="M105" s="100">
        <v>5011.2</v>
      </c>
      <c r="N105" s="100">
        <v>11</v>
      </c>
      <c r="O105" s="100">
        <v>6124.7999999999993</v>
      </c>
      <c r="P105" s="100">
        <v>10</v>
      </c>
      <c r="Q105" s="100">
        <v>5568</v>
      </c>
      <c r="R105" s="100">
        <v>11</v>
      </c>
      <c r="S105" s="100">
        <v>6124.7999999999993</v>
      </c>
      <c r="T105" s="100">
        <v>7</v>
      </c>
      <c r="U105" s="100">
        <v>3897.5999999999995</v>
      </c>
      <c r="V105" s="100">
        <v>7</v>
      </c>
      <c r="W105" s="100">
        <v>3897.5999999999995</v>
      </c>
      <c r="X105" s="100">
        <v>9</v>
      </c>
      <c r="Y105" s="100">
        <v>5011.2</v>
      </c>
      <c r="Z105" s="100">
        <v>10</v>
      </c>
      <c r="AA105" s="100">
        <v>5568</v>
      </c>
      <c r="AB105" s="100">
        <v>10</v>
      </c>
      <c r="AC105" s="100">
        <v>5568</v>
      </c>
      <c r="AD105" s="100">
        <v>9</v>
      </c>
      <c r="AE105" s="100">
        <v>5011.2</v>
      </c>
      <c r="AF105" s="100">
        <v>6</v>
      </c>
      <c r="AG105" s="100">
        <v>3340.7999999999997</v>
      </c>
      <c r="AH105" s="100">
        <v>8</v>
      </c>
      <c r="AI105" s="100">
        <v>4454.3999999999996</v>
      </c>
      <c r="AJ105" s="100">
        <v>7</v>
      </c>
      <c r="AK105" s="100">
        <v>3897.5999999999995</v>
      </c>
      <c r="AL105" s="100">
        <v>6</v>
      </c>
      <c r="AM105" s="100">
        <v>3340.7999999999997</v>
      </c>
      <c r="AN105" s="100">
        <v>10</v>
      </c>
      <c r="AO105" s="100">
        <v>5568</v>
      </c>
      <c r="AP105" s="100">
        <v>10</v>
      </c>
      <c r="AQ105" s="100">
        <v>5568</v>
      </c>
      <c r="AR105" s="100">
        <v>7</v>
      </c>
      <c r="AS105" s="100">
        <v>3897.5999999999995</v>
      </c>
      <c r="AT105" s="100">
        <v>6</v>
      </c>
      <c r="AU105" s="100">
        <v>3340.7999999999997</v>
      </c>
      <c r="AV105" s="100">
        <v>7</v>
      </c>
      <c r="AW105" s="100">
        <v>3897.5999999999995</v>
      </c>
      <c r="AX105" s="100">
        <v>6</v>
      </c>
      <c r="AY105" s="100">
        <v>3340.7999999999997</v>
      </c>
      <c r="AZ105" s="100">
        <v>10</v>
      </c>
      <c r="BA105" s="100">
        <v>5568</v>
      </c>
      <c r="BB105" s="100">
        <v>11</v>
      </c>
      <c r="BC105" s="100">
        <v>6124.7999999999993</v>
      </c>
      <c r="BD105" s="100">
        <v>7</v>
      </c>
      <c r="BE105" s="100">
        <v>3897.5999999999995</v>
      </c>
      <c r="BF105" s="100">
        <v>10</v>
      </c>
      <c r="BG105" s="100">
        <v>5568</v>
      </c>
      <c r="BH105" s="100">
        <v>7</v>
      </c>
      <c r="BI105" s="100">
        <v>3897.5999999999995</v>
      </c>
      <c r="BJ105" s="100">
        <v>9</v>
      </c>
      <c r="BK105" s="100">
        <v>5011.2</v>
      </c>
      <c r="BL105" s="100">
        <v>8</v>
      </c>
      <c r="BM105" s="100">
        <v>4454.3999999999996</v>
      </c>
      <c r="BN105" s="100">
        <v>6</v>
      </c>
      <c r="BO105" s="100">
        <v>3340.7999999999997</v>
      </c>
      <c r="BP105" s="100">
        <v>8</v>
      </c>
      <c r="BQ105" s="100">
        <v>4454.3999999999996</v>
      </c>
      <c r="BR105" s="100">
        <v>11</v>
      </c>
      <c r="BS105" s="100">
        <v>6124.7999999999993</v>
      </c>
      <c r="BT105" s="100">
        <v>12</v>
      </c>
      <c r="BU105" s="100">
        <v>6681.5999999999995</v>
      </c>
      <c r="BV105" s="100">
        <v>10</v>
      </c>
      <c r="BW105" s="100">
        <v>5568</v>
      </c>
      <c r="BX105" s="100">
        <v>8</v>
      </c>
      <c r="BY105" s="100">
        <v>4454.3999999999996</v>
      </c>
      <c r="BZ105" s="100">
        <v>10</v>
      </c>
      <c r="CA105" s="100">
        <v>5568</v>
      </c>
      <c r="CB105" s="100">
        <v>10</v>
      </c>
      <c r="CC105" s="100">
        <v>5568</v>
      </c>
      <c r="CD105" s="100">
        <v>8</v>
      </c>
      <c r="CE105" s="100">
        <v>4454.3999999999996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10</v>
      </c>
      <c r="CK105" s="100">
        <v>5568</v>
      </c>
      <c r="CL105" s="100">
        <v>10</v>
      </c>
      <c r="CM105" s="100">
        <v>5568</v>
      </c>
      <c r="CN105" s="100">
        <v>11</v>
      </c>
      <c r="CO105" s="100">
        <v>6124.7999999999993</v>
      </c>
      <c r="CP105" s="100">
        <v>9</v>
      </c>
      <c r="CQ105" s="100">
        <v>5011.2</v>
      </c>
      <c r="CR105" s="100">
        <v>10</v>
      </c>
      <c r="CS105" s="100">
        <v>5568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884</v>
      </c>
      <c r="E109" s="100">
        <f>SUM(L$6:L$19)+SUM(N$6:N$19)+SUM(P$6:P$19)+SUM(R$6:R$19)</f>
        <v>1165</v>
      </c>
      <c r="F109" s="100">
        <f>SUM(T$6:T$19)+SUM(V$6:V$19)+SUM(X$6:X$19)+SUM(Z$6:Z$19)</f>
        <v>1061</v>
      </c>
      <c r="G109" s="100">
        <f>SUM(AB$6:AB$19)+SUM(AD$6:AD$19)+SUM(AF$6:AF$19)+SUM(AH$6:AH$19)</f>
        <v>1104</v>
      </c>
      <c r="H109" s="100">
        <f>SUM(AJ$6:AJ$19)+SUM(AL$6:AL$19)+SUM(AN$6:AN$19)+SUM(AP$6:AP$19)</f>
        <v>1165</v>
      </c>
      <c r="I109" s="100">
        <f>SUM(AR$6:AR$19)+SUM(AT$6:AT$19)+SUM(AV$6:AV$19)+SUM(AX$6:AX$19)</f>
        <v>1254.5062467657781</v>
      </c>
      <c r="J109" s="100">
        <f>SUM(AZ$6:AZ$19)+SUM(BB$6:BB$19)+SUM(BD$6:BD$19)+SUM(BF$6:BF$19)</f>
        <v>1310</v>
      </c>
      <c r="K109" s="100">
        <f>SUM(BH$6:BH$19)+SUM(BJ$6:BJ$19)+SUM(BL$6:BL$19)+SUM(BN$6:BN$19)</f>
        <v>1170.9702566390961</v>
      </c>
      <c r="L109" s="100">
        <f>SUM(BP$6:BP$19)+SUM(BR$6:BR$19)+SUM(BT$6:BT$19)+SUM(BV$6:BV$19)</f>
        <v>1234.2495962530297</v>
      </c>
      <c r="M109" s="100">
        <f>SUM(BX$6:BX$19)+SUM(BZ$6:BZ$19)+SUM(CB$6:CB$19)+SUM(CD$6:CD$19)</f>
        <v>1452.2317140347579</v>
      </c>
      <c r="N109" s="100">
        <f>SUM(CF$6:CF$19)+SUM(CH$6:CH$19)+SUM(CJ$6:CJ$19)+SUM(CL$6:CL$19)</f>
        <v>1181.0133195231774</v>
      </c>
      <c r="O109" s="100">
        <f>SUM(CN$6:CN$19)+SUM(CP$6:CP$19)+SUM(CR$6:CR$19)+SUM(CT$6:CT$19)</f>
        <v>1142.8660010716706</v>
      </c>
    </row>
    <row r="110" spans="2:99">
      <c r="C110" s="99" t="s">
        <v>127</v>
      </c>
      <c r="D110" s="100">
        <f>SUM(D$20:D$36)+SUM(F$20:F$36)+SUM(H$20:H$36)+SUM(J$20:J$36)</f>
        <v>1264</v>
      </c>
      <c r="E110" s="100">
        <f>SUM(L$20:L$36)+SUM(N$20:N$36)+SUM(P$20:P$36)+SUM(R$20:R$36)</f>
        <v>1324</v>
      </c>
      <c r="F110" s="100">
        <f>SUM(T$20:T$36)+SUM(V$20:V$36)+SUM(X$20:X$36)+SUM(Z$20:Z$36)</f>
        <v>1487</v>
      </c>
      <c r="G110" s="100">
        <f>SUM(AB$20:AB$36)+SUM(AD$20:AD$36)+SUM(AF$20:AF$36)+SUM(AH$20:AH$36)</f>
        <v>1300</v>
      </c>
      <c r="H110" s="100">
        <f>SUM(AJ$20:AJ$36)+SUM(AL$20:AL$36)+SUM(AN$20:AN$36)+SUM(AP$20:AP$36)</f>
        <v>1450</v>
      </c>
      <c r="I110" s="100">
        <f>SUM(AR$20:AR$36)+SUM(AT$20:AT$36)+SUM(AV$20:AV$36)+SUM(AX$20:AX$36)</f>
        <v>1567.1931883980437</v>
      </c>
      <c r="J110" s="100">
        <f>SUM(AZ$20:AZ$36)+SUM(BB$20:BB$36)+SUM(BD$20:BD$36)+SUM(BF$20:BF$36)</f>
        <v>1530</v>
      </c>
      <c r="K110" s="100">
        <f>SUM(BH$20:BH$36)+SUM(BJ$20:BJ$36)+SUM(BL$20:BL$36)+SUM(BN$20:BN$36)</f>
        <v>1693.6725213321752</v>
      </c>
      <c r="L110" s="100">
        <f>SUM(BP$20:BP$36)+SUM(BR$20:BR$36)+SUM(BT$20:BT$36)+SUM(BV$20:BV$36)</f>
        <v>1494.6767401790121</v>
      </c>
      <c r="M110" s="100">
        <f>SUM(BX$20:BX$36)+SUM(BZ$20:BZ$36)+SUM(CB$20:CB$36)+SUM(CD$20:CD$36)</f>
        <v>1260.7039653287543</v>
      </c>
      <c r="N110" s="100">
        <f>SUM(CF$20:CF$36)+SUM(CH$20:CH$36)+SUM(CJ$20:CJ$36)+SUM(CL$20:CL$36)</f>
        <v>1542.0837586320897</v>
      </c>
      <c r="O110" s="100">
        <f>SUM(CN$20:CN$36)+SUM(CP$20:CP$36)+SUM(CR$20:CR$36)+SUM(CT$20:CT$36)</f>
        <v>1589.5000084255162</v>
      </c>
    </row>
    <row r="111" spans="2:99">
      <c r="C111" s="99" t="s">
        <v>128</v>
      </c>
      <c r="D111" s="100">
        <f>SUM(D$37:D$48)+SUM(F$37:F$48)+SUM(H$37:H$48)+SUM(J$37:J$48)</f>
        <v>595</v>
      </c>
      <c r="E111" s="100">
        <f>SUM(L$37:L$48)+SUM(N$37:N$48)+SUM(P$37:P$48)+SUM(R$37:R$48)</f>
        <v>654</v>
      </c>
      <c r="F111" s="100">
        <f>SUM(T$37:T$48)+SUM(V$37:V$48)+SUM(X$37:X$48)+SUM(Z$37:Z$48)</f>
        <v>613</v>
      </c>
      <c r="G111" s="100">
        <f>SUM(AB$37:AB$48)+SUM(AD$37:AD$48)+SUM(AF$37:AF$48)+SUM(AH$37:AH$48)</f>
        <v>633</v>
      </c>
      <c r="H111" s="100">
        <f>SUM(AJ$37:AJ$48)+SUM(AL$37:AL$48)+SUM(AN$37:AN$48)+SUM(AP$37:AP$48)</f>
        <v>651</v>
      </c>
      <c r="I111" s="100">
        <f>SUM(AR$37:AR$48)+SUM(AT$37:AT$48)+SUM(AV$37:AV$48)+SUM(AX$37:AX$48)</f>
        <v>615.85182268098993</v>
      </c>
      <c r="J111" s="100">
        <f>SUM(AZ$37:AZ$48)+SUM(BB$37:BB$48)+SUM(BD$37:BD$48)+SUM(BF$37:BF$48)</f>
        <v>786</v>
      </c>
      <c r="K111" s="100">
        <f>SUM(BH$37:BH$48)+SUM(BJ$37:BJ$48)+SUM(BL$37:BL$48)+SUM(BN$37:BN$48)</f>
        <v>654.55832912494634</v>
      </c>
      <c r="L111" s="100">
        <f>SUM(BP$37:BP$48)+SUM(BR$37:BR$48)+SUM(BT$37:BT$48)+SUM(BV$37:BV$48)</f>
        <v>530.25753312095583</v>
      </c>
      <c r="M111" s="100">
        <f>SUM(BX$37:BX$48)+SUM(BZ$37:BZ$48)+SUM(CB$37:CB$48)+SUM(CD$37:CD$48)</f>
        <v>600.50723749932058</v>
      </c>
      <c r="N111" s="100">
        <f>SUM(CF$37:CF$48)+SUM(CH$37:CH$48)+SUM(CJ$37:CJ$48)+SUM(CL$37:CL$48)</f>
        <v>635.96758567770655</v>
      </c>
      <c r="O111" s="100">
        <f>SUM(CN$37:CN$48)+SUM(CP$37:CP$48)+SUM(CR$37:CR$48)+SUM(CT$37:CT$48)</f>
        <v>691.11561503942266</v>
      </c>
    </row>
    <row r="112" spans="2:99">
      <c r="C112" s="99" t="s">
        <v>129</v>
      </c>
      <c r="D112" s="100">
        <f>SUM(D$49:D$70)+SUM(F$49:F$70)+SUM(H$49:H$70)+SUM(J$49:J$70)</f>
        <v>1181</v>
      </c>
      <c r="E112" s="100">
        <f>SUM(L$49:L$70)+SUM(N$49:N$70)+SUM(P$49:P$70)+SUM(R$49:R$70)</f>
        <v>1219</v>
      </c>
      <c r="F112" s="100">
        <f>SUM(T$49:T$70)+SUM(V$49:V$70)+SUM(X$49:X$70)+SUM(Z$49:Z$70)</f>
        <v>1239</v>
      </c>
      <c r="G112" s="100">
        <f>SUM(AB$49:AB$70)+SUM(AD$49:AD$70)+SUM(AF$49:AF$70)+SUM(AH$49:AH$70)</f>
        <v>1068</v>
      </c>
      <c r="H112" s="100">
        <f>SUM(AJ$49:AJ$70)+SUM(AL$49:AL$70)+SUM(AN$49:AN$70)+SUM(AP$49:AP$70)</f>
        <v>1146.5859274267821</v>
      </c>
      <c r="I112" s="100">
        <f>SUM(AR$49:AR$70)+SUM(AT$49:AT$70)+SUM(AV$49:AV$70)+SUM(AX$49:AX$70)</f>
        <v>969.38899089316305</v>
      </c>
      <c r="J112" s="100">
        <f>SUM(AZ$49:AZ$70)+SUM(BB$49:BB$70)+SUM(BD$49:BD$70)+SUM(BF$49:BF$70)</f>
        <v>1066.5377498867826</v>
      </c>
      <c r="K112" s="100">
        <f>SUM(BH$49:BH$70)+SUM(BJ$49:BJ$70)+SUM(BL$49:BL$70)+SUM(BN$49:BN$70)</f>
        <v>1143.5138892144978</v>
      </c>
      <c r="L112" s="100">
        <f>SUM(BP$49:BP$70)+SUM(BR$49:BR$70)+SUM(BT$49:BT$70)+SUM(BV$49:BV$70)</f>
        <v>1151.3241274311879</v>
      </c>
      <c r="M112" s="100">
        <f>SUM(BX$49:BX$70)+SUM(BZ$49:BZ$70)+SUM(CB$49:CB$70)+SUM(CD$49:CD$70)</f>
        <v>1106.1497136462945</v>
      </c>
      <c r="N112" s="100">
        <f>SUM(CF$49:CF$70)+SUM(CH$49:CH$70)+SUM(CJ$49:CJ$70)+SUM(CL$49:CL$70)</f>
        <v>955.89327895816609</v>
      </c>
      <c r="O112" s="100">
        <f>SUM(CN$49:CN$70)+SUM(CP$49:CP$70)+SUM(CR$49:CR$70)+SUM(CT$49:CT$70)</f>
        <v>886.36845911387502</v>
      </c>
    </row>
    <row r="113" spans="2:15">
      <c r="C113" s="99" t="s">
        <v>130</v>
      </c>
      <c r="D113" s="100">
        <f>SUM(D$71:D$86)+SUM(F$71:F$86)+SUM(H$71:H$86)+SUM(J$71:J$86)</f>
        <v>382</v>
      </c>
      <c r="E113" s="100">
        <f>SUM(L$71:L$86)+SUM(N$71:N$86)+SUM(P$71:P$86)+SUM(R$71:R$86)</f>
        <v>505</v>
      </c>
      <c r="F113" s="100">
        <f>SUM(T$71:T$86)+SUM(V$71:V$86)+SUM(X$71:X$86)+SUM(Z$71:Z$86)</f>
        <v>458</v>
      </c>
      <c r="G113" s="100">
        <f>SUM(AB$71:AB$86)+SUM(AD$71:AD$86)+SUM(AF$71:AF$86)+SUM(AH$71:AH$86)</f>
        <v>512</v>
      </c>
      <c r="H113" s="100">
        <f>SUM(AJ$71:AJ$86)+SUM(AL$71:AL$86)+SUM(AN$71:AN$86)+SUM(AP$71:AP$86)</f>
        <v>495.41407257321794</v>
      </c>
      <c r="I113" s="100">
        <f>SUM(AR$71:AR$86)+SUM(AT$71:AT$86)+SUM(AV$71:AV$86)+SUM(AX$71:AX$86)</f>
        <v>429.50044944541384</v>
      </c>
      <c r="J113" s="100">
        <f>SUM(AZ$71:AZ$86)+SUM(BB$71:BB$86)+SUM(BD$71:BD$86)+SUM(BF$71:BF$86)</f>
        <v>415.46225011321729</v>
      </c>
      <c r="K113" s="100">
        <f>SUM(BH$71:BH$86)+SUM(BJ$71:BJ$86)+SUM(BL$71:BL$86)+SUM(BN$71:BN$86)</f>
        <v>427.77398192176815</v>
      </c>
      <c r="L113" s="100">
        <f>SUM(BP$71:BP$86)+SUM(BR$71:BR$86)+SUM(BT$71:BT$86)+SUM(BV$71:BV$86)</f>
        <v>407.8559146546238</v>
      </c>
      <c r="M113" s="100">
        <f>SUM(BX$71:BX$86)+SUM(BZ$71:BZ$86)+SUM(CB$71:CB$86)+SUM(CD$71:CD$86)</f>
        <v>389.01388888888891</v>
      </c>
      <c r="N113" s="100">
        <f>SUM(CF$71:CF$86)+SUM(CH$71:CH$86)+SUM(CJ$71:CJ$86)+SUM(CL$71:CL$86)</f>
        <v>7.5272727272727282</v>
      </c>
      <c r="O113" s="100">
        <f>SUM(CN$71:CN$86)+SUM(CP$71:CP$86)+SUM(CR$71:CR$86)+SUM(CT$71:CT$86)</f>
        <v>429.51382798832503</v>
      </c>
    </row>
    <row r="114" spans="2:15">
      <c r="C114" s="99" t="s">
        <v>131</v>
      </c>
      <c r="D114" s="100">
        <f>SUM(D$87:D$94)+SUM(F$87:F$94)+SUM(H$87:H$94)+SUM(J$87:J$94)</f>
        <v>261</v>
      </c>
      <c r="E114" s="100">
        <f>SUM(L$87:L$94)+SUM(N$87:N$94)+SUM(P$87:P$94)+SUM(R$87:R$94)</f>
        <v>279</v>
      </c>
      <c r="F114" s="100">
        <f>SUM(T$87:T$94)+SUM(V$87:V$94)+SUM(X$87:X$94)+SUM(Z$87:Z$94)</f>
        <v>291</v>
      </c>
      <c r="G114" s="100">
        <f>SUM(AB$87:AB$94)+SUM(AD$87:AD$94)+SUM(AF$87:AF$94)+SUM(AH$87:AH$94)</f>
        <v>244</v>
      </c>
      <c r="H114" s="100">
        <f>SUM(AJ$87:AJ$94)+SUM(AL$87:AL$94)+SUM(AN$87:AN$94)+SUM(AP$87:AP$94)</f>
        <v>250</v>
      </c>
      <c r="I114" s="100">
        <f>SUM(AR$87:AR$94)+SUM(AT$87:AT$94)+SUM(AV$87:AV$94)+SUM(AX$87:AX$94)</f>
        <v>306</v>
      </c>
      <c r="J114" s="100">
        <f>SUM(AZ$87:AZ$94)+SUM(BB$87:BB$94)+SUM(BD$87:BD$94)+SUM(BF$87:BF$94)</f>
        <v>284</v>
      </c>
      <c r="K114" s="100">
        <f>SUM(BH$87:BH$94)+SUM(BJ$87:BJ$94)+SUM(BL$87:BL$94)+SUM(BN$87:BN$94)</f>
        <v>239</v>
      </c>
      <c r="L114" s="100">
        <f>SUM(BP$87:BP$94)+SUM(BR$87:BR$94)+SUM(BT$87:BT$94)+SUM(BV$87:BV$94)</f>
        <v>308</v>
      </c>
      <c r="M114" s="100">
        <f>SUM(BX$87:BX$94)+SUM(BZ$87:BZ$94)+SUM(CB$87:CB$94)+SUM(CD$87:CD$94)</f>
        <v>272</v>
      </c>
      <c r="N114" s="100">
        <f>SUM(CF$87:CF$94)+SUM(CH$87:CH$94)+SUM(CJ$87:CJ$94)+SUM(CL$87:CL$94)</f>
        <v>288</v>
      </c>
      <c r="O114" s="100">
        <f>SUM(CN$87:CN$94)+SUM(CP$87:CP$94)+SUM(CR$87:CR$94)+SUM(CT$87:CT$94)</f>
        <v>274</v>
      </c>
    </row>
    <row r="115" spans="2:15">
      <c r="C115" s="99" t="s">
        <v>132</v>
      </c>
      <c r="D115" s="100">
        <f>SUM(D$95:D$105)+SUM(F$95:F$105)+SUM(H$95:H$105)+SUM(J$95:J$105)</f>
        <v>374</v>
      </c>
      <c r="E115" s="100">
        <f>SUM(L$95:L$105)+SUM(N$95:N$105)+SUM(P$95:P$105)+SUM(R$95:R$105)</f>
        <v>448</v>
      </c>
      <c r="F115" s="100">
        <f>SUM(T$95:T$105)+SUM(V$95:V$105)+SUM(X$95:X$105)+SUM(Z$95:Z$105)</f>
        <v>357</v>
      </c>
      <c r="G115" s="100">
        <f>SUM(AB$95:AB$105)+SUM(AD$95:AD$105)+SUM(AF$95:AF$105)+SUM(AH$95:AH$105)</f>
        <v>349</v>
      </c>
      <c r="H115" s="100">
        <f>SUM(AJ$95:AJ$105)+SUM(AL$95:AL$105)+SUM(AN$95:AN$105)+SUM(AP$95:AP$105)</f>
        <v>372</v>
      </c>
      <c r="I115" s="100">
        <f>SUM(AR$95:AR$105)+SUM(AT$95:AT$105)+SUM(AV$95:AV$105)+SUM(AX$95:AX$105)</f>
        <v>286</v>
      </c>
      <c r="J115" s="100">
        <f>SUM(AZ$95:AZ$105)+SUM(BB$95:BB$105)+SUM(BD$95:BD$105)+SUM(BF$95:BF$105)</f>
        <v>417</v>
      </c>
      <c r="K115" s="100">
        <f>SUM(BH$95:BH$105)+SUM(BJ$95:BJ$105)+SUM(BL$95:BL$105)+SUM(BN$95:BN$105)</f>
        <v>335</v>
      </c>
      <c r="L115" s="100">
        <f>SUM(BP$95:BP$105)+SUM(BR$95:BR$105)+SUM(BT$95:BT$105)+SUM(BV$95:BV$105)</f>
        <v>446</v>
      </c>
      <c r="M115" s="100">
        <f>SUM(BX$95:BX$105)+SUM(BZ$95:BZ$105)+SUM(CB$95:CB$105)+SUM(CD$95:CD$105)</f>
        <v>381</v>
      </c>
      <c r="N115" s="100">
        <f>SUM(CF$95:CF$105)+SUM(CH$95:CH$105)+SUM(CJ$95:CJ$105)+SUM(CL$95:CL$105)</f>
        <v>401</v>
      </c>
      <c r="O115" s="100">
        <f>SUM(CN$95:CN$105)+SUM(CP$95:CP$105)+SUM(CR$95:CR$105)+SUM(CT$95:CT$105)</f>
        <v>408</v>
      </c>
    </row>
    <row r="116" spans="2:15">
      <c r="C116" s="99" t="s">
        <v>278</v>
      </c>
      <c r="D116" s="100">
        <f t="shared" ref="D116:O116" si="0">SUM(D$109:D$115)</f>
        <v>4941</v>
      </c>
      <c r="E116" s="100">
        <f t="shared" si="0"/>
        <v>5594</v>
      </c>
      <c r="F116" s="100">
        <f t="shared" si="0"/>
        <v>5506</v>
      </c>
      <c r="G116" s="100">
        <f t="shared" si="0"/>
        <v>5210</v>
      </c>
      <c r="H116" s="100">
        <f t="shared" si="0"/>
        <v>5530</v>
      </c>
      <c r="I116" s="100">
        <f t="shared" si="0"/>
        <v>5428.440698183389</v>
      </c>
      <c r="J116" s="100">
        <f t="shared" si="0"/>
        <v>5809</v>
      </c>
      <c r="K116" s="100">
        <f t="shared" si="0"/>
        <v>5664.4889782324826</v>
      </c>
      <c r="L116" s="100">
        <f t="shared" si="0"/>
        <v>5572.3639116388094</v>
      </c>
      <c r="M116" s="100">
        <f t="shared" si="0"/>
        <v>5461.6065193980157</v>
      </c>
      <c r="N116" s="100">
        <f t="shared" si="0"/>
        <v>5011.4852155184126</v>
      </c>
      <c r="O116" s="100">
        <f t="shared" si="0"/>
        <v>5421.3639116388094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3005600</v>
      </c>
      <c r="E120" s="100">
        <f>E109*pricing!E6*2000</f>
        <v>3961000</v>
      </c>
      <c r="F120" s="100">
        <f>F109*pricing!F6*2000</f>
        <v>3607400</v>
      </c>
      <c r="G120" s="100">
        <f>G109*pricing!G6*2000</f>
        <v>3753600</v>
      </c>
      <c r="H120" s="100">
        <f>H109*pricing!H6*2000</f>
        <v>3961000</v>
      </c>
      <c r="I120" s="100">
        <f>I109*pricing!I6*2000</f>
        <v>4265321.2390036453</v>
      </c>
      <c r="J120" s="100">
        <f>J109*pricing!J6*2000</f>
        <v>4454000</v>
      </c>
      <c r="K120" s="100">
        <f>K109*pricing!K6*2000</f>
        <v>3981298.8725729263</v>
      </c>
      <c r="L120" s="100">
        <f>L109*pricing!L6*2000</f>
        <v>4196448.6272603003</v>
      </c>
      <c r="M120" s="100">
        <f>M109*pricing!M6*2000</f>
        <v>4937587.8277181769</v>
      </c>
      <c r="N120" s="100">
        <f>N109*pricing!N6*2000</f>
        <v>4015445.2863788032</v>
      </c>
      <c r="O120" s="100">
        <f>O109*pricing!O6*2000</f>
        <v>3885744.4036436793</v>
      </c>
    </row>
    <row r="121" spans="2:15">
      <c r="C121" s="99" t="s">
        <v>127</v>
      </c>
      <c r="D121" s="100">
        <f>D110*pricing!D7*2000</f>
        <v>5056000</v>
      </c>
      <c r="E121" s="100">
        <f>E110*pricing!E7*2000</f>
        <v>5296000</v>
      </c>
      <c r="F121" s="100">
        <f>F110*pricing!F7*2000</f>
        <v>5948000</v>
      </c>
      <c r="G121" s="100">
        <f>G110*pricing!G7*2000</f>
        <v>5200000</v>
      </c>
      <c r="H121" s="100">
        <f>H110*pricing!H7*2000</f>
        <v>5800000</v>
      </c>
      <c r="I121" s="100">
        <f>I110*pricing!I7*2000</f>
        <v>6268772.7535921745</v>
      </c>
      <c r="J121" s="100">
        <f>J110*pricing!J7*2000</f>
        <v>6120000</v>
      </c>
      <c r="K121" s="100">
        <f>K110*pricing!K7*2000</f>
        <v>6774690.085328701</v>
      </c>
      <c r="L121" s="100">
        <f>L110*pricing!L7*2000</f>
        <v>5978706.9607160483</v>
      </c>
      <c r="M121" s="100">
        <f>M110*pricing!M7*2000</f>
        <v>5042815.8613150176</v>
      </c>
      <c r="N121" s="100">
        <f>N110*pricing!N7*2000</f>
        <v>6168335.0345283588</v>
      </c>
      <c r="O121" s="100">
        <f>O110*pricing!O7*2000</f>
        <v>6358000.0337020643</v>
      </c>
    </row>
    <row r="122" spans="2:15">
      <c r="C122" s="99" t="s">
        <v>128</v>
      </c>
      <c r="D122" s="100">
        <f>D111*pricing!D8*2000</f>
        <v>2677500</v>
      </c>
      <c r="E122" s="100">
        <f>E111*pricing!E8*2000</f>
        <v>2943000</v>
      </c>
      <c r="F122" s="100">
        <f>F111*pricing!F8*2000</f>
        <v>2758500</v>
      </c>
      <c r="G122" s="100">
        <f>G111*pricing!G8*2000</f>
        <v>2848500</v>
      </c>
      <c r="H122" s="100">
        <f>H111*pricing!H8*2000</f>
        <v>2929500</v>
      </c>
      <c r="I122" s="100">
        <f>I111*pricing!I8*2000</f>
        <v>2771333.2020644546</v>
      </c>
      <c r="J122" s="100">
        <f>J111*pricing!J8*2000</f>
        <v>3537000</v>
      </c>
      <c r="K122" s="100">
        <f>K111*pricing!K8*2000</f>
        <v>2945512.4810622581</v>
      </c>
      <c r="L122" s="100">
        <f>L111*pricing!L8*2000</f>
        <v>2386158.8990443009</v>
      </c>
      <c r="M122" s="100">
        <f>M111*pricing!M8*2000</f>
        <v>2702282.5687469426</v>
      </c>
      <c r="N122" s="100">
        <f>N111*pricing!N8*2000</f>
        <v>2861854.1355496794</v>
      </c>
      <c r="O122" s="100">
        <f>O111*pricing!O8*2000</f>
        <v>3110020.2676774021</v>
      </c>
    </row>
    <row r="123" spans="2:15">
      <c r="C123" s="99" t="s">
        <v>129</v>
      </c>
      <c r="D123" s="100">
        <f>D112*pricing!D9*2000</f>
        <v>5314500</v>
      </c>
      <c r="E123" s="100">
        <f>E112*pricing!E9*2000</f>
        <v>5485500</v>
      </c>
      <c r="F123" s="100">
        <f>F112*pricing!F9*2000</f>
        <v>5575500</v>
      </c>
      <c r="G123" s="100">
        <f>G112*pricing!G9*2000</f>
        <v>4806000</v>
      </c>
      <c r="H123" s="100">
        <f>H112*pricing!H9*2000</f>
        <v>5159636.6734205196</v>
      </c>
      <c r="I123" s="100">
        <f>I112*pricing!I9*2000</f>
        <v>4362250.4590192335</v>
      </c>
      <c r="J123" s="100">
        <f>J112*pricing!J9*2000</f>
        <v>4799419.8744905218</v>
      </c>
      <c r="K123" s="100">
        <f>K112*pricing!K9*2000</f>
        <v>5145812.5014652396</v>
      </c>
      <c r="L123" s="100">
        <f>L112*pricing!L9*2000</f>
        <v>5180958.573440345</v>
      </c>
      <c r="M123" s="100">
        <f>M112*pricing!M9*2000</f>
        <v>4977673.7114083255</v>
      </c>
      <c r="N123" s="100">
        <f>N112*pricing!N9*2000</f>
        <v>4301519.755311748</v>
      </c>
      <c r="O123" s="100">
        <f>O112*pricing!O9*2000</f>
        <v>3988658.0660124379</v>
      </c>
    </row>
    <row r="124" spans="2:15">
      <c r="C124" s="99" t="s">
        <v>130</v>
      </c>
      <c r="D124" s="100">
        <f>D113*pricing!D10*2000</f>
        <v>1910000</v>
      </c>
      <c r="E124" s="100">
        <f>E113*pricing!E10*2000</f>
        <v>2525000</v>
      </c>
      <c r="F124" s="100">
        <f>F113*pricing!F10*2000</f>
        <v>2290000</v>
      </c>
      <c r="G124" s="100">
        <f>G113*pricing!G10*2000</f>
        <v>2560000</v>
      </c>
      <c r="H124" s="100">
        <f>H113*pricing!H10*2000</f>
        <v>2477070.3628660897</v>
      </c>
      <c r="I124" s="100">
        <f>I113*pricing!I10*2000</f>
        <v>2147502.2472270695</v>
      </c>
      <c r="J124" s="100">
        <f>J113*pricing!J10*2000</f>
        <v>2077311.2505660865</v>
      </c>
      <c r="K124" s="100">
        <f>K113*pricing!K10*2000</f>
        <v>2138869.9096088409</v>
      </c>
      <c r="L124" s="100">
        <f>L113*pricing!L10*2000</f>
        <v>2039279.5732731191</v>
      </c>
      <c r="M124" s="100">
        <f>M113*pricing!M10*2000</f>
        <v>1945069.4444444445</v>
      </c>
      <c r="N124" s="100">
        <f>N113*pricing!N10*2000</f>
        <v>37636.36363636364</v>
      </c>
      <c r="O124" s="100">
        <f>O113*pricing!O10*2000</f>
        <v>2147569.1399416248</v>
      </c>
    </row>
    <row r="125" spans="2:15">
      <c r="C125" s="99" t="s">
        <v>131</v>
      </c>
      <c r="D125" s="100">
        <f>D114*pricing!D11*2000</f>
        <v>1357200</v>
      </c>
      <c r="E125" s="100">
        <f>E114*pricing!E11*2000</f>
        <v>1450800</v>
      </c>
      <c r="F125" s="100">
        <f>F114*pricing!F11*2000</f>
        <v>1513200</v>
      </c>
      <c r="G125" s="100">
        <f>G114*pricing!G11*2000</f>
        <v>1268800</v>
      </c>
      <c r="H125" s="100">
        <f>H114*pricing!H11*2000</f>
        <v>1300000</v>
      </c>
      <c r="I125" s="100">
        <f>I114*pricing!I11*2000</f>
        <v>1591200</v>
      </c>
      <c r="J125" s="100">
        <f>J114*pricing!J11*2000</f>
        <v>1476800</v>
      </c>
      <c r="K125" s="100">
        <f>K114*pricing!K11*2000</f>
        <v>1242800</v>
      </c>
      <c r="L125" s="100">
        <f>L114*pricing!L11*2000</f>
        <v>1601600.0000000002</v>
      </c>
      <c r="M125" s="100">
        <f>M114*pricing!M11*2000</f>
        <v>1414400</v>
      </c>
      <c r="N125" s="100">
        <f>N114*pricing!N11*2000</f>
        <v>1497600.0000000002</v>
      </c>
      <c r="O125" s="100">
        <f>O114*pricing!O11*2000</f>
        <v>1424800</v>
      </c>
    </row>
    <row r="126" spans="2:15">
      <c r="C126" s="99" t="s">
        <v>132</v>
      </c>
      <c r="D126" s="100">
        <f>D115*pricing!D12*2000</f>
        <v>2019600.0000000002</v>
      </c>
      <c r="E126" s="100">
        <f>E115*pricing!E12*2000</f>
        <v>2419200.0000000005</v>
      </c>
      <c r="F126" s="100">
        <f>F115*pricing!F12*2000</f>
        <v>1927800.0000000002</v>
      </c>
      <c r="G126" s="100">
        <f>G115*pricing!G12*2000</f>
        <v>1884600.0000000002</v>
      </c>
      <c r="H126" s="100">
        <f>H115*pricing!H12*2000</f>
        <v>2008800.0000000002</v>
      </c>
      <c r="I126" s="100">
        <f>I115*pricing!I12*2000</f>
        <v>1544400</v>
      </c>
      <c r="J126" s="100">
        <f>J115*pricing!J12*2000</f>
        <v>2251800</v>
      </c>
      <c r="K126" s="100">
        <f>K115*pricing!K12*2000</f>
        <v>1809000.0000000002</v>
      </c>
      <c r="L126" s="100">
        <f>L115*pricing!L12*2000</f>
        <v>2408400</v>
      </c>
      <c r="M126" s="100">
        <f>M115*pricing!M12*2000</f>
        <v>2057400</v>
      </c>
      <c r="N126" s="100">
        <f>N115*pricing!N12*2000</f>
        <v>2165400</v>
      </c>
      <c r="O126" s="100">
        <f>O115*pricing!O12*2000</f>
        <v>2203200.0000000005</v>
      </c>
    </row>
    <row r="127" spans="2:15">
      <c r="C127" s="99" t="s">
        <v>278</v>
      </c>
      <c r="D127" s="100">
        <f t="shared" ref="D127:O127" si="1">SUM(D$120:D$126)</f>
        <v>21340400</v>
      </c>
      <c r="E127" s="100">
        <f t="shared" si="1"/>
        <v>24080500</v>
      </c>
      <c r="F127" s="100">
        <f t="shared" si="1"/>
        <v>23620400</v>
      </c>
      <c r="G127" s="100">
        <f t="shared" si="1"/>
        <v>22321500</v>
      </c>
      <c r="H127" s="100">
        <f t="shared" si="1"/>
        <v>23636007.036286607</v>
      </c>
      <c r="I127" s="100">
        <f t="shared" si="1"/>
        <v>22950779.900906578</v>
      </c>
      <c r="J127" s="100">
        <f t="shared" si="1"/>
        <v>24716331.12505661</v>
      </c>
      <c r="K127" s="100">
        <f t="shared" si="1"/>
        <v>24037983.850037966</v>
      </c>
      <c r="L127" s="100">
        <f t="shared" si="1"/>
        <v>23791552.633734111</v>
      </c>
      <c r="M127" s="100">
        <f t="shared" si="1"/>
        <v>23077229.413632907</v>
      </c>
      <c r="N127" s="100">
        <f t="shared" si="1"/>
        <v>21047790.575404953</v>
      </c>
      <c r="O127" s="100">
        <f t="shared" si="1"/>
        <v>23117991.910977207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445214.39999999997</v>
      </c>
      <c r="E131" s="106">
        <f>SUM(M$6:M$19)+SUM(O$6:O$19)+SUM(Q$6:Q$19)+SUM(S$6:S$19)</f>
        <v>585711.6</v>
      </c>
      <c r="F131" s="106">
        <f>SUM(U$6:U$19)+SUM(W$6:W$19)+SUM(Y$6:Y$19)+SUM(AA$6:AA$19)</f>
        <v>531495.6</v>
      </c>
      <c r="G131" s="106">
        <f>SUM(AC$6:AC$19)+SUM(AE$6:AE$19)+SUM(AG$6:AG$19)+SUM(AI$6:AI$19)</f>
        <v>555825.6</v>
      </c>
      <c r="H131" s="106">
        <f>SUM(AK$6:AK$19)+SUM(AM$6:AM$19)+SUM(AO$6:AO$19)+SUM(AQ$6:AQ$19)</f>
        <v>586534.80000000005</v>
      </c>
      <c r="I131" s="106">
        <f>SUM(AS$6:AS$19)+SUM(AU$6:AU$19)+SUM(AW$6:AW$19)+SUM(AY$6:AY$19)</f>
        <v>633660.45899794553</v>
      </c>
      <c r="J131" s="106">
        <f>SUM(BA$6:BA$19)+SUM(BC$6:BC$19)+SUM(BE$6:BE$19)+SUM(BG$6:BG$19)</f>
        <v>658864.79999999993</v>
      </c>
      <c r="K131" s="106">
        <f>SUM(BI$6:BI$19)+SUM(BK$6:BK$19)+SUM(BM$6:BM$19)+SUM(BO$6:BO$19)</f>
        <v>587265.42518911697</v>
      </c>
      <c r="L131" s="106">
        <f>SUM(BQ$6:BQ$19)+SUM(BS$6:BS$19)+SUM(BU$6:BU$19)+SUM(BW$6:BW$19)</f>
        <v>619200.33684603451</v>
      </c>
      <c r="M131" s="106">
        <f>SUM(BY$6:BY$19)+SUM(CA$6:CA$19)+SUM(CC$6:CC$19)+SUM(CE$6:CE$19)</f>
        <v>732213.1091500076</v>
      </c>
      <c r="N131" s="106">
        <f>SUM(CG$6:CG$19)+SUM(CI$6:CI$19)+SUM(CK$6:CK$19)+SUM(CM$6:CM$19)</f>
        <v>592964.49179387349</v>
      </c>
      <c r="O131" s="106">
        <f>SUM(CO$6:CO$19)+SUM(CQ$6:CQ$19)+SUM(CS$6:CS$19)+SUM(CU$6:CU$19)</f>
        <v>569939.42477399134</v>
      </c>
    </row>
    <row r="132" spans="2:15">
      <c r="C132" s="105" t="s">
        <v>127</v>
      </c>
      <c r="D132" s="106">
        <f>SUM(E$20:E$36)+SUM(G$20:G$36)+SUM(I$20:I$36)+SUM(K$20:K$36)</f>
        <v>539976</v>
      </c>
      <c r="E132" s="106">
        <f>SUM(M$20:M$36)+SUM(O$20:O$36)+SUM(Q$20:Q$36)+SUM(S$20:S$36)</f>
        <v>565693.19999999995</v>
      </c>
      <c r="F132" s="106">
        <f>SUM(U$20:U$36)+SUM(W$20:W$36)+SUM(Y$20:Y$36)+SUM(AA$20:AA$36)</f>
        <v>633079.19999999995</v>
      </c>
      <c r="G132" s="106">
        <f>SUM(AC$20:AC$36)+SUM(AE$20:AE$36)+SUM(AG$20:AG$36)+SUM(AI$20:AI$36)</f>
        <v>551820</v>
      </c>
      <c r="H132" s="106">
        <f>SUM(AK$20:AK$36)+SUM(AM$20:AM$36)+SUM(AO$20:AO$36)+SUM(AQ$20:AQ$36)</f>
        <v>619939.19999999995</v>
      </c>
      <c r="I132" s="106">
        <f>SUM(AS$20:AS$36)+SUM(AU$20:AU$36)+SUM(AW$20:AW$36)+SUM(AY$20:AY$36)</f>
        <v>667861.15915774833</v>
      </c>
      <c r="J132" s="106">
        <f>SUM(BA$20:BA$36)+SUM(BC$20:BC$36)+SUM(BE$20:BE$36)+SUM(BG$20:BG$36)</f>
        <v>650846.4</v>
      </c>
      <c r="K132" s="106">
        <f>SUM(BI$20:BI$36)+SUM(BK$20:BK$36)+SUM(BM$20:BM$36)+SUM(BO$20:BO$36)</f>
        <v>724781.02642742835</v>
      </c>
      <c r="L132" s="106">
        <f>SUM(BQ$20:BQ$36)+SUM(BS$20:BS$36)+SUM(BU$20:BU$36)+SUM(BW$20:BW$36)</f>
        <v>635719.63355707924</v>
      </c>
      <c r="M132" s="106">
        <f>SUM(BY$20:BY$36)+SUM(CA$20:CA$36)+SUM(CC$20:CC$36)+SUM(CE$20:CE$36)</f>
        <v>535382.3735702422</v>
      </c>
      <c r="N132" s="106">
        <f>SUM(CG$20:CG$36)+SUM(CI$20:CI$36)+SUM(CK$20:CK$36)+SUM(CM$20:CM$36)</f>
        <v>656327.01265939092</v>
      </c>
      <c r="O132" s="106">
        <f>SUM(CO$20:CO$36)+SUM(CQ$20:CQ$36)+SUM(CS$20:CS$36)+SUM(CU$20:CU$36)</f>
        <v>675887.97937748418</v>
      </c>
    </row>
    <row r="133" spans="2:15">
      <c r="C133" s="105" t="s">
        <v>128</v>
      </c>
      <c r="D133" s="106">
        <f>SUM(E$37:E$48)+SUM(G$37:G$48)+SUM(I$37:I$48)+SUM(K$37:K$48)</f>
        <v>623268</v>
      </c>
      <c r="E133" s="106">
        <f>SUM(M$37:M$48)+SUM(O$37:O$48)+SUM(Q$37:Q$48)+SUM(S$37:S$48)</f>
        <v>685464</v>
      </c>
      <c r="F133" s="106">
        <f>SUM(U$37:U$48)+SUM(W$37:W$48)+SUM(Y$37:Y$48)+SUM(AA$37:AA$48)</f>
        <v>644085.59999999986</v>
      </c>
      <c r="G133" s="106">
        <f>SUM(AC$37:AC$48)+SUM(AE$37:AE$48)+SUM(AG$37:AG$48)+SUM(AI$37:AI$48)</f>
        <v>662565.60000000009</v>
      </c>
      <c r="H133" s="106">
        <f>SUM(AK$37:AK$48)+SUM(AM$37:AM$48)+SUM(AO$37:AO$48)+SUM(AQ$37:AQ$48)</f>
        <v>684388.8</v>
      </c>
      <c r="I133" s="106">
        <f>SUM(AS$37:AS$48)+SUM(AU$37:AU$48)+SUM(AW$37:AW$48)+SUM(AY$37:AY$48)</f>
        <v>643733.75000536151</v>
      </c>
      <c r="J133" s="106">
        <f>SUM(BA$37:BA$48)+SUM(BC$37:BC$48)+SUM(BE$37:BE$48)+SUM(BG$37:BG$48)</f>
        <v>823465.2</v>
      </c>
      <c r="K133" s="106">
        <f>SUM(BI$37:BI$48)+SUM(BK$37:BK$48)+SUM(BM$37:BM$48)+SUM(BO$37:BO$48)</f>
        <v>683914.72097126767</v>
      </c>
      <c r="L133" s="106">
        <f>SUM(BQ$37:BQ$48)+SUM(BS$37:BS$48)+SUM(BU$37:BU$48)+SUM(BW$37:BW$48)</f>
        <v>556563.91323167575</v>
      </c>
      <c r="M133" s="106">
        <f>SUM(BY$37:BY$48)+SUM(CA$37:CA$48)+SUM(CC$37:CC$48)+SUM(CE$37:CE$48)</f>
        <v>629430.58906613174</v>
      </c>
      <c r="N133" s="106">
        <f>SUM(CG$37:CG$48)+SUM(CI$37:CI$48)+SUM(CK$37:CK$48)+SUM(CM$37:CM$48)</f>
        <v>666612.28061029804</v>
      </c>
      <c r="O133" s="106">
        <f>SUM(CO$37:CO$48)+SUM(CQ$37:CQ$48)+SUM(CS$37:CS$48)+SUM(CU$37:CU$48)</f>
        <v>726298.72013667237</v>
      </c>
    </row>
    <row r="134" spans="2:15">
      <c r="C134" s="105" t="s">
        <v>129</v>
      </c>
      <c r="D134" s="106">
        <f>SUM(E$49:E$70)+SUM(G$49:G$70)+SUM(I$49:I$70)+SUM(K$49:K$70)</f>
        <v>987564.00000000023</v>
      </c>
      <c r="E134" s="106">
        <f>SUM(M$49:M$70)+SUM(O$49:O$70)+SUM(Q$49:Q$70)+SUM(S$49:S$70)</f>
        <v>1018918.7999999998</v>
      </c>
      <c r="F134" s="106">
        <f>SUM(U$49:U$70)+SUM(W$49:W$70)+SUM(Y$49:Y$70)+SUM(AA$49:AA$70)</f>
        <v>1032628.8</v>
      </c>
      <c r="G134" s="106">
        <f>SUM(AC$49:AC$70)+SUM(AE$49:AE$70)+SUM(AG$49:AG$70)+SUM(AI$49:AI$70)</f>
        <v>895982.4</v>
      </c>
      <c r="H134" s="106">
        <f>SUM(AK$49:AK$70)+SUM(AM$49:AM$70)+SUM(AO$49:AO$70)+SUM(AQ$49:AQ$70)</f>
        <v>958263.66211088584</v>
      </c>
      <c r="I134" s="106">
        <f>SUM(AS$49:AS$70)+SUM(AU$49:AU$70)+SUM(AW$49:AW$70)+SUM(AY$49:AY$70)</f>
        <v>809931.45190002408</v>
      </c>
      <c r="J134" s="106">
        <f>SUM(BA$49:BA$70)+SUM(BC$49:BC$70)+SUM(BE$49:BE$70)+SUM(BG$49:BG$70)</f>
        <v>889593.01517758938</v>
      </c>
      <c r="K134" s="106">
        <f>SUM(BI$49:BI$70)+SUM(BK$49:BK$70)+SUM(BM$49:BM$70)+SUM(BO$49:BO$70)</f>
        <v>950979.41605851531</v>
      </c>
      <c r="L134" s="106">
        <f>SUM(BQ$49:BQ$70)+SUM(BS$49:BS$70)+SUM(BU$49:BU$70)+SUM(BW$49:BW$70)</f>
        <v>965148.24477872381</v>
      </c>
      <c r="M134" s="106">
        <f>SUM(BY$49:BY$70)+SUM(CA$49:CA$70)+SUM(CC$49:CC$70)+SUM(CE$49:CE$70)</f>
        <v>929295.39685380482</v>
      </c>
      <c r="N134" s="106">
        <f>SUM(CG$49:CG$70)+SUM(CI$49:CI$70)+SUM(CK$49:CK$70)+SUM(CM$49:CM$70)</f>
        <v>781724.62273046502</v>
      </c>
      <c r="O134" s="106">
        <f>SUM(CO$49:CO$70)+SUM(CQ$49:CQ$70)+SUM(CS$49:CS$70)+SUM(CU$49:CU$70)</f>
        <v>744173.90093172505</v>
      </c>
    </row>
    <row r="135" spans="2:15">
      <c r="C135" s="105" t="s">
        <v>130</v>
      </c>
      <c r="D135" s="106">
        <f>SUM(E$71:E$86)+SUM(G$71:G$86)+SUM(I$71:I$86)+SUM(K$71:K$86)</f>
        <v>212614.8</v>
      </c>
      <c r="E135" s="106">
        <f>SUM(M$71:M$86)+SUM(O$71:O$86)+SUM(Q$71:Q$86)+SUM(S$71:S$86)</f>
        <v>282635.99999999994</v>
      </c>
      <c r="F135" s="106">
        <f>SUM(U$71:U$86)+SUM(W$71:W$86)+SUM(Y$71:Y$86)+SUM(AA$71:AA$86)</f>
        <v>255949.19999999998</v>
      </c>
      <c r="G135" s="106">
        <f>SUM(AC$71:AC$86)+SUM(AE$71:AE$86)+SUM(AG$71:AG$86)+SUM(AI$71:AI$86)</f>
        <v>286237.2</v>
      </c>
      <c r="H135" s="106">
        <f>SUM(AK$71:AK$86)+SUM(AM$71:AM$86)+SUM(AO$71:AO$86)+SUM(AQ$71:AQ$86)</f>
        <v>276775.56780254189</v>
      </c>
      <c r="I135" s="106">
        <f>SUM(AS$71:AS$86)+SUM(AU$71:AU$86)+SUM(AW$71:AW$86)+SUM(AY$71:AY$86)</f>
        <v>240404.1103608995</v>
      </c>
      <c r="J135" s="106">
        <f>SUM(BA$71:BA$86)+SUM(BC$71:BC$86)+SUM(BE$71:BE$86)+SUM(BG$71:BG$86)</f>
        <v>230631.54348469025</v>
      </c>
      <c r="K135" s="106">
        <f>SUM(BI$71:BI$86)+SUM(BK$71:BK$86)+SUM(BM$71:BM$86)+SUM(BO$71:BO$86)</f>
        <v>237330.13571242074</v>
      </c>
      <c r="L135" s="106">
        <f>SUM(BQ$71:BQ$86)+SUM(BS$71:BS$86)+SUM(BU$71:BU$86)+SUM(BW$71:BW$86)</f>
        <v>227074.04900046662</v>
      </c>
      <c r="M135" s="106">
        <f>SUM(BY$71:BY$86)+SUM(CA$71:CA$86)+SUM(CC$71:CC$86)+SUM(CE$71:CE$86)</f>
        <v>215813.6333333333</v>
      </c>
      <c r="N135" s="106">
        <f>SUM(CG$71:CG$86)+SUM(CI$71:CI$86)+SUM(CK$71:CK$86)+SUM(CM$71:CM$86)</f>
        <v>4196.6836363636367</v>
      </c>
      <c r="O135" s="106">
        <f>SUM(CO$71:CO$86)+SUM(CQ$71:CQ$86)+SUM(CS$71:CS$86)+SUM(CU$71:CU$86)</f>
        <v>239888.36313900616</v>
      </c>
    </row>
    <row r="136" spans="2:15">
      <c r="C136" s="105" t="s">
        <v>131</v>
      </c>
      <c r="D136" s="106">
        <f>SUM(E$87:E$94)+SUM(G$87:G$94)+SUM(I$87:I$94)+SUM(K$87:K$94)</f>
        <v>261798</v>
      </c>
      <c r="E136" s="106">
        <f>SUM(M$87:M$94)+SUM(O$87:O$94)+SUM(Q$87:Q$94)+SUM(S$87:S$94)</f>
        <v>279673.2</v>
      </c>
      <c r="F136" s="106">
        <f>SUM(U$87:U$94)+SUM(W$87:W$94)+SUM(Y$87:Y$94)+SUM(AA$87:AA$94)</f>
        <v>291910.80000000005</v>
      </c>
      <c r="G136" s="106">
        <f>SUM(AC$87:AC$94)+SUM(AE$87:AE$94)+SUM(AG$87:AG$94)+SUM(AI$87:AI$94)</f>
        <v>244538.40000000002</v>
      </c>
      <c r="H136" s="106">
        <f>SUM(AK$87:AK$94)+SUM(AM$87:AM$94)+SUM(AO$87:AO$94)+SUM(AQ$87:AQ$94)</f>
        <v>251323.19999999995</v>
      </c>
      <c r="I136" s="106">
        <f>SUM(AS$87:AS$94)+SUM(AU$87:AU$94)+SUM(AW$87:AW$94)+SUM(AY$87:AY$94)</f>
        <v>307174.8</v>
      </c>
      <c r="J136" s="106">
        <f>SUM(BA$87:BA$94)+SUM(BC$87:BC$94)+SUM(BE$87:BE$94)+SUM(BG$87:BG$94)</f>
        <v>285147.59999999998</v>
      </c>
      <c r="K136" s="106">
        <f>SUM(BI$87:BI$94)+SUM(BK$87:BK$94)+SUM(BM$87:BM$94)+SUM(BO$87:BO$94)</f>
        <v>239396.4</v>
      </c>
      <c r="L136" s="106">
        <f>SUM(BQ$87:BQ$94)+SUM(BS$87:BS$94)+SUM(BU$87:BU$94)+SUM(BW$87:BW$94)</f>
        <v>309312</v>
      </c>
      <c r="M136" s="106">
        <f>SUM(BY$87:BY$94)+SUM(CA$87:CA$94)+SUM(CC$87:CC$94)+SUM(CE$87:CE$94)</f>
        <v>273142.8</v>
      </c>
      <c r="N136" s="106">
        <f>SUM(CG$87:CG$94)+SUM(CI$87:CI$94)+SUM(CK$87:CK$94)+SUM(CM$87:CM$94)</f>
        <v>288934.80000000005</v>
      </c>
      <c r="O136" s="106">
        <f>SUM(CO$87:CO$94)+SUM(CQ$87:CQ$94)+SUM(CS$87:CS$94)+SUM(CU$87:CU$94)</f>
        <v>275542.8</v>
      </c>
    </row>
    <row r="137" spans="2:15">
      <c r="C137" s="105" t="s">
        <v>132</v>
      </c>
      <c r="D137" s="106">
        <f>SUM(E$95:E$105)+SUM(G$95:G$105)+SUM(I$95:I$105)+SUM(K$95:K$105)</f>
        <v>297086.40000000002</v>
      </c>
      <c r="E137" s="106">
        <f>SUM(M$95:M$105)+SUM(O$95:O$105)+SUM(Q$95:Q$105)+SUM(S$95:S$105)</f>
        <v>353253.6</v>
      </c>
      <c r="F137" s="106">
        <f>SUM(U$95:U$105)+SUM(W$95:W$105)+SUM(Y$95:Y$105)+SUM(AA$95:AA$105)</f>
        <v>276624</v>
      </c>
      <c r="G137" s="106">
        <f>SUM(AC$95:AC$105)+SUM(AE$95:AE$105)+SUM(AG$95:AG$105)+SUM(AI$95:AI$105)</f>
        <v>276985.2</v>
      </c>
      <c r="H137" s="106">
        <f>SUM(AK$95:AK$105)+SUM(AM$95:AM$105)+SUM(AO$95:AO$105)+SUM(AQ$95:AQ$105)</f>
        <v>288349.19999999995</v>
      </c>
      <c r="I137" s="106">
        <f>SUM(AS$95:AS$105)+SUM(AU$95:AU$105)+SUM(AW$95:AW$105)+SUM(AY$95:AY$105)</f>
        <v>220657.2</v>
      </c>
      <c r="J137" s="106">
        <f>SUM(BA$95:BA$105)+SUM(BC$95:BC$105)+SUM(BE$95:BE$105)+SUM(BG$95:BG$105)</f>
        <v>327471.59999999998</v>
      </c>
      <c r="K137" s="106">
        <f>SUM(BI$95:BI$105)+SUM(BK$95:BK$105)+SUM(BM$95:BM$105)+SUM(BO$95:BO$105)</f>
        <v>261319.2</v>
      </c>
      <c r="L137" s="106">
        <f>SUM(BQ$95:BQ$105)+SUM(BS$95:BS$105)+SUM(BU$95:BU$105)+SUM(BW$95:BW$105)</f>
        <v>346095.6</v>
      </c>
      <c r="M137" s="106">
        <f>SUM(BY$95:BY$105)+SUM(CA$95:CA$105)+SUM(CC$95:CC$105)+SUM(CE$95:CE$105)</f>
        <v>296930.39999999997</v>
      </c>
      <c r="N137" s="106">
        <f>SUM(CG$95:CG$105)+SUM(CI$95:CI$105)+SUM(CK$95:CK$105)+SUM(CM$95:CM$105)</f>
        <v>314815.2</v>
      </c>
      <c r="O137" s="106">
        <f>SUM(CO$95:CO$105)+SUM(CQ$95:CQ$105)+SUM(CS$95:CS$105)+SUM(CU$95:CU$105)</f>
        <v>318841.19999999995</v>
      </c>
    </row>
    <row r="138" spans="2:15">
      <c r="C138" s="105" t="s">
        <v>278</v>
      </c>
      <c r="D138" s="100">
        <f t="shared" ref="D138:O138" si="2">SUM(D$131:D$137)</f>
        <v>3367521.6</v>
      </c>
      <c r="E138" s="100">
        <f t="shared" si="2"/>
        <v>3771350.4</v>
      </c>
      <c r="F138" s="100">
        <f t="shared" si="2"/>
        <v>3665773.2</v>
      </c>
      <c r="G138" s="100">
        <f t="shared" si="2"/>
        <v>3473954.4000000004</v>
      </c>
      <c r="H138" s="100">
        <f t="shared" si="2"/>
        <v>3665574.4299134277</v>
      </c>
      <c r="I138" s="100">
        <f t="shared" si="2"/>
        <v>3523422.9304219787</v>
      </c>
      <c r="J138" s="100">
        <f t="shared" si="2"/>
        <v>3866020.1586622796</v>
      </c>
      <c r="K138" s="100">
        <f t="shared" si="2"/>
        <v>3684986.3243587487</v>
      </c>
      <c r="L138" s="100">
        <f t="shared" si="2"/>
        <v>3659113.7774139801</v>
      </c>
      <c r="M138" s="100">
        <f t="shared" si="2"/>
        <v>3612208.3019735194</v>
      </c>
      <c r="N138" s="100">
        <f t="shared" si="2"/>
        <v>3305575.0914303912</v>
      </c>
      <c r="O138" s="100">
        <f t="shared" si="2"/>
        <v>3550572.3883588789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7</v>
      </c>
      <c r="G6" s="100">
        <v>4048.7999999999997</v>
      </c>
      <c r="H6" s="100">
        <v>8</v>
      </c>
      <c r="I6" s="100">
        <v>4627.2</v>
      </c>
      <c r="J6" s="100">
        <v>4.3988569062346299</v>
      </c>
      <c r="K6" s="100">
        <v>2544.2988345661097</v>
      </c>
      <c r="L6" s="100">
        <v>8</v>
      </c>
      <c r="M6" s="100">
        <v>4627.2</v>
      </c>
      <c r="N6" s="100">
        <v>8</v>
      </c>
      <c r="O6" s="100">
        <v>4627.2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10</v>
      </c>
      <c r="U6" s="100">
        <v>5784</v>
      </c>
      <c r="V6" s="100">
        <v>5.5096475257853781</v>
      </c>
      <c r="W6" s="100">
        <v>3186.7801289142626</v>
      </c>
      <c r="X6" s="100">
        <v>11</v>
      </c>
      <c r="Y6" s="100">
        <v>6362.4</v>
      </c>
      <c r="Z6" s="100">
        <v>6.3540083668733267</v>
      </c>
      <c r="AA6" s="100">
        <v>3675.1584393995322</v>
      </c>
      <c r="AB6" s="100">
        <v>9</v>
      </c>
      <c r="AC6" s="100">
        <v>5205.5999999999995</v>
      </c>
      <c r="AD6" s="100">
        <v>6</v>
      </c>
      <c r="AE6" s="100">
        <v>3470.3999999999996</v>
      </c>
      <c r="AF6" s="100">
        <v>10.59099761675197</v>
      </c>
      <c r="AG6" s="100">
        <v>6125.833021529339</v>
      </c>
      <c r="AH6" s="100">
        <v>6</v>
      </c>
      <c r="AI6" s="100">
        <v>3470.3999999999996</v>
      </c>
      <c r="AJ6" s="100">
        <v>8.4840888729207506</v>
      </c>
      <c r="AK6" s="100">
        <v>4907.197004097362</v>
      </c>
      <c r="AL6" s="100">
        <v>9</v>
      </c>
      <c r="AM6" s="100">
        <v>5205.5999999999995</v>
      </c>
      <c r="AN6" s="100">
        <v>8</v>
      </c>
      <c r="AO6" s="100">
        <v>4627.2</v>
      </c>
      <c r="AP6" s="100">
        <v>2.9466814005136088</v>
      </c>
      <c r="AQ6" s="100">
        <v>1704.3605220570712</v>
      </c>
      <c r="AR6" s="100">
        <v>10</v>
      </c>
      <c r="AS6" s="100">
        <v>5784</v>
      </c>
      <c r="AT6" s="100">
        <v>9</v>
      </c>
      <c r="AU6" s="100">
        <v>5205.5999999999995</v>
      </c>
      <c r="AV6" s="100">
        <v>8</v>
      </c>
      <c r="AW6" s="100">
        <v>4627.2</v>
      </c>
      <c r="AX6" s="100">
        <v>3.5869379585882508</v>
      </c>
      <c r="AY6" s="100">
        <v>2074.6849152474442</v>
      </c>
      <c r="AZ6" s="100">
        <v>7</v>
      </c>
      <c r="BA6" s="100">
        <v>4048.7999999999997</v>
      </c>
      <c r="BB6" s="100">
        <v>5.4448734991564365</v>
      </c>
      <c r="BC6" s="100">
        <v>3149.3148319120828</v>
      </c>
      <c r="BD6" s="100">
        <v>9.0157578426480001</v>
      </c>
      <c r="BE6" s="100">
        <v>5214.7143361876033</v>
      </c>
      <c r="BF6" s="100">
        <v>6.9727381607480377</v>
      </c>
      <c r="BG6" s="100">
        <v>4033.0317521766647</v>
      </c>
      <c r="BH6" s="100">
        <v>7</v>
      </c>
      <c r="BI6" s="100">
        <v>4048.7999999999997</v>
      </c>
      <c r="BJ6" s="100">
        <v>9</v>
      </c>
      <c r="BK6" s="100">
        <v>5205.5999999999995</v>
      </c>
      <c r="BL6" s="100">
        <v>10</v>
      </c>
      <c r="BM6" s="100">
        <v>5784</v>
      </c>
      <c r="BN6" s="100">
        <v>8</v>
      </c>
      <c r="BO6" s="100">
        <v>4627.2</v>
      </c>
      <c r="BP6" s="100">
        <v>10</v>
      </c>
      <c r="BQ6" s="100">
        <v>5784</v>
      </c>
      <c r="BR6" s="100">
        <v>2.7262735417366626</v>
      </c>
      <c r="BS6" s="100">
        <v>1576.8766165404857</v>
      </c>
      <c r="BT6" s="100">
        <v>8</v>
      </c>
      <c r="BU6" s="100">
        <v>4627.2</v>
      </c>
      <c r="BV6" s="100">
        <v>10</v>
      </c>
      <c r="BW6" s="100">
        <v>5784</v>
      </c>
      <c r="BX6" s="100">
        <v>9</v>
      </c>
      <c r="BY6" s="100">
        <v>5205.5999999999995</v>
      </c>
      <c r="BZ6" s="100">
        <v>11</v>
      </c>
      <c r="CA6" s="100">
        <v>6362.4</v>
      </c>
      <c r="CB6" s="100">
        <v>11</v>
      </c>
      <c r="CC6" s="100">
        <v>6362.4</v>
      </c>
      <c r="CD6" s="100">
        <v>0.51868693055430126</v>
      </c>
      <c r="CE6" s="100">
        <v>300.00852063260783</v>
      </c>
      <c r="CF6" s="100">
        <v>8</v>
      </c>
      <c r="CG6" s="100">
        <v>4627.2</v>
      </c>
      <c r="CH6" s="100">
        <v>11</v>
      </c>
      <c r="CI6" s="100">
        <v>6362.4</v>
      </c>
      <c r="CJ6" s="100">
        <v>12</v>
      </c>
      <c r="CK6" s="100">
        <v>6940.7999999999993</v>
      </c>
      <c r="CL6" s="100">
        <v>6.7347604033774973</v>
      </c>
      <c r="CM6" s="100">
        <v>3895.3854173135442</v>
      </c>
      <c r="CN6" s="100">
        <v>9</v>
      </c>
      <c r="CO6" s="100">
        <v>5205.5999999999995</v>
      </c>
      <c r="CP6" s="100">
        <v>10</v>
      </c>
      <c r="CQ6" s="100">
        <v>5784</v>
      </c>
      <c r="CR6" s="100">
        <v>11</v>
      </c>
      <c r="CS6" s="100">
        <v>6362.4</v>
      </c>
      <c r="CT6" s="100">
        <v>11.257083481928998</v>
      </c>
      <c r="CU6" s="100">
        <v>6511.097085947732</v>
      </c>
    </row>
    <row r="7" spans="1:99">
      <c r="C7" s="99" t="s">
        <v>173</v>
      </c>
      <c r="D7" s="100">
        <v>9</v>
      </c>
      <c r="E7" s="100">
        <v>7095.5999999999995</v>
      </c>
      <c r="F7" s="100">
        <v>8</v>
      </c>
      <c r="G7" s="100">
        <v>6307.2</v>
      </c>
      <c r="H7" s="100">
        <v>7</v>
      </c>
      <c r="I7" s="100">
        <v>5518.8</v>
      </c>
      <c r="J7" s="100">
        <v>4.3988569062346299</v>
      </c>
      <c r="K7" s="100">
        <v>3468.0587848753821</v>
      </c>
      <c r="L7" s="100">
        <v>8</v>
      </c>
      <c r="M7" s="100">
        <v>6307.2</v>
      </c>
      <c r="N7" s="100">
        <v>8</v>
      </c>
      <c r="O7" s="100">
        <v>6307.2</v>
      </c>
      <c r="P7" s="100">
        <v>6</v>
      </c>
      <c r="Q7" s="100">
        <v>4730.3999999999996</v>
      </c>
      <c r="R7" s="100">
        <v>7</v>
      </c>
      <c r="S7" s="100">
        <v>5518.8</v>
      </c>
      <c r="T7" s="100">
        <v>9</v>
      </c>
      <c r="U7" s="100">
        <v>7095.5999999999995</v>
      </c>
      <c r="V7" s="100">
        <v>5.5096475257853781</v>
      </c>
      <c r="W7" s="100">
        <v>4343.8061093291917</v>
      </c>
      <c r="X7" s="100">
        <v>10</v>
      </c>
      <c r="Y7" s="100">
        <v>7884</v>
      </c>
      <c r="Z7" s="100">
        <v>6.3540083668733267</v>
      </c>
      <c r="AA7" s="100">
        <v>5009.5001964429302</v>
      </c>
      <c r="AB7" s="100">
        <v>11</v>
      </c>
      <c r="AC7" s="100">
        <v>8672.4</v>
      </c>
      <c r="AD7" s="100">
        <v>6</v>
      </c>
      <c r="AE7" s="100">
        <v>4730.3999999999996</v>
      </c>
      <c r="AF7" s="100">
        <v>9.7084144820226399</v>
      </c>
      <c r="AG7" s="100">
        <v>7654.1139776266491</v>
      </c>
      <c r="AH7" s="100">
        <v>6</v>
      </c>
      <c r="AI7" s="100">
        <v>4730.3999999999996</v>
      </c>
      <c r="AJ7" s="100">
        <v>8.4840888729207506</v>
      </c>
      <c r="AK7" s="100">
        <v>6688.8556674107194</v>
      </c>
      <c r="AL7" s="100">
        <v>9</v>
      </c>
      <c r="AM7" s="100">
        <v>7095.5999999999995</v>
      </c>
      <c r="AN7" s="100">
        <v>8</v>
      </c>
      <c r="AO7" s="100">
        <v>6307.2</v>
      </c>
      <c r="AP7" s="100">
        <v>2.9466814005136088</v>
      </c>
      <c r="AQ7" s="100">
        <v>2323.163616164929</v>
      </c>
      <c r="AR7" s="100">
        <v>9</v>
      </c>
      <c r="AS7" s="100">
        <v>7095.5999999999995</v>
      </c>
      <c r="AT7" s="100">
        <v>9</v>
      </c>
      <c r="AU7" s="100">
        <v>7095.5999999999995</v>
      </c>
      <c r="AV7" s="100">
        <v>8</v>
      </c>
      <c r="AW7" s="100">
        <v>6307.2</v>
      </c>
      <c r="AX7" s="100">
        <v>3.5869379585882508</v>
      </c>
      <c r="AY7" s="100">
        <v>2827.941886550977</v>
      </c>
      <c r="AZ7" s="100">
        <v>7</v>
      </c>
      <c r="BA7" s="100">
        <v>5518.8</v>
      </c>
      <c r="BB7" s="100">
        <v>5.4448734991564365</v>
      </c>
      <c r="BC7" s="100">
        <v>4292.7382667349348</v>
      </c>
      <c r="BD7" s="100">
        <v>7.2126062741184009</v>
      </c>
      <c r="BE7" s="100">
        <v>5686.418786514947</v>
      </c>
      <c r="BF7" s="100">
        <v>6.1011458906545322</v>
      </c>
      <c r="BG7" s="100">
        <v>4810.1434201920329</v>
      </c>
      <c r="BH7" s="100">
        <v>8</v>
      </c>
      <c r="BI7" s="100">
        <v>6307.2</v>
      </c>
      <c r="BJ7" s="100">
        <v>10</v>
      </c>
      <c r="BK7" s="100">
        <v>7884</v>
      </c>
      <c r="BL7" s="100">
        <v>10</v>
      </c>
      <c r="BM7" s="100">
        <v>7884</v>
      </c>
      <c r="BN7" s="100">
        <v>7</v>
      </c>
      <c r="BO7" s="100">
        <v>5518.8</v>
      </c>
      <c r="BP7" s="100">
        <v>11</v>
      </c>
      <c r="BQ7" s="100">
        <v>8672.4</v>
      </c>
      <c r="BR7" s="100">
        <v>2.9741165909854499</v>
      </c>
      <c r="BS7" s="100">
        <v>2344.7935203329284</v>
      </c>
      <c r="BT7" s="100">
        <v>8</v>
      </c>
      <c r="BU7" s="100">
        <v>6307.2</v>
      </c>
      <c r="BV7" s="100">
        <v>11</v>
      </c>
      <c r="BW7" s="100">
        <v>8672.4</v>
      </c>
      <c r="BX7" s="100">
        <v>8</v>
      </c>
      <c r="BY7" s="100">
        <v>6307.2</v>
      </c>
      <c r="BZ7" s="100">
        <v>10</v>
      </c>
      <c r="CA7" s="100">
        <v>7884</v>
      </c>
      <c r="CB7" s="100">
        <v>11</v>
      </c>
      <c r="CC7" s="100">
        <v>8672.4</v>
      </c>
      <c r="CD7" s="100">
        <v>0.51868693055430126</v>
      </c>
      <c r="CE7" s="100">
        <v>408.93277604901112</v>
      </c>
      <c r="CF7" s="100">
        <v>7</v>
      </c>
      <c r="CG7" s="100">
        <v>5518.8</v>
      </c>
      <c r="CH7" s="100">
        <v>12</v>
      </c>
      <c r="CI7" s="100">
        <v>9460.7999999999993</v>
      </c>
      <c r="CJ7" s="100">
        <v>12</v>
      </c>
      <c r="CK7" s="100">
        <v>9460.7999999999993</v>
      </c>
      <c r="CL7" s="100">
        <v>6.7347604033774973</v>
      </c>
      <c r="CM7" s="100">
        <v>5309.6851020228187</v>
      </c>
      <c r="CN7" s="100">
        <v>11</v>
      </c>
      <c r="CO7" s="100">
        <v>8672.4</v>
      </c>
      <c r="CP7" s="100">
        <v>10</v>
      </c>
      <c r="CQ7" s="100">
        <v>7884</v>
      </c>
      <c r="CR7" s="100">
        <v>12</v>
      </c>
      <c r="CS7" s="100">
        <v>9460.7999999999993</v>
      </c>
      <c r="CT7" s="100">
        <v>9.5252244847091525</v>
      </c>
      <c r="CU7" s="100">
        <v>7509.6869837446957</v>
      </c>
    </row>
    <row r="8" spans="1:99">
      <c r="C8" s="99" t="s">
        <v>174</v>
      </c>
      <c r="D8" s="100">
        <v>8</v>
      </c>
      <c r="E8" s="100">
        <v>2476.7999999999997</v>
      </c>
      <c r="F8" s="100">
        <v>8</v>
      </c>
      <c r="G8" s="100">
        <v>2476.7999999999997</v>
      </c>
      <c r="H8" s="100">
        <v>7</v>
      </c>
      <c r="I8" s="100">
        <v>2167.1999999999998</v>
      </c>
      <c r="J8" s="100">
        <v>3.7704487767725401</v>
      </c>
      <c r="K8" s="100">
        <v>1167.3309412887784</v>
      </c>
      <c r="L8" s="100">
        <v>9</v>
      </c>
      <c r="M8" s="100">
        <v>2786.3999999999996</v>
      </c>
      <c r="N8" s="100">
        <v>8</v>
      </c>
      <c r="O8" s="100">
        <v>2476.7999999999997</v>
      </c>
      <c r="P8" s="100">
        <v>7</v>
      </c>
      <c r="Q8" s="100">
        <v>2167.1999999999998</v>
      </c>
      <c r="R8" s="100">
        <v>7</v>
      </c>
      <c r="S8" s="100">
        <v>2167.1999999999998</v>
      </c>
      <c r="T8" s="100">
        <v>10</v>
      </c>
      <c r="U8" s="100">
        <v>3095.9999999999995</v>
      </c>
      <c r="V8" s="100">
        <v>5.5096475257853781</v>
      </c>
      <c r="W8" s="100">
        <v>1705.7868739831529</v>
      </c>
      <c r="X8" s="100">
        <v>10</v>
      </c>
      <c r="Y8" s="100">
        <v>3095.9999999999995</v>
      </c>
      <c r="Z8" s="100">
        <v>5.4462928858914239</v>
      </c>
      <c r="AA8" s="100">
        <v>1686.1722774719847</v>
      </c>
      <c r="AB8" s="100">
        <v>10</v>
      </c>
      <c r="AC8" s="100">
        <v>3095.9999999999995</v>
      </c>
      <c r="AD8" s="100">
        <v>6</v>
      </c>
      <c r="AE8" s="100">
        <v>1857.6</v>
      </c>
      <c r="AF8" s="100">
        <v>9.7084144820226399</v>
      </c>
      <c r="AG8" s="100">
        <v>3005.725123634209</v>
      </c>
      <c r="AH8" s="100">
        <v>6</v>
      </c>
      <c r="AI8" s="100">
        <v>1857.6</v>
      </c>
      <c r="AJ8" s="100">
        <v>9.2553696795499114</v>
      </c>
      <c r="AK8" s="100">
        <v>2865.4624527886522</v>
      </c>
      <c r="AL8" s="100">
        <v>9</v>
      </c>
      <c r="AM8" s="100">
        <v>2786.3999999999996</v>
      </c>
      <c r="AN8" s="100">
        <v>8</v>
      </c>
      <c r="AO8" s="100">
        <v>2476.7999999999997</v>
      </c>
      <c r="AP8" s="100">
        <v>2.9466814005136088</v>
      </c>
      <c r="AQ8" s="100">
        <v>912.2925615990132</v>
      </c>
      <c r="AR8" s="100">
        <v>10</v>
      </c>
      <c r="AS8" s="100">
        <v>3095.9999999999995</v>
      </c>
      <c r="AT8" s="100">
        <v>10</v>
      </c>
      <c r="AU8" s="100">
        <v>3095.9999999999995</v>
      </c>
      <c r="AV8" s="100">
        <v>7</v>
      </c>
      <c r="AW8" s="100">
        <v>2167.1999999999998</v>
      </c>
      <c r="AX8" s="100">
        <v>3.5869379585882508</v>
      </c>
      <c r="AY8" s="100">
        <v>1110.5159919789223</v>
      </c>
      <c r="AZ8" s="100">
        <v>8</v>
      </c>
      <c r="BA8" s="100">
        <v>2476.7999999999997</v>
      </c>
      <c r="BB8" s="100">
        <v>5.8986129574194734</v>
      </c>
      <c r="BC8" s="100">
        <v>1826.2105716170688</v>
      </c>
      <c r="BD8" s="100">
        <v>7.2126062741184009</v>
      </c>
      <c r="BE8" s="100">
        <v>2233.0229024670566</v>
      </c>
      <c r="BF8" s="100">
        <v>6.1011458906545322</v>
      </c>
      <c r="BG8" s="100">
        <v>1888.9147677466428</v>
      </c>
      <c r="BH8" s="100">
        <v>7</v>
      </c>
      <c r="BI8" s="100">
        <v>2167.1999999999998</v>
      </c>
      <c r="BJ8" s="100">
        <v>10</v>
      </c>
      <c r="BK8" s="100">
        <v>3095.9999999999995</v>
      </c>
      <c r="BL8" s="100">
        <v>10</v>
      </c>
      <c r="BM8" s="100">
        <v>3095.9999999999995</v>
      </c>
      <c r="BN8" s="100">
        <v>8</v>
      </c>
      <c r="BO8" s="100">
        <v>2476.7999999999997</v>
      </c>
      <c r="BP8" s="100">
        <v>11</v>
      </c>
      <c r="BQ8" s="100">
        <v>3405.5999999999995</v>
      </c>
      <c r="BR8" s="100">
        <v>3.4698026894830254</v>
      </c>
      <c r="BS8" s="100">
        <v>1074.2509126639445</v>
      </c>
      <c r="BT8" s="100">
        <v>7</v>
      </c>
      <c r="BU8" s="100">
        <v>2167.1999999999998</v>
      </c>
      <c r="BV8" s="100">
        <v>12</v>
      </c>
      <c r="BW8" s="100">
        <v>3715.2</v>
      </c>
      <c r="BX8" s="100">
        <v>9</v>
      </c>
      <c r="BY8" s="100">
        <v>2786.3999999999996</v>
      </c>
      <c r="BZ8" s="100">
        <v>10</v>
      </c>
      <c r="CA8" s="100">
        <v>3095.9999999999995</v>
      </c>
      <c r="CB8" s="100">
        <v>11</v>
      </c>
      <c r="CC8" s="100">
        <v>3405.5999999999995</v>
      </c>
      <c r="CD8" s="100">
        <v>0.51868693055430126</v>
      </c>
      <c r="CE8" s="100">
        <v>160.58547369961164</v>
      </c>
      <c r="CF8" s="100">
        <v>9</v>
      </c>
      <c r="CG8" s="100">
        <v>2786.3999999999996</v>
      </c>
      <c r="CH8" s="100">
        <v>12</v>
      </c>
      <c r="CI8" s="100">
        <v>3715.2</v>
      </c>
      <c r="CJ8" s="100">
        <v>12</v>
      </c>
      <c r="CK8" s="100">
        <v>3715.2</v>
      </c>
      <c r="CL8" s="100">
        <v>7.5766054537996839</v>
      </c>
      <c r="CM8" s="100">
        <v>2345.7170484963817</v>
      </c>
      <c r="CN8" s="100">
        <v>9</v>
      </c>
      <c r="CO8" s="100">
        <v>2786.3999999999996</v>
      </c>
      <c r="CP8" s="100">
        <v>9</v>
      </c>
      <c r="CQ8" s="100">
        <v>2786.3999999999996</v>
      </c>
      <c r="CR8" s="100">
        <v>12</v>
      </c>
      <c r="CS8" s="100">
        <v>3715.2</v>
      </c>
      <c r="CT8" s="100">
        <v>10.391153983319075</v>
      </c>
      <c r="CU8" s="100">
        <v>3217.1012732355853</v>
      </c>
    </row>
    <row r="9" spans="1:99">
      <c r="C9" s="99" t="s">
        <v>175</v>
      </c>
      <c r="D9" s="100">
        <v>9</v>
      </c>
      <c r="E9" s="100">
        <v>6318</v>
      </c>
      <c r="F9" s="100">
        <v>8</v>
      </c>
      <c r="G9" s="100">
        <v>5616</v>
      </c>
      <c r="H9" s="100">
        <v>7</v>
      </c>
      <c r="I9" s="100">
        <v>4914</v>
      </c>
      <c r="J9" s="100">
        <v>4.3988569062346299</v>
      </c>
      <c r="K9" s="100">
        <v>3087.9975481767101</v>
      </c>
      <c r="L9" s="100">
        <v>9</v>
      </c>
      <c r="M9" s="100">
        <v>6318</v>
      </c>
      <c r="N9" s="100">
        <v>8</v>
      </c>
      <c r="O9" s="100">
        <v>5616</v>
      </c>
      <c r="P9" s="100">
        <v>7</v>
      </c>
      <c r="Q9" s="100">
        <v>4914</v>
      </c>
      <c r="R9" s="100">
        <v>6</v>
      </c>
      <c r="S9" s="100">
        <v>4212</v>
      </c>
      <c r="T9" s="100">
        <v>10</v>
      </c>
      <c r="U9" s="100">
        <v>7020</v>
      </c>
      <c r="V9" s="100">
        <v>4.7225550221017532</v>
      </c>
      <c r="W9" s="100">
        <v>3315.2336255154305</v>
      </c>
      <c r="X9" s="100">
        <v>11</v>
      </c>
      <c r="Y9" s="100">
        <v>7722</v>
      </c>
      <c r="Z9" s="100">
        <v>6.3540083668733267</v>
      </c>
      <c r="AA9" s="100">
        <v>4460.5138735450755</v>
      </c>
      <c r="AB9" s="100">
        <v>9</v>
      </c>
      <c r="AC9" s="100">
        <v>6318</v>
      </c>
      <c r="AD9" s="100">
        <v>6</v>
      </c>
      <c r="AE9" s="100">
        <v>4212</v>
      </c>
      <c r="AF9" s="100">
        <v>9.7084144820226399</v>
      </c>
      <c r="AG9" s="100">
        <v>6815.3069663798933</v>
      </c>
      <c r="AH9" s="100">
        <v>6</v>
      </c>
      <c r="AI9" s="100">
        <v>4212</v>
      </c>
      <c r="AJ9" s="100">
        <v>9.2553696795499114</v>
      </c>
      <c r="AK9" s="100">
        <v>6497.2695150440377</v>
      </c>
      <c r="AL9" s="100">
        <v>9</v>
      </c>
      <c r="AM9" s="100">
        <v>6318</v>
      </c>
      <c r="AN9" s="100">
        <v>7</v>
      </c>
      <c r="AO9" s="100">
        <v>4914</v>
      </c>
      <c r="AP9" s="100">
        <v>3.2413495405649697</v>
      </c>
      <c r="AQ9" s="100">
        <v>2275.4273774766089</v>
      </c>
      <c r="AR9" s="100">
        <v>11</v>
      </c>
      <c r="AS9" s="100">
        <v>7722</v>
      </c>
      <c r="AT9" s="100">
        <v>8</v>
      </c>
      <c r="AU9" s="100">
        <v>5616</v>
      </c>
      <c r="AV9" s="100">
        <v>8</v>
      </c>
      <c r="AW9" s="100">
        <v>5616</v>
      </c>
      <c r="AX9" s="100">
        <v>3.5869379585882508</v>
      </c>
      <c r="AY9" s="100">
        <v>2518.0304469289522</v>
      </c>
      <c r="AZ9" s="100">
        <v>7</v>
      </c>
      <c r="BA9" s="100">
        <v>4914</v>
      </c>
      <c r="BB9" s="100">
        <v>5.4448734991564365</v>
      </c>
      <c r="BC9" s="100">
        <v>3822.3011964078182</v>
      </c>
      <c r="BD9" s="100">
        <v>8.1141820583832001</v>
      </c>
      <c r="BE9" s="100">
        <v>5696.1558049850064</v>
      </c>
      <c r="BF9" s="100">
        <v>6.1011458906545322</v>
      </c>
      <c r="BG9" s="100">
        <v>4283.0044152394812</v>
      </c>
      <c r="BH9" s="100">
        <v>8</v>
      </c>
      <c r="BI9" s="100">
        <v>5616</v>
      </c>
      <c r="BJ9" s="100">
        <v>10</v>
      </c>
      <c r="BK9" s="100">
        <v>7020</v>
      </c>
      <c r="BL9" s="100">
        <v>11</v>
      </c>
      <c r="BM9" s="100">
        <v>7722</v>
      </c>
      <c r="BN9" s="100">
        <v>8</v>
      </c>
      <c r="BO9" s="100">
        <v>5616</v>
      </c>
      <c r="BP9" s="100">
        <v>10</v>
      </c>
      <c r="BQ9" s="100">
        <v>7020</v>
      </c>
      <c r="BR9" s="100">
        <v>2.7262735417366626</v>
      </c>
      <c r="BS9" s="100">
        <v>1913.8440262991371</v>
      </c>
      <c r="BT9" s="100">
        <v>8</v>
      </c>
      <c r="BU9" s="100">
        <v>5616</v>
      </c>
      <c r="BV9" s="100">
        <v>10</v>
      </c>
      <c r="BW9" s="100">
        <v>7020</v>
      </c>
      <c r="BX9" s="100">
        <v>8</v>
      </c>
      <c r="BY9" s="100">
        <v>5616</v>
      </c>
      <c r="BZ9" s="100">
        <v>11</v>
      </c>
      <c r="CA9" s="100">
        <v>7722</v>
      </c>
      <c r="CB9" s="100">
        <v>10</v>
      </c>
      <c r="CC9" s="100">
        <v>7020</v>
      </c>
      <c r="CD9" s="100">
        <v>0.51868693055430126</v>
      </c>
      <c r="CE9" s="100">
        <v>364.11822524911946</v>
      </c>
      <c r="CF9" s="100">
        <v>7</v>
      </c>
      <c r="CG9" s="100">
        <v>4914</v>
      </c>
      <c r="CH9" s="100">
        <v>10</v>
      </c>
      <c r="CI9" s="100">
        <v>7020</v>
      </c>
      <c r="CJ9" s="100">
        <v>13</v>
      </c>
      <c r="CK9" s="100">
        <v>9126</v>
      </c>
      <c r="CL9" s="100">
        <v>5.8929153529553098</v>
      </c>
      <c r="CM9" s="100">
        <v>4136.8265777746274</v>
      </c>
      <c r="CN9" s="100">
        <v>10</v>
      </c>
      <c r="CO9" s="100">
        <v>7020</v>
      </c>
      <c r="CP9" s="100">
        <v>10</v>
      </c>
      <c r="CQ9" s="100">
        <v>7020</v>
      </c>
      <c r="CR9" s="100">
        <v>12</v>
      </c>
      <c r="CS9" s="100">
        <v>8424</v>
      </c>
      <c r="CT9" s="100">
        <v>10.391153983319075</v>
      </c>
      <c r="CU9" s="100">
        <v>7294.5900962899905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8</v>
      </c>
      <c r="G10" s="100">
        <v>4358.3999999999996</v>
      </c>
      <c r="H10" s="100">
        <v>8</v>
      </c>
      <c r="I10" s="100">
        <v>4358.3999999999996</v>
      </c>
      <c r="J10" s="100">
        <v>4.3988569062346299</v>
      </c>
      <c r="K10" s="100">
        <v>2396.4972425166261</v>
      </c>
      <c r="L10" s="100">
        <v>8</v>
      </c>
      <c r="M10" s="100">
        <v>4358.3999999999996</v>
      </c>
      <c r="N10" s="100">
        <v>7</v>
      </c>
      <c r="O10" s="100">
        <v>3813.5999999999995</v>
      </c>
      <c r="P10" s="100">
        <v>7</v>
      </c>
      <c r="Q10" s="100">
        <v>3813.5999999999995</v>
      </c>
      <c r="R10" s="100">
        <v>7</v>
      </c>
      <c r="S10" s="100">
        <v>3813.5999999999995</v>
      </c>
      <c r="T10" s="100">
        <v>10</v>
      </c>
      <c r="U10" s="100">
        <v>5448</v>
      </c>
      <c r="V10" s="100">
        <v>5.5096475257853781</v>
      </c>
      <c r="W10" s="100">
        <v>3001.6559720478735</v>
      </c>
      <c r="X10" s="100">
        <v>10</v>
      </c>
      <c r="Y10" s="100">
        <v>5448</v>
      </c>
      <c r="Z10" s="100">
        <v>5.4462928858914239</v>
      </c>
      <c r="AA10" s="100">
        <v>2967.1403642336477</v>
      </c>
      <c r="AB10" s="100">
        <v>10</v>
      </c>
      <c r="AC10" s="100">
        <v>5448</v>
      </c>
      <c r="AD10" s="100">
        <v>6</v>
      </c>
      <c r="AE10" s="100">
        <v>3268.7999999999997</v>
      </c>
      <c r="AF10" s="100">
        <v>8.8258313472933079</v>
      </c>
      <c r="AG10" s="100">
        <v>4808.3129180053938</v>
      </c>
      <c r="AH10" s="100">
        <v>7</v>
      </c>
      <c r="AI10" s="100">
        <v>3813.5999999999995</v>
      </c>
      <c r="AJ10" s="100">
        <v>9.2553696795499114</v>
      </c>
      <c r="AK10" s="100">
        <v>5042.3254014187914</v>
      </c>
      <c r="AL10" s="100">
        <v>8</v>
      </c>
      <c r="AM10" s="100">
        <v>4358.3999999999996</v>
      </c>
      <c r="AN10" s="100">
        <v>7</v>
      </c>
      <c r="AO10" s="100">
        <v>3813.5999999999995</v>
      </c>
      <c r="AP10" s="100">
        <v>3.2413495405649697</v>
      </c>
      <c r="AQ10" s="100">
        <v>1765.8872296997954</v>
      </c>
      <c r="AR10" s="100">
        <v>10</v>
      </c>
      <c r="AS10" s="100">
        <v>5448</v>
      </c>
      <c r="AT10" s="100">
        <v>8</v>
      </c>
      <c r="AU10" s="100">
        <v>4358.3999999999996</v>
      </c>
      <c r="AV10" s="100">
        <v>8</v>
      </c>
      <c r="AW10" s="100">
        <v>4358.3999999999996</v>
      </c>
      <c r="AX10" s="100">
        <v>3.1385707137647194</v>
      </c>
      <c r="AY10" s="100">
        <v>1709.893324859019</v>
      </c>
      <c r="AZ10" s="100">
        <v>8</v>
      </c>
      <c r="BA10" s="100">
        <v>4358.3999999999996</v>
      </c>
      <c r="BB10" s="100">
        <v>4.9911340408934004</v>
      </c>
      <c r="BC10" s="100">
        <v>2719.1698254787243</v>
      </c>
      <c r="BD10" s="100">
        <v>9.0157578426480001</v>
      </c>
      <c r="BE10" s="100">
        <v>4911.7848726746297</v>
      </c>
      <c r="BF10" s="100">
        <v>6.1011458906545322</v>
      </c>
      <c r="BG10" s="100">
        <v>3323.9042812285888</v>
      </c>
      <c r="BH10" s="100">
        <v>7</v>
      </c>
      <c r="BI10" s="100">
        <v>3813.5999999999995</v>
      </c>
      <c r="BJ10" s="100">
        <v>11</v>
      </c>
      <c r="BK10" s="100">
        <v>5992.7999999999993</v>
      </c>
      <c r="BL10" s="100">
        <v>10</v>
      </c>
      <c r="BM10" s="100">
        <v>5448</v>
      </c>
      <c r="BN10" s="100">
        <v>8</v>
      </c>
      <c r="BO10" s="100">
        <v>4358.3999999999996</v>
      </c>
      <c r="BP10" s="100">
        <v>11</v>
      </c>
      <c r="BQ10" s="100">
        <v>5992.7999999999993</v>
      </c>
      <c r="BR10" s="100">
        <v>2.7262735417366626</v>
      </c>
      <c r="BS10" s="100">
        <v>1485.2738255381337</v>
      </c>
      <c r="BT10" s="100">
        <v>7</v>
      </c>
      <c r="BU10" s="100">
        <v>3813.5999999999995</v>
      </c>
      <c r="BV10" s="100">
        <v>11</v>
      </c>
      <c r="BW10" s="100">
        <v>5992.7999999999993</v>
      </c>
      <c r="BX10" s="100">
        <v>9</v>
      </c>
      <c r="BY10" s="100">
        <v>4903.2</v>
      </c>
      <c r="BZ10" s="100">
        <v>10</v>
      </c>
      <c r="CA10" s="100">
        <v>5448</v>
      </c>
      <c r="CB10" s="100">
        <v>11</v>
      </c>
      <c r="CC10" s="100">
        <v>5992.7999999999993</v>
      </c>
      <c r="CD10" s="100">
        <v>0.46105504938160108</v>
      </c>
      <c r="CE10" s="100">
        <v>251.18279090309625</v>
      </c>
      <c r="CF10" s="100">
        <v>8</v>
      </c>
      <c r="CG10" s="100">
        <v>4358.3999999999996</v>
      </c>
      <c r="CH10" s="100">
        <v>10</v>
      </c>
      <c r="CI10" s="100">
        <v>5448</v>
      </c>
      <c r="CJ10" s="100">
        <v>13</v>
      </c>
      <c r="CK10" s="100">
        <v>7082.4</v>
      </c>
      <c r="CL10" s="100">
        <v>7.5766054537996839</v>
      </c>
      <c r="CM10" s="100">
        <v>4127.7346512300674</v>
      </c>
      <c r="CN10" s="100">
        <v>10</v>
      </c>
      <c r="CO10" s="100">
        <v>5448</v>
      </c>
      <c r="CP10" s="100">
        <v>9</v>
      </c>
      <c r="CQ10" s="100">
        <v>4903.2</v>
      </c>
      <c r="CR10" s="100">
        <v>13</v>
      </c>
      <c r="CS10" s="100">
        <v>7082.4</v>
      </c>
      <c r="CT10" s="100">
        <v>10.391153983319075</v>
      </c>
      <c r="CU10" s="100">
        <v>5661.1006901122319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8</v>
      </c>
      <c r="G11" s="100">
        <v>4262.3999999999996</v>
      </c>
      <c r="H11" s="100">
        <v>8</v>
      </c>
      <c r="I11" s="100">
        <v>4262.3999999999996</v>
      </c>
      <c r="J11" s="100">
        <v>3.7704487767725401</v>
      </c>
      <c r="K11" s="100">
        <v>2008.8951082644091</v>
      </c>
      <c r="L11" s="100">
        <v>9</v>
      </c>
      <c r="M11" s="100">
        <v>4795.2</v>
      </c>
      <c r="N11" s="100">
        <v>8</v>
      </c>
      <c r="O11" s="100">
        <v>4262.3999999999996</v>
      </c>
      <c r="P11" s="100">
        <v>7</v>
      </c>
      <c r="Q11" s="100">
        <v>3729.5999999999995</v>
      </c>
      <c r="R11" s="100">
        <v>7</v>
      </c>
      <c r="S11" s="100">
        <v>3729.5999999999995</v>
      </c>
      <c r="T11" s="100">
        <v>10</v>
      </c>
      <c r="U11" s="100">
        <v>5328</v>
      </c>
      <c r="V11" s="100">
        <v>4.7225550221017532</v>
      </c>
      <c r="W11" s="100">
        <v>2516.1773157758139</v>
      </c>
      <c r="X11" s="100">
        <v>10</v>
      </c>
      <c r="Y11" s="100">
        <v>5328</v>
      </c>
      <c r="Z11" s="100">
        <v>6.3540083668733267</v>
      </c>
      <c r="AA11" s="100">
        <v>3385.4156578701081</v>
      </c>
      <c r="AB11" s="100">
        <v>10</v>
      </c>
      <c r="AC11" s="100">
        <v>5328</v>
      </c>
      <c r="AD11" s="100">
        <v>5</v>
      </c>
      <c r="AE11" s="100">
        <v>2664</v>
      </c>
      <c r="AF11" s="100">
        <v>8.8258313472933079</v>
      </c>
      <c r="AG11" s="100">
        <v>4702.4029418378741</v>
      </c>
      <c r="AH11" s="100">
        <v>7</v>
      </c>
      <c r="AI11" s="100">
        <v>3729.5999999999995</v>
      </c>
      <c r="AJ11" s="100">
        <v>9.2553696795499114</v>
      </c>
      <c r="AK11" s="100">
        <v>4931.2609652641922</v>
      </c>
      <c r="AL11" s="100">
        <v>9</v>
      </c>
      <c r="AM11" s="100">
        <v>4795.2</v>
      </c>
      <c r="AN11" s="100">
        <v>8</v>
      </c>
      <c r="AO11" s="100">
        <v>4262.3999999999996</v>
      </c>
      <c r="AP11" s="100">
        <v>3.5360176806163306</v>
      </c>
      <c r="AQ11" s="100">
        <v>1883.9902202323808</v>
      </c>
      <c r="AR11" s="100">
        <v>11</v>
      </c>
      <c r="AS11" s="100">
        <v>5860.7999999999993</v>
      </c>
      <c r="AT11" s="100">
        <v>9</v>
      </c>
      <c r="AU11" s="100">
        <v>4795.2</v>
      </c>
      <c r="AV11" s="100">
        <v>7</v>
      </c>
      <c r="AW11" s="100">
        <v>3729.5999999999995</v>
      </c>
      <c r="AX11" s="100">
        <v>3.5869379585882508</v>
      </c>
      <c r="AY11" s="100">
        <v>1911.1205443358199</v>
      </c>
      <c r="AZ11" s="100">
        <v>7</v>
      </c>
      <c r="BA11" s="100">
        <v>3729.5999999999995</v>
      </c>
      <c r="BB11" s="100">
        <v>5.4448734991564365</v>
      </c>
      <c r="BC11" s="100">
        <v>2901.0286003505489</v>
      </c>
      <c r="BD11" s="100">
        <v>8.1141820583832001</v>
      </c>
      <c r="BE11" s="100">
        <v>4323.2362007065685</v>
      </c>
      <c r="BF11" s="100">
        <v>6.1011458906545322</v>
      </c>
      <c r="BG11" s="100">
        <v>3250.6905305407345</v>
      </c>
      <c r="BH11" s="100">
        <v>7</v>
      </c>
      <c r="BI11" s="100">
        <v>3729.5999999999995</v>
      </c>
      <c r="BJ11" s="100">
        <v>9</v>
      </c>
      <c r="BK11" s="100">
        <v>4795.2</v>
      </c>
      <c r="BL11" s="100">
        <v>10</v>
      </c>
      <c r="BM11" s="100">
        <v>5328</v>
      </c>
      <c r="BN11" s="100">
        <v>9</v>
      </c>
      <c r="BO11" s="100">
        <v>4795.2</v>
      </c>
      <c r="BP11" s="100">
        <v>10</v>
      </c>
      <c r="BQ11" s="100">
        <v>5328</v>
      </c>
      <c r="BR11" s="100">
        <v>2.9741165909854499</v>
      </c>
      <c r="BS11" s="100">
        <v>1584.6093196770476</v>
      </c>
      <c r="BT11" s="100">
        <v>7</v>
      </c>
      <c r="BU11" s="100">
        <v>3729.5999999999995</v>
      </c>
      <c r="BV11" s="100">
        <v>10</v>
      </c>
      <c r="BW11" s="100">
        <v>5328</v>
      </c>
      <c r="BX11" s="100">
        <v>8</v>
      </c>
      <c r="BY11" s="100">
        <v>4262.3999999999996</v>
      </c>
      <c r="BZ11" s="100">
        <v>10</v>
      </c>
      <c r="CA11" s="100">
        <v>5328</v>
      </c>
      <c r="CB11" s="100">
        <v>12</v>
      </c>
      <c r="CC11" s="100">
        <v>6393.5999999999995</v>
      </c>
      <c r="CD11" s="100">
        <v>0.46105504938160108</v>
      </c>
      <c r="CE11" s="100">
        <v>245.65013031051703</v>
      </c>
      <c r="CF11" s="100">
        <v>8</v>
      </c>
      <c r="CG11" s="100">
        <v>4262.3999999999996</v>
      </c>
      <c r="CH11" s="100">
        <v>10</v>
      </c>
      <c r="CI11" s="100">
        <v>5328</v>
      </c>
      <c r="CJ11" s="100">
        <v>12</v>
      </c>
      <c r="CK11" s="100">
        <v>6393.5999999999995</v>
      </c>
      <c r="CL11" s="100">
        <v>6.7347604033774973</v>
      </c>
      <c r="CM11" s="100">
        <v>3588.2803429195301</v>
      </c>
      <c r="CN11" s="100">
        <v>10</v>
      </c>
      <c r="CO11" s="100">
        <v>5328</v>
      </c>
      <c r="CP11" s="100">
        <v>9</v>
      </c>
      <c r="CQ11" s="100">
        <v>4795.2</v>
      </c>
      <c r="CR11" s="100">
        <v>12</v>
      </c>
      <c r="CS11" s="100">
        <v>6393.5999999999995</v>
      </c>
      <c r="CT11" s="100">
        <v>9.5252244847091525</v>
      </c>
      <c r="CU11" s="100">
        <v>5075.0396054530356</v>
      </c>
    </row>
    <row r="12" spans="1:99">
      <c r="C12" s="99" t="s">
        <v>178</v>
      </c>
      <c r="D12" s="100">
        <v>9</v>
      </c>
      <c r="E12" s="100">
        <v>5065.2</v>
      </c>
      <c r="F12" s="100">
        <v>8</v>
      </c>
      <c r="G12" s="100">
        <v>4502.3999999999996</v>
      </c>
      <c r="H12" s="100">
        <v>7</v>
      </c>
      <c r="I12" s="100">
        <v>3939.5999999999995</v>
      </c>
      <c r="J12" s="100">
        <v>3.7704487767725401</v>
      </c>
      <c r="K12" s="100">
        <v>2122.0085715675855</v>
      </c>
      <c r="L12" s="100">
        <v>9</v>
      </c>
      <c r="M12" s="100">
        <v>5065.2</v>
      </c>
      <c r="N12" s="100">
        <v>8</v>
      </c>
      <c r="O12" s="100">
        <v>4502.3999999999996</v>
      </c>
      <c r="P12" s="100">
        <v>7</v>
      </c>
      <c r="Q12" s="100">
        <v>3939.5999999999995</v>
      </c>
      <c r="R12" s="100">
        <v>8</v>
      </c>
      <c r="S12" s="100">
        <v>4502.3999999999996</v>
      </c>
      <c r="T12" s="100">
        <v>10</v>
      </c>
      <c r="U12" s="100">
        <v>5628</v>
      </c>
      <c r="V12" s="100">
        <v>4.7225550221017532</v>
      </c>
      <c r="W12" s="100">
        <v>2657.8539664388663</v>
      </c>
      <c r="X12" s="100">
        <v>11</v>
      </c>
      <c r="Y12" s="100">
        <v>6190.7999999999993</v>
      </c>
      <c r="Z12" s="100">
        <v>6.3540083668733267</v>
      </c>
      <c r="AA12" s="100">
        <v>3576.035908876308</v>
      </c>
      <c r="AB12" s="100">
        <v>10</v>
      </c>
      <c r="AC12" s="100">
        <v>5628</v>
      </c>
      <c r="AD12" s="100">
        <v>6</v>
      </c>
      <c r="AE12" s="100">
        <v>3376.7999999999997</v>
      </c>
      <c r="AF12" s="100">
        <v>8.8258313472933079</v>
      </c>
      <c r="AG12" s="100">
        <v>4967.177882256673</v>
      </c>
      <c r="AH12" s="100">
        <v>6</v>
      </c>
      <c r="AI12" s="100">
        <v>3376.7999999999997</v>
      </c>
      <c r="AJ12" s="100">
        <v>9.2553696795499114</v>
      </c>
      <c r="AK12" s="100">
        <v>5208.9220556506898</v>
      </c>
      <c r="AL12" s="100">
        <v>9</v>
      </c>
      <c r="AM12" s="100">
        <v>5065.2</v>
      </c>
      <c r="AN12" s="100">
        <v>7</v>
      </c>
      <c r="AO12" s="100">
        <v>3939.5999999999995</v>
      </c>
      <c r="AP12" s="100">
        <v>3.2413495405649697</v>
      </c>
      <c r="AQ12" s="100">
        <v>1824.2315214299649</v>
      </c>
      <c r="AR12" s="100">
        <v>9</v>
      </c>
      <c r="AS12" s="100">
        <v>5065.2</v>
      </c>
      <c r="AT12" s="100">
        <v>9</v>
      </c>
      <c r="AU12" s="100">
        <v>5065.2</v>
      </c>
      <c r="AV12" s="100">
        <v>7</v>
      </c>
      <c r="AW12" s="100">
        <v>3939.5999999999995</v>
      </c>
      <c r="AX12" s="100">
        <v>3.5869379585882508</v>
      </c>
      <c r="AY12" s="100">
        <v>2018.7286830934675</v>
      </c>
      <c r="AZ12" s="100">
        <v>8</v>
      </c>
      <c r="BA12" s="100">
        <v>4502.3999999999996</v>
      </c>
      <c r="BB12" s="100">
        <v>4.5373945826303634</v>
      </c>
      <c r="BC12" s="100">
        <v>2553.6456711043684</v>
      </c>
      <c r="BD12" s="100">
        <v>8.1141820583832001</v>
      </c>
      <c r="BE12" s="100">
        <v>4566.6616624580647</v>
      </c>
      <c r="BF12" s="100">
        <v>6.1011458906545322</v>
      </c>
      <c r="BG12" s="100">
        <v>3433.7249072603704</v>
      </c>
      <c r="BH12" s="100">
        <v>7</v>
      </c>
      <c r="BI12" s="100">
        <v>3939.5999999999995</v>
      </c>
      <c r="BJ12" s="100">
        <v>10</v>
      </c>
      <c r="BK12" s="100">
        <v>5628</v>
      </c>
      <c r="BL12" s="100">
        <v>10</v>
      </c>
      <c r="BM12" s="100">
        <v>5628</v>
      </c>
      <c r="BN12" s="100">
        <v>9</v>
      </c>
      <c r="BO12" s="100">
        <v>5065.2</v>
      </c>
      <c r="BP12" s="100">
        <v>11</v>
      </c>
      <c r="BQ12" s="100">
        <v>6190.7999999999993</v>
      </c>
      <c r="BR12" s="100">
        <v>3.2219596402342376</v>
      </c>
      <c r="BS12" s="100">
        <v>1813.3188855238288</v>
      </c>
      <c r="BT12" s="100">
        <v>8</v>
      </c>
      <c r="BU12" s="100">
        <v>4502.3999999999996</v>
      </c>
      <c r="BV12" s="100">
        <v>12</v>
      </c>
      <c r="BW12" s="100">
        <v>6753.5999999999995</v>
      </c>
      <c r="BX12" s="100">
        <v>9</v>
      </c>
      <c r="BY12" s="100">
        <v>5065.2</v>
      </c>
      <c r="BZ12" s="100">
        <v>10</v>
      </c>
      <c r="CA12" s="100">
        <v>5628</v>
      </c>
      <c r="CB12" s="100">
        <v>11</v>
      </c>
      <c r="CC12" s="100">
        <v>6190.7999999999993</v>
      </c>
      <c r="CD12" s="100">
        <v>0.46105504938160108</v>
      </c>
      <c r="CE12" s="100">
        <v>259.48178179196509</v>
      </c>
      <c r="CF12" s="100">
        <v>8</v>
      </c>
      <c r="CG12" s="100">
        <v>4502.3999999999996</v>
      </c>
      <c r="CH12" s="100">
        <v>11</v>
      </c>
      <c r="CI12" s="100">
        <v>6190.7999999999993</v>
      </c>
      <c r="CJ12" s="100">
        <v>12</v>
      </c>
      <c r="CK12" s="100">
        <v>6753.5999999999995</v>
      </c>
      <c r="CL12" s="100">
        <v>6.7347604033774973</v>
      </c>
      <c r="CM12" s="100">
        <v>3790.3231550208552</v>
      </c>
      <c r="CN12" s="100">
        <v>10</v>
      </c>
      <c r="CO12" s="100">
        <v>5628</v>
      </c>
      <c r="CP12" s="100">
        <v>9</v>
      </c>
      <c r="CQ12" s="100">
        <v>5065.2</v>
      </c>
      <c r="CR12" s="100">
        <v>12</v>
      </c>
      <c r="CS12" s="100">
        <v>6753.5999999999995</v>
      </c>
      <c r="CT12" s="100">
        <v>11.257083481928998</v>
      </c>
      <c r="CU12" s="100">
        <v>6335.4865836296394</v>
      </c>
    </row>
    <row r="13" spans="1:99">
      <c r="C13" s="99" t="s">
        <v>179</v>
      </c>
      <c r="D13" s="100">
        <v>10</v>
      </c>
      <c r="E13" s="100">
        <v>852</v>
      </c>
      <c r="F13" s="100">
        <v>8</v>
      </c>
      <c r="G13" s="100">
        <v>681.6</v>
      </c>
      <c r="H13" s="100">
        <v>8</v>
      </c>
      <c r="I13" s="100">
        <v>681.6</v>
      </c>
      <c r="J13" s="100">
        <v>4.3988569062346299</v>
      </c>
      <c r="K13" s="100">
        <v>374.78260841119049</v>
      </c>
      <c r="L13" s="100">
        <v>9</v>
      </c>
      <c r="M13" s="100">
        <v>766.80000000000007</v>
      </c>
      <c r="N13" s="100">
        <v>7</v>
      </c>
      <c r="O13" s="100">
        <v>596.4</v>
      </c>
      <c r="P13" s="100">
        <v>7</v>
      </c>
      <c r="Q13" s="100">
        <v>596.4</v>
      </c>
      <c r="R13" s="100">
        <v>7</v>
      </c>
      <c r="S13" s="100">
        <v>596.4</v>
      </c>
      <c r="T13" s="100">
        <v>10</v>
      </c>
      <c r="U13" s="100">
        <v>852</v>
      </c>
      <c r="V13" s="100">
        <v>5.5096475257853781</v>
      </c>
      <c r="W13" s="100">
        <v>469.42196919691423</v>
      </c>
      <c r="X13" s="100">
        <v>10</v>
      </c>
      <c r="Y13" s="100">
        <v>852</v>
      </c>
      <c r="Z13" s="100">
        <v>5.4462928858914239</v>
      </c>
      <c r="AA13" s="100">
        <v>464.02415387794935</v>
      </c>
      <c r="AB13" s="100">
        <v>11</v>
      </c>
      <c r="AC13" s="100">
        <v>937.2</v>
      </c>
      <c r="AD13" s="100">
        <v>6</v>
      </c>
      <c r="AE13" s="100">
        <v>511.20000000000005</v>
      </c>
      <c r="AF13" s="100">
        <v>10.59099761675197</v>
      </c>
      <c r="AG13" s="100">
        <v>902.35299694726791</v>
      </c>
      <c r="AH13" s="100">
        <v>7</v>
      </c>
      <c r="AI13" s="100">
        <v>596.4</v>
      </c>
      <c r="AJ13" s="100">
        <v>9.2553696795499114</v>
      </c>
      <c r="AK13" s="100">
        <v>788.55749669765248</v>
      </c>
      <c r="AL13" s="100">
        <v>10</v>
      </c>
      <c r="AM13" s="100">
        <v>852</v>
      </c>
      <c r="AN13" s="100">
        <v>8</v>
      </c>
      <c r="AO13" s="100">
        <v>681.6</v>
      </c>
      <c r="AP13" s="100">
        <v>3.2413495405649697</v>
      </c>
      <c r="AQ13" s="100">
        <v>276.16298085613545</v>
      </c>
      <c r="AR13" s="100">
        <v>11</v>
      </c>
      <c r="AS13" s="100">
        <v>937.2</v>
      </c>
      <c r="AT13" s="100">
        <v>8</v>
      </c>
      <c r="AU13" s="100">
        <v>681.6</v>
      </c>
      <c r="AV13" s="100">
        <v>8</v>
      </c>
      <c r="AW13" s="100">
        <v>681.6</v>
      </c>
      <c r="AX13" s="100">
        <v>3.1385707137647194</v>
      </c>
      <c r="AY13" s="100">
        <v>267.40622481275409</v>
      </c>
      <c r="AZ13" s="100">
        <v>8</v>
      </c>
      <c r="BA13" s="100">
        <v>681.6</v>
      </c>
      <c r="BB13" s="100">
        <v>4.9911340408934004</v>
      </c>
      <c r="BC13" s="100">
        <v>425.24462028411773</v>
      </c>
      <c r="BD13" s="100">
        <v>8.1141820583832001</v>
      </c>
      <c r="BE13" s="100">
        <v>691.32831137424864</v>
      </c>
      <c r="BF13" s="100">
        <v>6.9727381607480377</v>
      </c>
      <c r="BG13" s="100">
        <v>594.07729129573283</v>
      </c>
      <c r="BH13" s="100">
        <v>8</v>
      </c>
      <c r="BI13" s="100">
        <v>681.6</v>
      </c>
      <c r="BJ13" s="100">
        <v>9</v>
      </c>
      <c r="BK13" s="100">
        <v>766.80000000000007</v>
      </c>
      <c r="BL13" s="100">
        <v>10</v>
      </c>
      <c r="BM13" s="100">
        <v>852</v>
      </c>
      <c r="BN13" s="100">
        <v>9</v>
      </c>
      <c r="BO13" s="100">
        <v>766.80000000000007</v>
      </c>
      <c r="BP13" s="100">
        <v>12</v>
      </c>
      <c r="BQ13" s="100">
        <v>1022.4000000000001</v>
      </c>
      <c r="BR13" s="100">
        <v>2.9741165909854499</v>
      </c>
      <c r="BS13" s="100">
        <v>253.39473355196034</v>
      </c>
      <c r="BT13" s="100">
        <v>8</v>
      </c>
      <c r="BU13" s="100">
        <v>681.6</v>
      </c>
      <c r="BV13" s="100">
        <v>12</v>
      </c>
      <c r="BW13" s="100">
        <v>1022.4000000000001</v>
      </c>
      <c r="BX13" s="100">
        <v>9</v>
      </c>
      <c r="BY13" s="100">
        <v>766.80000000000007</v>
      </c>
      <c r="BZ13" s="100">
        <v>11</v>
      </c>
      <c r="CA13" s="100">
        <v>937.2</v>
      </c>
      <c r="CB13" s="100">
        <v>11</v>
      </c>
      <c r="CC13" s="100">
        <v>937.2</v>
      </c>
      <c r="CD13" s="100">
        <v>0.51868693055430126</v>
      </c>
      <c r="CE13" s="100">
        <v>44.192126483226467</v>
      </c>
      <c r="CF13" s="100">
        <v>8</v>
      </c>
      <c r="CG13" s="100">
        <v>681.6</v>
      </c>
      <c r="CH13" s="100">
        <v>11</v>
      </c>
      <c r="CI13" s="100">
        <v>937.2</v>
      </c>
      <c r="CJ13" s="100">
        <v>14</v>
      </c>
      <c r="CK13" s="100">
        <v>1192.8</v>
      </c>
      <c r="CL13" s="100">
        <v>6.7347604033774973</v>
      </c>
      <c r="CM13" s="100">
        <v>573.80158636776275</v>
      </c>
      <c r="CN13" s="100">
        <v>10</v>
      </c>
      <c r="CO13" s="100">
        <v>852</v>
      </c>
      <c r="CP13" s="100">
        <v>10</v>
      </c>
      <c r="CQ13" s="100">
        <v>852</v>
      </c>
      <c r="CR13" s="100">
        <v>12</v>
      </c>
      <c r="CS13" s="100">
        <v>1022.4000000000001</v>
      </c>
      <c r="CT13" s="100">
        <v>12.123012980538919</v>
      </c>
      <c r="CU13" s="100">
        <v>1032.8807059419159</v>
      </c>
    </row>
    <row r="14" spans="1:99">
      <c r="C14" s="99" t="s">
        <v>180</v>
      </c>
      <c r="D14" s="100">
        <v>9</v>
      </c>
      <c r="E14" s="100">
        <v>4395.5999999999995</v>
      </c>
      <c r="F14" s="100">
        <v>7</v>
      </c>
      <c r="G14" s="100">
        <v>3418.7999999999997</v>
      </c>
      <c r="H14" s="100">
        <v>7</v>
      </c>
      <c r="I14" s="100">
        <v>3418.7999999999997</v>
      </c>
      <c r="J14" s="100">
        <v>4.3988569062346299</v>
      </c>
      <c r="K14" s="100">
        <v>2148.4017130049933</v>
      </c>
      <c r="L14" s="100">
        <v>8</v>
      </c>
      <c r="M14" s="100">
        <v>3907.2</v>
      </c>
      <c r="N14" s="100">
        <v>8</v>
      </c>
      <c r="O14" s="100">
        <v>3907.2</v>
      </c>
      <c r="P14" s="100">
        <v>7</v>
      </c>
      <c r="Q14" s="100">
        <v>3418.7999999999997</v>
      </c>
      <c r="R14" s="100">
        <v>8</v>
      </c>
      <c r="S14" s="100">
        <v>3907.2</v>
      </c>
      <c r="T14" s="100">
        <v>9</v>
      </c>
      <c r="U14" s="100">
        <v>4395.5999999999995</v>
      </c>
      <c r="V14" s="100">
        <v>4.7225550221017532</v>
      </c>
      <c r="W14" s="100">
        <v>2306.4958727944963</v>
      </c>
      <c r="X14" s="100">
        <v>12</v>
      </c>
      <c r="Y14" s="100">
        <v>5860.7999999999993</v>
      </c>
      <c r="Z14" s="100">
        <v>6.3540083668733267</v>
      </c>
      <c r="AA14" s="100">
        <v>3103.2976863809326</v>
      </c>
      <c r="AB14" s="100">
        <v>10</v>
      </c>
      <c r="AC14" s="100">
        <v>4884</v>
      </c>
      <c r="AD14" s="100">
        <v>6</v>
      </c>
      <c r="AE14" s="100">
        <v>2930.3999999999996</v>
      </c>
      <c r="AF14" s="100">
        <v>8.8258313472933079</v>
      </c>
      <c r="AG14" s="100">
        <v>4310.536030018051</v>
      </c>
      <c r="AH14" s="100">
        <v>6</v>
      </c>
      <c r="AI14" s="100">
        <v>2930.3999999999996</v>
      </c>
      <c r="AJ14" s="100">
        <v>8.4840888729207506</v>
      </c>
      <c r="AK14" s="100">
        <v>4143.6290055344944</v>
      </c>
      <c r="AL14" s="100">
        <v>9</v>
      </c>
      <c r="AM14" s="100">
        <v>4395.5999999999995</v>
      </c>
      <c r="AN14" s="100">
        <v>7</v>
      </c>
      <c r="AO14" s="100">
        <v>3418.7999999999997</v>
      </c>
      <c r="AP14" s="100">
        <v>2.9466814005136088</v>
      </c>
      <c r="AQ14" s="100">
        <v>1439.1591960108465</v>
      </c>
      <c r="AR14" s="100">
        <v>9</v>
      </c>
      <c r="AS14" s="100">
        <v>4395.5999999999995</v>
      </c>
      <c r="AT14" s="100">
        <v>10</v>
      </c>
      <c r="AU14" s="100">
        <v>4884</v>
      </c>
      <c r="AV14" s="100">
        <v>7</v>
      </c>
      <c r="AW14" s="100">
        <v>3418.7999999999997</v>
      </c>
      <c r="AX14" s="100">
        <v>3.1385707137647194</v>
      </c>
      <c r="AY14" s="100">
        <v>1532.8779366026888</v>
      </c>
      <c r="AZ14" s="100">
        <v>8</v>
      </c>
      <c r="BA14" s="100">
        <v>3907.2</v>
      </c>
      <c r="BB14" s="100">
        <v>4.9911340408934004</v>
      </c>
      <c r="BC14" s="100">
        <v>2437.6698655723367</v>
      </c>
      <c r="BD14" s="100">
        <v>9.0157578426480001</v>
      </c>
      <c r="BE14" s="100">
        <v>4403.296130349283</v>
      </c>
      <c r="BF14" s="100">
        <v>6.9727381607480377</v>
      </c>
      <c r="BG14" s="100">
        <v>3405.4853177093414</v>
      </c>
      <c r="BH14" s="100">
        <v>8</v>
      </c>
      <c r="BI14" s="100">
        <v>3907.2</v>
      </c>
      <c r="BJ14" s="100">
        <v>10</v>
      </c>
      <c r="BK14" s="100">
        <v>4884</v>
      </c>
      <c r="BL14" s="100">
        <v>10</v>
      </c>
      <c r="BM14" s="100">
        <v>4884</v>
      </c>
      <c r="BN14" s="100">
        <v>8</v>
      </c>
      <c r="BO14" s="100">
        <v>3907.2</v>
      </c>
      <c r="BP14" s="100">
        <v>12</v>
      </c>
      <c r="BQ14" s="100">
        <v>5860.7999999999993</v>
      </c>
      <c r="BR14" s="100">
        <v>3.2219596402342376</v>
      </c>
      <c r="BS14" s="100">
        <v>1573.6050882904017</v>
      </c>
      <c r="BT14" s="100">
        <v>8</v>
      </c>
      <c r="BU14" s="100">
        <v>3907.2</v>
      </c>
      <c r="BV14" s="100">
        <v>11</v>
      </c>
      <c r="BW14" s="100">
        <v>5372.4</v>
      </c>
      <c r="BX14" s="100">
        <v>9</v>
      </c>
      <c r="BY14" s="100">
        <v>4395.5999999999995</v>
      </c>
      <c r="BZ14" s="100">
        <v>10</v>
      </c>
      <c r="CA14" s="100">
        <v>4884</v>
      </c>
      <c r="CB14" s="100">
        <v>12</v>
      </c>
      <c r="CC14" s="100">
        <v>5860.7999999999993</v>
      </c>
      <c r="CD14" s="100">
        <v>0.40342316820890095</v>
      </c>
      <c r="CE14" s="100">
        <v>197.03187535322721</v>
      </c>
      <c r="CF14" s="100">
        <v>7</v>
      </c>
      <c r="CG14" s="100">
        <v>3418.7999999999997</v>
      </c>
      <c r="CH14" s="100">
        <v>11</v>
      </c>
      <c r="CI14" s="100">
        <v>5372.4</v>
      </c>
      <c r="CJ14" s="100">
        <v>12</v>
      </c>
      <c r="CK14" s="100">
        <v>5860.7999999999993</v>
      </c>
      <c r="CL14" s="100">
        <v>7.5766054537996839</v>
      </c>
      <c r="CM14" s="100">
        <v>3700.4141036357655</v>
      </c>
      <c r="CN14" s="100">
        <v>10</v>
      </c>
      <c r="CO14" s="100">
        <v>4884</v>
      </c>
      <c r="CP14" s="100">
        <v>10</v>
      </c>
      <c r="CQ14" s="100">
        <v>4884</v>
      </c>
      <c r="CR14" s="100">
        <v>13</v>
      </c>
      <c r="CS14" s="100">
        <v>6349.2</v>
      </c>
      <c r="CT14" s="100">
        <v>11.257083481928998</v>
      </c>
      <c r="CU14" s="100">
        <v>5497.9595725741219</v>
      </c>
    </row>
    <row r="15" spans="1:99">
      <c r="C15" s="99" t="s">
        <v>181</v>
      </c>
      <c r="D15" s="100">
        <v>9</v>
      </c>
      <c r="E15" s="100">
        <v>6868.7999999999993</v>
      </c>
      <c r="F15" s="100">
        <v>9</v>
      </c>
      <c r="G15" s="100">
        <v>6868.7999999999993</v>
      </c>
      <c r="H15" s="100">
        <v>8</v>
      </c>
      <c r="I15" s="100">
        <v>6105.5999999999995</v>
      </c>
      <c r="J15" s="100">
        <v>3.7704487767725401</v>
      </c>
      <c r="K15" s="100">
        <v>2877.6065064328022</v>
      </c>
      <c r="L15" s="100">
        <v>9</v>
      </c>
      <c r="M15" s="100">
        <v>6868.7999999999993</v>
      </c>
      <c r="N15" s="100">
        <v>8</v>
      </c>
      <c r="O15" s="100">
        <v>6105.5999999999995</v>
      </c>
      <c r="P15" s="100">
        <v>6</v>
      </c>
      <c r="Q15" s="100">
        <v>4579.2</v>
      </c>
      <c r="R15" s="100">
        <v>8</v>
      </c>
      <c r="S15" s="100">
        <v>6105.5999999999995</v>
      </c>
      <c r="T15" s="100">
        <v>10</v>
      </c>
      <c r="U15" s="100">
        <v>7631.9999999999991</v>
      </c>
      <c r="V15" s="100">
        <v>4.7225550221017532</v>
      </c>
      <c r="W15" s="100">
        <v>3604.2539928680576</v>
      </c>
      <c r="X15" s="100">
        <v>10</v>
      </c>
      <c r="Y15" s="100">
        <v>7631.9999999999991</v>
      </c>
      <c r="Z15" s="100">
        <v>5.4462928858914239</v>
      </c>
      <c r="AA15" s="100">
        <v>4156.6107305123342</v>
      </c>
      <c r="AB15" s="100">
        <v>11</v>
      </c>
      <c r="AC15" s="100">
        <v>8395.1999999999989</v>
      </c>
      <c r="AD15" s="100">
        <v>6</v>
      </c>
      <c r="AE15" s="100">
        <v>4579.2</v>
      </c>
      <c r="AF15" s="100">
        <v>9.7084144820226399</v>
      </c>
      <c r="AG15" s="100">
        <v>7409.4619326796783</v>
      </c>
      <c r="AH15" s="100">
        <v>7</v>
      </c>
      <c r="AI15" s="100">
        <v>5342.4</v>
      </c>
      <c r="AJ15" s="100">
        <v>9.2553696795499114</v>
      </c>
      <c r="AK15" s="100">
        <v>7063.6981394324921</v>
      </c>
      <c r="AL15" s="100">
        <v>9</v>
      </c>
      <c r="AM15" s="100">
        <v>6868.7999999999993</v>
      </c>
      <c r="AN15" s="100">
        <v>8</v>
      </c>
      <c r="AO15" s="100">
        <v>6105.5999999999995</v>
      </c>
      <c r="AP15" s="100">
        <v>3.2413495405649697</v>
      </c>
      <c r="AQ15" s="100">
        <v>2473.7979693591847</v>
      </c>
      <c r="AR15" s="100">
        <v>10</v>
      </c>
      <c r="AS15" s="100">
        <v>7631.9999999999991</v>
      </c>
      <c r="AT15" s="100">
        <v>9</v>
      </c>
      <c r="AU15" s="100">
        <v>6868.7999999999993</v>
      </c>
      <c r="AV15" s="100">
        <v>8</v>
      </c>
      <c r="AW15" s="100">
        <v>6105.5999999999995</v>
      </c>
      <c r="AX15" s="100">
        <v>3.1385707137647194</v>
      </c>
      <c r="AY15" s="100">
        <v>2395.3571687452336</v>
      </c>
      <c r="AZ15" s="100">
        <v>8</v>
      </c>
      <c r="BA15" s="100">
        <v>6105.5999999999995</v>
      </c>
      <c r="BB15" s="100">
        <v>5.4448734991564365</v>
      </c>
      <c r="BC15" s="100">
        <v>4155.5274545561915</v>
      </c>
      <c r="BD15" s="100">
        <v>9.0157578426480001</v>
      </c>
      <c r="BE15" s="100">
        <v>6880.8263855089526</v>
      </c>
      <c r="BF15" s="100">
        <v>5.2295536205610276</v>
      </c>
      <c r="BG15" s="100">
        <v>3991.1953232121759</v>
      </c>
      <c r="BH15" s="100">
        <v>7</v>
      </c>
      <c r="BI15" s="100">
        <v>5342.4</v>
      </c>
      <c r="BJ15" s="100">
        <v>11</v>
      </c>
      <c r="BK15" s="100">
        <v>8395.1999999999989</v>
      </c>
      <c r="BL15" s="100">
        <v>10</v>
      </c>
      <c r="BM15" s="100">
        <v>7631.9999999999991</v>
      </c>
      <c r="BN15" s="100">
        <v>9</v>
      </c>
      <c r="BO15" s="100">
        <v>6868.7999999999993</v>
      </c>
      <c r="BP15" s="100">
        <v>10</v>
      </c>
      <c r="BQ15" s="100">
        <v>7631.9999999999991</v>
      </c>
      <c r="BR15" s="100">
        <v>3.2219596402342376</v>
      </c>
      <c r="BS15" s="100">
        <v>2458.9995974267699</v>
      </c>
      <c r="BT15" s="100">
        <v>8</v>
      </c>
      <c r="BU15" s="100">
        <v>6105.5999999999995</v>
      </c>
      <c r="BV15" s="100">
        <v>12</v>
      </c>
      <c r="BW15" s="100">
        <v>9158.4</v>
      </c>
      <c r="BX15" s="100">
        <v>8</v>
      </c>
      <c r="BY15" s="100">
        <v>6105.5999999999995</v>
      </c>
      <c r="BZ15" s="100">
        <v>9</v>
      </c>
      <c r="CA15" s="100">
        <v>6868.7999999999993</v>
      </c>
      <c r="CB15" s="100">
        <v>10</v>
      </c>
      <c r="CC15" s="100">
        <v>7631.9999999999991</v>
      </c>
      <c r="CD15" s="100">
        <v>0.46105504938160108</v>
      </c>
      <c r="CE15" s="100">
        <v>351.8772136880379</v>
      </c>
      <c r="CF15" s="100">
        <v>7</v>
      </c>
      <c r="CG15" s="100">
        <v>5342.4</v>
      </c>
      <c r="CH15" s="100">
        <v>11</v>
      </c>
      <c r="CI15" s="100">
        <v>8395.1999999999989</v>
      </c>
      <c r="CJ15" s="100">
        <v>12</v>
      </c>
      <c r="CK15" s="100">
        <v>9158.4</v>
      </c>
      <c r="CL15" s="100">
        <v>6.7347604033774973</v>
      </c>
      <c r="CM15" s="100">
        <v>5139.9691398577052</v>
      </c>
      <c r="CN15" s="100">
        <v>10</v>
      </c>
      <c r="CO15" s="100">
        <v>7631.9999999999991</v>
      </c>
      <c r="CP15" s="100">
        <v>10</v>
      </c>
      <c r="CQ15" s="100">
        <v>7631.9999999999991</v>
      </c>
      <c r="CR15" s="100">
        <v>12</v>
      </c>
      <c r="CS15" s="100">
        <v>9158.4</v>
      </c>
      <c r="CT15" s="100">
        <v>10.391153983319075</v>
      </c>
      <c r="CU15" s="100">
        <v>7930.5287200691173</v>
      </c>
    </row>
    <row r="16" spans="1:99">
      <c r="C16" s="99" t="s">
        <v>182</v>
      </c>
      <c r="D16" s="100">
        <v>9</v>
      </c>
      <c r="E16" s="100">
        <v>3067.2000000000003</v>
      </c>
      <c r="F16" s="100">
        <v>8</v>
      </c>
      <c r="G16" s="100">
        <v>2726.4</v>
      </c>
      <c r="H16" s="100">
        <v>7</v>
      </c>
      <c r="I16" s="100">
        <v>2385.6</v>
      </c>
      <c r="J16" s="100">
        <v>3.7704487767725401</v>
      </c>
      <c r="K16" s="100">
        <v>1284.9689431240818</v>
      </c>
      <c r="L16" s="100">
        <v>8</v>
      </c>
      <c r="M16" s="100">
        <v>2726.4</v>
      </c>
      <c r="N16" s="100">
        <v>8</v>
      </c>
      <c r="O16" s="100">
        <v>2726.4</v>
      </c>
      <c r="P16" s="100">
        <v>7</v>
      </c>
      <c r="Q16" s="100">
        <v>2385.6</v>
      </c>
      <c r="R16" s="100">
        <v>7</v>
      </c>
      <c r="S16" s="100">
        <v>2385.6</v>
      </c>
      <c r="T16" s="100">
        <v>9</v>
      </c>
      <c r="U16" s="100">
        <v>3067.2000000000003</v>
      </c>
      <c r="V16" s="100">
        <v>5.5096475257853781</v>
      </c>
      <c r="W16" s="100">
        <v>1877.6878767876569</v>
      </c>
      <c r="X16" s="100">
        <v>10</v>
      </c>
      <c r="Y16" s="100">
        <v>3408</v>
      </c>
      <c r="Z16" s="100">
        <v>6.3540083668733267</v>
      </c>
      <c r="AA16" s="100">
        <v>2165.4460514304296</v>
      </c>
      <c r="AB16" s="100">
        <v>10</v>
      </c>
      <c r="AC16" s="100">
        <v>3408</v>
      </c>
      <c r="AD16" s="100">
        <v>6</v>
      </c>
      <c r="AE16" s="100">
        <v>2044.8000000000002</v>
      </c>
      <c r="AF16" s="100">
        <v>9.7084144820226399</v>
      </c>
      <c r="AG16" s="100">
        <v>3308.6276554733158</v>
      </c>
      <c r="AH16" s="100">
        <v>7</v>
      </c>
      <c r="AI16" s="100">
        <v>2385.6</v>
      </c>
      <c r="AJ16" s="100">
        <v>8.4840888729207506</v>
      </c>
      <c r="AK16" s="100">
        <v>2891.3774878913919</v>
      </c>
      <c r="AL16" s="100">
        <v>9</v>
      </c>
      <c r="AM16" s="100">
        <v>3067.2000000000003</v>
      </c>
      <c r="AN16" s="100">
        <v>7</v>
      </c>
      <c r="AO16" s="100">
        <v>2385.6</v>
      </c>
      <c r="AP16" s="100">
        <v>3.2413495405649697</v>
      </c>
      <c r="AQ16" s="100">
        <v>1104.6519234245418</v>
      </c>
      <c r="AR16" s="100">
        <v>9</v>
      </c>
      <c r="AS16" s="100">
        <v>3067.2000000000003</v>
      </c>
      <c r="AT16" s="100">
        <v>9</v>
      </c>
      <c r="AU16" s="100">
        <v>3067.2000000000003</v>
      </c>
      <c r="AV16" s="100">
        <v>8</v>
      </c>
      <c r="AW16" s="100">
        <v>2726.4</v>
      </c>
      <c r="AX16" s="100">
        <v>3.1385707137647194</v>
      </c>
      <c r="AY16" s="100">
        <v>1069.6248992510164</v>
      </c>
      <c r="AZ16" s="100">
        <v>8</v>
      </c>
      <c r="BA16" s="100">
        <v>2726.4</v>
      </c>
      <c r="BB16" s="100">
        <v>5.4448734991564365</v>
      </c>
      <c r="BC16" s="100">
        <v>1855.6128885125136</v>
      </c>
      <c r="BD16" s="100">
        <v>8.1141820583832001</v>
      </c>
      <c r="BE16" s="100">
        <v>2765.3132454969946</v>
      </c>
      <c r="BF16" s="100">
        <v>6.9727381607480377</v>
      </c>
      <c r="BG16" s="100">
        <v>2376.3091651829313</v>
      </c>
      <c r="BH16" s="100">
        <v>8</v>
      </c>
      <c r="BI16" s="100">
        <v>2726.4</v>
      </c>
      <c r="BJ16" s="100">
        <v>9</v>
      </c>
      <c r="BK16" s="100">
        <v>3067.2000000000003</v>
      </c>
      <c r="BL16" s="100">
        <v>11</v>
      </c>
      <c r="BM16" s="100">
        <v>3748.8</v>
      </c>
      <c r="BN16" s="100">
        <v>9</v>
      </c>
      <c r="BO16" s="100">
        <v>3067.2000000000003</v>
      </c>
      <c r="BP16" s="100">
        <v>12</v>
      </c>
      <c r="BQ16" s="100">
        <v>4089.6000000000004</v>
      </c>
      <c r="BR16" s="100">
        <v>3.2219596402342376</v>
      </c>
      <c r="BS16" s="100">
        <v>1098.0438453918282</v>
      </c>
      <c r="BT16" s="100">
        <v>7</v>
      </c>
      <c r="BU16" s="100">
        <v>2385.6</v>
      </c>
      <c r="BV16" s="100">
        <v>11</v>
      </c>
      <c r="BW16" s="100">
        <v>3748.8</v>
      </c>
      <c r="BX16" s="100">
        <v>9</v>
      </c>
      <c r="BY16" s="100">
        <v>3067.2000000000003</v>
      </c>
      <c r="BZ16" s="100">
        <v>10</v>
      </c>
      <c r="CA16" s="100">
        <v>3408</v>
      </c>
      <c r="CB16" s="100">
        <v>10</v>
      </c>
      <c r="CC16" s="100">
        <v>3408</v>
      </c>
      <c r="CD16" s="100">
        <v>0.46105504938160108</v>
      </c>
      <c r="CE16" s="100">
        <v>157.12756082924966</v>
      </c>
      <c r="CF16" s="100">
        <v>8</v>
      </c>
      <c r="CG16" s="100">
        <v>2726.4</v>
      </c>
      <c r="CH16" s="100">
        <v>12</v>
      </c>
      <c r="CI16" s="100">
        <v>4089.6000000000004</v>
      </c>
      <c r="CJ16" s="100">
        <v>12</v>
      </c>
      <c r="CK16" s="100">
        <v>4089.6000000000004</v>
      </c>
      <c r="CL16" s="100">
        <v>7.5766054537996839</v>
      </c>
      <c r="CM16" s="100">
        <v>2582.1071386549324</v>
      </c>
      <c r="CN16" s="100">
        <v>10</v>
      </c>
      <c r="CO16" s="100">
        <v>3408</v>
      </c>
      <c r="CP16" s="100">
        <v>9</v>
      </c>
      <c r="CQ16" s="100">
        <v>3067.2000000000003</v>
      </c>
      <c r="CR16" s="100">
        <v>11</v>
      </c>
      <c r="CS16" s="100">
        <v>3748.8</v>
      </c>
      <c r="CT16" s="100">
        <v>10.391153983319075</v>
      </c>
      <c r="CU16" s="100">
        <v>3541.3052775151409</v>
      </c>
    </row>
    <row r="17" spans="2:99">
      <c r="C17" s="99" t="s">
        <v>183</v>
      </c>
      <c r="D17" s="100">
        <v>9</v>
      </c>
      <c r="E17" s="100">
        <v>3801.6</v>
      </c>
      <c r="F17" s="100">
        <v>8</v>
      </c>
      <c r="G17" s="100">
        <v>3379.2</v>
      </c>
      <c r="H17" s="100">
        <v>7</v>
      </c>
      <c r="I17" s="100">
        <v>2956.7999999999997</v>
      </c>
      <c r="J17" s="100">
        <v>3.7704487767725401</v>
      </c>
      <c r="K17" s="100">
        <v>1592.6375633087209</v>
      </c>
      <c r="L17" s="100">
        <v>8</v>
      </c>
      <c r="M17" s="100">
        <v>3379.2</v>
      </c>
      <c r="N17" s="100">
        <v>7</v>
      </c>
      <c r="O17" s="100">
        <v>2956.7999999999997</v>
      </c>
      <c r="P17" s="100">
        <v>7</v>
      </c>
      <c r="Q17" s="100">
        <v>2956.7999999999997</v>
      </c>
      <c r="R17" s="100">
        <v>8</v>
      </c>
      <c r="S17" s="100">
        <v>3379.2</v>
      </c>
      <c r="T17" s="100">
        <v>9</v>
      </c>
      <c r="U17" s="100">
        <v>3801.6</v>
      </c>
      <c r="V17" s="100">
        <v>5.5096475257853781</v>
      </c>
      <c r="W17" s="100">
        <v>2327.2751148917437</v>
      </c>
      <c r="X17" s="100">
        <v>11</v>
      </c>
      <c r="Y17" s="100">
        <v>4646.3999999999996</v>
      </c>
      <c r="Z17" s="100">
        <v>5.4462928858914239</v>
      </c>
      <c r="AA17" s="100">
        <v>2300.5141150005375</v>
      </c>
      <c r="AB17" s="100">
        <v>10</v>
      </c>
      <c r="AC17" s="100">
        <v>4224</v>
      </c>
      <c r="AD17" s="100">
        <v>6</v>
      </c>
      <c r="AE17" s="100">
        <v>2534.3999999999996</v>
      </c>
      <c r="AF17" s="100">
        <v>10.59099761675197</v>
      </c>
      <c r="AG17" s="100">
        <v>4473.6373933160321</v>
      </c>
      <c r="AH17" s="100">
        <v>7</v>
      </c>
      <c r="AI17" s="100">
        <v>2956.7999999999997</v>
      </c>
      <c r="AJ17" s="100">
        <v>7.7128080662915917</v>
      </c>
      <c r="AK17" s="100">
        <v>3257.8901272015682</v>
      </c>
      <c r="AL17" s="100">
        <v>8</v>
      </c>
      <c r="AM17" s="100">
        <v>3379.2</v>
      </c>
      <c r="AN17" s="100">
        <v>8</v>
      </c>
      <c r="AO17" s="100">
        <v>3379.2</v>
      </c>
      <c r="AP17" s="100">
        <v>2.9466814005136088</v>
      </c>
      <c r="AQ17" s="100">
        <v>1244.6782235769483</v>
      </c>
      <c r="AR17" s="100">
        <v>11</v>
      </c>
      <c r="AS17" s="100">
        <v>4646.3999999999996</v>
      </c>
      <c r="AT17" s="100">
        <v>9</v>
      </c>
      <c r="AU17" s="100">
        <v>3801.6</v>
      </c>
      <c r="AV17" s="100">
        <v>7</v>
      </c>
      <c r="AW17" s="100">
        <v>2956.7999999999997</v>
      </c>
      <c r="AX17" s="100">
        <v>3.1385707137647194</v>
      </c>
      <c r="AY17" s="100">
        <v>1325.7322694942175</v>
      </c>
      <c r="AZ17" s="100">
        <v>8</v>
      </c>
      <c r="BA17" s="100">
        <v>3379.2</v>
      </c>
      <c r="BB17" s="100">
        <v>4.9911340408934004</v>
      </c>
      <c r="BC17" s="100">
        <v>2108.2550188733721</v>
      </c>
      <c r="BD17" s="100">
        <v>8.1141820583832001</v>
      </c>
      <c r="BE17" s="100">
        <v>3427.4305014610636</v>
      </c>
      <c r="BF17" s="100">
        <v>6.9727381607480377</v>
      </c>
      <c r="BG17" s="100">
        <v>2945.2845990999708</v>
      </c>
      <c r="BH17" s="100">
        <v>7</v>
      </c>
      <c r="BI17" s="100">
        <v>2956.7999999999997</v>
      </c>
      <c r="BJ17" s="100">
        <v>9</v>
      </c>
      <c r="BK17" s="100">
        <v>3801.6</v>
      </c>
      <c r="BL17" s="100">
        <v>10</v>
      </c>
      <c r="BM17" s="100">
        <v>4224</v>
      </c>
      <c r="BN17" s="100">
        <v>8</v>
      </c>
      <c r="BO17" s="100">
        <v>3379.2</v>
      </c>
      <c r="BP17" s="100">
        <v>11</v>
      </c>
      <c r="BQ17" s="100">
        <v>4646.3999999999996</v>
      </c>
      <c r="BR17" s="100">
        <v>2.9741165909854499</v>
      </c>
      <c r="BS17" s="100">
        <v>1256.2668480322541</v>
      </c>
      <c r="BT17" s="100">
        <v>8</v>
      </c>
      <c r="BU17" s="100">
        <v>3379.2</v>
      </c>
      <c r="BV17" s="100">
        <v>11</v>
      </c>
      <c r="BW17" s="100">
        <v>4646.3999999999996</v>
      </c>
      <c r="BX17" s="100">
        <v>8</v>
      </c>
      <c r="BY17" s="100">
        <v>3379.2</v>
      </c>
      <c r="BZ17" s="100">
        <v>9</v>
      </c>
      <c r="CA17" s="100">
        <v>3801.6</v>
      </c>
      <c r="CB17" s="100">
        <v>12</v>
      </c>
      <c r="CC17" s="100">
        <v>5068.7999999999993</v>
      </c>
      <c r="CD17" s="100">
        <v>0.46105504938160108</v>
      </c>
      <c r="CE17" s="100">
        <v>194.74965285878829</v>
      </c>
      <c r="CF17" s="100">
        <v>8</v>
      </c>
      <c r="CG17" s="100">
        <v>3379.2</v>
      </c>
      <c r="CH17" s="100">
        <v>10</v>
      </c>
      <c r="CI17" s="100">
        <v>4224</v>
      </c>
      <c r="CJ17" s="100">
        <v>12</v>
      </c>
      <c r="CK17" s="100">
        <v>5068.7999999999993</v>
      </c>
      <c r="CL17" s="100">
        <v>6.7347604033774973</v>
      </c>
      <c r="CM17" s="100">
        <v>2844.7627943866546</v>
      </c>
      <c r="CN17" s="100">
        <v>9</v>
      </c>
      <c r="CO17" s="100">
        <v>3801.6</v>
      </c>
      <c r="CP17" s="100">
        <v>10</v>
      </c>
      <c r="CQ17" s="100">
        <v>4224</v>
      </c>
      <c r="CR17" s="100">
        <v>12</v>
      </c>
      <c r="CS17" s="100">
        <v>5068.7999999999993</v>
      </c>
      <c r="CT17" s="100">
        <v>10.391153983319075</v>
      </c>
      <c r="CU17" s="100">
        <v>4389.2234425539773</v>
      </c>
    </row>
    <row r="18" spans="2:99">
      <c r="C18" s="99" t="s">
        <v>184</v>
      </c>
      <c r="D18" s="100">
        <v>9</v>
      </c>
      <c r="E18" s="100">
        <v>5875.2</v>
      </c>
      <c r="F18" s="100">
        <v>8</v>
      </c>
      <c r="G18" s="100">
        <v>5222.3999999999996</v>
      </c>
      <c r="H18" s="100">
        <v>7</v>
      </c>
      <c r="I18" s="100">
        <v>4569.5999999999995</v>
      </c>
      <c r="J18" s="100">
        <v>4.3988569062346299</v>
      </c>
      <c r="K18" s="100">
        <v>2871.573788389966</v>
      </c>
      <c r="L18" s="100">
        <v>8</v>
      </c>
      <c r="M18" s="100">
        <v>5222.3999999999996</v>
      </c>
      <c r="N18" s="100">
        <v>8</v>
      </c>
      <c r="O18" s="100">
        <v>5222.3999999999996</v>
      </c>
      <c r="P18" s="100">
        <v>7</v>
      </c>
      <c r="Q18" s="100">
        <v>4569.5999999999995</v>
      </c>
      <c r="R18" s="100">
        <v>7</v>
      </c>
      <c r="S18" s="100">
        <v>4569.5999999999995</v>
      </c>
      <c r="T18" s="100">
        <v>9</v>
      </c>
      <c r="U18" s="100">
        <v>5875.2</v>
      </c>
      <c r="V18" s="100">
        <v>5.5096475257853781</v>
      </c>
      <c r="W18" s="100">
        <v>3596.6979048326943</v>
      </c>
      <c r="X18" s="100">
        <v>10</v>
      </c>
      <c r="Y18" s="100">
        <v>6528</v>
      </c>
      <c r="Z18" s="100">
        <v>6.3540083668733267</v>
      </c>
      <c r="AA18" s="100">
        <v>4147.8966618949071</v>
      </c>
      <c r="AB18" s="100">
        <v>11</v>
      </c>
      <c r="AC18" s="100">
        <v>7180.7999999999993</v>
      </c>
      <c r="AD18" s="100">
        <v>6</v>
      </c>
      <c r="AE18" s="100">
        <v>3916.7999999999997</v>
      </c>
      <c r="AF18" s="100">
        <v>9.7084144820226399</v>
      </c>
      <c r="AG18" s="100">
        <v>6337.6529738643785</v>
      </c>
      <c r="AH18" s="100">
        <v>6</v>
      </c>
      <c r="AI18" s="100">
        <v>3916.7999999999997</v>
      </c>
      <c r="AJ18" s="100">
        <v>8.4840888729207506</v>
      </c>
      <c r="AK18" s="100">
        <v>5538.4132162426658</v>
      </c>
      <c r="AL18" s="100">
        <v>9</v>
      </c>
      <c r="AM18" s="100">
        <v>5875.2</v>
      </c>
      <c r="AN18" s="100">
        <v>7</v>
      </c>
      <c r="AO18" s="100">
        <v>4569.5999999999995</v>
      </c>
      <c r="AP18" s="100">
        <v>2.9466814005136088</v>
      </c>
      <c r="AQ18" s="100">
        <v>1923.5936182552837</v>
      </c>
      <c r="AR18" s="100">
        <v>11</v>
      </c>
      <c r="AS18" s="100">
        <v>7180.7999999999993</v>
      </c>
      <c r="AT18" s="100">
        <v>8</v>
      </c>
      <c r="AU18" s="100">
        <v>5222.3999999999996</v>
      </c>
      <c r="AV18" s="100">
        <v>8</v>
      </c>
      <c r="AW18" s="100">
        <v>5222.3999999999996</v>
      </c>
      <c r="AX18" s="100">
        <v>3.1385707137647194</v>
      </c>
      <c r="AY18" s="100">
        <v>2048.8589619456088</v>
      </c>
      <c r="AZ18" s="100">
        <v>7</v>
      </c>
      <c r="BA18" s="100">
        <v>4569.5999999999995</v>
      </c>
      <c r="BB18" s="100">
        <v>5.8986129574194734</v>
      </c>
      <c r="BC18" s="100">
        <v>3850.6145386034318</v>
      </c>
      <c r="BD18" s="100">
        <v>9.0157578426480001</v>
      </c>
      <c r="BE18" s="100">
        <v>5885.4867196806144</v>
      </c>
      <c r="BF18" s="100">
        <v>6.1011458906545322</v>
      </c>
      <c r="BG18" s="100">
        <v>3982.8280374192782</v>
      </c>
      <c r="BH18" s="100">
        <v>7</v>
      </c>
      <c r="BI18" s="100">
        <v>4569.5999999999995</v>
      </c>
      <c r="BJ18" s="100">
        <v>10</v>
      </c>
      <c r="BK18" s="100">
        <v>6528</v>
      </c>
      <c r="BL18" s="100">
        <v>10</v>
      </c>
      <c r="BM18" s="100">
        <v>6528</v>
      </c>
      <c r="BN18" s="100">
        <v>7</v>
      </c>
      <c r="BO18" s="100">
        <v>4569.5999999999995</v>
      </c>
      <c r="BP18" s="100">
        <v>10</v>
      </c>
      <c r="BQ18" s="100">
        <v>6528</v>
      </c>
      <c r="BR18" s="100">
        <v>2.9741165909854499</v>
      </c>
      <c r="BS18" s="100">
        <v>1941.5033105953016</v>
      </c>
      <c r="BT18" s="100">
        <v>8</v>
      </c>
      <c r="BU18" s="100">
        <v>5222.3999999999996</v>
      </c>
      <c r="BV18" s="100">
        <v>11</v>
      </c>
      <c r="BW18" s="100">
        <v>7180.7999999999993</v>
      </c>
      <c r="BX18" s="100">
        <v>8</v>
      </c>
      <c r="BY18" s="100">
        <v>5222.3999999999996</v>
      </c>
      <c r="BZ18" s="100">
        <v>9</v>
      </c>
      <c r="CA18" s="100">
        <v>5875.2</v>
      </c>
      <c r="CB18" s="100">
        <v>12</v>
      </c>
      <c r="CC18" s="100">
        <v>7833.5999999999995</v>
      </c>
      <c r="CD18" s="100">
        <v>0.46105504938160108</v>
      </c>
      <c r="CE18" s="100">
        <v>300.97673623630914</v>
      </c>
      <c r="CF18" s="100">
        <v>8</v>
      </c>
      <c r="CG18" s="100">
        <v>5222.3999999999996</v>
      </c>
      <c r="CH18" s="100">
        <v>10</v>
      </c>
      <c r="CI18" s="100">
        <v>6528</v>
      </c>
      <c r="CJ18" s="100">
        <v>11</v>
      </c>
      <c r="CK18" s="100">
        <v>7180.7999999999993</v>
      </c>
      <c r="CL18" s="100">
        <v>6.7347604033774973</v>
      </c>
      <c r="CM18" s="100">
        <v>4396.4515913248297</v>
      </c>
      <c r="CN18" s="100">
        <v>10</v>
      </c>
      <c r="CO18" s="100">
        <v>6528</v>
      </c>
      <c r="CP18" s="100">
        <v>11</v>
      </c>
      <c r="CQ18" s="100">
        <v>7180.7999999999993</v>
      </c>
      <c r="CR18" s="100">
        <v>13</v>
      </c>
      <c r="CS18" s="100">
        <v>8486.4</v>
      </c>
      <c r="CT18" s="100">
        <v>11.257083481928998</v>
      </c>
      <c r="CU18" s="100">
        <v>7348.6240970032495</v>
      </c>
    </row>
    <row r="19" spans="2:99">
      <c r="C19" s="99" t="s">
        <v>185</v>
      </c>
      <c r="D19" s="100">
        <v>9</v>
      </c>
      <c r="E19" s="100">
        <v>2970</v>
      </c>
      <c r="F19" s="100">
        <v>7</v>
      </c>
      <c r="G19" s="100">
        <v>2310</v>
      </c>
      <c r="H19" s="100">
        <v>8</v>
      </c>
      <c r="I19" s="100">
        <v>2640</v>
      </c>
      <c r="J19" s="100">
        <v>4.3988569062346299</v>
      </c>
      <c r="K19" s="100">
        <v>1451.6227790574278</v>
      </c>
      <c r="L19" s="100">
        <v>9</v>
      </c>
      <c r="M19" s="100">
        <v>2970</v>
      </c>
      <c r="N19" s="100">
        <v>7</v>
      </c>
      <c r="O19" s="100">
        <v>2310</v>
      </c>
      <c r="P19" s="100">
        <v>6</v>
      </c>
      <c r="Q19" s="100">
        <v>1980</v>
      </c>
      <c r="R19" s="100">
        <v>7</v>
      </c>
      <c r="S19" s="100">
        <v>2310</v>
      </c>
      <c r="T19" s="100">
        <v>10</v>
      </c>
      <c r="U19" s="100">
        <v>3300</v>
      </c>
      <c r="V19" s="100">
        <v>5.5096475257853781</v>
      </c>
      <c r="W19" s="100">
        <v>1818.1836835091747</v>
      </c>
      <c r="X19" s="100">
        <v>10</v>
      </c>
      <c r="Y19" s="100">
        <v>3300</v>
      </c>
      <c r="Z19" s="100">
        <v>5.4462928858914239</v>
      </c>
      <c r="AA19" s="100">
        <v>1797.2766523441699</v>
      </c>
      <c r="AB19" s="100">
        <v>10</v>
      </c>
      <c r="AC19" s="100">
        <v>3300</v>
      </c>
      <c r="AD19" s="100">
        <v>6</v>
      </c>
      <c r="AE19" s="100">
        <v>1980</v>
      </c>
      <c r="AF19" s="100">
        <v>8.8258313472933079</v>
      </c>
      <c r="AG19" s="100">
        <v>2912.5243446067916</v>
      </c>
      <c r="AH19" s="100">
        <v>6</v>
      </c>
      <c r="AI19" s="100">
        <v>1980</v>
      </c>
      <c r="AJ19" s="100">
        <v>9.2553696795499114</v>
      </c>
      <c r="AK19" s="100">
        <v>3054.2719942514709</v>
      </c>
      <c r="AL19" s="100">
        <v>9</v>
      </c>
      <c r="AM19" s="100">
        <v>2970</v>
      </c>
      <c r="AN19" s="100">
        <v>7</v>
      </c>
      <c r="AO19" s="100">
        <v>2310</v>
      </c>
      <c r="AP19" s="100">
        <v>3.2413495405649697</v>
      </c>
      <c r="AQ19" s="100">
        <v>1069.64534838644</v>
      </c>
      <c r="AR19" s="100">
        <v>10</v>
      </c>
      <c r="AS19" s="100">
        <v>3300</v>
      </c>
      <c r="AT19" s="100">
        <v>10</v>
      </c>
      <c r="AU19" s="100">
        <v>3300</v>
      </c>
      <c r="AV19" s="100">
        <v>7</v>
      </c>
      <c r="AW19" s="100">
        <v>2310</v>
      </c>
      <c r="AX19" s="100">
        <v>3.5869379585882508</v>
      </c>
      <c r="AY19" s="100">
        <v>1183.6895263341228</v>
      </c>
      <c r="AZ19" s="100">
        <v>8</v>
      </c>
      <c r="BA19" s="100">
        <v>2640</v>
      </c>
      <c r="BB19" s="100">
        <v>4.9911340408934004</v>
      </c>
      <c r="BC19" s="100">
        <v>1647.0742334948222</v>
      </c>
      <c r="BD19" s="100">
        <v>8.1141820583832001</v>
      </c>
      <c r="BE19" s="100">
        <v>2677.6800792664562</v>
      </c>
      <c r="BF19" s="100">
        <v>6.9727381607480377</v>
      </c>
      <c r="BG19" s="100">
        <v>2301.0035930468525</v>
      </c>
      <c r="BH19" s="100">
        <v>7</v>
      </c>
      <c r="BI19" s="100">
        <v>2310</v>
      </c>
      <c r="BJ19" s="100">
        <v>9</v>
      </c>
      <c r="BK19" s="100">
        <v>2970</v>
      </c>
      <c r="BL19" s="100">
        <v>11</v>
      </c>
      <c r="BM19" s="100">
        <v>3630</v>
      </c>
      <c r="BN19" s="100">
        <v>9</v>
      </c>
      <c r="BO19" s="100">
        <v>2970</v>
      </c>
      <c r="BP19" s="100">
        <v>11</v>
      </c>
      <c r="BQ19" s="100">
        <v>3630</v>
      </c>
      <c r="BR19" s="100">
        <v>3.2219596402342376</v>
      </c>
      <c r="BS19" s="100">
        <v>1063.2466812772984</v>
      </c>
      <c r="BT19" s="100">
        <v>7</v>
      </c>
      <c r="BU19" s="100">
        <v>2310</v>
      </c>
      <c r="BV19" s="100">
        <v>12</v>
      </c>
      <c r="BW19" s="100">
        <v>3960</v>
      </c>
      <c r="BX19" s="100">
        <v>9</v>
      </c>
      <c r="BY19" s="100">
        <v>2970</v>
      </c>
      <c r="BZ19" s="100">
        <v>9</v>
      </c>
      <c r="CA19" s="100">
        <v>2970</v>
      </c>
      <c r="CB19" s="100">
        <v>11</v>
      </c>
      <c r="CC19" s="100">
        <v>3630</v>
      </c>
      <c r="CD19" s="100">
        <v>0.46105504938160108</v>
      </c>
      <c r="CE19" s="100">
        <v>152.14816629592835</v>
      </c>
      <c r="CF19" s="100">
        <v>8</v>
      </c>
      <c r="CG19" s="100">
        <v>2640</v>
      </c>
      <c r="CH19" s="100">
        <v>11</v>
      </c>
      <c r="CI19" s="100">
        <v>3630</v>
      </c>
      <c r="CJ19" s="100">
        <v>12</v>
      </c>
      <c r="CK19" s="100">
        <v>3960</v>
      </c>
      <c r="CL19" s="100">
        <v>7.5766054537996839</v>
      </c>
      <c r="CM19" s="100">
        <v>2500.2797997538955</v>
      </c>
      <c r="CN19" s="100">
        <v>10</v>
      </c>
      <c r="CO19" s="100">
        <v>3300</v>
      </c>
      <c r="CP19" s="100">
        <v>10</v>
      </c>
      <c r="CQ19" s="100">
        <v>3300</v>
      </c>
      <c r="CR19" s="100">
        <v>11</v>
      </c>
      <c r="CS19" s="100">
        <v>3630</v>
      </c>
      <c r="CT19" s="100">
        <v>9.5252244847091525</v>
      </c>
      <c r="CU19" s="100">
        <v>3143.3240799540204</v>
      </c>
    </row>
    <row r="20" spans="2:99">
      <c r="B20" s="99" t="s">
        <v>127</v>
      </c>
      <c r="C20" s="99" t="s">
        <v>186</v>
      </c>
      <c r="D20" s="100">
        <v>12</v>
      </c>
      <c r="E20" s="100">
        <v>3441.6000000000004</v>
      </c>
      <c r="F20" s="100">
        <v>15</v>
      </c>
      <c r="G20" s="100">
        <v>4302</v>
      </c>
      <c r="H20" s="100">
        <v>11</v>
      </c>
      <c r="I20" s="100">
        <v>3154.8</v>
      </c>
      <c r="J20" s="100">
        <v>11.311346330317619</v>
      </c>
      <c r="K20" s="100">
        <v>3244.0941275350933</v>
      </c>
      <c r="L20" s="100">
        <v>12</v>
      </c>
      <c r="M20" s="100">
        <v>3441.6000000000004</v>
      </c>
      <c r="N20" s="100">
        <v>15</v>
      </c>
      <c r="O20" s="100">
        <v>4302</v>
      </c>
      <c r="P20" s="100">
        <v>12</v>
      </c>
      <c r="Q20" s="100">
        <v>3441.6000000000004</v>
      </c>
      <c r="R20" s="100">
        <v>15</v>
      </c>
      <c r="S20" s="100">
        <v>4302</v>
      </c>
      <c r="T20" s="100">
        <v>16</v>
      </c>
      <c r="U20" s="100">
        <v>4588.8</v>
      </c>
      <c r="V20" s="100">
        <v>14.167665066305259</v>
      </c>
      <c r="W20" s="100">
        <v>4063.2863410163486</v>
      </c>
      <c r="X20" s="100">
        <v>15</v>
      </c>
      <c r="Y20" s="100">
        <v>4302</v>
      </c>
      <c r="Z20" s="100">
        <v>10.892585771782848</v>
      </c>
      <c r="AA20" s="100">
        <v>3123.9935993473209</v>
      </c>
      <c r="AB20" s="100">
        <v>13</v>
      </c>
      <c r="AC20" s="100">
        <v>3728.4</v>
      </c>
      <c r="AD20" s="100">
        <v>18</v>
      </c>
      <c r="AE20" s="100">
        <v>5162.4000000000005</v>
      </c>
      <c r="AF20" s="100">
        <v>11.473580751481302</v>
      </c>
      <c r="AG20" s="100">
        <v>3290.6229595248378</v>
      </c>
      <c r="AH20" s="100">
        <v>14</v>
      </c>
      <c r="AI20" s="100">
        <v>4015.2000000000003</v>
      </c>
      <c r="AJ20" s="100">
        <v>15.425616132583183</v>
      </c>
      <c r="AK20" s="100">
        <v>4424.0667068248567</v>
      </c>
      <c r="AL20" s="100">
        <v>20</v>
      </c>
      <c r="AM20" s="100">
        <v>5736</v>
      </c>
      <c r="AN20" s="100">
        <v>15</v>
      </c>
      <c r="AO20" s="100">
        <v>4302</v>
      </c>
      <c r="AP20" s="100">
        <v>5.8933628010272177</v>
      </c>
      <c r="AQ20" s="100">
        <v>1690.2164513346061</v>
      </c>
      <c r="AR20" s="100">
        <v>12</v>
      </c>
      <c r="AS20" s="100">
        <v>3441.6000000000004</v>
      </c>
      <c r="AT20" s="100">
        <v>19</v>
      </c>
      <c r="AU20" s="100">
        <v>5449.2</v>
      </c>
      <c r="AV20" s="100">
        <v>19</v>
      </c>
      <c r="AW20" s="100">
        <v>5449.2</v>
      </c>
      <c r="AX20" s="100">
        <v>5.380406937882376</v>
      </c>
      <c r="AY20" s="100">
        <v>1543.1007097846655</v>
      </c>
      <c r="AZ20" s="100">
        <v>16</v>
      </c>
      <c r="BA20" s="100">
        <v>4588.8</v>
      </c>
      <c r="BB20" s="100">
        <v>8.6210497069976917</v>
      </c>
      <c r="BC20" s="100">
        <v>2472.5170559669382</v>
      </c>
      <c r="BD20" s="100">
        <v>17.1299399010312</v>
      </c>
      <c r="BE20" s="100">
        <v>4912.8667636157488</v>
      </c>
      <c r="BF20" s="100">
        <v>13.073884051402569</v>
      </c>
      <c r="BG20" s="100">
        <v>3749.5899459422567</v>
      </c>
      <c r="BH20" s="100">
        <v>12</v>
      </c>
      <c r="BI20" s="100">
        <v>3441.6000000000004</v>
      </c>
      <c r="BJ20" s="100">
        <v>18</v>
      </c>
      <c r="BK20" s="100">
        <v>5162.4000000000005</v>
      </c>
      <c r="BL20" s="100">
        <v>14</v>
      </c>
      <c r="BM20" s="100">
        <v>4015.2000000000003</v>
      </c>
      <c r="BN20" s="100">
        <v>18</v>
      </c>
      <c r="BO20" s="100">
        <v>5162.4000000000005</v>
      </c>
      <c r="BP20" s="100">
        <v>19</v>
      </c>
      <c r="BQ20" s="100">
        <v>5449.2</v>
      </c>
      <c r="BR20" s="100">
        <v>4.7090179357269628</v>
      </c>
      <c r="BS20" s="100">
        <v>1350.5463439664929</v>
      </c>
      <c r="BT20" s="100">
        <v>17</v>
      </c>
      <c r="BU20" s="100">
        <v>4875.6000000000004</v>
      </c>
      <c r="BV20" s="100">
        <v>13</v>
      </c>
      <c r="BW20" s="100">
        <v>3728.4</v>
      </c>
      <c r="BX20" s="100">
        <v>24</v>
      </c>
      <c r="BY20" s="100">
        <v>6883.2000000000007</v>
      </c>
      <c r="BZ20" s="100">
        <v>19</v>
      </c>
      <c r="CA20" s="100">
        <v>5449.2</v>
      </c>
      <c r="CB20" s="100">
        <v>17</v>
      </c>
      <c r="CC20" s="100">
        <v>4875.6000000000004</v>
      </c>
      <c r="CD20" s="100">
        <v>1.3255332669721032</v>
      </c>
      <c r="CE20" s="100">
        <v>380.16294096759918</v>
      </c>
      <c r="CF20" s="100">
        <v>19</v>
      </c>
      <c r="CG20" s="100">
        <v>5449.2</v>
      </c>
      <c r="CH20" s="100">
        <v>15</v>
      </c>
      <c r="CI20" s="100">
        <v>4302</v>
      </c>
      <c r="CJ20" s="100">
        <v>19</v>
      </c>
      <c r="CK20" s="100">
        <v>5449.2</v>
      </c>
      <c r="CL20" s="100">
        <v>20.204281210132489</v>
      </c>
      <c r="CM20" s="100">
        <v>5794.5878510659977</v>
      </c>
      <c r="CN20" s="100">
        <v>25</v>
      </c>
      <c r="CO20" s="100">
        <v>7170</v>
      </c>
      <c r="CP20" s="100">
        <v>18</v>
      </c>
      <c r="CQ20" s="100">
        <v>5162.4000000000005</v>
      </c>
      <c r="CR20" s="100">
        <v>20</v>
      </c>
      <c r="CS20" s="100">
        <v>5736</v>
      </c>
      <c r="CT20" s="100">
        <v>17.318589972198456</v>
      </c>
      <c r="CU20" s="100">
        <v>4966.9716040265175</v>
      </c>
    </row>
    <row r="21" spans="2:99">
      <c r="C21" s="99" t="s">
        <v>187</v>
      </c>
      <c r="D21" s="100">
        <v>10</v>
      </c>
      <c r="E21" s="100">
        <v>624</v>
      </c>
      <c r="F21" s="100">
        <v>16</v>
      </c>
      <c r="G21" s="100">
        <v>998.4</v>
      </c>
      <c r="H21" s="100">
        <v>13</v>
      </c>
      <c r="I21" s="100">
        <v>811.19999999999993</v>
      </c>
      <c r="J21" s="100">
        <v>11.311346330317619</v>
      </c>
      <c r="K21" s="100">
        <v>705.8280110118194</v>
      </c>
      <c r="L21" s="100">
        <v>11</v>
      </c>
      <c r="M21" s="100">
        <v>686.4</v>
      </c>
      <c r="N21" s="100">
        <v>13</v>
      </c>
      <c r="O21" s="100">
        <v>811.19999999999993</v>
      </c>
      <c r="P21" s="100">
        <v>13</v>
      </c>
      <c r="Q21" s="100">
        <v>811.19999999999993</v>
      </c>
      <c r="R21" s="100">
        <v>15</v>
      </c>
      <c r="S21" s="100">
        <v>936</v>
      </c>
      <c r="T21" s="100">
        <v>17</v>
      </c>
      <c r="U21" s="100">
        <v>1060.8</v>
      </c>
      <c r="V21" s="100">
        <v>15.741850073672509</v>
      </c>
      <c r="W21" s="100">
        <v>982.29144459716451</v>
      </c>
      <c r="X21" s="100">
        <v>15</v>
      </c>
      <c r="Y21" s="100">
        <v>936</v>
      </c>
      <c r="Z21" s="100">
        <v>12.708016733746653</v>
      </c>
      <c r="AA21" s="100">
        <v>792.98024418579121</v>
      </c>
      <c r="AB21" s="100">
        <v>14</v>
      </c>
      <c r="AC21" s="100">
        <v>873.6</v>
      </c>
      <c r="AD21" s="100">
        <v>19</v>
      </c>
      <c r="AE21" s="100">
        <v>1185.5999999999999</v>
      </c>
      <c r="AF21" s="100">
        <v>11.473580751481302</v>
      </c>
      <c r="AG21" s="100">
        <v>715.9514388924332</v>
      </c>
      <c r="AH21" s="100">
        <v>17</v>
      </c>
      <c r="AI21" s="100">
        <v>1060.8</v>
      </c>
      <c r="AJ21" s="100">
        <v>13.883054519324867</v>
      </c>
      <c r="AK21" s="100">
        <v>866.30260200587168</v>
      </c>
      <c r="AL21" s="100">
        <v>22</v>
      </c>
      <c r="AM21" s="100">
        <v>1372.8</v>
      </c>
      <c r="AN21" s="100">
        <v>16</v>
      </c>
      <c r="AO21" s="100">
        <v>998.4</v>
      </c>
      <c r="AP21" s="100">
        <v>6.188030941078579</v>
      </c>
      <c r="AQ21" s="100">
        <v>386.13313072330334</v>
      </c>
      <c r="AR21" s="100">
        <v>13</v>
      </c>
      <c r="AS21" s="100">
        <v>811.19999999999993</v>
      </c>
      <c r="AT21" s="100">
        <v>22</v>
      </c>
      <c r="AU21" s="100">
        <v>1372.8</v>
      </c>
      <c r="AV21" s="100">
        <v>19</v>
      </c>
      <c r="AW21" s="100">
        <v>1185.5999999999999</v>
      </c>
      <c r="AX21" s="100">
        <v>5.8287741827059074</v>
      </c>
      <c r="AY21" s="100">
        <v>363.71550900084861</v>
      </c>
      <c r="AZ21" s="100">
        <v>18</v>
      </c>
      <c r="BA21" s="100">
        <v>1123.2</v>
      </c>
      <c r="BB21" s="100">
        <v>7.7135707904716186</v>
      </c>
      <c r="BC21" s="100">
        <v>481.32681732542898</v>
      </c>
      <c r="BD21" s="100">
        <v>15.3267883325016</v>
      </c>
      <c r="BE21" s="100">
        <v>956.39159194809986</v>
      </c>
      <c r="BF21" s="100">
        <v>11.33069951121556</v>
      </c>
      <c r="BG21" s="100">
        <v>707.03564949985093</v>
      </c>
      <c r="BH21" s="100">
        <v>13</v>
      </c>
      <c r="BI21" s="100">
        <v>811.19999999999993</v>
      </c>
      <c r="BJ21" s="100">
        <v>16</v>
      </c>
      <c r="BK21" s="100">
        <v>998.4</v>
      </c>
      <c r="BL21" s="100">
        <v>15</v>
      </c>
      <c r="BM21" s="100">
        <v>936</v>
      </c>
      <c r="BN21" s="100">
        <v>16</v>
      </c>
      <c r="BO21" s="100">
        <v>998.4</v>
      </c>
      <c r="BP21" s="100">
        <v>18</v>
      </c>
      <c r="BQ21" s="100">
        <v>1123.2</v>
      </c>
      <c r="BR21" s="100">
        <v>4.9568609849757497</v>
      </c>
      <c r="BS21" s="100">
        <v>309.30812546248677</v>
      </c>
      <c r="BT21" s="100">
        <v>18</v>
      </c>
      <c r="BU21" s="100">
        <v>1123.2</v>
      </c>
      <c r="BV21" s="100">
        <v>16</v>
      </c>
      <c r="BW21" s="100">
        <v>998.4</v>
      </c>
      <c r="BX21" s="100">
        <v>25</v>
      </c>
      <c r="BY21" s="100">
        <v>1560</v>
      </c>
      <c r="BZ21" s="100">
        <v>19</v>
      </c>
      <c r="CA21" s="100">
        <v>1185.5999999999999</v>
      </c>
      <c r="CB21" s="100">
        <v>18</v>
      </c>
      <c r="CC21" s="100">
        <v>1123.2</v>
      </c>
      <c r="CD21" s="100">
        <v>1.267901385799403</v>
      </c>
      <c r="CE21" s="100">
        <v>79.117046473882752</v>
      </c>
      <c r="CF21" s="100">
        <v>19</v>
      </c>
      <c r="CG21" s="100">
        <v>1185.5999999999999</v>
      </c>
      <c r="CH21" s="100">
        <v>17</v>
      </c>
      <c r="CI21" s="100">
        <v>1060.8</v>
      </c>
      <c r="CJ21" s="100">
        <v>23</v>
      </c>
      <c r="CK21" s="100">
        <v>1435.2</v>
      </c>
      <c r="CL21" s="100">
        <v>20.204281210132489</v>
      </c>
      <c r="CM21" s="100">
        <v>1260.7471475122672</v>
      </c>
      <c r="CN21" s="100">
        <v>23</v>
      </c>
      <c r="CO21" s="100">
        <v>1435.2</v>
      </c>
      <c r="CP21" s="100">
        <v>18</v>
      </c>
      <c r="CQ21" s="100">
        <v>1123.2</v>
      </c>
      <c r="CR21" s="100">
        <v>21</v>
      </c>
      <c r="CS21" s="100">
        <v>1310.3999999999999</v>
      </c>
      <c r="CT21" s="100">
        <v>19.050448969418305</v>
      </c>
      <c r="CU21" s="100">
        <v>1188.7480156917022</v>
      </c>
    </row>
    <row r="22" spans="2:99">
      <c r="C22" s="99" t="s">
        <v>188</v>
      </c>
      <c r="D22" s="100">
        <v>10</v>
      </c>
      <c r="E22" s="100">
        <v>1872</v>
      </c>
      <c r="F22" s="100">
        <v>15</v>
      </c>
      <c r="G22" s="100">
        <v>2808</v>
      </c>
      <c r="H22" s="100">
        <v>12</v>
      </c>
      <c r="I22" s="100">
        <v>2246.3999999999996</v>
      </c>
      <c r="J22" s="100">
        <v>11.311346330317619</v>
      </c>
      <c r="K22" s="100">
        <v>2117.4840330354582</v>
      </c>
      <c r="L22" s="100">
        <v>12</v>
      </c>
      <c r="M22" s="100">
        <v>2246.3999999999996</v>
      </c>
      <c r="N22" s="100">
        <v>13</v>
      </c>
      <c r="O22" s="100">
        <v>2433.6</v>
      </c>
      <c r="P22" s="100">
        <v>12</v>
      </c>
      <c r="Q22" s="100">
        <v>2246.3999999999996</v>
      </c>
      <c r="R22" s="100">
        <v>13</v>
      </c>
      <c r="S22" s="100">
        <v>2433.6</v>
      </c>
      <c r="T22" s="100">
        <v>17</v>
      </c>
      <c r="U22" s="100">
        <v>3182.3999999999996</v>
      </c>
      <c r="V22" s="100">
        <v>14.954757569988884</v>
      </c>
      <c r="W22" s="100">
        <v>2799.5306171019188</v>
      </c>
      <c r="X22" s="100">
        <v>16</v>
      </c>
      <c r="Y22" s="100">
        <v>2995.2</v>
      </c>
      <c r="Z22" s="100">
        <v>11.800301252764749</v>
      </c>
      <c r="AA22" s="100">
        <v>2209.0163945175609</v>
      </c>
      <c r="AB22" s="100">
        <v>13</v>
      </c>
      <c r="AC22" s="100">
        <v>2433.6</v>
      </c>
      <c r="AD22" s="100">
        <v>16</v>
      </c>
      <c r="AE22" s="100">
        <v>2995.2</v>
      </c>
      <c r="AF22" s="100">
        <v>11.473580751481302</v>
      </c>
      <c r="AG22" s="100">
        <v>2147.8543166772997</v>
      </c>
      <c r="AH22" s="100">
        <v>14</v>
      </c>
      <c r="AI22" s="100">
        <v>2620.7999999999997</v>
      </c>
      <c r="AJ22" s="100">
        <v>13.111773712695706</v>
      </c>
      <c r="AK22" s="100">
        <v>2454.5240390166359</v>
      </c>
      <c r="AL22" s="100">
        <v>23</v>
      </c>
      <c r="AM22" s="100">
        <v>4305.5999999999995</v>
      </c>
      <c r="AN22" s="100">
        <v>14</v>
      </c>
      <c r="AO22" s="100">
        <v>2620.7999999999997</v>
      </c>
      <c r="AP22" s="100">
        <v>6.188030941078579</v>
      </c>
      <c r="AQ22" s="100">
        <v>1158.39939216991</v>
      </c>
      <c r="AR22" s="100">
        <v>12</v>
      </c>
      <c r="AS22" s="100">
        <v>2246.3999999999996</v>
      </c>
      <c r="AT22" s="100">
        <v>20</v>
      </c>
      <c r="AU22" s="100">
        <v>3744</v>
      </c>
      <c r="AV22" s="100">
        <v>20</v>
      </c>
      <c r="AW22" s="100">
        <v>3744</v>
      </c>
      <c r="AX22" s="100">
        <v>6.2771414275294388</v>
      </c>
      <c r="AY22" s="100">
        <v>1175.0808752335108</v>
      </c>
      <c r="AZ22" s="100">
        <v>15</v>
      </c>
      <c r="BA22" s="100">
        <v>2808</v>
      </c>
      <c r="BB22" s="100">
        <v>7.7135707904716186</v>
      </c>
      <c r="BC22" s="100">
        <v>1443.980451976287</v>
      </c>
      <c r="BD22" s="100">
        <v>16.2283641167664</v>
      </c>
      <c r="BE22" s="100">
        <v>3037.9497626586699</v>
      </c>
      <c r="BF22" s="100">
        <v>12.202291781309064</v>
      </c>
      <c r="BG22" s="100">
        <v>2284.2690214610566</v>
      </c>
      <c r="BH22" s="100">
        <v>11</v>
      </c>
      <c r="BI22" s="100">
        <v>2059.1999999999998</v>
      </c>
      <c r="BJ22" s="100">
        <v>19</v>
      </c>
      <c r="BK22" s="100">
        <v>3556.7999999999997</v>
      </c>
      <c r="BL22" s="100">
        <v>15</v>
      </c>
      <c r="BM22" s="100">
        <v>2808</v>
      </c>
      <c r="BN22" s="100">
        <v>18</v>
      </c>
      <c r="BO22" s="100">
        <v>3369.6</v>
      </c>
      <c r="BP22" s="100">
        <v>16</v>
      </c>
      <c r="BQ22" s="100">
        <v>2995.2</v>
      </c>
      <c r="BR22" s="100">
        <v>5.2047040342245374</v>
      </c>
      <c r="BS22" s="100">
        <v>974.32059520683333</v>
      </c>
      <c r="BT22" s="100">
        <v>16</v>
      </c>
      <c r="BU22" s="100">
        <v>2995.2</v>
      </c>
      <c r="BV22" s="100">
        <v>16</v>
      </c>
      <c r="BW22" s="100">
        <v>2995.2</v>
      </c>
      <c r="BX22" s="100">
        <v>25</v>
      </c>
      <c r="BY22" s="100">
        <v>4680</v>
      </c>
      <c r="BZ22" s="100">
        <v>19</v>
      </c>
      <c r="CA22" s="100">
        <v>3556.7999999999997</v>
      </c>
      <c r="CB22" s="100">
        <v>17</v>
      </c>
      <c r="CC22" s="100">
        <v>3182.3999999999996</v>
      </c>
      <c r="CD22" s="100">
        <v>1.4407970293175034</v>
      </c>
      <c r="CE22" s="100">
        <v>269.71720388823661</v>
      </c>
      <c r="CF22" s="100">
        <v>20</v>
      </c>
      <c r="CG22" s="100">
        <v>3744</v>
      </c>
      <c r="CH22" s="100">
        <v>15</v>
      </c>
      <c r="CI22" s="100">
        <v>2808</v>
      </c>
      <c r="CJ22" s="100">
        <v>22</v>
      </c>
      <c r="CK22" s="100">
        <v>4118.3999999999996</v>
      </c>
      <c r="CL22" s="100">
        <v>21.046126260554679</v>
      </c>
      <c r="CM22" s="100">
        <v>3939.8348359758356</v>
      </c>
      <c r="CN22" s="100">
        <v>24</v>
      </c>
      <c r="CO22" s="100">
        <v>4492.7999999999993</v>
      </c>
      <c r="CP22" s="100">
        <v>16</v>
      </c>
      <c r="CQ22" s="100">
        <v>2995.2</v>
      </c>
      <c r="CR22" s="100">
        <v>18</v>
      </c>
      <c r="CS22" s="100">
        <v>3369.6</v>
      </c>
      <c r="CT22" s="100">
        <v>16.452660473588537</v>
      </c>
      <c r="CU22" s="100">
        <v>3079.9380406557739</v>
      </c>
    </row>
    <row r="23" spans="2:99">
      <c r="C23" s="99" t="s">
        <v>189</v>
      </c>
      <c r="D23" s="100">
        <v>11</v>
      </c>
      <c r="E23" s="100">
        <v>3234</v>
      </c>
      <c r="F23" s="100">
        <v>16</v>
      </c>
      <c r="G23" s="100">
        <v>4704</v>
      </c>
      <c r="H23" s="100">
        <v>12</v>
      </c>
      <c r="I23" s="100">
        <v>3528</v>
      </c>
      <c r="J23" s="100">
        <v>11.311346330317619</v>
      </c>
      <c r="K23" s="100">
        <v>3325.5358211133798</v>
      </c>
      <c r="L23" s="100">
        <v>13</v>
      </c>
      <c r="M23" s="100">
        <v>3822</v>
      </c>
      <c r="N23" s="100">
        <v>12</v>
      </c>
      <c r="O23" s="100">
        <v>3528</v>
      </c>
      <c r="P23" s="100">
        <v>13</v>
      </c>
      <c r="Q23" s="100">
        <v>3822</v>
      </c>
      <c r="R23" s="100">
        <v>15</v>
      </c>
      <c r="S23" s="100">
        <v>4410</v>
      </c>
      <c r="T23" s="100">
        <v>18</v>
      </c>
      <c r="U23" s="100">
        <v>5292</v>
      </c>
      <c r="V23" s="100">
        <v>15.741850073672509</v>
      </c>
      <c r="W23" s="100">
        <v>4628.1039216597173</v>
      </c>
      <c r="X23" s="100">
        <v>16</v>
      </c>
      <c r="Y23" s="100">
        <v>4704</v>
      </c>
      <c r="Z23" s="100">
        <v>10.892585771782848</v>
      </c>
      <c r="AA23" s="100">
        <v>3202.4202169041573</v>
      </c>
      <c r="AB23" s="100">
        <v>14</v>
      </c>
      <c r="AC23" s="100">
        <v>4116</v>
      </c>
      <c r="AD23" s="100">
        <v>16</v>
      </c>
      <c r="AE23" s="100">
        <v>4704</v>
      </c>
      <c r="AF23" s="100">
        <v>10.59099761675197</v>
      </c>
      <c r="AG23" s="100">
        <v>3113.7532993250793</v>
      </c>
      <c r="AH23" s="100">
        <v>14</v>
      </c>
      <c r="AI23" s="100">
        <v>4116</v>
      </c>
      <c r="AJ23" s="100">
        <v>13.883054519324867</v>
      </c>
      <c r="AK23" s="100">
        <v>4081.6180286815111</v>
      </c>
      <c r="AL23" s="100">
        <v>23</v>
      </c>
      <c r="AM23" s="100">
        <v>6762</v>
      </c>
      <c r="AN23" s="100">
        <v>14</v>
      </c>
      <c r="AO23" s="100">
        <v>4116</v>
      </c>
      <c r="AP23" s="100">
        <v>7.0720353612326612</v>
      </c>
      <c r="AQ23" s="100">
        <v>2079.1783962024024</v>
      </c>
      <c r="AR23" s="100">
        <v>13</v>
      </c>
      <c r="AS23" s="100">
        <v>3822</v>
      </c>
      <c r="AT23" s="100">
        <v>21</v>
      </c>
      <c r="AU23" s="100">
        <v>6174</v>
      </c>
      <c r="AV23" s="100">
        <v>19</v>
      </c>
      <c r="AW23" s="100">
        <v>5586</v>
      </c>
      <c r="AX23" s="100">
        <v>6.2771414275294388</v>
      </c>
      <c r="AY23" s="100">
        <v>1845.4795796936551</v>
      </c>
      <c r="AZ23" s="100">
        <v>15</v>
      </c>
      <c r="BA23" s="100">
        <v>4410</v>
      </c>
      <c r="BB23" s="100">
        <v>8.1673102487346547</v>
      </c>
      <c r="BC23" s="100">
        <v>2401.1892131279883</v>
      </c>
      <c r="BD23" s="100">
        <v>17.1299399010312</v>
      </c>
      <c r="BE23" s="100">
        <v>5036.2023309031729</v>
      </c>
      <c r="BF23" s="100">
        <v>12.202291781309064</v>
      </c>
      <c r="BG23" s="100">
        <v>3587.4737837048651</v>
      </c>
      <c r="BH23" s="100">
        <v>12</v>
      </c>
      <c r="BI23" s="100">
        <v>3528</v>
      </c>
      <c r="BJ23" s="100">
        <v>16</v>
      </c>
      <c r="BK23" s="100">
        <v>4704</v>
      </c>
      <c r="BL23" s="100">
        <v>14</v>
      </c>
      <c r="BM23" s="100">
        <v>4116</v>
      </c>
      <c r="BN23" s="100">
        <v>15</v>
      </c>
      <c r="BO23" s="100">
        <v>4410</v>
      </c>
      <c r="BP23" s="100">
        <v>17</v>
      </c>
      <c r="BQ23" s="100">
        <v>4998</v>
      </c>
      <c r="BR23" s="100">
        <v>5.2047040342245374</v>
      </c>
      <c r="BS23" s="100">
        <v>1530.1829860620139</v>
      </c>
      <c r="BT23" s="100">
        <v>17</v>
      </c>
      <c r="BU23" s="100">
        <v>4998</v>
      </c>
      <c r="BV23" s="100">
        <v>15</v>
      </c>
      <c r="BW23" s="100">
        <v>4410</v>
      </c>
      <c r="BX23" s="100">
        <v>21</v>
      </c>
      <c r="BY23" s="100">
        <v>6174</v>
      </c>
      <c r="BZ23" s="100">
        <v>19</v>
      </c>
      <c r="CA23" s="100">
        <v>5586</v>
      </c>
      <c r="CB23" s="100">
        <v>17</v>
      </c>
      <c r="CC23" s="100">
        <v>4998</v>
      </c>
      <c r="CD23" s="100">
        <v>1.1526376234540028</v>
      </c>
      <c r="CE23" s="100">
        <v>338.87546129547684</v>
      </c>
      <c r="CF23" s="100">
        <v>18</v>
      </c>
      <c r="CG23" s="100">
        <v>5292</v>
      </c>
      <c r="CH23" s="100">
        <v>14</v>
      </c>
      <c r="CI23" s="100">
        <v>4116</v>
      </c>
      <c r="CJ23" s="100">
        <v>19</v>
      </c>
      <c r="CK23" s="100">
        <v>5586</v>
      </c>
      <c r="CL23" s="100">
        <v>18.520591109288116</v>
      </c>
      <c r="CM23" s="100">
        <v>5445.0537861307057</v>
      </c>
      <c r="CN23" s="100">
        <v>21</v>
      </c>
      <c r="CO23" s="100">
        <v>6174</v>
      </c>
      <c r="CP23" s="100">
        <v>15</v>
      </c>
      <c r="CQ23" s="100">
        <v>4410</v>
      </c>
      <c r="CR23" s="100">
        <v>20</v>
      </c>
      <c r="CS23" s="100">
        <v>5880</v>
      </c>
      <c r="CT23" s="100">
        <v>17.318589972198456</v>
      </c>
      <c r="CU23" s="100">
        <v>5091.6654518263458</v>
      </c>
    </row>
    <row r="24" spans="2:99">
      <c r="C24" s="99" t="s">
        <v>190</v>
      </c>
      <c r="D24" s="100">
        <v>10</v>
      </c>
      <c r="E24" s="100">
        <v>3672</v>
      </c>
      <c r="F24" s="100">
        <v>16</v>
      </c>
      <c r="G24" s="100">
        <v>5875.2</v>
      </c>
      <c r="H24" s="100">
        <v>11</v>
      </c>
      <c r="I24" s="100">
        <v>4039.2</v>
      </c>
      <c r="J24" s="100">
        <v>11.311346330317619</v>
      </c>
      <c r="K24" s="100">
        <v>4153.5263724926299</v>
      </c>
      <c r="L24" s="100">
        <v>11</v>
      </c>
      <c r="M24" s="100">
        <v>4039.2</v>
      </c>
      <c r="N24" s="100">
        <v>13</v>
      </c>
      <c r="O24" s="100">
        <v>4773.5999999999995</v>
      </c>
      <c r="P24" s="100">
        <v>13</v>
      </c>
      <c r="Q24" s="100">
        <v>4773.5999999999995</v>
      </c>
      <c r="R24" s="100">
        <v>14</v>
      </c>
      <c r="S24" s="100">
        <v>5140.8</v>
      </c>
      <c r="T24" s="100">
        <v>16</v>
      </c>
      <c r="U24" s="100">
        <v>5875.2</v>
      </c>
      <c r="V24" s="100">
        <v>15.741850073672509</v>
      </c>
      <c r="W24" s="100">
        <v>5780.4073470525454</v>
      </c>
      <c r="X24" s="100">
        <v>15</v>
      </c>
      <c r="Y24" s="100">
        <v>5508</v>
      </c>
      <c r="Z24" s="100">
        <v>11.800301252764749</v>
      </c>
      <c r="AA24" s="100">
        <v>4333.0706200152154</v>
      </c>
      <c r="AB24" s="100">
        <v>13</v>
      </c>
      <c r="AC24" s="100">
        <v>4773.5999999999995</v>
      </c>
      <c r="AD24" s="100">
        <v>16</v>
      </c>
      <c r="AE24" s="100">
        <v>5875.2</v>
      </c>
      <c r="AF24" s="100">
        <v>10.59099761675197</v>
      </c>
      <c r="AG24" s="100">
        <v>3889.0143248713234</v>
      </c>
      <c r="AH24" s="100">
        <v>16</v>
      </c>
      <c r="AI24" s="100">
        <v>5875.2</v>
      </c>
      <c r="AJ24" s="100">
        <v>12.340492906066547</v>
      </c>
      <c r="AK24" s="100">
        <v>4531.4289951076362</v>
      </c>
      <c r="AL24" s="100">
        <v>23</v>
      </c>
      <c r="AM24" s="100">
        <v>8445.6</v>
      </c>
      <c r="AN24" s="100">
        <v>17</v>
      </c>
      <c r="AO24" s="100">
        <v>6242.4</v>
      </c>
      <c r="AP24" s="100">
        <v>7.0720353612326612</v>
      </c>
      <c r="AQ24" s="100">
        <v>2596.8513846446331</v>
      </c>
      <c r="AR24" s="100">
        <v>12</v>
      </c>
      <c r="AS24" s="100">
        <v>4406.3999999999996</v>
      </c>
      <c r="AT24" s="100">
        <v>20</v>
      </c>
      <c r="AU24" s="100">
        <v>7344</v>
      </c>
      <c r="AV24" s="100">
        <v>20</v>
      </c>
      <c r="AW24" s="100">
        <v>7344</v>
      </c>
      <c r="AX24" s="100">
        <v>5.8287741827059074</v>
      </c>
      <c r="AY24" s="100">
        <v>2140.325879889609</v>
      </c>
      <c r="AZ24" s="100">
        <v>16</v>
      </c>
      <c r="BA24" s="100">
        <v>5875.2</v>
      </c>
      <c r="BB24" s="100">
        <v>8.6210497069976917</v>
      </c>
      <c r="BC24" s="100">
        <v>3165.6494524095524</v>
      </c>
      <c r="BD24" s="100">
        <v>17.1299399010312</v>
      </c>
      <c r="BE24" s="100">
        <v>6290.1139316586568</v>
      </c>
      <c r="BF24" s="100">
        <v>13.073884051402569</v>
      </c>
      <c r="BG24" s="100">
        <v>4800.7302236750229</v>
      </c>
      <c r="BH24" s="100">
        <v>11</v>
      </c>
      <c r="BI24" s="100">
        <v>4039.2</v>
      </c>
      <c r="BJ24" s="100">
        <v>18</v>
      </c>
      <c r="BK24" s="100">
        <v>6609.5999999999995</v>
      </c>
      <c r="BL24" s="100">
        <v>14</v>
      </c>
      <c r="BM24" s="100">
        <v>5140.8</v>
      </c>
      <c r="BN24" s="100">
        <v>16</v>
      </c>
      <c r="BO24" s="100">
        <v>5875.2</v>
      </c>
      <c r="BP24" s="100">
        <v>16</v>
      </c>
      <c r="BQ24" s="100">
        <v>5875.2</v>
      </c>
      <c r="BR24" s="100">
        <v>4.4611748864781751</v>
      </c>
      <c r="BS24" s="100">
        <v>1638.1434183147858</v>
      </c>
      <c r="BT24" s="100">
        <v>18</v>
      </c>
      <c r="BU24" s="100">
        <v>6609.5999999999995</v>
      </c>
      <c r="BV24" s="100">
        <v>16</v>
      </c>
      <c r="BW24" s="100">
        <v>5875.2</v>
      </c>
      <c r="BX24" s="100">
        <v>23</v>
      </c>
      <c r="BY24" s="100">
        <v>8445.6</v>
      </c>
      <c r="BZ24" s="100">
        <v>20</v>
      </c>
      <c r="CA24" s="100">
        <v>7344</v>
      </c>
      <c r="CB24" s="100">
        <v>18</v>
      </c>
      <c r="CC24" s="100">
        <v>6609.5999999999995</v>
      </c>
      <c r="CD24" s="100">
        <v>1.3831651481448031</v>
      </c>
      <c r="CE24" s="100">
        <v>507.89824239877169</v>
      </c>
      <c r="CF24" s="100">
        <v>18</v>
      </c>
      <c r="CG24" s="100">
        <v>6609.5999999999995</v>
      </c>
      <c r="CH24" s="100">
        <v>15</v>
      </c>
      <c r="CI24" s="100">
        <v>5508</v>
      </c>
      <c r="CJ24" s="100">
        <v>22</v>
      </c>
      <c r="CK24" s="100">
        <v>8078.4</v>
      </c>
      <c r="CL24" s="100">
        <v>19.362436159710303</v>
      </c>
      <c r="CM24" s="100">
        <v>7109.8865578456225</v>
      </c>
      <c r="CN24" s="100">
        <v>23</v>
      </c>
      <c r="CO24" s="100">
        <v>8445.6</v>
      </c>
      <c r="CP24" s="100">
        <v>18</v>
      </c>
      <c r="CQ24" s="100">
        <v>6609.5999999999995</v>
      </c>
      <c r="CR24" s="100">
        <v>20</v>
      </c>
      <c r="CS24" s="100">
        <v>7344</v>
      </c>
      <c r="CT24" s="100">
        <v>17.318589972198456</v>
      </c>
      <c r="CU24" s="100">
        <v>6359.3862377912728</v>
      </c>
    </row>
    <row r="25" spans="2:99">
      <c r="C25" s="99" t="s">
        <v>191</v>
      </c>
      <c r="D25" s="100">
        <v>9</v>
      </c>
      <c r="E25" s="100">
        <v>4773.5999999999995</v>
      </c>
      <c r="F25" s="100">
        <v>15</v>
      </c>
      <c r="G25" s="100">
        <v>7956</v>
      </c>
      <c r="H25" s="100">
        <v>11</v>
      </c>
      <c r="I25" s="100">
        <v>5834.4</v>
      </c>
      <c r="J25" s="100">
        <v>10.05453007139344</v>
      </c>
      <c r="K25" s="100">
        <v>5332.9227498670807</v>
      </c>
      <c r="L25" s="100">
        <v>12</v>
      </c>
      <c r="M25" s="100">
        <v>6364.7999999999993</v>
      </c>
      <c r="N25" s="100">
        <v>13</v>
      </c>
      <c r="O25" s="100">
        <v>6895.2</v>
      </c>
      <c r="P25" s="100">
        <v>12</v>
      </c>
      <c r="Q25" s="100">
        <v>6364.7999999999993</v>
      </c>
      <c r="R25" s="100">
        <v>13</v>
      </c>
      <c r="S25" s="100">
        <v>6895.2</v>
      </c>
      <c r="T25" s="100">
        <v>18</v>
      </c>
      <c r="U25" s="100">
        <v>9547.1999999999989</v>
      </c>
      <c r="V25" s="100">
        <v>14.167665066305259</v>
      </c>
      <c r="W25" s="100">
        <v>7514.5295511683089</v>
      </c>
      <c r="X25" s="100">
        <v>15</v>
      </c>
      <c r="Y25" s="100">
        <v>7956</v>
      </c>
      <c r="Z25" s="100">
        <v>11.800301252764749</v>
      </c>
      <c r="AA25" s="100">
        <v>6258.8797844664223</v>
      </c>
      <c r="AB25" s="100">
        <v>14</v>
      </c>
      <c r="AC25" s="100">
        <v>7425.5999999999995</v>
      </c>
      <c r="AD25" s="100">
        <v>16</v>
      </c>
      <c r="AE25" s="100">
        <v>8486.4</v>
      </c>
      <c r="AF25" s="100">
        <v>13.238747020939963</v>
      </c>
      <c r="AG25" s="100">
        <v>7021.8314199065562</v>
      </c>
      <c r="AH25" s="100">
        <v>14</v>
      </c>
      <c r="AI25" s="100">
        <v>7425.5999999999995</v>
      </c>
      <c r="AJ25" s="100">
        <v>13.111773712695706</v>
      </c>
      <c r="AK25" s="100">
        <v>6954.4847772138028</v>
      </c>
      <c r="AL25" s="100">
        <v>23</v>
      </c>
      <c r="AM25" s="100">
        <v>12199.199999999999</v>
      </c>
      <c r="AN25" s="100">
        <v>15</v>
      </c>
      <c r="AO25" s="100">
        <v>7956</v>
      </c>
      <c r="AP25" s="100">
        <v>6.188030941078579</v>
      </c>
      <c r="AQ25" s="100">
        <v>3282.1316111480783</v>
      </c>
      <c r="AR25" s="100">
        <v>12</v>
      </c>
      <c r="AS25" s="100">
        <v>6364.7999999999993</v>
      </c>
      <c r="AT25" s="100">
        <v>19</v>
      </c>
      <c r="AU25" s="100">
        <v>10077.6</v>
      </c>
      <c r="AV25" s="100">
        <v>20</v>
      </c>
      <c r="AW25" s="100">
        <v>10608</v>
      </c>
      <c r="AX25" s="100">
        <v>5.8287741827059074</v>
      </c>
      <c r="AY25" s="100">
        <v>3091.581826507213</v>
      </c>
      <c r="AZ25" s="100">
        <v>18</v>
      </c>
      <c r="BA25" s="100">
        <v>9547.1999999999989</v>
      </c>
      <c r="BB25" s="100">
        <v>7.7135707904716186</v>
      </c>
      <c r="BC25" s="100">
        <v>4091.2779472661464</v>
      </c>
      <c r="BD25" s="100">
        <v>16.2283641167664</v>
      </c>
      <c r="BE25" s="100">
        <v>8607.5243275328976</v>
      </c>
      <c r="BF25" s="100">
        <v>11.33069951121556</v>
      </c>
      <c r="BG25" s="100">
        <v>6009.8030207487327</v>
      </c>
      <c r="BH25" s="100">
        <v>12</v>
      </c>
      <c r="BI25" s="100">
        <v>6364.7999999999993</v>
      </c>
      <c r="BJ25" s="100">
        <v>15</v>
      </c>
      <c r="BK25" s="100">
        <v>7956</v>
      </c>
      <c r="BL25" s="100">
        <v>14</v>
      </c>
      <c r="BM25" s="100">
        <v>7425.5999999999995</v>
      </c>
      <c r="BN25" s="100">
        <v>17</v>
      </c>
      <c r="BO25" s="100">
        <v>9016.7999999999993</v>
      </c>
      <c r="BP25" s="100">
        <v>18</v>
      </c>
      <c r="BQ25" s="100">
        <v>9547.1999999999989</v>
      </c>
      <c r="BR25" s="100">
        <v>5.4525470834733252</v>
      </c>
      <c r="BS25" s="100">
        <v>2892.0309730742515</v>
      </c>
      <c r="BT25" s="100">
        <v>18</v>
      </c>
      <c r="BU25" s="100">
        <v>9547.1999999999989</v>
      </c>
      <c r="BV25" s="100">
        <v>14</v>
      </c>
      <c r="BW25" s="100">
        <v>7425.5999999999995</v>
      </c>
      <c r="BX25" s="100">
        <v>21</v>
      </c>
      <c r="BY25" s="100">
        <v>11138.4</v>
      </c>
      <c r="BZ25" s="100">
        <v>19</v>
      </c>
      <c r="CA25" s="100">
        <v>10077.6</v>
      </c>
      <c r="CB25" s="100">
        <v>18</v>
      </c>
      <c r="CC25" s="100">
        <v>9547.1999999999989</v>
      </c>
      <c r="CD25" s="100">
        <v>1.267901385799403</v>
      </c>
      <c r="CE25" s="100">
        <v>672.49489502800338</v>
      </c>
      <c r="CF25" s="100">
        <v>19</v>
      </c>
      <c r="CG25" s="100">
        <v>10077.6</v>
      </c>
      <c r="CH25" s="100">
        <v>15</v>
      </c>
      <c r="CI25" s="100">
        <v>7956</v>
      </c>
      <c r="CJ25" s="100">
        <v>21</v>
      </c>
      <c r="CK25" s="100">
        <v>11138.4</v>
      </c>
      <c r="CL25" s="100">
        <v>20.204281210132489</v>
      </c>
      <c r="CM25" s="100">
        <v>10716.350753854273</v>
      </c>
      <c r="CN25" s="100">
        <v>24</v>
      </c>
      <c r="CO25" s="100">
        <v>12729.599999999999</v>
      </c>
      <c r="CP25" s="100">
        <v>16</v>
      </c>
      <c r="CQ25" s="100">
        <v>8486.4</v>
      </c>
      <c r="CR25" s="100">
        <v>18</v>
      </c>
      <c r="CS25" s="100">
        <v>9547.1999999999989</v>
      </c>
      <c r="CT25" s="100">
        <v>15.586730974978611</v>
      </c>
      <c r="CU25" s="100">
        <v>8267.2021091286551</v>
      </c>
    </row>
    <row r="26" spans="2:99">
      <c r="C26" s="99" t="s">
        <v>192</v>
      </c>
      <c r="D26" s="100">
        <v>10</v>
      </c>
      <c r="E26" s="100">
        <v>4860</v>
      </c>
      <c r="F26" s="100">
        <v>14</v>
      </c>
      <c r="G26" s="100">
        <v>6804</v>
      </c>
      <c r="H26" s="100">
        <v>12</v>
      </c>
      <c r="I26" s="100">
        <v>5832</v>
      </c>
      <c r="J26" s="100">
        <v>10.05453007139344</v>
      </c>
      <c r="K26" s="100">
        <v>4886.5016146972121</v>
      </c>
      <c r="L26" s="100">
        <v>12</v>
      </c>
      <c r="M26" s="100">
        <v>5832</v>
      </c>
      <c r="N26" s="100">
        <v>15</v>
      </c>
      <c r="O26" s="100">
        <v>7290</v>
      </c>
      <c r="P26" s="100">
        <v>13</v>
      </c>
      <c r="Q26" s="100">
        <v>6318</v>
      </c>
      <c r="R26" s="100">
        <v>14</v>
      </c>
      <c r="S26" s="100">
        <v>6804</v>
      </c>
      <c r="T26" s="100">
        <v>16</v>
      </c>
      <c r="U26" s="100">
        <v>7776</v>
      </c>
      <c r="V26" s="100">
        <v>15.741850073672509</v>
      </c>
      <c r="W26" s="100">
        <v>7650.5391358048391</v>
      </c>
      <c r="X26" s="100">
        <v>16</v>
      </c>
      <c r="Y26" s="100">
        <v>7776</v>
      </c>
      <c r="Z26" s="100">
        <v>9.9848702908009432</v>
      </c>
      <c r="AA26" s="100">
        <v>4852.6469613292584</v>
      </c>
      <c r="AB26" s="100">
        <v>13</v>
      </c>
      <c r="AC26" s="100">
        <v>6318</v>
      </c>
      <c r="AD26" s="100">
        <v>16</v>
      </c>
      <c r="AE26" s="100">
        <v>7776</v>
      </c>
      <c r="AF26" s="100">
        <v>11.473580751481302</v>
      </c>
      <c r="AG26" s="100">
        <v>5576.1602452199131</v>
      </c>
      <c r="AH26" s="100">
        <v>15</v>
      </c>
      <c r="AI26" s="100">
        <v>7290</v>
      </c>
      <c r="AJ26" s="100">
        <v>12.340492906066547</v>
      </c>
      <c r="AK26" s="100">
        <v>5997.4795523483417</v>
      </c>
      <c r="AL26" s="100">
        <v>21</v>
      </c>
      <c r="AM26" s="100">
        <v>10206</v>
      </c>
      <c r="AN26" s="100">
        <v>16</v>
      </c>
      <c r="AO26" s="100">
        <v>7776</v>
      </c>
      <c r="AP26" s="100">
        <v>6.4826990811299394</v>
      </c>
      <c r="AQ26" s="100">
        <v>3150.5917534291507</v>
      </c>
      <c r="AR26" s="100">
        <v>11</v>
      </c>
      <c r="AS26" s="100">
        <v>5346</v>
      </c>
      <c r="AT26" s="100">
        <v>19</v>
      </c>
      <c r="AU26" s="100">
        <v>9234</v>
      </c>
      <c r="AV26" s="100">
        <v>20</v>
      </c>
      <c r="AW26" s="100">
        <v>9720</v>
      </c>
      <c r="AX26" s="100">
        <v>5.8287741827059074</v>
      </c>
      <c r="AY26" s="100">
        <v>2832.7842527950711</v>
      </c>
      <c r="AZ26" s="100">
        <v>18</v>
      </c>
      <c r="BA26" s="100">
        <v>8748</v>
      </c>
      <c r="BB26" s="100">
        <v>8.6210497069976917</v>
      </c>
      <c r="BC26" s="100">
        <v>4189.830157600878</v>
      </c>
      <c r="BD26" s="100">
        <v>15.3267883325016</v>
      </c>
      <c r="BE26" s="100">
        <v>7448.8191295957777</v>
      </c>
      <c r="BF26" s="100">
        <v>13.073884051402569</v>
      </c>
      <c r="BG26" s="100">
        <v>6353.9076489816489</v>
      </c>
      <c r="BH26" s="100">
        <v>12</v>
      </c>
      <c r="BI26" s="100">
        <v>5832</v>
      </c>
      <c r="BJ26" s="100">
        <v>19</v>
      </c>
      <c r="BK26" s="100">
        <v>9234</v>
      </c>
      <c r="BL26" s="100">
        <v>15</v>
      </c>
      <c r="BM26" s="100">
        <v>7290</v>
      </c>
      <c r="BN26" s="100">
        <v>17</v>
      </c>
      <c r="BO26" s="100">
        <v>8262</v>
      </c>
      <c r="BP26" s="100">
        <v>18</v>
      </c>
      <c r="BQ26" s="100">
        <v>8748</v>
      </c>
      <c r="BR26" s="100">
        <v>4.7090179357269628</v>
      </c>
      <c r="BS26" s="100">
        <v>2288.5827167633038</v>
      </c>
      <c r="BT26" s="100">
        <v>16</v>
      </c>
      <c r="BU26" s="100">
        <v>7776</v>
      </c>
      <c r="BV26" s="100">
        <v>15</v>
      </c>
      <c r="BW26" s="100">
        <v>7290</v>
      </c>
      <c r="BX26" s="100">
        <v>22</v>
      </c>
      <c r="BY26" s="100">
        <v>10692</v>
      </c>
      <c r="BZ26" s="100">
        <v>20</v>
      </c>
      <c r="CA26" s="100">
        <v>9720</v>
      </c>
      <c r="CB26" s="100">
        <v>17</v>
      </c>
      <c r="CC26" s="100">
        <v>8262</v>
      </c>
      <c r="CD26" s="100">
        <v>1.267901385799403</v>
      </c>
      <c r="CE26" s="100">
        <v>616.20007349850982</v>
      </c>
      <c r="CF26" s="100">
        <v>18</v>
      </c>
      <c r="CG26" s="100">
        <v>8748</v>
      </c>
      <c r="CH26" s="100">
        <v>14</v>
      </c>
      <c r="CI26" s="100">
        <v>6804</v>
      </c>
      <c r="CJ26" s="100">
        <v>21</v>
      </c>
      <c r="CK26" s="100">
        <v>10206</v>
      </c>
      <c r="CL26" s="100">
        <v>20.204281210132489</v>
      </c>
      <c r="CM26" s="100">
        <v>9819.2806681243892</v>
      </c>
      <c r="CN26" s="100">
        <v>23</v>
      </c>
      <c r="CO26" s="100">
        <v>11178</v>
      </c>
      <c r="CP26" s="100">
        <v>16</v>
      </c>
      <c r="CQ26" s="100">
        <v>7776</v>
      </c>
      <c r="CR26" s="100">
        <v>19</v>
      </c>
      <c r="CS26" s="100">
        <v>9234</v>
      </c>
      <c r="CT26" s="100">
        <v>18.184519470808379</v>
      </c>
      <c r="CU26" s="100">
        <v>8837.6764628128713</v>
      </c>
    </row>
    <row r="27" spans="2:99">
      <c r="C27" s="99" t="s">
        <v>193</v>
      </c>
      <c r="D27" s="100">
        <v>10</v>
      </c>
      <c r="E27" s="100">
        <v>4272</v>
      </c>
      <c r="F27" s="100">
        <v>14</v>
      </c>
      <c r="G27" s="100">
        <v>5980.8</v>
      </c>
      <c r="H27" s="100">
        <v>11</v>
      </c>
      <c r="I27" s="100">
        <v>4699.2</v>
      </c>
      <c r="J27" s="100">
        <v>11.93975445977971</v>
      </c>
      <c r="K27" s="100">
        <v>5100.6631052178918</v>
      </c>
      <c r="L27" s="100">
        <v>12</v>
      </c>
      <c r="M27" s="100">
        <v>5126.3999999999996</v>
      </c>
      <c r="N27" s="100">
        <v>14</v>
      </c>
      <c r="O27" s="100">
        <v>5980.8</v>
      </c>
      <c r="P27" s="100">
        <v>13</v>
      </c>
      <c r="Q27" s="100">
        <v>5553.5999999999995</v>
      </c>
      <c r="R27" s="100">
        <v>13</v>
      </c>
      <c r="S27" s="100">
        <v>5553.5999999999995</v>
      </c>
      <c r="T27" s="100">
        <v>19</v>
      </c>
      <c r="U27" s="100">
        <v>8116.8</v>
      </c>
      <c r="V27" s="100">
        <v>15.741850073672509</v>
      </c>
      <c r="W27" s="100">
        <v>6724.9183514728957</v>
      </c>
      <c r="X27" s="100">
        <v>15</v>
      </c>
      <c r="Y27" s="100">
        <v>6408</v>
      </c>
      <c r="Z27" s="100">
        <v>11.800301252764749</v>
      </c>
      <c r="AA27" s="100">
        <v>5041.0886951811008</v>
      </c>
      <c r="AB27" s="100">
        <v>13</v>
      </c>
      <c r="AC27" s="100">
        <v>5553.5999999999995</v>
      </c>
      <c r="AD27" s="100">
        <v>17</v>
      </c>
      <c r="AE27" s="100">
        <v>7262.4</v>
      </c>
      <c r="AF27" s="100">
        <v>12.356163886210632</v>
      </c>
      <c r="AG27" s="100">
        <v>5278.553212189182</v>
      </c>
      <c r="AH27" s="100">
        <v>15</v>
      </c>
      <c r="AI27" s="100">
        <v>6408</v>
      </c>
      <c r="AJ27" s="100">
        <v>12.340492906066547</v>
      </c>
      <c r="AK27" s="100">
        <v>5271.8585694716285</v>
      </c>
      <c r="AL27" s="100">
        <v>23</v>
      </c>
      <c r="AM27" s="100">
        <v>9825.6</v>
      </c>
      <c r="AN27" s="100">
        <v>16</v>
      </c>
      <c r="AO27" s="100">
        <v>6835.2</v>
      </c>
      <c r="AP27" s="100">
        <v>6.4826990811299394</v>
      </c>
      <c r="AQ27" s="100">
        <v>2769.4090474587101</v>
      </c>
      <c r="AR27" s="100">
        <v>13</v>
      </c>
      <c r="AS27" s="100">
        <v>5553.5999999999995</v>
      </c>
      <c r="AT27" s="100">
        <v>20</v>
      </c>
      <c r="AU27" s="100">
        <v>8544</v>
      </c>
      <c r="AV27" s="100">
        <v>18</v>
      </c>
      <c r="AW27" s="100">
        <v>7689.5999999999995</v>
      </c>
      <c r="AX27" s="100">
        <v>6.2771414275294388</v>
      </c>
      <c r="AY27" s="100">
        <v>2681.5948178405761</v>
      </c>
      <c r="AZ27" s="100">
        <v>16</v>
      </c>
      <c r="BA27" s="100">
        <v>6835.2</v>
      </c>
      <c r="BB27" s="100">
        <v>7.2598313322085826</v>
      </c>
      <c r="BC27" s="100">
        <v>3101.3999451195064</v>
      </c>
      <c r="BD27" s="100">
        <v>18.031515685296</v>
      </c>
      <c r="BE27" s="100">
        <v>7703.0635007584515</v>
      </c>
      <c r="BF27" s="100">
        <v>11.33069951121556</v>
      </c>
      <c r="BG27" s="100">
        <v>4840.4748311912872</v>
      </c>
      <c r="BH27" s="100">
        <v>13</v>
      </c>
      <c r="BI27" s="100">
        <v>5553.5999999999995</v>
      </c>
      <c r="BJ27" s="100">
        <v>19</v>
      </c>
      <c r="BK27" s="100">
        <v>8116.8</v>
      </c>
      <c r="BL27" s="100">
        <v>14</v>
      </c>
      <c r="BM27" s="100">
        <v>5980.8</v>
      </c>
      <c r="BN27" s="100">
        <v>18</v>
      </c>
      <c r="BO27" s="100">
        <v>7689.5999999999995</v>
      </c>
      <c r="BP27" s="100">
        <v>17</v>
      </c>
      <c r="BQ27" s="100">
        <v>7262.4</v>
      </c>
      <c r="BR27" s="100">
        <v>5.4525470834733252</v>
      </c>
      <c r="BS27" s="100">
        <v>2329.3281140598046</v>
      </c>
      <c r="BT27" s="100">
        <v>19</v>
      </c>
      <c r="BU27" s="100">
        <v>8116.8</v>
      </c>
      <c r="BV27" s="100">
        <v>15</v>
      </c>
      <c r="BW27" s="100">
        <v>6408</v>
      </c>
      <c r="BX27" s="100">
        <v>24</v>
      </c>
      <c r="BY27" s="100">
        <v>10252.799999999999</v>
      </c>
      <c r="BZ27" s="100">
        <v>20</v>
      </c>
      <c r="CA27" s="100">
        <v>8544</v>
      </c>
      <c r="CB27" s="100">
        <v>18</v>
      </c>
      <c r="CC27" s="100">
        <v>7689.5999999999995</v>
      </c>
      <c r="CD27" s="100">
        <v>1.267901385799403</v>
      </c>
      <c r="CE27" s="100">
        <v>541.64747201350497</v>
      </c>
      <c r="CF27" s="100">
        <v>17</v>
      </c>
      <c r="CG27" s="100">
        <v>7262.4</v>
      </c>
      <c r="CH27" s="100">
        <v>14</v>
      </c>
      <c r="CI27" s="100">
        <v>5980.8</v>
      </c>
      <c r="CJ27" s="100">
        <v>22</v>
      </c>
      <c r="CK27" s="100">
        <v>9398.4</v>
      </c>
      <c r="CL27" s="100">
        <v>21.887971310976866</v>
      </c>
      <c r="CM27" s="100">
        <v>9350.5413440493176</v>
      </c>
      <c r="CN27" s="100">
        <v>22</v>
      </c>
      <c r="CO27" s="100">
        <v>9398.4</v>
      </c>
      <c r="CP27" s="100">
        <v>16</v>
      </c>
      <c r="CQ27" s="100">
        <v>6835.2</v>
      </c>
      <c r="CR27" s="100">
        <v>20</v>
      </c>
      <c r="CS27" s="100">
        <v>8544</v>
      </c>
      <c r="CT27" s="100">
        <v>17.318589972198456</v>
      </c>
      <c r="CU27" s="100">
        <v>7398.5016361231801</v>
      </c>
    </row>
    <row r="28" spans="2:99">
      <c r="C28" s="99" t="s">
        <v>194</v>
      </c>
      <c r="D28" s="100">
        <v>11</v>
      </c>
      <c r="E28" s="100">
        <v>8118</v>
      </c>
      <c r="F28" s="100">
        <v>13</v>
      </c>
      <c r="G28" s="100">
        <v>9594</v>
      </c>
      <c r="H28" s="100">
        <v>13</v>
      </c>
      <c r="I28" s="100">
        <v>9594</v>
      </c>
      <c r="J28" s="100">
        <v>10.05453007139344</v>
      </c>
      <c r="K28" s="100">
        <v>7420.2431926883592</v>
      </c>
      <c r="L28" s="100">
        <v>12</v>
      </c>
      <c r="M28" s="100">
        <v>8856</v>
      </c>
      <c r="N28" s="100">
        <v>13</v>
      </c>
      <c r="O28" s="100">
        <v>9594</v>
      </c>
      <c r="P28" s="100">
        <v>13</v>
      </c>
      <c r="Q28" s="100">
        <v>9594</v>
      </c>
      <c r="R28" s="100">
        <v>13</v>
      </c>
      <c r="S28" s="100">
        <v>9594</v>
      </c>
      <c r="T28" s="100">
        <v>18</v>
      </c>
      <c r="U28" s="100">
        <v>13284</v>
      </c>
      <c r="V28" s="100">
        <v>14.167665066305259</v>
      </c>
      <c r="W28" s="100">
        <v>10455.736818933281</v>
      </c>
      <c r="X28" s="100">
        <v>15</v>
      </c>
      <c r="Y28" s="100">
        <v>11070</v>
      </c>
      <c r="Z28" s="100">
        <v>10.892585771782848</v>
      </c>
      <c r="AA28" s="100">
        <v>8038.7282995757414</v>
      </c>
      <c r="AB28" s="100">
        <v>13</v>
      </c>
      <c r="AC28" s="100">
        <v>9594</v>
      </c>
      <c r="AD28" s="100">
        <v>17</v>
      </c>
      <c r="AE28" s="100">
        <v>12546</v>
      </c>
      <c r="AF28" s="100">
        <v>12.356163886210632</v>
      </c>
      <c r="AG28" s="100">
        <v>9118.8489480234475</v>
      </c>
      <c r="AH28" s="100">
        <v>16</v>
      </c>
      <c r="AI28" s="100">
        <v>11808</v>
      </c>
      <c r="AJ28" s="100">
        <v>13.111773712695706</v>
      </c>
      <c r="AK28" s="100">
        <v>9676.4889999694315</v>
      </c>
      <c r="AL28" s="100">
        <v>22</v>
      </c>
      <c r="AM28" s="100">
        <v>16236</v>
      </c>
      <c r="AN28" s="100">
        <v>17</v>
      </c>
      <c r="AO28" s="100">
        <v>12546</v>
      </c>
      <c r="AP28" s="100">
        <v>6.7773672211812999</v>
      </c>
      <c r="AQ28" s="100">
        <v>5001.6970092317997</v>
      </c>
      <c r="AR28" s="100">
        <v>11</v>
      </c>
      <c r="AS28" s="100">
        <v>8118</v>
      </c>
      <c r="AT28" s="100">
        <v>21</v>
      </c>
      <c r="AU28" s="100">
        <v>15498</v>
      </c>
      <c r="AV28" s="100">
        <v>19</v>
      </c>
      <c r="AW28" s="100">
        <v>14022</v>
      </c>
      <c r="AX28" s="100">
        <v>5.8287741827059074</v>
      </c>
      <c r="AY28" s="100">
        <v>4301.6353468369598</v>
      </c>
      <c r="AZ28" s="100">
        <v>17</v>
      </c>
      <c r="BA28" s="100">
        <v>12546</v>
      </c>
      <c r="BB28" s="100">
        <v>8.1673102487346547</v>
      </c>
      <c r="BC28" s="100">
        <v>6027.4749635661756</v>
      </c>
      <c r="BD28" s="100">
        <v>15.3267883325016</v>
      </c>
      <c r="BE28" s="100">
        <v>11311.16978938618</v>
      </c>
      <c r="BF28" s="100">
        <v>11.33069951121556</v>
      </c>
      <c r="BG28" s="100">
        <v>8362.0562392770826</v>
      </c>
      <c r="BH28" s="100">
        <v>11</v>
      </c>
      <c r="BI28" s="100">
        <v>8118</v>
      </c>
      <c r="BJ28" s="100">
        <v>17</v>
      </c>
      <c r="BK28" s="100">
        <v>12546</v>
      </c>
      <c r="BL28" s="100">
        <v>15</v>
      </c>
      <c r="BM28" s="100">
        <v>11070</v>
      </c>
      <c r="BN28" s="100">
        <v>17</v>
      </c>
      <c r="BO28" s="100">
        <v>12546</v>
      </c>
      <c r="BP28" s="100">
        <v>17</v>
      </c>
      <c r="BQ28" s="100">
        <v>12546</v>
      </c>
      <c r="BR28" s="100">
        <v>4.4611748864781751</v>
      </c>
      <c r="BS28" s="100">
        <v>3292.3470662208933</v>
      </c>
      <c r="BT28" s="100">
        <v>16</v>
      </c>
      <c r="BU28" s="100">
        <v>11808</v>
      </c>
      <c r="BV28" s="100">
        <v>15</v>
      </c>
      <c r="BW28" s="100">
        <v>11070</v>
      </c>
      <c r="BX28" s="100">
        <v>23</v>
      </c>
      <c r="BY28" s="100">
        <v>16974</v>
      </c>
      <c r="BZ28" s="100">
        <v>20</v>
      </c>
      <c r="CA28" s="100">
        <v>14760</v>
      </c>
      <c r="CB28" s="100">
        <v>19</v>
      </c>
      <c r="CC28" s="100">
        <v>14022</v>
      </c>
      <c r="CD28" s="100">
        <v>1.2102695046267027</v>
      </c>
      <c r="CE28" s="100">
        <v>893.17889441450654</v>
      </c>
      <c r="CF28" s="100">
        <v>19</v>
      </c>
      <c r="CG28" s="100">
        <v>14022</v>
      </c>
      <c r="CH28" s="100">
        <v>14</v>
      </c>
      <c r="CI28" s="100">
        <v>10332</v>
      </c>
      <c r="CJ28" s="100">
        <v>22</v>
      </c>
      <c r="CK28" s="100">
        <v>16236</v>
      </c>
      <c r="CL28" s="100">
        <v>17.678746058865929</v>
      </c>
      <c r="CM28" s="100">
        <v>13046.914591443056</v>
      </c>
      <c r="CN28" s="100">
        <v>22</v>
      </c>
      <c r="CO28" s="100">
        <v>16236</v>
      </c>
      <c r="CP28" s="100">
        <v>16</v>
      </c>
      <c r="CQ28" s="100">
        <v>11808</v>
      </c>
      <c r="CR28" s="100">
        <v>19</v>
      </c>
      <c r="CS28" s="100">
        <v>14022</v>
      </c>
      <c r="CT28" s="100">
        <v>16.452660473588537</v>
      </c>
      <c r="CU28" s="100">
        <v>12142.06342950834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14</v>
      </c>
      <c r="G29" s="100">
        <v>4737.5999999999995</v>
      </c>
      <c r="H29" s="100">
        <v>11</v>
      </c>
      <c r="I29" s="100">
        <v>3722.3999999999996</v>
      </c>
      <c r="J29" s="100">
        <v>10.68293820085553</v>
      </c>
      <c r="K29" s="100">
        <v>3615.1062871695108</v>
      </c>
      <c r="L29" s="100">
        <v>11</v>
      </c>
      <c r="M29" s="100">
        <v>3722.3999999999996</v>
      </c>
      <c r="N29" s="100">
        <v>13</v>
      </c>
      <c r="O29" s="100">
        <v>4399.2</v>
      </c>
      <c r="P29" s="100">
        <v>13</v>
      </c>
      <c r="Q29" s="100">
        <v>4399.2</v>
      </c>
      <c r="R29" s="100">
        <v>13</v>
      </c>
      <c r="S29" s="100">
        <v>4399.2</v>
      </c>
      <c r="T29" s="100">
        <v>18</v>
      </c>
      <c r="U29" s="100">
        <v>6091.2</v>
      </c>
      <c r="V29" s="100">
        <v>14.954757569988884</v>
      </c>
      <c r="W29" s="100">
        <v>5060.6899616842375</v>
      </c>
      <c r="X29" s="100">
        <v>15</v>
      </c>
      <c r="Y29" s="100">
        <v>5076</v>
      </c>
      <c r="Z29" s="100">
        <v>12.708016733746653</v>
      </c>
      <c r="AA29" s="100">
        <v>4300.3928626998668</v>
      </c>
      <c r="AB29" s="100">
        <v>13</v>
      </c>
      <c r="AC29" s="100">
        <v>4399.2</v>
      </c>
      <c r="AD29" s="100">
        <v>19</v>
      </c>
      <c r="AE29" s="100">
        <v>6429.5999999999995</v>
      </c>
      <c r="AF29" s="100">
        <v>11.473580751481302</v>
      </c>
      <c r="AG29" s="100">
        <v>3882.6597263012723</v>
      </c>
      <c r="AH29" s="100">
        <v>16</v>
      </c>
      <c r="AI29" s="100">
        <v>5414.4</v>
      </c>
      <c r="AJ29" s="100">
        <v>14.654335325954026</v>
      </c>
      <c r="AK29" s="100">
        <v>4959.0270743028423</v>
      </c>
      <c r="AL29" s="100">
        <v>24</v>
      </c>
      <c r="AM29" s="100">
        <v>8121.5999999999995</v>
      </c>
      <c r="AN29" s="100">
        <v>16</v>
      </c>
      <c r="AO29" s="100">
        <v>5414.4</v>
      </c>
      <c r="AP29" s="100">
        <v>6.188030941078579</v>
      </c>
      <c r="AQ29" s="100">
        <v>2094.0296704609909</v>
      </c>
      <c r="AR29" s="100">
        <v>12</v>
      </c>
      <c r="AS29" s="100">
        <v>4060.7999999999997</v>
      </c>
      <c r="AT29" s="100">
        <v>22</v>
      </c>
      <c r="AU29" s="100">
        <v>7444.7999999999993</v>
      </c>
      <c r="AV29" s="100">
        <v>19</v>
      </c>
      <c r="AW29" s="100">
        <v>6429.5999999999995</v>
      </c>
      <c r="AX29" s="100">
        <v>6.2771414275294388</v>
      </c>
      <c r="AY29" s="100">
        <v>2124.1846590759619</v>
      </c>
      <c r="AZ29" s="100">
        <v>18</v>
      </c>
      <c r="BA29" s="100">
        <v>6091.2</v>
      </c>
      <c r="BB29" s="100">
        <v>8.6210497069976917</v>
      </c>
      <c r="BC29" s="100">
        <v>2917.3632208480185</v>
      </c>
      <c r="BD29" s="100">
        <v>16.2283641167664</v>
      </c>
      <c r="BE29" s="100">
        <v>5491.6784171137497</v>
      </c>
      <c r="BF29" s="100">
        <v>13.073884051402569</v>
      </c>
      <c r="BG29" s="100">
        <v>4424.2023629946289</v>
      </c>
      <c r="BH29" s="100">
        <v>13</v>
      </c>
      <c r="BI29" s="100">
        <v>4399.2</v>
      </c>
      <c r="BJ29" s="100">
        <v>16</v>
      </c>
      <c r="BK29" s="100">
        <v>5414.4</v>
      </c>
      <c r="BL29" s="100">
        <v>13</v>
      </c>
      <c r="BM29" s="100">
        <v>4399.2</v>
      </c>
      <c r="BN29" s="100">
        <v>16</v>
      </c>
      <c r="BO29" s="100">
        <v>5414.4</v>
      </c>
      <c r="BP29" s="100">
        <v>18</v>
      </c>
      <c r="BQ29" s="100">
        <v>6091.2</v>
      </c>
      <c r="BR29" s="100">
        <v>5.4525470834733252</v>
      </c>
      <c r="BS29" s="100">
        <v>1845.1419330473732</v>
      </c>
      <c r="BT29" s="100">
        <v>17</v>
      </c>
      <c r="BU29" s="100">
        <v>5752.7999999999993</v>
      </c>
      <c r="BV29" s="100">
        <v>16</v>
      </c>
      <c r="BW29" s="100">
        <v>5414.4</v>
      </c>
      <c r="BX29" s="100">
        <v>25</v>
      </c>
      <c r="BY29" s="100">
        <v>8460</v>
      </c>
      <c r="BZ29" s="100">
        <v>18</v>
      </c>
      <c r="CA29" s="100">
        <v>6091.2</v>
      </c>
      <c r="CB29" s="100">
        <v>18</v>
      </c>
      <c r="CC29" s="100">
        <v>6091.2</v>
      </c>
      <c r="CD29" s="100">
        <v>1.267901385799403</v>
      </c>
      <c r="CE29" s="100">
        <v>429.05782895451796</v>
      </c>
      <c r="CF29" s="100">
        <v>18</v>
      </c>
      <c r="CG29" s="100">
        <v>6091.2</v>
      </c>
      <c r="CH29" s="100">
        <v>15</v>
      </c>
      <c r="CI29" s="100">
        <v>5076</v>
      </c>
      <c r="CJ29" s="100">
        <v>22</v>
      </c>
      <c r="CK29" s="100">
        <v>7444.7999999999993</v>
      </c>
      <c r="CL29" s="100">
        <v>20.204281210132489</v>
      </c>
      <c r="CM29" s="100">
        <v>6837.128761508834</v>
      </c>
      <c r="CN29" s="100">
        <v>24</v>
      </c>
      <c r="CO29" s="100">
        <v>8121.5999999999995</v>
      </c>
      <c r="CP29" s="100">
        <v>15</v>
      </c>
      <c r="CQ29" s="100">
        <v>5076</v>
      </c>
      <c r="CR29" s="100">
        <v>20</v>
      </c>
      <c r="CS29" s="100">
        <v>6768</v>
      </c>
      <c r="CT29" s="100">
        <v>16.452660473588537</v>
      </c>
      <c r="CU29" s="100">
        <v>5567.5803042623602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14</v>
      </c>
      <c r="G30" s="100">
        <v>1948.7999999999997</v>
      </c>
      <c r="H30" s="100">
        <v>13</v>
      </c>
      <c r="I30" s="100">
        <v>1809.6</v>
      </c>
      <c r="J30" s="100">
        <v>11.311346330317619</v>
      </c>
      <c r="K30" s="100">
        <v>1574.5394091802125</v>
      </c>
      <c r="L30" s="100">
        <v>11</v>
      </c>
      <c r="M30" s="100">
        <v>1531.1999999999998</v>
      </c>
      <c r="N30" s="100">
        <v>13</v>
      </c>
      <c r="O30" s="100">
        <v>1809.6</v>
      </c>
      <c r="P30" s="100">
        <v>14</v>
      </c>
      <c r="Q30" s="100">
        <v>1948.7999999999997</v>
      </c>
      <c r="R30" s="100">
        <v>13</v>
      </c>
      <c r="S30" s="100">
        <v>1809.6</v>
      </c>
      <c r="T30" s="100">
        <v>16</v>
      </c>
      <c r="U30" s="100">
        <v>2227.1999999999998</v>
      </c>
      <c r="V30" s="100">
        <v>15.741850073672509</v>
      </c>
      <c r="W30" s="100">
        <v>2191.265530255213</v>
      </c>
      <c r="X30" s="100">
        <v>17</v>
      </c>
      <c r="Y30" s="100">
        <v>2366.3999999999996</v>
      </c>
      <c r="Z30" s="100">
        <v>12.708016733746653</v>
      </c>
      <c r="AA30" s="100">
        <v>1768.9559293375339</v>
      </c>
      <c r="AB30" s="100">
        <v>12</v>
      </c>
      <c r="AC30" s="100">
        <v>1670.3999999999999</v>
      </c>
      <c r="AD30" s="100">
        <v>16</v>
      </c>
      <c r="AE30" s="100">
        <v>2227.1999999999998</v>
      </c>
      <c r="AF30" s="100">
        <v>11.473580751481302</v>
      </c>
      <c r="AG30" s="100">
        <v>1597.1224406061972</v>
      </c>
      <c r="AH30" s="100">
        <v>15</v>
      </c>
      <c r="AI30" s="100">
        <v>2088</v>
      </c>
      <c r="AJ30" s="100">
        <v>13.883054519324867</v>
      </c>
      <c r="AK30" s="100">
        <v>1932.5211890900214</v>
      </c>
      <c r="AL30" s="100">
        <v>23</v>
      </c>
      <c r="AM30" s="100">
        <v>3201.6</v>
      </c>
      <c r="AN30" s="100">
        <v>17</v>
      </c>
      <c r="AO30" s="100">
        <v>2366.3999999999996</v>
      </c>
      <c r="AP30" s="100">
        <v>6.188030941078579</v>
      </c>
      <c r="AQ30" s="100">
        <v>861.37390699813807</v>
      </c>
      <c r="AR30" s="100">
        <v>13</v>
      </c>
      <c r="AS30" s="100">
        <v>1809.6</v>
      </c>
      <c r="AT30" s="100">
        <v>19</v>
      </c>
      <c r="AU30" s="100">
        <v>2644.7999999999997</v>
      </c>
      <c r="AV30" s="100">
        <v>21</v>
      </c>
      <c r="AW30" s="100">
        <v>2923.2</v>
      </c>
      <c r="AX30" s="100">
        <v>5.8287741827059074</v>
      </c>
      <c r="AY30" s="100">
        <v>811.36536623266227</v>
      </c>
      <c r="AZ30" s="100">
        <v>18</v>
      </c>
      <c r="BA30" s="100">
        <v>2505.6</v>
      </c>
      <c r="BB30" s="100">
        <v>7.2598313322085826</v>
      </c>
      <c r="BC30" s="100">
        <v>1010.5685214434346</v>
      </c>
      <c r="BD30" s="100">
        <v>18.031515685296</v>
      </c>
      <c r="BE30" s="100">
        <v>2509.986983393203</v>
      </c>
      <c r="BF30" s="100">
        <v>12.202291781309064</v>
      </c>
      <c r="BG30" s="100">
        <v>1698.5590159582216</v>
      </c>
      <c r="BH30" s="100">
        <v>11</v>
      </c>
      <c r="BI30" s="100">
        <v>1531.1999999999998</v>
      </c>
      <c r="BJ30" s="100">
        <v>17</v>
      </c>
      <c r="BK30" s="100">
        <v>2366.3999999999996</v>
      </c>
      <c r="BL30" s="100">
        <v>16</v>
      </c>
      <c r="BM30" s="100">
        <v>2227.1999999999998</v>
      </c>
      <c r="BN30" s="100">
        <v>18</v>
      </c>
      <c r="BO30" s="100">
        <v>2505.6</v>
      </c>
      <c r="BP30" s="100">
        <v>18</v>
      </c>
      <c r="BQ30" s="100">
        <v>2505.6</v>
      </c>
      <c r="BR30" s="100">
        <v>5.2047040342245374</v>
      </c>
      <c r="BS30" s="100">
        <v>724.49480156405559</v>
      </c>
      <c r="BT30" s="100">
        <v>16</v>
      </c>
      <c r="BU30" s="100">
        <v>2227.1999999999998</v>
      </c>
      <c r="BV30" s="100">
        <v>15</v>
      </c>
      <c r="BW30" s="100">
        <v>2088</v>
      </c>
      <c r="BX30" s="100">
        <v>25</v>
      </c>
      <c r="BY30" s="100">
        <v>3479.9999999999995</v>
      </c>
      <c r="BZ30" s="100">
        <v>19</v>
      </c>
      <c r="CA30" s="100">
        <v>2644.7999999999997</v>
      </c>
      <c r="CB30" s="100">
        <v>18</v>
      </c>
      <c r="CC30" s="100">
        <v>2505.6</v>
      </c>
      <c r="CD30" s="100">
        <v>1.4407970293175034</v>
      </c>
      <c r="CE30" s="100">
        <v>200.55894648099647</v>
      </c>
      <c r="CF30" s="100">
        <v>17</v>
      </c>
      <c r="CG30" s="100">
        <v>2366.3999999999996</v>
      </c>
      <c r="CH30" s="100">
        <v>17</v>
      </c>
      <c r="CI30" s="100">
        <v>2366.3999999999996</v>
      </c>
      <c r="CJ30" s="100">
        <v>23</v>
      </c>
      <c r="CK30" s="100">
        <v>3201.6</v>
      </c>
      <c r="CL30" s="100">
        <v>18.520591109288116</v>
      </c>
      <c r="CM30" s="100">
        <v>2578.0662824129054</v>
      </c>
      <c r="CN30" s="100">
        <v>22</v>
      </c>
      <c r="CO30" s="100">
        <v>3062.3999999999996</v>
      </c>
      <c r="CP30" s="100">
        <v>18</v>
      </c>
      <c r="CQ30" s="100">
        <v>2505.6</v>
      </c>
      <c r="CR30" s="100">
        <v>20</v>
      </c>
      <c r="CS30" s="100">
        <v>2784</v>
      </c>
      <c r="CT30" s="100">
        <v>18.184519470808379</v>
      </c>
      <c r="CU30" s="100">
        <v>2531.285110336526</v>
      </c>
    </row>
    <row r="31" spans="2:99">
      <c r="C31" s="99" t="s">
        <v>197</v>
      </c>
      <c r="D31" s="100">
        <v>10</v>
      </c>
      <c r="E31" s="100">
        <v>3408</v>
      </c>
      <c r="F31" s="100">
        <v>15</v>
      </c>
      <c r="G31" s="100">
        <v>5112</v>
      </c>
      <c r="H31" s="100">
        <v>13</v>
      </c>
      <c r="I31" s="100">
        <v>4430.4000000000005</v>
      </c>
      <c r="J31" s="100">
        <v>11.93975445977971</v>
      </c>
      <c r="K31" s="100">
        <v>4069.0683198929255</v>
      </c>
      <c r="L31" s="100">
        <v>12</v>
      </c>
      <c r="M31" s="100">
        <v>4089.6000000000004</v>
      </c>
      <c r="N31" s="100">
        <v>13</v>
      </c>
      <c r="O31" s="100">
        <v>4430.4000000000005</v>
      </c>
      <c r="P31" s="100">
        <v>14</v>
      </c>
      <c r="Q31" s="100">
        <v>4771.2</v>
      </c>
      <c r="R31" s="100">
        <v>15</v>
      </c>
      <c r="S31" s="100">
        <v>5112</v>
      </c>
      <c r="T31" s="100">
        <v>18</v>
      </c>
      <c r="U31" s="100">
        <v>6134.4000000000005</v>
      </c>
      <c r="V31" s="100">
        <v>15.741850073672509</v>
      </c>
      <c r="W31" s="100">
        <v>5364.8225051075915</v>
      </c>
      <c r="X31" s="100">
        <v>15</v>
      </c>
      <c r="Y31" s="100">
        <v>5112</v>
      </c>
      <c r="Z31" s="100">
        <v>11.800301252764749</v>
      </c>
      <c r="AA31" s="100">
        <v>4021.5426669422263</v>
      </c>
      <c r="AB31" s="100">
        <v>12</v>
      </c>
      <c r="AC31" s="100">
        <v>4089.6000000000004</v>
      </c>
      <c r="AD31" s="100">
        <v>17</v>
      </c>
      <c r="AE31" s="100">
        <v>5793.6</v>
      </c>
      <c r="AF31" s="100">
        <v>12.356163886210632</v>
      </c>
      <c r="AG31" s="100">
        <v>4210.9806524205833</v>
      </c>
      <c r="AH31" s="100">
        <v>14</v>
      </c>
      <c r="AI31" s="100">
        <v>4771.2</v>
      </c>
      <c r="AJ31" s="100">
        <v>13.111773712695706</v>
      </c>
      <c r="AK31" s="100">
        <v>4468.4924812866966</v>
      </c>
      <c r="AL31" s="100">
        <v>23</v>
      </c>
      <c r="AM31" s="100">
        <v>7838.4000000000005</v>
      </c>
      <c r="AN31" s="100">
        <v>15</v>
      </c>
      <c r="AO31" s="100">
        <v>5112</v>
      </c>
      <c r="AP31" s="100">
        <v>5.8933628010272177</v>
      </c>
      <c r="AQ31" s="100">
        <v>2008.4580425900758</v>
      </c>
      <c r="AR31" s="100">
        <v>12</v>
      </c>
      <c r="AS31" s="100">
        <v>4089.6000000000004</v>
      </c>
      <c r="AT31" s="100">
        <v>20</v>
      </c>
      <c r="AU31" s="100">
        <v>6816</v>
      </c>
      <c r="AV31" s="100">
        <v>22</v>
      </c>
      <c r="AW31" s="100">
        <v>7497.6</v>
      </c>
      <c r="AX31" s="100">
        <v>5.380406937882376</v>
      </c>
      <c r="AY31" s="100">
        <v>1833.6426844303137</v>
      </c>
      <c r="AZ31" s="100">
        <v>16</v>
      </c>
      <c r="BA31" s="100">
        <v>5452.8</v>
      </c>
      <c r="BB31" s="100">
        <v>8.1673102487346547</v>
      </c>
      <c r="BC31" s="100">
        <v>2783.4193327687703</v>
      </c>
      <c r="BD31" s="100">
        <v>17.1299399010312</v>
      </c>
      <c r="BE31" s="100">
        <v>5837.8835182714329</v>
      </c>
      <c r="BF31" s="100">
        <v>12.202291781309064</v>
      </c>
      <c r="BG31" s="100">
        <v>4158.541039070129</v>
      </c>
      <c r="BH31" s="100">
        <v>12</v>
      </c>
      <c r="BI31" s="100">
        <v>4089.6000000000004</v>
      </c>
      <c r="BJ31" s="100">
        <v>16</v>
      </c>
      <c r="BK31" s="100">
        <v>5452.8</v>
      </c>
      <c r="BL31" s="100">
        <v>15</v>
      </c>
      <c r="BM31" s="100">
        <v>5112</v>
      </c>
      <c r="BN31" s="100">
        <v>16</v>
      </c>
      <c r="BO31" s="100">
        <v>5452.8</v>
      </c>
      <c r="BP31" s="100">
        <v>19</v>
      </c>
      <c r="BQ31" s="100">
        <v>6475.2</v>
      </c>
      <c r="BR31" s="100">
        <v>5.4525470834733252</v>
      </c>
      <c r="BS31" s="100">
        <v>1858.2280460477093</v>
      </c>
      <c r="BT31" s="100">
        <v>18</v>
      </c>
      <c r="BU31" s="100">
        <v>6134.4000000000005</v>
      </c>
      <c r="BV31" s="100">
        <v>13</v>
      </c>
      <c r="BW31" s="100">
        <v>4430.4000000000005</v>
      </c>
      <c r="BX31" s="100">
        <v>21</v>
      </c>
      <c r="BY31" s="100">
        <v>7156.8</v>
      </c>
      <c r="BZ31" s="100">
        <v>21</v>
      </c>
      <c r="CA31" s="100">
        <v>7156.8</v>
      </c>
      <c r="CB31" s="100">
        <v>18</v>
      </c>
      <c r="CC31" s="100">
        <v>6134.4000000000005</v>
      </c>
      <c r="CD31" s="100">
        <v>1.3255332669721032</v>
      </c>
      <c r="CE31" s="100">
        <v>451.7417373840928</v>
      </c>
      <c r="CF31" s="100">
        <v>18</v>
      </c>
      <c r="CG31" s="100">
        <v>6134.4000000000005</v>
      </c>
      <c r="CH31" s="100">
        <v>15</v>
      </c>
      <c r="CI31" s="100">
        <v>5112</v>
      </c>
      <c r="CJ31" s="100">
        <v>21</v>
      </c>
      <c r="CK31" s="100">
        <v>7156.8</v>
      </c>
      <c r="CL31" s="100">
        <v>19.362436159710303</v>
      </c>
      <c r="CM31" s="100">
        <v>6598.7182432292711</v>
      </c>
      <c r="CN31" s="100">
        <v>21</v>
      </c>
      <c r="CO31" s="100">
        <v>7156.8</v>
      </c>
      <c r="CP31" s="100">
        <v>18</v>
      </c>
      <c r="CQ31" s="100">
        <v>6134.4000000000005</v>
      </c>
      <c r="CR31" s="100">
        <v>20</v>
      </c>
      <c r="CS31" s="100">
        <v>6816</v>
      </c>
      <c r="CT31" s="100">
        <v>18.184519470808379</v>
      </c>
      <c r="CU31" s="100">
        <v>6197.2842356514957</v>
      </c>
    </row>
    <row r="32" spans="2:99">
      <c r="C32" s="99" t="s">
        <v>198</v>
      </c>
      <c r="D32" s="100">
        <v>9</v>
      </c>
      <c r="E32" s="100">
        <v>7560</v>
      </c>
      <c r="F32" s="100">
        <v>14</v>
      </c>
      <c r="G32" s="100">
        <v>11760</v>
      </c>
      <c r="H32" s="100">
        <v>12</v>
      </c>
      <c r="I32" s="100">
        <v>10080</v>
      </c>
      <c r="J32" s="100">
        <v>10.68293820085553</v>
      </c>
      <c r="K32" s="100">
        <v>8973.6680887186449</v>
      </c>
      <c r="L32" s="100">
        <v>12</v>
      </c>
      <c r="M32" s="100">
        <v>10080</v>
      </c>
      <c r="N32" s="100">
        <v>13</v>
      </c>
      <c r="O32" s="100">
        <v>10920</v>
      </c>
      <c r="P32" s="100">
        <v>11</v>
      </c>
      <c r="Q32" s="100">
        <v>9240</v>
      </c>
      <c r="R32" s="100">
        <v>15</v>
      </c>
      <c r="S32" s="100">
        <v>12600</v>
      </c>
      <c r="T32" s="100">
        <v>18</v>
      </c>
      <c r="U32" s="100">
        <v>15120</v>
      </c>
      <c r="V32" s="100">
        <v>15.741850073672509</v>
      </c>
      <c r="W32" s="100">
        <v>13223.154061884909</v>
      </c>
      <c r="X32" s="100">
        <v>16</v>
      </c>
      <c r="Y32" s="100">
        <v>13440</v>
      </c>
      <c r="Z32" s="100">
        <v>10.892585771782848</v>
      </c>
      <c r="AA32" s="100">
        <v>9149.7720482975928</v>
      </c>
      <c r="AB32" s="100">
        <v>12</v>
      </c>
      <c r="AC32" s="100">
        <v>10080</v>
      </c>
      <c r="AD32" s="100">
        <v>16</v>
      </c>
      <c r="AE32" s="100">
        <v>13440</v>
      </c>
      <c r="AF32" s="100">
        <v>12.356163886210632</v>
      </c>
      <c r="AG32" s="100">
        <v>10379.177664416931</v>
      </c>
      <c r="AH32" s="100">
        <v>15</v>
      </c>
      <c r="AI32" s="100">
        <v>12600</v>
      </c>
      <c r="AJ32" s="100">
        <v>13.111773712695706</v>
      </c>
      <c r="AK32" s="100">
        <v>11013.889918664394</v>
      </c>
      <c r="AL32" s="100">
        <v>20</v>
      </c>
      <c r="AM32" s="100">
        <v>16800</v>
      </c>
      <c r="AN32" s="100">
        <v>16</v>
      </c>
      <c r="AO32" s="100">
        <v>13440</v>
      </c>
      <c r="AP32" s="100">
        <v>5.8933628010272177</v>
      </c>
      <c r="AQ32" s="100">
        <v>4950.424752862863</v>
      </c>
      <c r="AR32" s="100">
        <v>12</v>
      </c>
      <c r="AS32" s="100">
        <v>10080</v>
      </c>
      <c r="AT32" s="100">
        <v>21</v>
      </c>
      <c r="AU32" s="100">
        <v>17640</v>
      </c>
      <c r="AV32" s="100">
        <v>22</v>
      </c>
      <c r="AW32" s="100">
        <v>18480</v>
      </c>
      <c r="AX32" s="100">
        <v>5.380406937882376</v>
      </c>
      <c r="AY32" s="100">
        <v>4519.5418278211955</v>
      </c>
      <c r="AZ32" s="100">
        <v>15</v>
      </c>
      <c r="BA32" s="100">
        <v>12600</v>
      </c>
      <c r="BB32" s="100">
        <v>8.1673102487346547</v>
      </c>
      <c r="BC32" s="100">
        <v>6860.5406089371099</v>
      </c>
      <c r="BD32" s="100">
        <v>14.425212548236802</v>
      </c>
      <c r="BE32" s="100">
        <v>12117.178540518913</v>
      </c>
      <c r="BF32" s="100">
        <v>11.33069951121556</v>
      </c>
      <c r="BG32" s="100">
        <v>9517.7875894210702</v>
      </c>
      <c r="BH32" s="100">
        <v>12</v>
      </c>
      <c r="BI32" s="100">
        <v>10080</v>
      </c>
      <c r="BJ32" s="100">
        <v>16</v>
      </c>
      <c r="BK32" s="100">
        <v>13440</v>
      </c>
      <c r="BL32" s="100">
        <v>13</v>
      </c>
      <c r="BM32" s="100">
        <v>10920</v>
      </c>
      <c r="BN32" s="100">
        <v>17</v>
      </c>
      <c r="BO32" s="100">
        <v>14280</v>
      </c>
      <c r="BP32" s="100">
        <v>17</v>
      </c>
      <c r="BQ32" s="100">
        <v>14280</v>
      </c>
      <c r="BR32" s="100">
        <v>4.9568609849757497</v>
      </c>
      <c r="BS32" s="100">
        <v>4163.7632273796298</v>
      </c>
      <c r="BT32" s="100">
        <v>16</v>
      </c>
      <c r="BU32" s="100">
        <v>13440</v>
      </c>
      <c r="BV32" s="100">
        <v>13</v>
      </c>
      <c r="BW32" s="100">
        <v>10920</v>
      </c>
      <c r="BX32" s="100">
        <v>22</v>
      </c>
      <c r="BY32" s="100">
        <v>18480</v>
      </c>
      <c r="BZ32" s="100">
        <v>19</v>
      </c>
      <c r="CA32" s="100">
        <v>15960</v>
      </c>
      <c r="CB32" s="100">
        <v>19</v>
      </c>
      <c r="CC32" s="100">
        <v>15960</v>
      </c>
      <c r="CD32" s="100">
        <v>1.1526376234540028</v>
      </c>
      <c r="CE32" s="100">
        <v>968.21560370136228</v>
      </c>
      <c r="CF32" s="100">
        <v>18</v>
      </c>
      <c r="CG32" s="100">
        <v>15120</v>
      </c>
      <c r="CH32" s="100">
        <v>16</v>
      </c>
      <c r="CI32" s="100">
        <v>13440</v>
      </c>
      <c r="CJ32" s="100">
        <v>21</v>
      </c>
      <c r="CK32" s="100">
        <v>17640</v>
      </c>
      <c r="CL32" s="100">
        <v>19.362436159710303</v>
      </c>
      <c r="CM32" s="100">
        <v>16264.446374156654</v>
      </c>
      <c r="CN32" s="100">
        <v>22</v>
      </c>
      <c r="CO32" s="100">
        <v>18480</v>
      </c>
      <c r="CP32" s="100">
        <v>15</v>
      </c>
      <c r="CQ32" s="100">
        <v>12600</v>
      </c>
      <c r="CR32" s="100">
        <v>19</v>
      </c>
      <c r="CS32" s="100">
        <v>15960</v>
      </c>
      <c r="CT32" s="100">
        <v>18.184519470808379</v>
      </c>
      <c r="CU32" s="100">
        <v>15274.996355479037</v>
      </c>
    </row>
    <row r="33" spans="2:99">
      <c r="C33" s="99" t="s">
        <v>199</v>
      </c>
      <c r="D33" s="100">
        <v>10</v>
      </c>
      <c r="E33" s="100">
        <v>4740</v>
      </c>
      <c r="F33" s="100">
        <v>14</v>
      </c>
      <c r="G33" s="100">
        <v>6636</v>
      </c>
      <c r="H33" s="100">
        <v>12</v>
      </c>
      <c r="I33" s="100">
        <v>5688</v>
      </c>
      <c r="J33" s="100">
        <v>11.311346330317619</v>
      </c>
      <c r="K33" s="100">
        <v>5361.5781605705515</v>
      </c>
      <c r="L33" s="100">
        <v>12</v>
      </c>
      <c r="M33" s="100">
        <v>5688</v>
      </c>
      <c r="N33" s="100">
        <v>14</v>
      </c>
      <c r="O33" s="100">
        <v>6636</v>
      </c>
      <c r="P33" s="100">
        <v>14</v>
      </c>
      <c r="Q33" s="100">
        <v>6636</v>
      </c>
      <c r="R33" s="100">
        <v>13</v>
      </c>
      <c r="S33" s="100">
        <v>6162</v>
      </c>
      <c r="T33" s="100">
        <v>17</v>
      </c>
      <c r="U33" s="100">
        <v>8058</v>
      </c>
      <c r="V33" s="100">
        <v>14.954757569988884</v>
      </c>
      <c r="W33" s="100">
        <v>7088.5550881747304</v>
      </c>
      <c r="X33" s="100">
        <v>17</v>
      </c>
      <c r="Y33" s="100">
        <v>8058</v>
      </c>
      <c r="Z33" s="100">
        <v>9.9848702908009432</v>
      </c>
      <c r="AA33" s="100">
        <v>4732.8285178396472</v>
      </c>
      <c r="AB33" s="100">
        <v>13</v>
      </c>
      <c r="AC33" s="100">
        <v>6162</v>
      </c>
      <c r="AD33" s="100">
        <v>18</v>
      </c>
      <c r="AE33" s="100">
        <v>8532</v>
      </c>
      <c r="AF33" s="100">
        <v>10.59099761675197</v>
      </c>
      <c r="AG33" s="100">
        <v>5020.1328703404342</v>
      </c>
      <c r="AH33" s="100">
        <v>16</v>
      </c>
      <c r="AI33" s="100">
        <v>7584</v>
      </c>
      <c r="AJ33" s="100">
        <v>14.654335325954026</v>
      </c>
      <c r="AK33" s="100">
        <v>6946.1549445022083</v>
      </c>
      <c r="AL33" s="100">
        <v>20</v>
      </c>
      <c r="AM33" s="100">
        <v>9480</v>
      </c>
      <c r="AN33" s="100">
        <v>15</v>
      </c>
      <c r="AO33" s="100">
        <v>7110</v>
      </c>
      <c r="AP33" s="100">
        <v>6.7773672211812999</v>
      </c>
      <c r="AQ33" s="100">
        <v>3212.4720628399359</v>
      </c>
      <c r="AR33" s="100">
        <v>13</v>
      </c>
      <c r="AS33" s="100">
        <v>6162</v>
      </c>
      <c r="AT33" s="100">
        <v>19</v>
      </c>
      <c r="AU33" s="100">
        <v>9006</v>
      </c>
      <c r="AV33" s="100">
        <v>19</v>
      </c>
      <c r="AW33" s="100">
        <v>9006</v>
      </c>
      <c r="AX33" s="100">
        <v>5.380406937882376</v>
      </c>
      <c r="AY33" s="100">
        <v>2550.3128885562464</v>
      </c>
      <c r="AZ33" s="100">
        <v>17</v>
      </c>
      <c r="BA33" s="100">
        <v>8058</v>
      </c>
      <c r="BB33" s="100">
        <v>8.1673102487346547</v>
      </c>
      <c r="BC33" s="100">
        <v>3871.3050579002265</v>
      </c>
      <c r="BD33" s="100">
        <v>16.2283641167664</v>
      </c>
      <c r="BE33" s="100">
        <v>7692.2445913472739</v>
      </c>
      <c r="BF33" s="100">
        <v>11.33069951121556</v>
      </c>
      <c r="BG33" s="100">
        <v>5370.7515683161755</v>
      </c>
      <c r="BH33" s="100">
        <v>12</v>
      </c>
      <c r="BI33" s="100">
        <v>5688</v>
      </c>
      <c r="BJ33" s="100">
        <v>19</v>
      </c>
      <c r="BK33" s="100">
        <v>9006</v>
      </c>
      <c r="BL33" s="100">
        <v>14</v>
      </c>
      <c r="BM33" s="100">
        <v>6636</v>
      </c>
      <c r="BN33" s="100">
        <v>16</v>
      </c>
      <c r="BO33" s="100">
        <v>7584</v>
      </c>
      <c r="BP33" s="100">
        <v>18</v>
      </c>
      <c r="BQ33" s="100">
        <v>8532</v>
      </c>
      <c r="BR33" s="100">
        <v>5.2047040342245374</v>
      </c>
      <c r="BS33" s="100">
        <v>2467.0297122224306</v>
      </c>
      <c r="BT33" s="100">
        <v>16</v>
      </c>
      <c r="BU33" s="100">
        <v>7584</v>
      </c>
      <c r="BV33" s="100">
        <v>13</v>
      </c>
      <c r="BW33" s="100">
        <v>6162</v>
      </c>
      <c r="BX33" s="100">
        <v>23</v>
      </c>
      <c r="BY33" s="100">
        <v>10902</v>
      </c>
      <c r="BZ33" s="100">
        <v>20</v>
      </c>
      <c r="CA33" s="100">
        <v>9480</v>
      </c>
      <c r="CB33" s="100">
        <v>17</v>
      </c>
      <c r="CC33" s="100">
        <v>8058</v>
      </c>
      <c r="CD33" s="100">
        <v>1.3255332669721032</v>
      </c>
      <c r="CE33" s="100">
        <v>628.30276854477688</v>
      </c>
      <c r="CF33" s="100">
        <v>19</v>
      </c>
      <c r="CG33" s="100">
        <v>9006</v>
      </c>
      <c r="CH33" s="100">
        <v>14</v>
      </c>
      <c r="CI33" s="100">
        <v>6636</v>
      </c>
      <c r="CJ33" s="100">
        <v>21</v>
      </c>
      <c r="CK33" s="100">
        <v>9954</v>
      </c>
      <c r="CL33" s="100">
        <v>20.204281210132489</v>
      </c>
      <c r="CM33" s="100">
        <v>9576.8292936027992</v>
      </c>
      <c r="CN33" s="100">
        <v>23</v>
      </c>
      <c r="CO33" s="100">
        <v>10902</v>
      </c>
      <c r="CP33" s="100">
        <v>16</v>
      </c>
      <c r="CQ33" s="100">
        <v>7584</v>
      </c>
      <c r="CR33" s="100">
        <v>19</v>
      </c>
      <c r="CS33" s="100">
        <v>9006</v>
      </c>
      <c r="CT33" s="100">
        <v>17.318589972198456</v>
      </c>
      <c r="CU33" s="100">
        <v>8209.0116468220676</v>
      </c>
    </row>
    <row r="34" spans="2:99">
      <c r="C34" s="99" t="s">
        <v>200</v>
      </c>
      <c r="D34" s="100">
        <v>10</v>
      </c>
      <c r="E34" s="100">
        <v>5484</v>
      </c>
      <c r="F34" s="100">
        <v>16</v>
      </c>
      <c r="G34" s="100">
        <v>8774.4</v>
      </c>
      <c r="H34" s="100">
        <v>11</v>
      </c>
      <c r="I34" s="100">
        <v>6032.4</v>
      </c>
      <c r="J34" s="100">
        <v>10.05453007139344</v>
      </c>
      <c r="K34" s="100">
        <v>5513.9042911521628</v>
      </c>
      <c r="L34" s="100">
        <v>12</v>
      </c>
      <c r="M34" s="100">
        <v>6580.7999999999993</v>
      </c>
      <c r="N34" s="100">
        <v>14</v>
      </c>
      <c r="O34" s="100">
        <v>7677.5999999999995</v>
      </c>
      <c r="P34" s="100">
        <v>12</v>
      </c>
      <c r="Q34" s="100">
        <v>6580.7999999999993</v>
      </c>
      <c r="R34" s="100">
        <v>14</v>
      </c>
      <c r="S34" s="100">
        <v>7677.5999999999995</v>
      </c>
      <c r="T34" s="100">
        <v>15</v>
      </c>
      <c r="U34" s="100">
        <v>8226</v>
      </c>
      <c r="V34" s="100">
        <v>13.380572562621632</v>
      </c>
      <c r="W34" s="100">
        <v>7337.9059933417029</v>
      </c>
      <c r="X34" s="100">
        <v>15</v>
      </c>
      <c r="Y34" s="100">
        <v>8226</v>
      </c>
      <c r="Z34" s="100">
        <v>11.800301252764749</v>
      </c>
      <c r="AA34" s="100">
        <v>6471.285207016188</v>
      </c>
      <c r="AB34" s="100">
        <v>11</v>
      </c>
      <c r="AC34" s="100">
        <v>6032.4</v>
      </c>
      <c r="AD34" s="100">
        <v>17</v>
      </c>
      <c r="AE34" s="100">
        <v>9322.7999999999993</v>
      </c>
      <c r="AF34" s="100">
        <v>11.473580751481302</v>
      </c>
      <c r="AG34" s="100">
        <v>6292.1116841123458</v>
      </c>
      <c r="AH34" s="100">
        <v>14</v>
      </c>
      <c r="AI34" s="100">
        <v>7677.5999999999995</v>
      </c>
      <c r="AJ34" s="100">
        <v>12.340492906066547</v>
      </c>
      <c r="AK34" s="100">
        <v>6767.5263096868939</v>
      </c>
      <c r="AL34" s="100">
        <v>21</v>
      </c>
      <c r="AM34" s="100">
        <v>11516.4</v>
      </c>
      <c r="AN34" s="100">
        <v>17</v>
      </c>
      <c r="AO34" s="100">
        <v>9322.7999999999993</v>
      </c>
      <c r="AP34" s="100">
        <v>6.4826990811299394</v>
      </c>
      <c r="AQ34" s="100">
        <v>3555.1121760916585</v>
      </c>
      <c r="AR34" s="100">
        <v>13</v>
      </c>
      <c r="AS34" s="100">
        <v>7129.2</v>
      </c>
      <c r="AT34" s="100">
        <v>18</v>
      </c>
      <c r="AU34" s="100">
        <v>9871.1999999999989</v>
      </c>
      <c r="AV34" s="100">
        <v>20</v>
      </c>
      <c r="AW34" s="100">
        <v>10968</v>
      </c>
      <c r="AX34" s="100">
        <v>5.8287741827059074</v>
      </c>
      <c r="AY34" s="100">
        <v>3196.4997617959193</v>
      </c>
      <c r="AZ34" s="100">
        <v>15</v>
      </c>
      <c r="BA34" s="100">
        <v>8226</v>
      </c>
      <c r="BB34" s="100">
        <v>7.2598313322085826</v>
      </c>
      <c r="BC34" s="100">
        <v>3981.2915025831867</v>
      </c>
      <c r="BD34" s="100">
        <v>17.1299399010312</v>
      </c>
      <c r="BE34" s="100">
        <v>9394.0590417255098</v>
      </c>
      <c r="BF34" s="100">
        <v>11.33069951121556</v>
      </c>
      <c r="BG34" s="100">
        <v>6213.7556119506125</v>
      </c>
      <c r="BH34" s="100">
        <v>13</v>
      </c>
      <c r="BI34" s="100">
        <v>7129.2</v>
      </c>
      <c r="BJ34" s="100">
        <v>16</v>
      </c>
      <c r="BK34" s="100">
        <v>8774.4</v>
      </c>
      <c r="BL34" s="100">
        <v>16</v>
      </c>
      <c r="BM34" s="100">
        <v>8774.4</v>
      </c>
      <c r="BN34" s="100">
        <v>16</v>
      </c>
      <c r="BO34" s="100">
        <v>8774.4</v>
      </c>
      <c r="BP34" s="100">
        <v>17</v>
      </c>
      <c r="BQ34" s="100">
        <v>9322.7999999999993</v>
      </c>
      <c r="BR34" s="100">
        <v>4.9568609849757497</v>
      </c>
      <c r="BS34" s="100">
        <v>2718.3425641607009</v>
      </c>
      <c r="BT34" s="100">
        <v>17</v>
      </c>
      <c r="BU34" s="100">
        <v>9322.7999999999993</v>
      </c>
      <c r="BV34" s="100">
        <v>14</v>
      </c>
      <c r="BW34" s="100">
        <v>7677.5999999999995</v>
      </c>
      <c r="BX34" s="100">
        <v>22</v>
      </c>
      <c r="BY34" s="100">
        <v>12064.8</v>
      </c>
      <c r="BZ34" s="100">
        <v>21</v>
      </c>
      <c r="CA34" s="100">
        <v>11516.4</v>
      </c>
      <c r="CB34" s="100">
        <v>17</v>
      </c>
      <c r="CC34" s="100">
        <v>9322.7999999999993</v>
      </c>
      <c r="CD34" s="100">
        <v>1.3255332669721032</v>
      </c>
      <c r="CE34" s="100">
        <v>726.92244360750135</v>
      </c>
      <c r="CF34" s="100">
        <v>17</v>
      </c>
      <c r="CG34" s="100">
        <v>9322.7999999999993</v>
      </c>
      <c r="CH34" s="100">
        <v>15</v>
      </c>
      <c r="CI34" s="100">
        <v>8226</v>
      </c>
      <c r="CJ34" s="100">
        <v>22</v>
      </c>
      <c r="CK34" s="100">
        <v>12064.8</v>
      </c>
      <c r="CL34" s="100">
        <v>20.204281210132489</v>
      </c>
      <c r="CM34" s="100">
        <v>11080.027815636657</v>
      </c>
      <c r="CN34" s="100">
        <v>24</v>
      </c>
      <c r="CO34" s="100">
        <v>13161.599999999999</v>
      </c>
      <c r="CP34" s="100">
        <v>18</v>
      </c>
      <c r="CQ34" s="100">
        <v>9871.1999999999989</v>
      </c>
      <c r="CR34" s="100">
        <v>20</v>
      </c>
      <c r="CS34" s="100">
        <v>10968</v>
      </c>
      <c r="CT34" s="100">
        <v>18.184519470808379</v>
      </c>
      <c r="CU34" s="100">
        <v>9972.390477791314</v>
      </c>
    </row>
    <row r="35" spans="2:99">
      <c r="C35" s="99" t="s">
        <v>201</v>
      </c>
      <c r="D35" s="100">
        <v>10</v>
      </c>
      <c r="E35" s="100">
        <v>5027.9999999999991</v>
      </c>
      <c r="F35" s="100">
        <v>16</v>
      </c>
      <c r="G35" s="100">
        <v>8044.7999999999984</v>
      </c>
      <c r="H35" s="100">
        <v>13</v>
      </c>
      <c r="I35" s="100">
        <v>6536.3999999999987</v>
      </c>
      <c r="J35" s="100">
        <v>10.68293820085553</v>
      </c>
      <c r="K35" s="100">
        <v>5371.3813273901587</v>
      </c>
      <c r="L35" s="100">
        <v>12</v>
      </c>
      <c r="M35" s="100">
        <v>6033.5999999999985</v>
      </c>
      <c r="N35" s="100">
        <v>14</v>
      </c>
      <c r="O35" s="100">
        <v>7039.1999999999989</v>
      </c>
      <c r="P35" s="100">
        <v>13</v>
      </c>
      <c r="Q35" s="100">
        <v>6536.3999999999987</v>
      </c>
      <c r="R35" s="100">
        <v>15</v>
      </c>
      <c r="S35" s="100">
        <v>7541.9999999999982</v>
      </c>
      <c r="T35" s="100">
        <v>18</v>
      </c>
      <c r="U35" s="100">
        <v>9050.3999999999978</v>
      </c>
      <c r="V35" s="100">
        <v>16.528942577356133</v>
      </c>
      <c r="W35" s="100">
        <v>8310.7523278946628</v>
      </c>
      <c r="X35" s="100">
        <v>16</v>
      </c>
      <c r="Y35" s="100">
        <v>8044.7999999999984</v>
      </c>
      <c r="Z35" s="100">
        <v>10.892585771782848</v>
      </c>
      <c r="AA35" s="100">
        <v>5476.7921260524145</v>
      </c>
      <c r="AB35" s="100">
        <v>12</v>
      </c>
      <c r="AC35" s="100">
        <v>6033.5999999999985</v>
      </c>
      <c r="AD35" s="100">
        <v>16</v>
      </c>
      <c r="AE35" s="100">
        <v>8044.7999999999984</v>
      </c>
      <c r="AF35" s="100">
        <v>11.473580751481302</v>
      </c>
      <c r="AG35" s="100">
        <v>5768.9164018447973</v>
      </c>
      <c r="AH35" s="100">
        <v>14</v>
      </c>
      <c r="AI35" s="100">
        <v>7039.1999999999989</v>
      </c>
      <c r="AJ35" s="100">
        <v>13.111773712695706</v>
      </c>
      <c r="AK35" s="100">
        <v>6592.5998227434002</v>
      </c>
      <c r="AL35" s="100">
        <v>22</v>
      </c>
      <c r="AM35" s="100">
        <v>11061.599999999999</v>
      </c>
      <c r="AN35" s="100">
        <v>17</v>
      </c>
      <c r="AO35" s="100">
        <v>8547.5999999999985</v>
      </c>
      <c r="AP35" s="100">
        <v>5.8933628010272177</v>
      </c>
      <c r="AQ35" s="100">
        <v>2963.1828163564846</v>
      </c>
      <c r="AR35" s="100">
        <v>12</v>
      </c>
      <c r="AS35" s="100">
        <v>6033.5999999999985</v>
      </c>
      <c r="AT35" s="100">
        <v>21</v>
      </c>
      <c r="AU35" s="100">
        <v>10558.799999999997</v>
      </c>
      <c r="AV35" s="100">
        <v>21</v>
      </c>
      <c r="AW35" s="100">
        <v>10558.799999999997</v>
      </c>
      <c r="AX35" s="100">
        <v>6.2771414275294388</v>
      </c>
      <c r="AY35" s="100">
        <v>3156.146709761801</v>
      </c>
      <c r="AZ35" s="100">
        <v>17</v>
      </c>
      <c r="BA35" s="100">
        <v>8547.5999999999985</v>
      </c>
      <c r="BB35" s="100">
        <v>7.2598313322085826</v>
      </c>
      <c r="BC35" s="100">
        <v>3650.2431938344744</v>
      </c>
      <c r="BD35" s="100">
        <v>17.1299399010312</v>
      </c>
      <c r="BE35" s="100">
        <v>8612.9337822384859</v>
      </c>
      <c r="BF35" s="100">
        <v>12.202291781309064</v>
      </c>
      <c r="BG35" s="100">
        <v>6135.3123076421962</v>
      </c>
      <c r="BH35" s="100">
        <v>11</v>
      </c>
      <c r="BI35" s="100">
        <v>5530.7999999999993</v>
      </c>
      <c r="BJ35" s="100">
        <v>18</v>
      </c>
      <c r="BK35" s="100">
        <v>9050.3999999999978</v>
      </c>
      <c r="BL35" s="100">
        <v>14</v>
      </c>
      <c r="BM35" s="100">
        <v>7039.1999999999989</v>
      </c>
      <c r="BN35" s="100">
        <v>17</v>
      </c>
      <c r="BO35" s="100">
        <v>8547.5999999999985</v>
      </c>
      <c r="BP35" s="100">
        <v>18</v>
      </c>
      <c r="BQ35" s="100">
        <v>9050.3999999999978</v>
      </c>
      <c r="BR35" s="100">
        <v>5.2047040342245374</v>
      </c>
      <c r="BS35" s="100">
        <v>2616.9251884080968</v>
      </c>
      <c r="BT35" s="100">
        <v>19</v>
      </c>
      <c r="BU35" s="100">
        <v>9553.1999999999989</v>
      </c>
      <c r="BV35" s="100">
        <v>15</v>
      </c>
      <c r="BW35" s="100">
        <v>7541.9999999999982</v>
      </c>
      <c r="BX35" s="100">
        <v>22</v>
      </c>
      <c r="BY35" s="100">
        <v>11061.599999999999</v>
      </c>
      <c r="BZ35" s="100">
        <v>19</v>
      </c>
      <c r="CA35" s="100">
        <v>9553.1999999999989</v>
      </c>
      <c r="CB35" s="100">
        <v>18</v>
      </c>
      <c r="CC35" s="100">
        <v>9050.3999999999978</v>
      </c>
      <c r="CD35" s="100">
        <v>1.1526376234540028</v>
      </c>
      <c r="CE35" s="100">
        <v>579.5461970726725</v>
      </c>
      <c r="CF35" s="100">
        <v>17</v>
      </c>
      <c r="CG35" s="100">
        <v>8547.5999999999985</v>
      </c>
      <c r="CH35" s="100">
        <v>16</v>
      </c>
      <c r="CI35" s="100">
        <v>8044.7999999999984</v>
      </c>
      <c r="CJ35" s="100">
        <v>23</v>
      </c>
      <c r="CK35" s="100">
        <v>11564.399999999998</v>
      </c>
      <c r="CL35" s="100">
        <v>18.520591109288116</v>
      </c>
      <c r="CM35" s="100">
        <v>9312.1532097500622</v>
      </c>
      <c r="CN35" s="100">
        <v>22</v>
      </c>
      <c r="CO35" s="100">
        <v>11061.599999999999</v>
      </c>
      <c r="CP35" s="100">
        <v>18</v>
      </c>
      <c r="CQ35" s="100">
        <v>9050.3999999999978</v>
      </c>
      <c r="CR35" s="100">
        <v>20</v>
      </c>
      <c r="CS35" s="100">
        <v>10055.999999999998</v>
      </c>
      <c r="CT35" s="100">
        <v>17.318589972198456</v>
      </c>
      <c r="CU35" s="100">
        <v>8707.7870380213826</v>
      </c>
    </row>
    <row r="36" spans="2:99">
      <c r="C36" s="99" t="s">
        <v>202</v>
      </c>
      <c r="D36" s="100">
        <v>11</v>
      </c>
      <c r="E36" s="100">
        <v>8368.7999999999993</v>
      </c>
      <c r="F36" s="100">
        <v>15</v>
      </c>
      <c r="G36" s="100">
        <v>11412</v>
      </c>
      <c r="H36" s="100">
        <v>12</v>
      </c>
      <c r="I36" s="100">
        <v>9129.5999999999985</v>
      </c>
      <c r="J36" s="100">
        <v>10.05453007139344</v>
      </c>
      <c r="K36" s="100">
        <v>7649.4864783161293</v>
      </c>
      <c r="L36" s="100">
        <v>12</v>
      </c>
      <c r="M36" s="100">
        <v>9129.5999999999985</v>
      </c>
      <c r="N36" s="100">
        <v>13</v>
      </c>
      <c r="O36" s="100">
        <v>9890.4</v>
      </c>
      <c r="P36" s="100">
        <v>12</v>
      </c>
      <c r="Q36" s="100">
        <v>9129.5999999999985</v>
      </c>
      <c r="R36" s="100">
        <v>14</v>
      </c>
      <c r="S36" s="100">
        <v>10651.199999999999</v>
      </c>
      <c r="T36" s="100">
        <v>17</v>
      </c>
      <c r="U36" s="100">
        <v>12933.599999999999</v>
      </c>
      <c r="V36" s="100">
        <v>14.167665066305259</v>
      </c>
      <c r="W36" s="100">
        <v>10778.75958244504</v>
      </c>
      <c r="X36" s="100">
        <v>15</v>
      </c>
      <c r="Y36" s="100">
        <v>11412</v>
      </c>
      <c r="Z36" s="100">
        <v>10.892585771782848</v>
      </c>
      <c r="AA36" s="100">
        <v>8287.0792551723898</v>
      </c>
      <c r="AB36" s="100">
        <v>13</v>
      </c>
      <c r="AC36" s="100">
        <v>9890.4</v>
      </c>
      <c r="AD36" s="100">
        <v>18</v>
      </c>
      <c r="AE36" s="100">
        <v>13694.4</v>
      </c>
      <c r="AF36" s="100">
        <v>11.473580751481302</v>
      </c>
      <c r="AG36" s="100">
        <v>8729.1002357269736</v>
      </c>
      <c r="AH36" s="100">
        <v>14</v>
      </c>
      <c r="AI36" s="100">
        <v>10651.199999999999</v>
      </c>
      <c r="AJ36" s="100">
        <v>13.111773712695706</v>
      </c>
      <c r="AK36" s="100">
        <v>9975.4374406188927</v>
      </c>
      <c r="AL36" s="100">
        <v>22</v>
      </c>
      <c r="AM36" s="100">
        <v>16737.599999999999</v>
      </c>
      <c r="AN36" s="100">
        <v>15</v>
      </c>
      <c r="AO36" s="100">
        <v>11412</v>
      </c>
      <c r="AP36" s="100">
        <v>6.7773672211812999</v>
      </c>
      <c r="AQ36" s="100">
        <v>5156.2209818747324</v>
      </c>
      <c r="AR36" s="100">
        <v>11</v>
      </c>
      <c r="AS36" s="100">
        <v>8368.7999999999993</v>
      </c>
      <c r="AT36" s="100">
        <v>21</v>
      </c>
      <c r="AU36" s="100">
        <v>15976.8</v>
      </c>
      <c r="AV36" s="100">
        <v>22</v>
      </c>
      <c r="AW36" s="100">
        <v>16737.599999999999</v>
      </c>
      <c r="AX36" s="100">
        <v>5.8287741827059074</v>
      </c>
      <c r="AY36" s="100">
        <v>4434.5313982026537</v>
      </c>
      <c r="AZ36" s="100">
        <v>16</v>
      </c>
      <c r="BA36" s="100">
        <v>12172.8</v>
      </c>
      <c r="BB36" s="100">
        <v>7.2598313322085826</v>
      </c>
      <c r="BC36" s="100">
        <v>5523.2796775442894</v>
      </c>
      <c r="BD36" s="100">
        <v>17.1299399010312</v>
      </c>
      <c r="BE36" s="100">
        <v>13032.458276704536</v>
      </c>
      <c r="BF36" s="100">
        <v>12.202291781309064</v>
      </c>
      <c r="BG36" s="100">
        <v>9283.5035872199351</v>
      </c>
      <c r="BH36" s="100">
        <v>12</v>
      </c>
      <c r="BI36" s="100">
        <v>9129.5999999999985</v>
      </c>
      <c r="BJ36" s="100">
        <v>16</v>
      </c>
      <c r="BK36" s="100">
        <v>12172.8</v>
      </c>
      <c r="BL36" s="100">
        <v>14</v>
      </c>
      <c r="BM36" s="100">
        <v>10651.199999999999</v>
      </c>
      <c r="BN36" s="100">
        <v>15</v>
      </c>
      <c r="BO36" s="100">
        <v>11412</v>
      </c>
      <c r="BP36" s="100">
        <v>18</v>
      </c>
      <c r="BQ36" s="100">
        <v>13694.4</v>
      </c>
      <c r="BR36" s="100">
        <v>4.7090179357269628</v>
      </c>
      <c r="BS36" s="100">
        <v>3582.6208455010733</v>
      </c>
      <c r="BT36" s="100">
        <v>17</v>
      </c>
      <c r="BU36" s="100">
        <v>12933.599999999999</v>
      </c>
      <c r="BV36" s="100">
        <v>13</v>
      </c>
      <c r="BW36" s="100">
        <v>9890.4</v>
      </c>
      <c r="BX36" s="100">
        <v>23</v>
      </c>
      <c r="BY36" s="100">
        <v>17498.399999999998</v>
      </c>
      <c r="BZ36" s="100">
        <v>21</v>
      </c>
      <c r="CA36" s="100">
        <v>15976.8</v>
      </c>
      <c r="CB36" s="100">
        <v>18</v>
      </c>
      <c r="CC36" s="100">
        <v>13694.4</v>
      </c>
      <c r="CD36" s="100">
        <v>1.3255332669721032</v>
      </c>
      <c r="CE36" s="100">
        <v>1008.4657095123761</v>
      </c>
      <c r="CF36" s="100">
        <v>19</v>
      </c>
      <c r="CG36" s="100">
        <v>14455.199999999999</v>
      </c>
      <c r="CH36" s="100">
        <v>14</v>
      </c>
      <c r="CI36" s="100">
        <v>10651.199999999999</v>
      </c>
      <c r="CJ36" s="100">
        <v>19</v>
      </c>
      <c r="CK36" s="100">
        <v>14455.199999999999</v>
      </c>
      <c r="CL36" s="100">
        <v>21.046126260554679</v>
      </c>
      <c r="CM36" s="100">
        <v>16011.892859029998</v>
      </c>
      <c r="CN36" s="100">
        <v>22</v>
      </c>
      <c r="CO36" s="100">
        <v>16737.599999999999</v>
      </c>
      <c r="CP36" s="100">
        <v>15</v>
      </c>
      <c r="CQ36" s="100">
        <v>11412</v>
      </c>
      <c r="CR36" s="100">
        <v>18</v>
      </c>
      <c r="CS36" s="100">
        <v>13694.4</v>
      </c>
      <c r="CT36" s="100">
        <v>15.586730974978611</v>
      </c>
      <c r="CU36" s="100">
        <v>11858.384925763727</v>
      </c>
    </row>
    <row r="37" spans="2:99">
      <c r="B37" s="99" t="s">
        <v>128</v>
      </c>
      <c r="C37" s="99" t="s">
        <v>203</v>
      </c>
      <c r="D37" s="100">
        <v>10</v>
      </c>
      <c r="E37" s="100">
        <v>8604</v>
      </c>
      <c r="F37" s="100">
        <v>8</v>
      </c>
      <c r="G37" s="100">
        <v>6883.2</v>
      </c>
      <c r="H37" s="100">
        <v>11</v>
      </c>
      <c r="I37" s="100">
        <v>9464.4</v>
      </c>
      <c r="J37" s="100">
        <v>7.5408975535450802</v>
      </c>
      <c r="K37" s="100">
        <v>6488.1882550701866</v>
      </c>
      <c r="L37" s="100">
        <v>12</v>
      </c>
      <c r="M37" s="100">
        <v>10324.799999999999</v>
      </c>
      <c r="N37" s="100">
        <v>8</v>
      </c>
      <c r="O37" s="100">
        <v>6883.2</v>
      </c>
      <c r="P37" s="100">
        <v>10</v>
      </c>
      <c r="Q37" s="100">
        <v>8604</v>
      </c>
      <c r="R37" s="100">
        <v>14</v>
      </c>
      <c r="S37" s="100">
        <v>12045.6</v>
      </c>
      <c r="T37" s="100">
        <v>12</v>
      </c>
      <c r="U37" s="100">
        <v>10324.799999999999</v>
      </c>
      <c r="V37" s="100">
        <v>8.6580175405198805</v>
      </c>
      <c r="W37" s="100">
        <v>7449.3582918633047</v>
      </c>
      <c r="X37" s="100">
        <v>8</v>
      </c>
      <c r="Y37" s="100">
        <v>6883.2</v>
      </c>
      <c r="Z37" s="100">
        <v>9.9848702908009432</v>
      </c>
      <c r="AA37" s="100">
        <v>8590.9823982051312</v>
      </c>
      <c r="AB37" s="100">
        <v>12</v>
      </c>
      <c r="AC37" s="100">
        <v>10324.799999999999</v>
      </c>
      <c r="AD37" s="100">
        <v>13</v>
      </c>
      <c r="AE37" s="100">
        <v>11185.199999999999</v>
      </c>
      <c r="AF37" s="100">
        <v>11.473580751481302</v>
      </c>
      <c r="AG37" s="100">
        <v>9871.8688785745126</v>
      </c>
      <c r="AH37" s="100">
        <v>8</v>
      </c>
      <c r="AI37" s="100">
        <v>6883.2</v>
      </c>
      <c r="AJ37" s="100">
        <v>8.4840888729207506</v>
      </c>
      <c r="AK37" s="100">
        <v>7299.7100662610137</v>
      </c>
      <c r="AL37" s="100">
        <v>9</v>
      </c>
      <c r="AM37" s="100">
        <v>7743.5999999999995</v>
      </c>
      <c r="AN37" s="100">
        <v>9</v>
      </c>
      <c r="AO37" s="100">
        <v>7743.5999999999995</v>
      </c>
      <c r="AP37" s="100">
        <v>4.1253539607190524</v>
      </c>
      <c r="AQ37" s="100">
        <v>3549.4545478026726</v>
      </c>
      <c r="AR37" s="100">
        <v>10</v>
      </c>
      <c r="AS37" s="100">
        <v>8604</v>
      </c>
      <c r="AT37" s="100">
        <v>10</v>
      </c>
      <c r="AU37" s="100">
        <v>8604</v>
      </c>
      <c r="AV37" s="100">
        <v>9</v>
      </c>
      <c r="AW37" s="100">
        <v>7743.5999999999995</v>
      </c>
      <c r="AX37" s="100">
        <v>4.4836724482353132</v>
      </c>
      <c r="AY37" s="100">
        <v>3857.7517744616634</v>
      </c>
      <c r="AZ37" s="100">
        <v>11</v>
      </c>
      <c r="BA37" s="100">
        <v>9464.4</v>
      </c>
      <c r="BB37" s="100">
        <v>6.3523524156825095</v>
      </c>
      <c r="BC37" s="100">
        <v>5465.5640184532313</v>
      </c>
      <c r="BD37" s="100">
        <v>11.7204851954424</v>
      </c>
      <c r="BE37" s="100">
        <v>10084.305462158642</v>
      </c>
      <c r="BF37" s="100">
        <v>7.8443304308415414</v>
      </c>
      <c r="BG37" s="100">
        <v>6749.261902696062</v>
      </c>
      <c r="BH37" s="100">
        <v>9</v>
      </c>
      <c r="BI37" s="100">
        <v>7743.5999999999995</v>
      </c>
      <c r="BJ37" s="100">
        <v>14</v>
      </c>
      <c r="BK37" s="100">
        <v>12045.6</v>
      </c>
      <c r="BL37" s="100">
        <v>10</v>
      </c>
      <c r="BM37" s="100">
        <v>8604</v>
      </c>
      <c r="BN37" s="100">
        <v>14</v>
      </c>
      <c r="BO37" s="100">
        <v>12045.6</v>
      </c>
      <c r="BP37" s="100">
        <v>13</v>
      </c>
      <c r="BQ37" s="100">
        <v>11185.199999999999</v>
      </c>
      <c r="BR37" s="100">
        <v>2.7262735417366626</v>
      </c>
      <c r="BS37" s="100">
        <v>2345.6857553102245</v>
      </c>
      <c r="BT37" s="100">
        <v>15</v>
      </c>
      <c r="BU37" s="100">
        <v>12906</v>
      </c>
      <c r="BV37" s="100">
        <v>13</v>
      </c>
      <c r="BW37" s="100">
        <v>11185.199999999999</v>
      </c>
      <c r="BX37" s="100">
        <v>11</v>
      </c>
      <c r="BY37" s="100">
        <v>9464.4</v>
      </c>
      <c r="BZ37" s="100">
        <v>11</v>
      </c>
      <c r="CA37" s="100">
        <v>9464.4</v>
      </c>
      <c r="CB37" s="100">
        <v>11</v>
      </c>
      <c r="CC37" s="100">
        <v>9464.4</v>
      </c>
      <c r="CD37" s="100">
        <v>0.8068463364178019</v>
      </c>
      <c r="CE37" s="100">
        <v>694.21058785387675</v>
      </c>
      <c r="CF37" s="100">
        <v>11</v>
      </c>
      <c r="CG37" s="100">
        <v>9464.4</v>
      </c>
      <c r="CH37" s="100">
        <v>11</v>
      </c>
      <c r="CI37" s="100">
        <v>9464.4</v>
      </c>
      <c r="CJ37" s="100">
        <v>14</v>
      </c>
      <c r="CK37" s="100">
        <v>12045.6</v>
      </c>
      <c r="CL37" s="100">
        <v>7.5766054537996839</v>
      </c>
      <c r="CM37" s="100">
        <v>6518.9113324492482</v>
      </c>
      <c r="CN37" s="100">
        <v>9</v>
      </c>
      <c r="CO37" s="100">
        <v>7743.5999999999995</v>
      </c>
      <c r="CP37" s="100">
        <v>13</v>
      </c>
      <c r="CQ37" s="100">
        <v>11185.199999999999</v>
      </c>
      <c r="CR37" s="100">
        <v>14</v>
      </c>
      <c r="CS37" s="100">
        <v>12045.6</v>
      </c>
      <c r="CT37" s="100">
        <v>8.6592949860992281</v>
      </c>
      <c r="CU37" s="100">
        <v>7450.4574060397754</v>
      </c>
    </row>
    <row r="38" spans="2:99">
      <c r="C38" s="99" t="s">
        <v>204</v>
      </c>
      <c r="D38" s="100">
        <v>10</v>
      </c>
      <c r="E38" s="100">
        <v>12420</v>
      </c>
      <c r="F38" s="100">
        <v>8</v>
      </c>
      <c r="G38" s="100">
        <v>9936</v>
      </c>
      <c r="H38" s="100">
        <v>11</v>
      </c>
      <c r="I38" s="100">
        <v>13662</v>
      </c>
      <c r="J38" s="100">
        <v>8.1693056830071704</v>
      </c>
      <c r="K38" s="100">
        <v>10146.277658294906</v>
      </c>
      <c r="L38" s="100">
        <v>11</v>
      </c>
      <c r="M38" s="100">
        <v>13662</v>
      </c>
      <c r="N38" s="100">
        <v>7</v>
      </c>
      <c r="O38" s="100">
        <v>8694</v>
      </c>
      <c r="P38" s="100">
        <v>9</v>
      </c>
      <c r="Q38" s="100">
        <v>11178</v>
      </c>
      <c r="R38" s="100">
        <v>14</v>
      </c>
      <c r="S38" s="100">
        <v>17388</v>
      </c>
      <c r="T38" s="100">
        <v>12</v>
      </c>
      <c r="U38" s="100">
        <v>14904</v>
      </c>
      <c r="V38" s="100">
        <v>7.8709250368362547</v>
      </c>
      <c r="W38" s="100">
        <v>9775.6888957506289</v>
      </c>
      <c r="X38" s="100">
        <v>9</v>
      </c>
      <c r="Y38" s="100">
        <v>11178</v>
      </c>
      <c r="Z38" s="100">
        <v>9.0771548098190387</v>
      </c>
      <c r="AA38" s="100">
        <v>11273.826273795246</v>
      </c>
      <c r="AB38" s="100">
        <v>12</v>
      </c>
      <c r="AC38" s="100">
        <v>14904</v>
      </c>
      <c r="AD38" s="100">
        <v>15</v>
      </c>
      <c r="AE38" s="100">
        <v>18630</v>
      </c>
      <c r="AF38" s="100">
        <v>12.356163886210632</v>
      </c>
      <c r="AG38" s="100">
        <v>15346.355546673605</v>
      </c>
      <c r="AH38" s="100">
        <v>7</v>
      </c>
      <c r="AI38" s="100">
        <v>8694</v>
      </c>
      <c r="AJ38" s="100">
        <v>8.4840888729207506</v>
      </c>
      <c r="AK38" s="100">
        <v>10537.238380167571</v>
      </c>
      <c r="AL38" s="100">
        <v>8</v>
      </c>
      <c r="AM38" s="100">
        <v>9936</v>
      </c>
      <c r="AN38" s="100">
        <v>8</v>
      </c>
      <c r="AO38" s="100">
        <v>9936</v>
      </c>
      <c r="AP38" s="100">
        <v>4.1253539607190524</v>
      </c>
      <c r="AQ38" s="100">
        <v>5123.6896192130635</v>
      </c>
      <c r="AR38" s="100">
        <v>11</v>
      </c>
      <c r="AS38" s="100">
        <v>13662</v>
      </c>
      <c r="AT38" s="100">
        <v>9</v>
      </c>
      <c r="AU38" s="100">
        <v>11178</v>
      </c>
      <c r="AV38" s="100">
        <v>8</v>
      </c>
      <c r="AW38" s="100">
        <v>9936</v>
      </c>
      <c r="AX38" s="100">
        <v>4.0353052034117827</v>
      </c>
      <c r="AY38" s="100">
        <v>5011.8490626374341</v>
      </c>
      <c r="AZ38" s="100">
        <v>10</v>
      </c>
      <c r="BA38" s="100">
        <v>12420</v>
      </c>
      <c r="BB38" s="100">
        <v>6.3523524156825095</v>
      </c>
      <c r="BC38" s="100">
        <v>7889.6217002776766</v>
      </c>
      <c r="BD38" s="100">
        <v>11.7204851954424</v>
      </c>
      <c r="BE38" s="100">
        <v>14556.842612739461</v>
      </c>
      <c r="BF38" s="100">
        <v>8.715922700935046</v>
      </c>
      <c r="BG38" s="100">
        <v>10825.175994561327</v>
      </c>
      <c r="BH38" s="100">
        <v>9</v>
      </c>
      <c r="BI38" s="100">
        <v>11178</v>
      </c>
      <c r="BJ38" s="100">
        <v>14</v>
      </c>
      <c r="BK38" s="100">
        <v>17388</v>
      </c>
      <c r="BL38" s="100">
        <v>9</v>
      </c>
      <c r="BM38" s="100">
        <v>11178</v>
      </c>
      <c r="BN38" s="100">
        <v>13</v>
      </c>
      <c r="BO38" s="100">
        <v>16146</v>
      </c>
      <c r="BP38" s="100">
        <v>12</v>
      </c>
      <c r="BQ38" s="100">
        <v>14904</v>
      </c>
      <c r="BR38" s="100">
        <v>2.9741165909854499</v>
      </c>
      <c r="BS38" s="100">
        <v>3693.8528060039289</v>
      </c>
      <c r="BT38" s="100">
        <v>14</v>
      </c>
      <c r="BU38" s="100">
        <v>17388</v>
      </c>
      <c r="BV38" s="100">
        <v>14</v>
      </c>
      <c r="BW38" s="100">
        <v>17388</v>
      </c>
      <c r="BX38" s="100">
        <v>10</v>
      </c>
      <c r="BY38" s="100">
        <v>12420</v>
      </c>
      <c r="BZ38" s="100">
        <v>11</v>
      </c>
      <c r="CA38" s="100">
        <v>13662</v>
      </c>
      <c r="CB38" s="100">
        <v>10</v>
      </c>
      <c r="CC38" s="100">
        <v>12420</v>
      </c>
      <c r="CD38" s="100">
        <v>0.86447821759050203</v>
      </c>
      <c r="CE38" s="100">
        <v>1073.6819462474036</v>
      </c>
      <c r="CF38" s="100">
        <v>10</v>
      </c>
      <c r="CG38" s="100">
        <v>12420</v>
      </c>
      <c r="CH38" s="100">
        <v>11</v>
      </c>
      <c r="CI38" s="100">
        <v>13662</v>
      </c>
      <c r="CJ38" s="100">
        <v>13</v>
      </c>
      <c r="CK38" s="100">
        <v>16146</v>
      </c>
      <c r="CL38" s="100">
        <v>8.4184505042218714</v>
      </c>
      <c r="CM38" s="100">
        <v>10455.715526243564</v>
      </c>
      <c r="CN38" s="100">
        <v>8</v>
      </c>
      <c r="CO38" s="100">
        <v>9936</v>
      </c>
      <c r="CP38" s="100">
        <v>13</v>
      </c>
      <c r="CQ38" s="100">
        <v>16146</v>
      </c>
      <c r="CR38" s="100">
        <v>15</v>
      </c>
      <c r="CS38" s="100">
        <v>18630</v>
      </c>
      <c r="CT38" s="100">
        <v>9.5252244847091525</v>
      </c>
      <c r="CU38" s="100">
        <v>11830.328810008767</v>
      </c>
    </row>
    <row r="39" spans="2:99">
      <c r="C39" s="99" t="s">
        <v>205</v>
      </c>
      <c r="D39" s="100">
        <v>10</v>
      </c>
      <c r="E39" s="100">
        <v>14232</v>
      </c>
      <c r="F39" s="100">
        <v>8</v>
      </c>
      <c r="G39" s="100">
        <v>11385.6</v>
      </c>
      <c r="H39" s="100">
        <v>11</v>
      </c>
      <c r="I39" s="100">
        <v>15655.2</v>
      </c>
      <c r="J39" s="100">
        <v>7.5408975535450802</v>
      </c>
      <c r="K39" s="100">
        <v>10732.205398205359</v>
      </c>
      <c r="L39" s="100">
        <v>11</v>
      </c>
      <c r="M39" s="100">
        <v>15655.2</v>
      </c>
      <c r="N39" s="100">
        <v>7</v>
      </c>
      <c r="O39" s="100">
        <v>9962.4</v>
      </c>
      <c r="P39" s="100">
        <v>9</v>
      </c>
      <c r="Q39" s="100">
        <v>12808.800000000001</v>
      </c>
      <c r="R39" s="100">
        <v>14</v>
      </c>
      <c r="S39" s="100">
        <v>19924.8</v>
      </c>
      <c r="T39" s="100">
        <v>11</v>
      </c>
      <c r="U39" s="100">
        <v>15655.2</v>
      </c>
      <c r="V39" s="100">
        <v>7.8709250368362547</v>
      </c>
      <c r="W39" s="100">
        <v>11201.900512425358</v>
      </c>
      <c r="X39" s="100">
        <v>8</v>
      </c>
      <c r="Y39" s="100">
        <v>11385.6</v>
      </c>
      <c r="Z39" s="100">
        <v>9.9848702908009432</v>
      </c>
      <c r="AA39" s="100">
        <v>14210.467397867902</v>
      </c>
      <c r="AB39" s="100">
        <v>12</v>
      </c>
      <c r="AC39" s="100">
        <v>17078.400000000001</v>
      </c>
      <c r="AD39" s="100">
        <v>15</v>
      </c>
      <c r="AE39" s="100">
        <v>21348</v>
      </c>
      <c r="AF39" s="100">
        <v>10.59099761675197</v>
      </c>
      <c r="AG39" s="100">
        <v>15073.107808161405</v>
      </c>
      <c r="AH39" s="100">
        <v>8</v>
      </c>
      <c r="AI39" s="100">
        <v>11385.6</v>
      </c>
      <c r="AJ39" s="100">
        <v>7.7128080662915917</v>
      </c>
      <c r="AK39" s="100">
        <v>10976.868439946194</v>
      </c>
      <c r="AL39" s="100">
        <v>7</v>
      </c>
      <c r="AM39" s="100">
        <v>9962.4</v>
      </c>
      <c r="AN39" s="100">
        <v>9</v>
      </c>
      <c r="AO39" s="100">
        <v>12808.800000000001</v>
      </c>
      <c r="AP39" s="100">
        <v>3.5360176806163306</v>
      </c>
      <c r="AQ39" s="100">
        <v>5032.4603630531619</v>
      </c>
      <c r="AR39" s="100">
        <v>11</v>
      </c>
      <c r="AS39" s="100">
        <v>15655.2</v>
      </c>
      <c r="AT39" s="100">
        <v>10</v>
      </c>
      <c r="AU39" s="100">
        <v>14232</v>
      </c>
      <c r="AV39" s="100">
        <v>8</v>
      </c>
      <c r="AW39" s="100">
        <v>11385.6</v>
      </c>
      <c r="AX39" s="100">
        <v>4.0353052034117827</v>
      </c>
      <c r="AY39" s="100">
        <v>5743.0463654956493</v>
      </c>
      <c r="AZ39" s="100">
        <v>11</v>
      </c>
      <c r="BA39" s="100">
        <v>15655.2</v>
      </c>
      <c r="BB39" s="100">
        <v>6.3523524156825095</v>
      </c>
      <c r="BC39" s="100">
        <v>9040.667957999347</v>
      </c>
      <c r="BD39" s="100">
        <v>11.7204851954424</v>
      </c>
      <c r="BE39" s="100">
        <v>16680.594530153623</v>
      </c>
      <c r="BF39" s="100">
        <v>6.9727381607480377</v>
      </c>
      <c r="BG39" s="100">
        <v>9923.6009503766072</v>
      </c>
      <c r="BH39" s="100">
        <v>9</v>
      </c>
      <c r="BI39" s="100">
        <v>12808.800000000001</v>
      </c>
      <c r="BJ39" s="100">
        <v>14</v>
      </c>
      <c r="BK39" s="100">
        <v>19924.8</v>
      </c>
      <c r="BL39" s="100">
        <v>9</v>
      </c>
      <c r="BM39" s="100">
        <v>12808.800000000001</v>
      </c>
      <c r="BN39" s="100">
        <v>13</v>
      </c>
      <c r="BO39" s="100">
        <v>18501.600000000002</v>
      </c>
      <c r="BP39" s="100">
        <v>13</v>
      </c>
      <c r="BQ39" s="100">
        <v>18501.600000000002</v>
      </c>
      <c r="BR39" s="100">
        <v>2.9741165909854499</v>
      </c>
      <c r="BS39" s="100">
        <v>4232.7627322904927</v>
      </c>
      <c r="BT39" s="100">
        <v>14</v>
      </c>
      <c r="BU39" s="100">
        <v>19924.8</v>
      </c>
      <c r="BV39" s="100">
        <v>13</v>
      </c>
      <c r="BW39" s="100">
        <v>18501.600000000002</v>
      </c>
      <c r="BX39" s="100">
        <v>9</v>
      </c>
      <c r="BY39" s="100">
        <v>12808.800000000001</v>
      </c>
      <c r="BZ39" s="100">
        <v>11</v>
      </c>
      <c r="CA39" s="100">
        <v>15655.2</v>
      </c>
      <c r="CB39" s="100">
        <v>10</v>
      </c>
      <c r="CC39" s="100">
        <v>14232</v>
      </c>
      <c r="CD39" s="100">
        <v>0.74921445524510177</v>
      </c>
      <c r="CE39" s="100">
        <v>1066.282012704829</v>
      </c>
      <c r="CF39" s="100">
        <v>10</v>
      </c>
      <c r="CG39" s="100">
        <v>14232</v>
      </c>
      <c r="CH39" s="100">
        <v>11</v>
      </c>
      <c r="CI39" s="100">
        <v>15655.2</v>
      </c>
      <c r="CJ39" s="100">
        <v>15</v>
      </c>
      <c r="CK39" s="100">
        <v>21348</v>
      </c>
      <c r="CL39" s="100">
        <v>6.7347604033774973</v>
      </c>
      <c r="CM39" s="100">
        <v>9584.9110060868552</v>
      </c>
      <c r="CN39" s="100">
        <v>9</v>
      </c>
      <c r="CO39" s="100">
        <v>12808.800000000001</v>
      </c>
      <c r="CP39" s="100">
        <v>14</v>
      </c>
      <c r="CQ39" s="100">
        <v>19924.8</v>
      </c>
      <c r="CR39" s="100">
        <v>15</v>
      </c>
      <c r="CS39" s="100">
        <v>21348</v>
      </c>
      <c r="CT39" s="100">
        <v>10.391153983319075</v>
      </c>
      <c r="CU39" s="100">
        <v>14788.690349059709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9</v>
      </c>
      <c r="G40" s="100">
        <v>6523.2</v>
      </c>
      <c r="H40" s="100">
        <v>11</v>
      </c>
      <c r="I40" s="100">
        <v>7972.7999999999993</v>
      </c>
      <c r="J40" s="100">
        <v>8.1693056830071704</v>
      </c>
      <c r="K40" s="100">
        <v>5921.1127590435972</v>
      </c>
      <c r="L40" s="100">
        <v>11</v>
      </c>
      <c r="M40" s="100">
        <v>7972.7999999999993</v>
      </c>
      <c r="N40" s="100">
        <v>8</v>
      </c>
      <c r="O40" s="100">
        <v>5798.4</v>
      </c>
      <c r="P40" s="100">
        <v>10</v>
      </c>
      <c r="Q40" s="100">
        <v>7248</v>
      </c>
      <c r="R40" s="100">
        <v>12</v>
      </c>
      <c r="S40" s="100">
        <v>8697.5999999999985</v>
      </c>
      <c r="T40" s="100">
        <v>14</v>
      </c>
      <c r="U40" s="100">
        <v>10147.199999999999</v>
      </c>
      <c r="V40" s="100">
        <v>7.8709250368362547</v>
      </c>
      <c r="W40" s="100">
        <v>5704.8464666989166</v>
      </c>
      <c r="X40" s="100">
        <v>9</v>
      </c>
      <c r="Y40" s="100">
        <v>6523.2</v>
      </c>
      <c r="Z40" s="100">
        <v>9.0771548098190387</v>
      </c>
      <c r="AA40" s="100">
        <v>6579.1218061568388</v>
      </c>
      <c r="AB40" s="100">
        <v>13</v>
      </c>
      <c r="AC40" s="100">
        <v>9422.4</v>
      </c>
      <c r="AD40" s="100">
        <v>16</v>
      </c>
      <c r="AE40" s="100">
        <v>11596.8</v>
      </c>
      <c r="AF40" s="100">
        <v>11.473580751481302</v>
      </c>
      <c r="AG40" s="100">
        <v>8316.0513286736477</v>
      </c>
      <c r="AH40" s="100">
        <v>7</v>
      </c>
      <c r="AI40" s="100">
        <v>5073.5999999999995</v>
      </c>
      <c r="AJ40" s="100">
        <v>9.2553696795499114</v>
      </c>
      <c r="AK40" s="100">
        <v>6708.291943737775</v>
      </c>
      <c r="AL40" s="100">
        <v>8</v>
      </c>
      <c r="AM40" s="100">
        <v>5798.4</v>
      </c>
      <c r="AN40" s="100">
        <v>9</v>
      </c>
      <c r="AO40" s="100">
        <v>6523.2</v>
      </c>
      <c r="AP40" s="100">
        <v>4.1253539607190524</v>
      </c>
      <c r="AQ40" s="100">
        <v>2990.056550729169</v>
      </c>
      <c r="AR40" s="100">
        <v>11</v>
      </c>
      <c r="AS40" s="100">
        <v>7972.7999999999993</v>
      </c>
      <c r="AT40" s="100">
        <v>9</v>
      </c>
      <c r="AU40" s="100">
        <v>6523.2</v>
      </c>
      <c r="AV40" s="100">
        <v>9</v>
      </c>
      <c r="AW40" s="100">
        <v>6523.2</v>
      </c>
      <c r="AX40" s="100">
        <v>4.9320396930588446</v>
      </c>
      <c r="AY40" s="100">
        <v>3574.7423695290504</v>
      </c>
      <c r="AZ40" s="100">
        <v>11</v>
      </c>
      <c r="BA40" s="100">
        <v>7972.7999999999993</v>
      </c>
      <c r="BB40" s="100">
        <v>6.3523524156825095</v>
      </c>
      <c r="BC40" s="100">
        <v>4604.1850308866824</v>
      </c>
      <c r="BD40" s="100">
        <v>10.8189094111776</v>
      </c>
      <c r="BE40" s="100">
        <v>7841.5455412215242</v>
      </c>
      <c r="BF40" s="100">
        <v>8.715922700935046</v>
      </c>
      <c r="BG40" s="100">
        <v>6317.3007736377212</v>
      </c>
      <c r="BH40" s="100">
        <v>9</v>
      </c>
      <c r="BI40" s="100">
        <v>6523.2</v>
      </c>
      <c r="BJ40" s="100">
        <v>17</v>
      </c>
      <c r="BK40" s="100">
        <v>12321.599999999999</v>
      </c>
      <c r="BL40" s="100">
        <v>9</v>
      </c>
      <c r="BM40" s="100">
        <v>6523.2</v>
      </c>
      <c r="BN40" s="100">
        <v>12</v>
      </c>
      <c r="BO40" s="100">
        <v>8697.5999999999985</v>
      </c>
      <c r="BP40" s="100">
        <v>13</v>
      </c>
      <c r="BQ40" s="100">
        <v>9422.4</v>
      </c>
      <c r="BR40" s="100">
        <v>2.7262735417366626</v>
      </c>
      <c r="BS40" s="100">
        <v>1976.0030630507329</v>
      </c>
      <c r="BT40" s="100">
        <v>15</v>
      </c>
      <c r="BU40" s="100">
        <v>10872</v>
      </c>
      <c r="BV40" s="100">
        <v>15</v>
      </c>
      <c r="BW40" s="100">
        <v>10872</v>
      </c>
      <c r="BX40" s="100">
        <v>11</v>
      </c>
      <c r="BY40" s="100">
        <v>7972.7999999999993</v>
      </c>
      <c r="BZ40" s="100">
        <v>13</v>
      </c>
      <c r="CA40" s="100">
        <v>9422.4</v>
      </c>
      <c r="CB40" s="100">
        <v>9</v>
      </c>
      <c r="CC40" s="100">
        <v>6523.2</v>
      </c>
      <c r="CD40" s="100">
        <v>0.92211009876320216</v>
      </c>
      <c r="CE40" s="100">
        <v>668.34539958356891</v>
      </c>
      <c r="CF40" s="100">
        <v>9</v>
      </c>
      <c r="CG40" s="100">
        <v>6523.2</v>
      </c>
      <c r="CH40" s="100">
        <v>11</v>
      </c>
      <c r="CI40" s="100">
        <v>7972.7999999999993</v>
      </c>
      <c r="CJ40" s="100">
        <v>14</v>
      </c>
      <c r="CK40" s="100">
        <v>10147.199999999999</v>
      </c>
      <c r="CL40" s="100">
        <v>8.4184505042218714</v>
      </c>
      <c r="CM40" s="100">
        <v>6101.6929254600118</v>
      </c>
      <c r="CN40" s="100">
        <v>9</v>
      </c>
      <c r="CO40" s="100">
        <v>6523.2</v>
      </c>
      <c r="CP40" s="100">
        <v>14</v>
      </c>
      <c r="CQ40" s="100">
        <v>10147.199999999999</v>
      </c>
      <c r="CR40" s="100">
        <v>14</v>
      </c>
      <c r="CS40" s="100">
        <v>10147.199999999999</v>
      </c>
      <c r="CT40" s="100">
        <v>8.6592949860992281</v>
      </c>
      <c r="CU40" s="100">
        <v>6276.25700592472</v>
      </c>
    </row>
    <row r="41" spans="2:99">
      <c r="C41" s="99" t="s">
        <v>207</v>
      </c>
      <c r="D41" s="100">
        <v>11</v>
      </c>
      <c r="E41" s="100">
        <v>7260</v>
      </c>
      <c r="F41" s="100">
        <v>8</v>
      </c>
      <c r="G41" s="100">
        <v>5280</v>
      </c>
      <c r="H41" s="100">
        <v>12</v>
      </c>
      <c r="I41" s="100">
        <v>7920</v>
      </c>
      <c r="J41" s="100">
        <v>8.1693056830071704</v>
      </c>
      <c r="K41" s="100">
        <v>5391.7417507847322</v>
      </c>
      <c r="L41" s="100">
        <v>12</v>
      </c>
      <c r="M41" s="100">
        <v>7920</v>
      </c>
      <c r="N41" s="100">
        <v>8</v>
      </c>
      <c r="O41" s="100">
        <v>5280</v>
      </c>
      <c r="P41" s="100">
        <v>9</v>
      </c>
      <c r="Q41" s="100">
        <v>5940</v>
      </c>
      <c r="R41" s="100">
        <v>14</v>
      </c>
      <c r="S41" s="100">
        <v>9240</v>
      </c>
      <c r="T41" s="100">
        <v>12</v>
      </c>
      <c r="U41" s="100">
        <v>7920</v>
      </c>
      <c r="V41" s="100">
        <v>8.6580175405198805</v>
      </c>
      <c r="W41" s="100">
        <v>5714.2915767431214</v>
      </c>
      <c r="X41" s="100">
        <v>9</v>
      </c>
      <c r="Y41" s="100">
        <v>5940</v>
      </c>
      <c r="Z41" s="100">
        <v>9.0771548098190387</v>
      </c>
      <c r="AA41" s="100">
        <v>5990.9221744805654</v>
      </c>
      <c r="AB41" s="100">
        <v>12</v>
      </c>
      <c r="AC41" s="100">
        <v>7920</v>
      </c>
      <c r="AD41" s="100">
        <v>16</v>
      </c>
      <c r="AE41" s="100">
        <v>10560</v>
      </c>
      <c r="AF41" s="100">
        <v>11.473580751481302</v>
      </c>
      <c r="AG41" s="100">
        <v>7572.5632959776594</v>
      </c>
      <c r="AH41" s="100">
        <v>8</v>
      </c>
      <c r="AI41" s="100">
        <v>5280</v>
      </c>
      <c r="AJ41" s="100">
        <v>9.2553696795499114</v>
      </c>
      <c r="AK41" s="100">
        <v>6108.5439885029418</v>
      </c>
      <c r="AL41" s="100">
        <v>8</v>
      </c>
      <c r="AM41" s="100">
        <v>5280</v>
      </c>
      <c r="AN41" s="100">
        <v>9</v>
      </c>
      <c r="AO41" s="100">
        <v>5940</v>
      </c>
      <c r="AP41" s="100">
        <v>3.8306858206676915</v>
      </c>
      <c r="AQ41" s="100">
        <v>2528.2526416406763</v>
      </c>
      <c r="AR41" s="100">
        <v>10</v>
      </c>
      <c r="AS41" s="100">
        <v>6600</v>
      </c>
      <c r="AT41" s="100">
        <v>9</v>
      </c>
      <c r="AU41" s="100">
        <v>5940</v>
      </c>
      <c r="AV41" s="100">
        <v>8</v>
      </c>
      <c r="AW41" s="100">
        <v>5280</v>
      </c>
      <c r="AX41" s="100">
        <v>4.4836724482353132</v>
      </c>
      <c r="AY41" s="100">
        <v>2959.2238158353066</v>
      </c>
      <c r="AZ41" s="100">
        <v>10</v>
      </c>
      <c r="BA41" s="100">
        <v>6600</v>
      </c>
      <c r="BB41" s="100">
        <v>5.8986129574194734</v>
      </c>
      <c r="BC41" s="100">
        <v>3893.0845518968526</v>
      </c>
      <c r="BD41" s="100">
        <v>11.7204851954424</v>
      </c>
      <c r="BE41" s="100">
        <v>7735.5202289919844</v>
      </c>
      <c r="BF41" s="100">
        <v>7.8443304308415414</v>
      </c>
      <c r="BG41" s="100">
        <v>5177.2580843554169</v>
      </c>
      <c r="BH41" s="100">
        <v>9</v>
      </c>
      <c r="BI41" s="100">
        <v>5940</v>
      </c>
      <c r="BJ41" s="100">
        <v>15</v>
      </c>
      <c r="BK41" s="100">
        <v>9900</v>
      </c>
      <c r="BL41" s="100">
        <v>11</v>
      </c>
      <c r="BM41" s="100">
        <v>7260</v>
      </c>
      <c r="BN41" s="100">
        <v>13</v>
      </c>
      <c r="BO41" s="100">
        <v>8580</v>
      </c>
      <c r="BP41" s="100">
        <v>13</v>
      </c>
      <c r="BQ41" s="100">
        <v>8580</v>
      </c>
      <c r="BR41" s="100">
        <v>2.7262735417366626</v>
      </c>
      <c r="BS41" s="100">
        <v>1799.3405375461973</v>
      </c>
      <c r="BT41" s="100">
        <v>14</v>
      </c>
      <c r="BU41" s="100">
        <v>9240</v>
      </c>
      <c r="BV41" s="100">
        <v>15</v>
      </c>
      <c r="BW41" s="100">
        <v>9900</v>
      </c>
      <c r="BX41" s="100">
        <v>10</v>
      </c>
      <c r="BY41" s="100">
        <v>6600</v>
      </c>
      <c r="BZ41" s="100">
        <v>13</v>
      </c>
      <c r="CA41" s="100">
        <v>8580</v>
      </c>
      <c r="CB41" s="100">
        <v>11</v>
      </c>
      <c r="CC41" s="100">
        <v>7260</v>
      </c>
      <c r="CD41" s="100">
        <v>0.86447821759050203</v>
      </c>
      <c r="CE41" s="100">
        <v>570.55562360973136</v>
      </c>
      <c r="CF41" s="100">
        <v>10</v>
      </c>
      <c r="CG41" s="100">
        <v>6600</v>
      </c>
      <c r="CH41" s="100">
        <v>11</v>
      </c>
      <c r="CI41" s="100">
        <v>7260</v>
      </c>
      <c r="CJ41" s="100">
        <v>15</v>
      </c>
      <c r="CK41" s="100">
        <v>9900</v>
      </c>
      <c r="CL41" s="100">
        <v>8.4184505042218714</v>
      </c>
      <c r="CM41" s="100">
        <v>5556.1773327864348</v>
      </c>
      <c r="CN41" s="100">
        <v>10</v>
      </c>
      <c r="CO41" s="100">
        <v>6600</v>
      </c>
      <c r="CP41" s="100">
        <v>14</v>
      </c>
      <c r="CQ41" s="100">
        <v>9240</v>
      </c>
      <c r="CR41" s="100">
        <v>16</v>
      </c>
      <c r="CS41" s="100">
        <v>10560</v>
      </c>
      <c r="CT41" s="100">
        <v>9.5252244847091525</v>
      </c>
      <c r="CU41" s="100">
        <v>6286.6481599080407</v>
      </c>
    </row>
    <row r="42" spans="2:99">
      <c r="C42" s="99" t="s">
        <v>208</v>
      </c>
      <c r="D42" s="100">
        <v>10</v>
      </c>
      <c r="E42" s="100">
        <v>8460</v>
      </c>
      <c r="F42" s="100">
        <v>9</v>
      </c>
      <c r="G42" s="100">
        <v>7614</v>
      </c>
      <c r="H42" s="100">
        <v>13</v>
      </c>
      <c r="I42" s="100">
        <v>10998</v>
      </c>
      <c r="J42" s="100">
        <v>6.9124894240829899</v>
      </c>
      <c r="K42" s="100">
        <v>5847.9660527742099</v>
      </c>
      <c r="L42" s="100">
        <v>12</v>
      </c>
      <c r="M42" s="100">
        <v>10152</v>
      </c>
      <c r="N42" s="100">
        <v>7</v>
      </c>
      <c r="O42" s="100">
        <v>5922</v>
      </c>
      <c r="P42" s="100">
        <v>9</v>
      </c>
      <c r="Q42" s="100">
        <v>7614</v>
      </c>
      <c r="R42" s="100">
        <v>15</v>
      </c>
      <c r="S42" s="100">
        <v>12690</v>
      </c>
      <c r="T42" s="100">
        <v>12</v>
      </c>
      <c r="U42" s="100">
        <v>10152</v>
      </c>
      <c r="V42" s="100">
        <v>8.6580175405198805</v>
      </c>
      <c r="W42" s="100">
        <v>7324.6828392798188</v>
      </c>
      <c r="X42" s="100">
        <v>8</v>
      </c>
      <c r="Y42" s="100">
        <v>6768</v>
      </c>
      <c r="Z42" s="100">
        <v>9.9848702908009432</v>
      </c>
      <c r="AA42" s="100">
        <v>8447.2002660175986</v>
      </c>
      <c r="AB42" s="100">
        <v>12</v>
      </c>
      <c r="AC42" s="100">
        <v>10152</v>
      </c>
      <c r="AD42" s="100">
        <v>14</v>
      </c>
      <c r="AE42" s="100">
        <v>11844</v>
      </c>
      <c r="AF42" s="100">
        <v>11.473580751481302</v>
      </c>
      <c r="AG42" s="100">
        <v>9706.6493157531822</v>
      </c>
      <c r="AH42" s="100">
        <v>7</v>
      </c>
      <c r="AI42" s="100">
        <v>5922</v>
      </c>
      <c r="AJ42" s="100">
        <v>8.4840888729207506</v>
      </c>
      <c r="AK42" s="100">
        <v>7177.5391864909552</v>
      </c>
      <c r="AL42" s="100">
        <v>8</v>
      </c>
      <c r="AM42" s="100">
        <v>6768</v>
      </c>
      <c r="AN42" s="100">
        <v>9</v>
      </c>
      <c r="AO42" s="100">
        <v>7614</v>
      </c>
      <c r="AP42" s="100">
        <v>3.8306858206676915</v>
      </c>
      <c r="AQ42" s="100">
        <v>3240.7602042848671</v>
      </c>
      <c r="AR42" s="100">
        <v>11</v>
      </c>
      <c r="AS42" s="100">
        <v>9306</v>
      </c>
      <c r="AT42" s="100">
        <v>11</v>
      </c>
      <c r="AU42" s="100">
        <v>9306</v>
      </c>
      <c r="AV42" s="100">
        <v>10</v>
      </c>
      <c r="AW42" s="100">
        <v>8460</v>
      </c>
      <c r="AX42" s="100">
        <v>4.9320396930588446</v>
      </c>
      <c r="AY42" s="100">
        <v>4172.5055803277828</v>
      </c>
      <c r="AZ42" s="100">
        <v>11</v>
      </c>
      <c r="BA42" s="100">
        <v>9306</v>
      </c>
      <c r="BB42" s="100">
        <v>5.8986129574194734</v>
      </c>
      <c r="BC42" s="100">
        <v>4990.2265619768741</v>
      </c>
      <c r="BD42" s="100">
        <v>12.622060979707202</v>
      </c>
      <c r="BE42" s="100">
        <v>10678.263588832293</v>
      </c>
      <c r="BF42" s="100">
        <v>7.8443304308415414</v>
      </c>
      <c r="BG42" s="100">
        <v>6636.3035444919442</v>
      </c>
      <c r="BH42" s="100">
        <v>8</v>
      </c>
      <c r="BI42" s="100">
        <v>6768</v>
      </c>
      <c r="BJ42" s="100">
        <v>14</v>
      </c>
      <c r="BK42" s="100">
        <v>11844</v>
      </c>
      <c r="BL42" s="100">
        <v>10</v>
      </c>
      <c r="BM42" s="100">
        <v>8460</v>
      </c>
      <c r="BN42" s="100">
        <v>12</v>
      </c>
      <c r="BO42" s="100">
        <v>10152</v>
      </c>
      <c r="BP42" s="100">
        <v>13</v>
      </c>
      <c r="BQ42" s="100">
        <v>10998</v>
      </c>
      <c r="BR42" s="100">
        <v>2.9741165909854499</v>
      </c>
      <c r="BS42" s="100">
        <v>2516.1026359736907</v>
      </c>
      <c r="BT42" s="100">
        <v>14</v>
      </c>
      <c r="BU42" s="100">
        <v>11844</v>
      </c>
      <c r="BV42" s="100">
        <v>13</v>
      </c>
      <c r="BW42" s="100">
        <v>10998</v>
      </c>
      <c r="BX42" s="100">
        <v>9</v>
      </c>
      <c r="BY42" s="100">
        <v>7614</v>
      </c>
      <c r="BZ42" s="100">
        <v>11</v>
      </c>
      <c r="CA42" s="100">
        <v>9306</v>
      </c>
      <c r="CB42" s="100">
        <v>11</v>
      </c>
      <c r="CC42" s="100">
        <v>9306</v>
      </c>
      <c r="CD42" s="100">
        <v>0.74921445524510177</v>
      </c>
      <c r="CE42" s="100">
        <v>633.83542913735607</v>
      </c>
      <c r="CF42" s="100">
        <v>10</v>
      </c>
      <c r="CG42" s="100">
        <v>8460</v>
      </c>
      <c r="CH42" s="100">
        <v>12</v>
      </c>
      <c r="CI42" s="100">
        <v>10152</v>
      </c>
      <c r="CJ42" s="100">
        <v>14</v>
      </c>
      <c r="CK42" s="100">
        <v>11844</v>
      </c>
      <c r="CL42" s="100">
        <v>7.5766054537996839</v>
      </c>
      <c r="CM42" s="100">
        <v>6409.8082139145326</v>
      </c>
      <c r="CN42" s="100">
        <v>10</v>
      </c>
      <c r="CO42" s="100">
        <v>8460</v>
      </c>
      <c r="CP42" s="100">
        <v>14</v>
      </c>
      <c r="CQ42" s="100">
        <v>11844</v>
      </c>
      <c r="CR42" s="100">
        <v>14</v>
      </c>
      <c r="CS42" s="100">
        <v>11844</v>
      </c>
      <c r="CT42" s="100">
        <v>8.6592949860992281</v>
      </c>
      <c r="CU42" s="100">
        <v>7325.7635582399471</v>
      </c>
    </row>
    <row r="43" spans="2:99">
      <c r="C43" s="99" t="s">
        <v>209</v>
      </c>
      <c r="D43" s="100">
        <v>10</v>
      </c>
      <c r="E43" s="100">
        <v>10224</v>
      </c>
      <c r="F43" s="100">
        <v>7</v>
      </c>
      <c r="G43" s="100">
        <v>7156.8</v>
      </c>
      <c r="H43" s="100">
        <v>11</v>
      </c>
      <c r="I43" s="100">
        <v>11246.4</v>
      </c>
      <c r="J43" s="100">
        <v>6.9124894240829899</v>
      </c>
      <c r="K43" s="100">
        <v>7067.3291871824485</v>
      </c>
      <c r="L43" s="100">
        <v>12</v>
      </c>
      <c r="M43" s="100">
        <v>12268.8</v>
      </c>
      <c r="N43" s="100">
        <v>8</v>
      </c>
      <c r="O43" s="100">
        <v>8179.2</v>
      </c>
      <c r="P43" s="100">
        <v>10</v>
      </c>
      <c r="Q43" s="100">
        <v>10224</v>
      </c>
      <c r="R43" s="100">
        <v>14</v>
      </c>
      <c r="S43" s="100">
        <v>14313.6</v>
      </c>
      <c r="T43" s="100">
        <v>12</v>
      </c>
      <c r="U43" s="100">
        <v>12268.8</v>
      </c>
      <c r="V43" s="100">
        <v>8.6580175405198805</v>
      </c>
      <c r="W43" s="100">
        <v>8851.9571334275261</v>
      </c>
      <c r="X43" s="100">
        <v>8</v>
      </c>
      <c r="Y43" s="100">
        <v>8179.2</v>
      </c>
      <c r="Z43" s="100">
        <v>9.9848702908009432</v>
      </c>
      <c r="AA43" s="100">
        <v>10208.531385314884</v>
      </c>
      <c r="AB43" s="100">
        <v>12</v>
      </c>
      <c r="AC43" s="100">
        <v>12268.8</v>
      </c>
      <c r="AD43" s="100">
        <v>14</v>
      </c>
      <c r="AE43" s="100">
        <v>14313.6</v>
      </c>
      <c r="AF43" s="100">
        <v>12.356163886210632</v>
      </c>
      <c r="AG43" s="100">
        <v>12632.94195726175</v>
      </c>
      <c r="AH43" s="100">
        <v>7</v>
      </c>
      <c r="AI43" s="100">
        <v>7156.8</v>
      </c>
      <c r="AJ43" s="100">
        <v>8.4840888729207506</v>
      </c>
      <c r="AK43" s="100">
        <v>8674.1324636741756</v>
      </c>
      <c r="AL43" s="100">
        <v>7</v>
      </c>
      <c r="AM43" s="100">
        <v>7156.8</v>
      </c>
      <c r="AN43" s="100">
        <v>9</v>
      </c>
      <c r="AO43" s="100">
        <v>9201.6</v>
      </c>
      <c r="AP43" s="100">
        <v>3.8306858206676915</v>
      </c>
      <c r="AQ43" s="100">
        <v>3916.4931830506475</v>
      </c>
      <c r="AR43" s="100">
        <v>10</v>
      </c>
      <c r="AS43" s="100">
        <v>10224</v>
      </c>
      <c r="AT43" s="100">
        <v>10</v>
      </c>
      <c r="AU43" s="100">
        <v>10224</v>
      </c>
      <c r="AV43" s="100">
        <v>8</v>
      </c>
      <c r="AW43" s="100">
        <v>8179.2</v>
      </c>
      <c r="AX43" s="100">
        <v>4.0353052034117827</v>
      </c>
      <c r="AY43" s="100">
        <v>4125.6960399682066</v>
      </c>
      <c r="AZ43" s="100">
        <v>9</v>
      </c>
      <c r="BA43" s="100">
        <v>9201.6</v>
      </c>
      <c r="BB43" s="100">
        <v>6.8060918739455465</v>
      </c>
      <c r="BC43" s="100">
        <v>6958.5483319219265</v>
      </c>
      <c r="BD43" s="100">
        <v>11.7204851954424</v>
      </c>
      <c r="BE43" s="100">
        <v>11983.02406382031</v>
      </c>
      <c r="BF43" s="100">
        <v>7.8443304308415414</v>
      </c>
      <c r="BG43" s="100">
        <v>8020.0434324923917</v>
      </c>
      <c r="BH43" s="100">
        <v>8</v>
      </c>
      <c r="BI43" s="100">
        <v>8179.2</v>
      </c>
      <c r="BJ43" s="100">
        <v>14</v>
      </c>
      <c r="BK43" s="100">
        <v>14313.6</v>
      </c>
      <c r="BL43" s="100">
        <v>11</v>
      </c>
      <c r="BM43" s="100">
        <v>11246.4</v>
      </c>
      <c r="BN43" s="100">
        <v>14</v>
      </c>
      <c r="BO43" s="100">
        <v>14313.6</v>
      </c>
      <c r="BP43" s="100">
        <v>11</v>
      </c>
      <c r="BQ43" s="100">
        <v>11246.4</v>
      </c>
      <c r="BR43" s="100">
        <v>2.7262735417366626</v>
      </c>
      <c r="BS43" s="100">
        <v>2787.3420690715639</v>
      </c>
      <c r="BT43" s="100">
        <v>14</v>
      </c>
      <c r="BU43" s="100">
        <v>14313.6</v>
      </c>
      <c r="BV43" s="100">
        <v>12</v>
      </c>
      <c r="BW43" s="100">
        <v>12268.8</v>
      </c>
      <c r="BX43" s="100">
        <v>11</v>
      </c>
      <c r="BY43" s="100">
        <v>11246.4</v>
      </c>
      <c r="BZ43" s="100">
        <v>12</v>
      </c>
      <c r="CA43" s="100">
        <v>12268.8</v>
      </c>
      <c r="CB43" s="100">
        <v>9</v>
      </c>
      <c r="CC43" s="100">
        <v>9201.6</v>
      </c>
      <c r="CD43" s="100">
        <v>0.74921445524510177</v>
      </c>
      <c r="CE43" s="100">
        <v>765.99685904259206</v>
      </c>
      <c r="CF43" s="100">
        <v>9</v>
      </c>
      <c r="CG43" s="100">
        <v>9201.6</v>
      </c>
      <c r="CH43" s="100">
        <v>10</v>
      </c>
      <c r="CI43" s="100">
        <v>10224</v>
      </c>
      <c r="CJ43" s="100">
        <v>14</v>
      </c>
      <c r="CK43" s="100">
        <v>14313.6</v>
      </c>
      <c r="CL43" s="100">
        <v>8.4184505042218714</v>
      </c>
      <c r="CM43" s="100">
        <v>8607.0237955164412</v>
      </c>
      <c r="CN43" s="100">
        <v>10</v>
      </c>
      <c r="CO43" s="100">
        <v>10224</v>
      </c>
      <c r="CP43" s="100">
        <v>13</v>
      </c>
      <c r="CQ43" s="100">
        <v>13291.199999999999</v>
      </c>
      <c r="CR43" s="100">
        <v>16</v>
      </c>
      <c r="CS43" s="100">
        <v>16358.4</v>
      </c>
      <c r="CT43" s="100">
        <v>10.391153983319075</v>
      </c>
      <c r="CU43" s="100">
        <v>10623.915832545423</v>
      </c>
    </row>
    <row r="44" spans="2:99">
      <c r="C44" s="99" t="s">
        <v>210</v>
      </c>
      <c r="D44" s="100">
        <v>11</v>
      </c>
      <c r="E44" s="100">
        <v>11246.4</v>
      </c>
      <c r="F44" s="100">
        <v>9</v>
      </c>
      <c r="G44" s="100">
        <v>9201.6</v>
      </c>
      <c r="H44" s="100">
        <v>12</v>
      </c>
      <c r="I44" s="100">
        <v>12268.8</v>
      </c>
      <c r="J44" s="100">
        <v>6.9124894240829899</v>
      </c>
      <c r="K44" s="100">
        <v>7067.3291871824485</v>
      </c>
      <c r="L44" s="100">
        <v>12</v>
      </c>
      <c r="M44" s="100">
        <v>12268.8</v>
      </c>
      <c r="N44" s="100">
        <v>7</v>
      </c>
      <c r="O44" s="100">
        <v>7156.8</v>
      </c>
      <c r="P44" s="100">
        <v>9</v>
      </c>
      <c r="Q44" s="100">
        <v>9201.6</v>
      </c>
      <c r="R44" s="100">
        <v>14</v>
      </c>
      <c r="S44" s="100">
        <v>14313.6</v>
      </c>
      <c r="T44" s="100">
        <v>12</v>
      </c>
      <c r="U44" s="100">
        <v>12268.8</v>
      </c>
      <c r="V44" s="100">
        <v>7.8709250368362547</v>
      </c>
      <c r="W44" s="100">
        <v>8047.2337576613863</v>
      </c>
      <c r="X44" s="100">
        <v>9</v>
      </c>
      <c r="Y44" s="100">
        <v>9201.6</v>
      </c>
      <c r="Z44" s="100">
        <v>9.9848702908009432</v>
      </c>
      <c r="AA44" s="100">
        <v>10208.531385314884</v>
      </c>
      <c r="AB44" s="100">
        <v>12</v>
      </c>
      <c r="AC44" s="100">
        <v>12268.8</v>
      </c>
      <c r="AD44" s="100">
        <v>15</v>
      </c>
      <c r="AE44" s="100">
        <v>15336</v>
      </c>
      <c r="AF44" s="100">
        <v>10.59099761675197</v>
      </c>
      <c r="AG44" s="100">
        <v>10828.235963367215</v>
      </c>
      <c r="AH44" s="100">
        <v>8</v>
      </c>
      <c r="AI44" s="100">
        <v>8179.2</v>
      </c>
      <c r="AJ44" s="100">
        <v>7.7128080662915917</v>
      </c>
      <c r="AK44" s="100">
        <v>7885.5749669765228</v>
      </c>
      <c r="AL44" s="100">
        <v>8</v>
      </c>
      <c r="AM44" s="100">
        <v>8179.2</v>
      </c>
      <c r="AN44" s="100">
        <v>9</v>
      </c>
      <c r="AO44" s="100">
        <v>9201.6</v>
      </c>
      <c r="AP44" s="100">
        <v>3.8306858206676915</v>
      </c>
      <c r="AQ44" s="100">
        <v>3916.4931830506475</v>
      </c>
      <c r="AR44" s="100">
        <v>11</v>
      </c>
      <c r="AS44" s="100">
        <v>11246.4</v>
      </c>
      <c r="AT44" s="100">
        <v>9</v>
      </c>
      <c r="AU44" s="100">
        <v>9201.6</v>
      </c>
      <c r="AV44" s="100">
        <v>8</v>
      </c>
      <c r="AW44" s="100">
        <v>8179.2</v>
      </c>
      <c r="AX44" s="100">
        <v>4.0353052034117827</v>
      </c>
      <c r="AY44" s="100">
        <v>4125.6960399682066</v>
      </c>
      <c r="AZ44" s="100">
        <v>10</v>
      </c>
      <c r="BA44" s="100">
        <v>10224</v>
      </c>
      <c r="BB44" s="100">
        <v>6.3523524156825095</v>
      </c>
      <c r="BC44" s="100">
        <v>6494.6451097937979</v>
      </c>
      <c r="BD44" s="100">
        <v>11.7204851954424</v>
      </c>
      <c r="BE44" s="100">
        <v>11983.02406382031</v>
      </c>
      <c r="BF44" s="100">
        <v>7.8443304308415414</v>
      </c>
      <c r="BG44" s="100">
        <v>8020.0434324923917</v>
      </c>
      <c r="BH44" s="100">
        <v>9</v>
      </c>
      <c r="BI44" s="100">
        <v>9201.6</v>
      </c>
      <c r="BJ44" s="100">
        <v>15</v>
      </c>
      <c r="BK44" s="100">
        <v>15336</v>
      </c>
      <c r="BL44" s="100">
        <v>11</v>
      </c>
      <c r="BM44" s="100">
        <v>11246.4</v>
      </c>
      <c r="BN44" s="100">
        <v>13</v>
      </c>
      <c r="BO44" s="100">
        <v>13291.199999999999</v>
      </c>
      <c r="BP44" s="100">
        <v>12</v>
      </c>
      <c r="BQ44" s="100">
        <v>12268.8</v>
      </c>
      <c r="BR44" s="100">
        <v>3.2219596402342376</v>
      </c>
      <c r="BS44" s="100">
        <v>3294.1315361754846</v>
      </c>
      <c r="BT44" s="100">
        <v>13</v>
      </c>
      <c r="BU44" s="100">
        <v>13291.199999999999</v>
      </c>
      <c r="BV44" s="100">
        <v>13</v>
      </c>
      <c r="BW44" s="100">
        <v>13291.199999999999</v>
      </c>
      <c r="BX44" s="100">
        <v>10</v>
      </c>
      <c r="BY44" s="100">
        <v>10224</v>
      </c>
      <c r="BZ44" s="100">
        <v>12</v>
      </c>
      <c r="CA44" s="100">
        <v>12268.8</v>
      </c>
      <c r="CB44" s="100">
        <v>11</v>
      </c>
      <c r="CC44" s="100">
        <v>11246.4</v>
      </c>
      <c r="CD44" s="100">
        <v>0.8068463364178019</v>
      </c>
      <c r="CE44" s="100">
        <v>824.91969435356066</v>
      </c>
      <c r="CF44" s="100">
        <v>9</v>
      </c>
      <c r="CG44" s="100">
        <v>9201.6</v>
      </c>
      <c r="CH44" s="100">
        <v>10</v>
      </c>
      <c r="CI44" s="100">
        <v>10224</v>
      </c>
      <c r="CJ44" s="100">
        <v>13</v>
      </c>
      <c r="CK44" s="100">
        <v>13291.199999999999</v>
      </c>
      <c r="CL44" s="100">
        <v>6.7347604033774973</v>
      </c>
      <c r="CM44" s="100">
        <v>6885.6190364131535</v>
      </c>
      <c r="CN44" s="100">
        <v>9</v>
      </c>
      <c r="CO44" s="100">
        <v>9201.6</v>
      </c>
      <c r="CP44" s="100">
        <v>13</v>
      </c>
      <c r="CQ44" s="100">
        <v>13291.199999999999</v>
      </c>
      <c r="CR44" s="100">
        <v>16</v>
      </c>
      <c r="CS44" s="100">
        <v>16358.4</v>
      </c>
      <c r="CT44" s="100">
        <v>8.6592949860992281</v>
      </c>
      <c r="CU44" s="100">
        <v>8853.2631937878505</v>
      </c>
    </row>
    <row r="45" spans="2:99">
      <c r="C45" s="99" t="s">
        <v>211</v>
      </c>
      <c r="D45" s="100">
        <v>10</v>
      </c>
      <c r="E45" s="100">
        <v>12492</v>
      </c>
      <c r="F45" s="100">
        <v>8</v>
      </c>
      <c r="G45" s="100">
        <v>9993.6</v>
      </c>
      <c r="H45" s="100">
        <v>12</v>
      </c>
      <c r="I45" s="100">
        <v>14990.400000000001</v>
      </c>
      <c r="J45" s="100">
        <v>7.5408975535450802</v>
      </c>
      <c r="K45" s="100">
        <v>9420.0892238885153</v>
      </c>
      <c r="L45" s="100">
        <v>10</v>
      </c>
      <c r="M45" s="100">
        <v>12492</v>
      </c>
      <c r="N45" s="100">
        <v>7</v>
      </c>
      <c r="O45" s="100">
        <v>8744.4</v>
      </c>
      <c r="P45" s="100">
        <v>9</v>
      </c>
      <c r="Q45" s="100">
        <v>11242.800000000001</v>
      </c>
      <c r="R45" s="100">
        <v>13</v>
      </c>
      <c r="S45" s="100">
        <v>16239.6</v>
      </c>
      <c r="T45" s="100">
        <v>13</v>
      </c>
      <c r="U45" s="100">
        <v>16239.6</v>
      </c>
      <c r="V45" s="100">
        <v>7.8709250368362547</v>
      </c>
      <c r="W45" s="100">
        <v>9832.3595560158501</v>
      </c>
      <c r="X45" s="100">
        <v>9</v>
      </c>
      <c r="Y45" s="100">
        <v>11242.800000000001</v>
      </c>
      <c r="Z45" s="100">
        <v>9.9848702908009432</v>
      </c>
      <c r="AA45" s="100">
        <v>12473.099967268539</v>
      </c>
      <c r="AB45" s="100">
        <v>12</v>
      </c>
      <c r="AC45" s="100">
        <v>14990.400000000001</v>
      </c>
      <c r="AD45" s="100">
        <v>13</v>
      </c>
      <c r="AE45" s="100">
        <v>16239.6</v>
      </c>
      <c r="AF45" s="100">
        <v>10.59099761675197</v>
      </c>
      <c r="AG45" s="100">
        <v>13230.274222846561</v>
      </c>
      <c r="AH45" s="100">
        <v>7</v>
      </c>
      <c r="AI45" s="100">
        <v>8744.4</v>
      </c>
      <c r="AJ45" s="100">
        <v>7.7128080662915917</v>
      </c>
      <c r="AK45" s="100">
        <v>9634.8398364114564</v>
      </c>
      <c r="AL45" s="100">
        <v>8</v>
      </c>
      <c r="AM45" s="100">
        <v>9993.6</v>
      </c>
      <c r="AN45" s="100">
        <v>10</v>
      </c>
      <c r="AO45" s="100">
        <v>12492</v>
      </c>
      <c r="AP45" s="100">
        <v>3.5360176806163306</v>
      </c>
      <c r="AQ45" s="100">
        <v>4417.1932866259203</v>
      </c>
      <c r="AR45" s="100">
        <v>10</v>
      </c>
      <c r="AS45" s="100">
        <v>12492</v>
      </c>
      <c r="AT45" s="100">
        <v>9</v>
      </c>
      <c r="AU45" s="100">
        <v>11242.800000000001</v>
      </c>
      <c r="AV45" s="100">
        <v>8</v>
      </c>
      <c r="AW45" s="100">
        <v>9993.6</v>
      </c>
      <c r="AX45" s="100">
        <v>4.4836724482353132</v>
      </c>
      <c r="AY45" s="100">
        <v>5601.0036223355537</v>
      </c>
      <c r="AZ45" s="100">
        <v>10</v>
      </c>
      <c r="BA45" s="100">
        <v>12492</v>
      </c>
      <c r="BB45" s="100">
        <v>6.8060918739455465</v>
      </c>
      <c r="BC45" s="100">
        <v>8502.1699689327761</v>
      </c>
      <c r="BD45" s="100">
        <v>11.7204851954424</v>
      </c>
      <c r="BE45" s="100">
        <v>14641.230106146646</v>
      </c>
      <c r="BF45" s="100">
        <v>7.8443304308415414</v>
      </c>
      <c r="BG45" s="100">
        <v>9799.1375742072541</v>
      </c>
      <c r="BH45" s="100">
        <v>9</v>
      </c>
      <c r="BI45" s="100">
        <v>11242.800000000001</v>
      </c>
      <c r="BJ45" s="100">
        <v>14</v>
      </c>
      <c r="BK45" s="100">
        <v>17488.8</v>
      </c>
      <c r="BL45" s="100">
        <v>9</v>
      </c>
      <c r="BM45" s="100">
        <v>11242.800000000001</v>
      </c>
      <c r="BN45" s="100">
        <v>13</v>
      </c>
      <c r="BO45" s="100">
        <v>16239.6</v>
      </c>
      <c r="BP45" s="100">
        <v>12</v>
      </c>
      <c r="BQ45" s="100">
        <v>14990.400000000001</v>
      </c>
      <c r="BR45" s="100">
        <v>2.7262735417366626</v>
      </c>
      <c r="BS45" s="100">
        <v>3405.6609083374392</v>
      </c>
      <c r="BT45" s="100">
        <v>15</v>
      </c>
      <c r="BU45" s="100">
        <v>18738</v>
      </c>
      <c r="BV45" s="100">
        <v>14</v>
      </c>
      <c r="BW45" s="100">
        <v>17488.8</v>
      </c>
      <c r="BX45" s="100">
        <v>11</v>
      </c>
      <c r="BY45" s="100">
        <v>13741.2</v>
      </c>
      <c r="BZ45" s="100">
        <v>12</v>
      </c>
      <c r="CA45" s="100">
        <v>14990.400000000001</v>
      </c>
      <c r="CB45" s="100">
        <v>10</v>
      </c>
      <c r="CC45" s="100">
        <v>12492</v>
      </c>
      <c r="CD45" s="100">
        <v>0.86447821759050203</v>
      </c>
      <c r="CE45" s="100">
        <v>1079.9061894140552</v>
      </c>
      <c r="CF45" s="100">
        <v>11</v>
      </c>
      <c r="CG45" s="100">
        <v>13741.2</v>
      </c>
      <c r="CH45" s="100">
        <v>11</v>
      </c>
      <c r="CI45" s="100">
        <v>13741.2</v>
      </c>
      <c r="CJ45" s="100">
        <v>14</v>
      </c>
      <c r="CK45" s="100">
        <v>17488.8</v>
      </c>
      <c r="CL45" s="100">
        <v>7.5766054537996839</v>
      </c>
      <c r="CM45" s="100">
        <v>9464.6955328865661</v>
      </c>
      <c r="CN45" s="100">
        <v>9</v>
      </c>
      <c r="CO45" s="100">
        <v>11242.800000000001</v>
      </c>
      <c r="CP45" s="100">
        <v>14</v>
      </c>
      <c r="CQ45" s="100">
        <v>17488.8</v>
      </c>
      <c r="CR45" s="100">
        <v>14</v>
      </c>
      <c r="CS45" s="100">
        <v>17488.8</v>
      </c>
      <c r="CT45" s="100">
        <v>9.5252244847091525</v>
      </c>
      <c r="CU45" s="100">
        <v>11898.910426298673</v>
      </c>
    </row>
    <row r="46" spans="2:99">
      <c r="C46" s="99" t="s">
        <v>212</v>
      </c>
      <c r="D46" s="100">
        <v>11</v>
      </c>
      <c r="E46" s="100">
        <v>13332</v>
      </c>
      <c r="F46" s="100">
        <v>9</v>
      </c>
      <c r="G46" s="100">
        <v>10908</v>
      </c>
      <c r="H46" s="100">
        <v>13</v>
      </c>
      <c r="I46" s="100">
        <v>15756</v>
      </c>
      <c r="J46" s="100">
        <v>6.9124894240829899</v>
      </c>
      <c r="K46" s="100">
        <v>8377.9371819885837</v>
      </c>
      <c r="L46" s="100">
        <v>10</v>
      </c>
      <c r="M46" s="100">
        <v>12120</v>
      </c>
      <c r="N46" s="100">
        <v>7</v>
      </c>
      <c r="O46" s="100">
        <v>8484</v>
      </c>
      <c r="P46" s="100">
        <v>8</v>
      </c>
      <c r="Q46" s="100">
        <v>9696</v>
      </c>
      <c r="R46" s="100">
        <v>12</v>
      </c>
      <c r="S46" s="100">
        <v>14544</v>
      </c>
      <c r="T46" s="100">
        <v>11</v>
      </c>
      <c r="U46" s="100">
        <v>13332</v>
      </c>
      <c r="V46" s="100">
        <v>8.6580175405198805</v>
      </c>
      <c r="W46" s="100">
        <v>10493.517259110095</v>
      </c>
      <c r="X46" s="100">
        <v>9</v>
      </c>
      <c r="Y46" s="100">
        <v>10908</v>
      </c>
      <c r="Z46" s="100">
        <v>9.9848702908009432</v>
      </c>
      <c r="AA46" s="100">
        <v>12101.662792450743</v>
      </c>
      <c r="AB46" s="100">
        <v>12</v>
      </c>
      <c r="AC46" s="100">
        <v>14544</v>
      </c>
      <c r="AD46" s="100">
        <v>14</v>
      </c>
      <c r="AE46" s="100">
        <v>16968</v>
      </c>
      <c r="AF46" s="100">
        <v>11.473580751481302</v>
      </c>
      <c r="AG46" s="100">
        <v>13905.979870795338</v>
      </c>
      <c r="AH46" s="100">
        <v>7</v>
      </c>
      <c r="AI46" s="100">
        <v>8484</v>
      </c>
      <c r="AJ46" s="100">
        <v>9.2553696795499114</v>
      </c>
      <c r="AK46" s="100">
        <v>11217.508051614494</v>
      </c>
      <c r="AL46" s="100">
        <v>8</v>
      </c>
      <c r="AM46" s="100">
        <v>9696</v>
      </c>
      <c r="AN46" s="100">
        <v>8</v>
      </c>
      <c r="AO46" s="100">
        <v>9696</v>
      </c>
      <c r="AP46" s="100">
        <v>3.5360176806163306</v>
      </c>
      <c r="AQ46" s="100">
        <v>4285.6534289069923</v>
      </c>
      <c r="AR46" s="100">
        <v>10</v>
      </c>
      <c r="AS46" s="100">
        <v>12120</v>
      </c>
      <c r="AT46" s="100">
        <v>10</v>
      </c>
      <c r="AU46" s="100">
        <v>12120</v>
      </c>
      <c r="AV46" s="100">
        <v>8</v>
      </c>
      <c r="AW46" s="100">
        <v>9696</v>
      </c>
      <c r="AX46" s="100">
        <v>4.0353052034117827</v>
      </c>
      <c r="AY46" s="100">
        <v>4890.7899065350803</v>
      </c>
      <c r="AZ46" s="100">
        <v>11</v>
      </c>
      <c r="BA46" s="100">
        <v>13332</v>
      </c>
      <c r="BB46" s="100">
        <v>6.3523524156825095</v>
      </c>
      <c r="BC46" s="100">
        <v>7699.0511278072017</v>
      </c>
      <c r="BD46" s="100">
        <v>11.7204851954424</v>
      </c>
      <c r="BE46" s="100">
        <v>14205.228056876189</v>
      </c>
      <c r="BF46" s="100">
        <v>7.8443304308415414</v>
      </c>
      <c r="BG46" s="100">
        <v>9507.328482179948</v>
      </c>
      <c r="BH46" s="100">
        <v>8</v>
      </c>
      <c r="BI46" s="100">
        <v>9696</v>
      </c>
      <c r="BJ46" s="100">
        <v>15</v>
      </c>
      <c r="BK46" s="100">
        <v>18180</v>
      </c>
      <c r="BL46" s="100">
        <v>10</v>
      </c>
      <c r="BM46" s="100">
        <v>12120</v>
      </c>
      <c r="BN46" s="100">
        <v>13</v>
      </c>
      <c r="BO46" s="100">
        <v>15756</v>
      </c>
      <c r="BP46" s="100">
        <v>11</v>
      </c>
      <c r="BQ46" s="100">
        <v>13332</v>
      </c>
      <c r="BR46" s="100">
        <v>2.9741165909854499</v>
      </c>
      <c r="BS46" s="100">
        <v>3604.6293082743655</v>
      </c>
      <c r="BT46" s="100">
        <v>14</v>
      </c>
      <c r="BU46" s="100">
        <v>16968</v>
      </c>
      <c r="BV46" s="100">
        <v>14</v>
      </c>
      <c r="BW46" s="100">
        <v>16968</v>
      </c>
      <c r="BX46" s="100">
        <v>10</v>
      </c>
      <c r="BY46" s="100">
        <v>12120</v>
      </c>
      <c r="BZ46" s="100">
        <v>13</v>
      </c>
      <c r="CA46" s="100">
        <v>15756</v>
      </c>
      <c r="CB46" s="100">
        <v>10</v>
      </c>
      <c r="CC46" s="100">
        <v>12120</v>
      </c>
      <c r="CD46" s="100">
        <v>0.8068463364178019</v>
      </c>
      <c r="CE46" s="100">
        <v>977.89775973837595</v>
      </c>
      <c r="CF46" s="100">
        <v>11</v>
      </c>
      <c r="CG46" s="100">
        <v>13332</v>
      </c>
      <c r="CH46" s="100">
        <v>10</v>
      </c>
      <c r="CI46" s="100">
        <v>12120</v>
      </c>
      <c r="CJ46" s="100">
        <v>13</v>
      </c>
      <c r="CK46" s="100">
        <v>15756</v>
      </c>
      <c r="CL46" s="100">
        <v>6.7347604033774973</v>
      </c>
      <c r="CM46" s="100">
        <v>8162.5296088935265</v>
      </c>
      <c r="CN46" s="100">
        <v>9</v>
      </c>
      <c r="CO46" s="100">
        <v>10908</v>
      </c>
      <c r="CP46" s="100">
        <v>14</v>
      </c>
      <c r="CQ46" s="100">
        <v>16968</v>
      </c>
      <c r="CR46" s="100">
        <v>13</v>
      </c>
      <c r="CS46" s="100">
        <v>15756</v>
      </c>
      <c r="CT46" s="100">
        <v>8.6592949860992281</v>
      </c>
      <c r="CU46" s="100">
        <v>10495.065523152265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7</v>
      </c>
      <c r="G47" s="100">
        <v>10693.199999999999</v>
      </c>
      <c r="H47" s="100">
        <v>12</v>
      </c>
      <c r="I47" s="100">
        <v>18331.199999999997</v>
      </c>
      <c r="J47" s="100">
        <v>8.1693056830071704</v>
      </c>
      <c r="K47" s="100">
        <v>12479.431361361752</v>
      </c>
      <c r="L47" s="100">
        <v>11</v>
      </c>
      <c r="M47" s="100">
        <v>16803.599999999999</v>
      </c>
      <c r="N47" s="100">
        <v>8</v>
      </c>
      <c r="O47" s="100">
        <v>12220.8</v>
      </c>
      <c r="P47" s="100">
        <v>9</v>
      </c>
      <c r="Q47" s="100">
        <v>13748.4</v>
      </c>
      <c r="R47" s="100">
        <v>13</v>
      </c>
      <c r="S47" s="100">
        <v>19858.8</v>
      </c>
      <c r="T47" s="100">
        <v>11</v>
      </c>
      <c r="U47" s="100">
        <v>16803.599999999999</v>
      </c>
      <c r="V47" s="100">
        <v>7.8709250368362547</v>
      </c>
      <c r="W47" s="100">
        <v>12023.625086271062</v>
      </c>
      <c r="X47" s="100">
        <v>8</v>
      </c>
      <c r="Y47" s="100">
        <v>12220.8</v>
      </c>
      <c r="Z47" s="100">
        <v>9.0771548098190387</v>
      </c>
      <c r="AA47" s="100">
        <v>13866.261687479562</v>
      </c>
      <c r="AB47" s="100">
        <v>11</v>
      </c>
      <c r="AC47" s="100">
        <v>16803.599999999999</v>
      </c>
      <c r="AD47" s="100">
        <v>13</v>
      </c>
      <c r="AE47" s="100">
        <v>19858.8</v>
      </c>
      <c r="AF47" s="100">
        <v>12.356163886210632</v>
      </c>
      <c r="AG47" s="100">
        <v>18875.275952575361</v>
      </c>
      <c r="AH47" s="100">
        <v>7</v>
      </c>
      <c r="AI47" s="100">
        <v>10693.199999999999</v>
      </c>
      <c r="AJ47" s="100">
        <v>7.7128080662915917</v>
      </c>
      <c r="AK47" s="100">
        <v>11782.085602067034</v>
      </c>
      <c r="AL47" s="100">
        <v>8</v>
      </c>
      <c r="AM47" s="100">
        <v>12220.8</v>
      </c>
      <c r="AN47" s="100">
        <v>9</v>
      </c>
      <c r="AO47" s="100">
        <v>13748.4</v>
      </c>
      <c r="AP47" s="100">
        <v>3.5360176806163306</v>
      </c>
      <c r="AQ47" s="100">
        <v>5401.6206089095067</v>
      </c>
      <c r="AR47" s="100">
        <v>9</v>
      </c>
      <c r="AS47" s="100">
        <v>13748.4</v>
      </c>
      <c r="AT47" s="100">
        <v>9</v>
      </c>
      <c r="AU47" s="100">
        <v>13748.4</v>
      </c>
      <c r="AV47" s="100">
        <v>8</v>
      </c>
      <c r="AW47" s="100">
        <v>12220.8</v>
      </c>
      <c r="AX47" s="100">
        <v>4.4836724482353132</v>
      </c>
      <c r="AY47" s="100">
        <v>6849.2580319242643</v>
      </c>
      <c r="AZ47" s="100">
        <v>9</v>
      </c>
      <c r="BA47" s="100">
        <v>13748.4</v>
      </c>
      <c r="BB47" s="100">
        <v>6.3523524156825095</v>
      </c>
      <c r="BC47" s="100">
        <v>9703.8535501966016</v>
      </c>
      <c r="BD47" s="100">
        <v>10.8189094111776</v>
      </c>
      <c r="BE47" s="100">
        <v>16526.9660165149</v>
      </c>
      <c r="BF47" s="100">
        <v>8.715922700935046</v>
      </c>
      <c r="BG47" s="100">
        <v>13314.443517948375</v>
      </c>
      <c r="BH47" s="100">
        <v>8</v>
      </c>
      <c r="BI47" s="100">
        <v>12220.8</v>
      </c>
      <c r="BJ47" s="100">
        <v>14</v>
      </c>
      <c r="BK47" s="100">
        <v>21386.399999999998</v>
      </c>
      <c r="BL47" s="100">
        <v>9</v>
      </c>
      <c r="BM47" s="100">
        <v>13748.4</v>
      </c>
      <c r="BN47" s="100">
        <v>12</v>
      </c>
      <c r="BO47" s="100">
        <v>18331.199999999997</v>
      </c>
      <c r="BP47" s="100">
        <v>13</v>
      </c>
      <c r="BQ47" s="100">
        <v>19858.8</v>
      </c>
      <c r="BR47" s="100">
        <v>2.9741165909854499</v>
      </c>
      <c r="BS47" s="100">
        <v>4543.2605043893727</v>
      </c>
      <c r="BT47" s="100">
        <v>13</v>
      </c>
      <c r="BU47" s="100">
        <v>19858.8</v>
      </c>
      <c r="BV47" s="100">
        <v>14</v>
      </c>
      <c r="BW47" s="100">
        <v>21386.399999999998</v>
      </c>
      <c r="BX47" s="100">
        <v>9</v>
      </c>
      <c r="BY47" s="100">
        <v>13748.4</v>
      </c>
      <c r="BZ47" s="100">
        <v>13</v>
      </c>
      <c r="CA47" s="100">
        <v>19858.8</v>
      </c>
      <c r="CB47" s="100">
        <v>11</v>
      </c>
      <c r="CC47" s="100">
        <v>16803.599999999999</v>
      </c>
      <c r="CD47" s="100">
        <v>0.86447821759050203</v>
      </c>
      <c r="CE47" s="100">
        <v>1320.5769251912509</v>
      </c>
      <c r="CF47" s="100">
        <v>10</v>
      </c>
      <c r="CG47" s="100">
        <v>15276</v>
      </c>
      <c r="CH47" s="100">
        <v>11</v>
      </c>
      <c r="CI47" s="100">
        <v>16803.599999999999</v>
      </c>
      <c r="CJ47" s="100">
        <v>14</v>
      </c>
      <c r="CK47" s="100">
        <v>21386.399999999998</v>
      </c>
      <c r="CL47" s="100">
        <v>6.7347604033774973</v>
      </c>
      <c r="CM47" s="100">
        <v>10288.019992199464</v>
      </c>
      <c r="CN47" s="100">
        <v>9</v>
      </c>
      <c r="CO47" s="100">
        <v>13748.4</v>
      </c>
      <c r="CP47" s="100">
        <v>12</v>
      </c>
      <c r="CQ47" s="100">
        <v>18331.199999999997</v>
      </c>
      <c r="CR47" s="100">
        <v>15</v>
      </c>
      <c r="CS47" s="100">
        <v>22914</v>
      </c>
      <c r="CT47" s="100">
        <v>9.5252244847091525</v>
      </c>
      <c r="CU47" s="100">
        <v>14550.7329228417</v>
      </c>
    </row>
    <row r="48" spans="2:99">
      <c r="C48" s="99" t="s">
        <v>214</v>
      </c>
      <c r="D48" s="100">
        <v>10</v>
      </c>
      <c r="E48" s="100">
        <v>8676</v>
      </c>
      <c r="F48" s="100">
        <v>7</v>
      </c>
      <c r="G48" s="100">
        <v>6073.2</v>
      </c>
      <c r="H48" s="100">
        <v>12</v>
      </c>
      <c r="I48" s="100">
        <v>10411.200000000001</v>
      </c>
      <c r="J48" s="100">
        <v>8.1693056830071704</v>
      </c>
      <c r="K48" s="100">
        <v>7087.6896105770211</v>
      </c>
      <c r="L48" s="100">
        <v>11</v>
      </c>
      <c r="M48" s="100">
        <v>9543.6</v>
      </c>
      <c r="N48" s="100">
        <v>8</v>
      </c>
      <c r="O48" s="100">
        <v>6940.8</v>
      </c>
      <c r="P48" s="100">
        <v>10</v>
      </c>
      <c r="Q48" s="100">
        <v>8676</v>
      </c>
      <c r="R48" s="100">
        <v>15</v>
      </c>
      <c r="S48" s="100">
        <v>13014</v>
      </c>
      <c r="T48" s="100">
        <v>11</v>
      </c>
      <c r="U48" s="100">
        <v>9543.6</v>
      </c>
      <c r="V48" s="100">
        <v>8.6580175405198805</v>
      </c>
      <c r="W48" s="100">
        <v>7511.6960181550485</v>
      </c>
      <c r="X48" s="100">
        <v>8</v>
      </c>
      <c r="Y48" s="100">
        <v>6940.8</v>
      </c>
      <c r="Z48" s="100">
        <v>9.9848702908009432</v>
      </c>
      <c r="AA48" s="100">
        <v>8662.8734642988984</v>
      </c>
      <c r="AB48" s="100">
        <v>11</v>
      </c>
      <c r="AC48" s="100">
        <v>9543.6</v>
      </c>
      <c r="AD48" s="100">
        <v>14</v>
      </c>
      <c r="AE48" s="100">
        <v>12146.4</v>
      </c>
      <c r="AF48" s="100">
        <v>10.59099761675197</v>
      </c>
      <c r="AG48" s="100">
        <v>9188.7495322940104</v>
      </c>
      <c r="AH48" s="100">
        <v>7</v>
      </c>
      <c r="AI48" s="100">
        <v>6073.2</v>
      </c>
      <c r="AJ48" s="100">
        <v>8.4840888729207506</v>
      </c>
      <c r="AK48" s="100">
        <v>7360.7955061460434</v>
      </c>
      <c r="AL48" s="100">
        <v>8</v>
      </c>
      <c r="AM48" s="100">
        <v>6940.8</v>
      </c>
      <c r="AN48" s="100">
        <v>9</v>
      </c>
      <c r="AO48" s="100">
        <v>7808.4000000000005</v>
      </c>
      <c r="AP48" s="100">
        <v>4.4200221007704128</v>
      </c>
      <c r="AQ48" s="100">
        <v>3834.8111746284103</v>
      </c>
      <c r="AR48" s="100">
        <v>12</v>
      </c>
      <c r="AS48" s="100">
        <v>10411.200000000001</v>
      </c>
      <c r="AT48" s="100">
        <v>9</v>
      </c>
      <c r="AU48" s="100">
        <v>7808.4000000000005</v>
      </c>
      <c r="AV48" s="100">
        <v>8</v>
      </c>
      <c r="AW48" s="100">
        <v>6940.8</v>
      </c>
      <c r="AX48" s="100">
        <v>4.9320396930588446</v>
      </c>
      <c r="AY48" s="100">
        <v>4279.0376376978538</v>
      </c>
      <c r="AZ48" s="100">
        <v>11</v>
      </c>
      <c r="BA48" s="100">
        <v>9543.6</v>
      </c>
      <c r="BB48" s="100">
        <v>5.8986129574194734</v>
      </c>
      <c r="BC48" s="100">
        <v>5117.6366018571352</v>
      </c>
      <c r="BD48" s="100">
        <v>10.8189094111776</v>
      </c>
      <c r="BE48" s="100">
        <v>9386.4858051376868</v>
      </c>
      <c r="BF48" s="100">
        <v>8.715922700935046</v>
      </c>
      <c r="BG48" s="100">
        <v>7561.9345353312465</v>
      </c>
      <c r="BH48" s="100">
        <v>10</v>
      </c>
      <c r="BI48" s="100">
        <v>8676</v>
      </c>
      <c r="BJ48" s="100">
        <v>15</v>
      </c>
      <c r="BK48" s="100">
        <v>13014</v>
      </c>
      <c r="BL48" s="100">
        <v>10</v>
      </c>
      <c r="BM48" s="100">
        <v>8676</v>
      </c>
      <c r="BN48" s="100">
        <v>13</v>
      </c>
      <c r="BO48" s="100">
        <v>11278.800000000001</v>
      </c>
      <c r="BP48" s="100">
        <v>13</v>
      </c>
      <c r="BQ48" s="100">
        <v>11278.800000000001</v>
      </c>
      <c r="BR48" s="100">
        <v>2.7262735417366626</v>
      </c>
      <c r="BS48" s="100">
        <v>2365.3149248107284</v>
      </c>
      <c r="BT48" s="100">
        <v>14</v>
      </c>
      <c r="BU48" s="100">
        <v>12146.4</v>
      </c>
      <c r="BV48" s="100">
        <v>14</v>
      </c>
      <c r="BW48" s="100">
        <v>12146.4</v>
      </c>
      <c r="BX48" s="100">
        <v>9</v>
      </c>
      <c r="BY48" s="100">
        <v>7808.4000000000005</v>
      </c>
      <c r="BZ48" s="100">
        <v>12</v>
      </c>
      <c r="CA48" s="100">
        <v>10411.200000000001</v>
      </c>
      <c r="CB48" s="100">
        <v>10</v>
      </c>
      <c r="CC48" s="100">
        <v>8676</v>
      </c>
      <c r="CD48" s="100">
        <v>0.86447821759050203</v>
      </c>
      <c r="CE48" s="100">
        <v>750.02130158151954</v>
      </c>
      <c r="CF48" s="100">
        <v>11</v>
      </c>
      <c r="CG48" s="100">
        <v>9543.6</v>
      </c>
      <c r="CH48" s="100">
        <v>11</v>
      </c>
      <c r="CI48" s="100">
        <v>9543.6</v>
      </c>
      <c r="CJ48" s="100">
        <v>14</v>
      </c>
      <c r="CK48" s="100">
        <v>12146.4</v>
      </c>
      <c r="CL48" s="100">
        <v>6.7347604033774973</v>
      </c>
      <c r="CM48" s="100">
        <v>5843.0781259703172</v>
      </c>
      <c r="CN48" s="100">
        <v>9</v>
      </c>
      <c r="CO48" s="100">
        <v>7808.4000000000005</v>
      </c>
      <c r="CP48" s="100">
        <v>14</v>
      </c>
      <c r="CQ48" s="100">
        <v>12146.4</v>
      </c>
      <c r="CR48" s="100">
        <v>16</v>
      </c>
      <c r="CS48" s="100">
        <v>13881.6</v>
      </c>
      <c r="CT48" s="100">
        <v>8.6592949860992281</v>
      </c>
      <c r="CU48" s="100">
        <v>7512.8043299396904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0.78958654749115065</v>
      </c>
      <c r="G49" s="100">
        <v>777.90066658828152</v>
      </c>
      <c r="H49" s="100">
        <v>10</v>
      </c>
      <c r="I49" s="100">
        <v>9852</v>
      </c>
      <c r="J49" s="100">
        <v>6</v>
      </c>
      <c r="K49" s="100">
        <v>5911.2</v>
      </c>
      <c r="L49" s="100">
        <v>8</v>
      </c>
      <c r="M49" s="100">
        <v>7881.5999999999995</v>
      </c>
      <c r="N49" s="100">
        <v>3.1105014352782145</v>
      </c>
      <c r="O49" s="100">
        <v>3064.4660140360966</v>
      </c>
      <c r="P49" s="100">
        <v>10</v>
      </c>
      <c r="Q49" s="100">
        <v>9852</v>
      </c>
      <c r="R49" s="100">
        <v>10</v>
      </c>
      <c r="S49" s="100">
        <v>9852</v>
      </c>
      <c r="T49" s="100">
        <v>8</v>
      </c>
      <c r="U49" s="100">
        <v>7881.5999999999995</v>
      </c>
      <c r="V49" s="100">
        <v>8</v>
      </c>
      <c r="W49" s="100">
        <v>7881.5999999999995</v>
      </c>
      <c r="X49" s="100">
        <v>9</v>
      </c>
      <c r="Y49" s="100">
        <v>8866.7999999999993</v>
      </c>
      <c r="Z49" s="100">
        <v>9</v>
      </c>
      <c r="AA49" s="100">
        <v>8866.7999999999993</v>
      </c>
      <c r="AB49" s="100">
        <v>10</v>
      </c>
      <c r="AC49" s="100">
        <v>9852</v>
      </c>
      <c r="AD49" s="100">
        <v>10</v>
      </c>
      <c r="AE49" s="100">
        <v>9852</v>
      </c>
      <c r="AF49" s="100">
        <v>9</v>
      </c>
      <c r="AG49" s="100">
        <v>8866.7999999999993</v>
      </c>
      <c r="AH49" s="100">
        <v>10</v>
      </c>
      <c r="AI49" s="100">
        <v>9852</v>
      </c>
      <c r="AJ49" s="100">
        <v>11</v>
      </c>
      <c r="AK49" s="100">
        <v>10837.199999999999</v>
      </c>
      <c r="AL49" s="100">
        <v>11</v>
      </c>
      <c r="AM49" s="100">
        <v>10837.199999999999</v>
      </c>
      <c r="AN49" s="100">
        <v>6.8947301456980172</v>
      </c>
      <c r="AO49" s="100">
        <v>6792.6881395416858</v>
      </c>
      <c r="AP49" s="100">
        <v>2.1452067319722725</v>
      </c>
      <c r="AQ49" s="100">
        <v>2113.4576723390828</v>
      </c>
      <c r="AR49" s="100">
        <v>1.9802834310293984</v>
      </c>
      <c r="AS49" s="100">
        <v>1950.9752362501631</v>
      </c>
      <c r="AT49" s="100">
        <v>7</v>
      </c>
      <c r="AU49" s="100">
        <v>6896.4</v>
      </c>
      <c r="AV49" s="100">
        <v>10</v>
      </c>
      <c r="AW49" s="100">
        <v>9852</v>
      </c>
      <c r="AX49" s="100">
        <v>4.5230963111403737</v>
      </c>
      <c r="AY49" s="100">
        <v>4456.1544857354957</v>
      </c>
      <c r="AZ49" s="100">
        <v>4.1894495424196281</v>
      </c>
      <c r="BA49" s="100">
        <v>4127.4456891918171</v>
      </c>
      <c r="BB49" s="100">
        <v>9</v>
      </c>
      <c r="BC49" s="100">
        <v>8866.7999999999993</v>
      </c>
      <c r="BD49" s="100">
        <v>9</v>
      </c>
      <c r="BE49" s="100">
        <v>8866.7999999999993</v>
      </c>
      <c r="BF49" s="100">
        <v>8.104678355265035</v>
      </c>
      <c r="BG49" s="100">
        <v>7984.7291156071124</v>
      </c>
      <c r="BH49" s="100">
        <v>8</v>
      </c>
      <c r="BI49" s="100">
        <v>7881.5999999999995</v>
      </c>
      <c r="BJ49" s="100">
        <v>7</v>
      </c>
      <c r="BK49" s="100">
        <v>6896.4</v>
      </c>
      <c r="BL49" s="100">
        <v>4.2726586944726064</v>
      </c>
      <c r="BM49" s="100">
        <v>4209.4233457944119</v>
      </c>
      <c r="BN49" s="100">
        <v>8</v>
      </c>
      <c r="BO49" s="100">
        <v>7881.5999999999995</v>
      </c>
      <c r="BP49" s="100">
        <v>1.2135946810988132</v>
      </c>
      <c r="BQ49" s="100">
        <v>1195.6334798185508</v>
      </c>
      <c r="BR49" s="100">
        <v>10</v>
      </c>
      <c r="BS49" s="100">
        <v>9852</v>
      </c>
      <c r="BT49" s="100">
        <v>7</v>
      </c>
      <c r="BU49" s="100">
        <v>6896.4</v>
      </c>
      <c r="BV49" s="100">
        <v>5.0881340865147413</v>
      </c>
      <c r="BW49" s="100">
        <v>5012.8297020343225</v>
      </c>
      <c r="BX49" s="100">
        <v>6</v>
      </c>
      <c r="BY49" s="100">
        <v>5911.2</v>
      </c>
      <c r="BZ49" s="100">
        <v>7</v>
      </c>
      <c r="CA49" s="100">
        <v>6896.4</v>
      </c>
      <c r="CB49" s="100">
        <v>8</v>
      </c>
      <c r="CC49" s="100">
        <v>7881.5999999999995</v>
      </c>
      <c r="CD49" s="100">
        <v>2.8331061772963992</v>
      </c>
      <c r="CE49" s="100">
        <v>2791.1762058724125</v>
      </c>
      <c r="CF49" s="100">
        <v>7</v>
      </c>
      <c r="CG49" s="100">
        <v>6896.4</v>
      </c>
      <c r="CH49" s="100">
        <v>9</v>
      </c>
      <c r="CI49" s="100">
        <v>8866.7999999999993</v>
      </c>
      <c r="CJ49" s="100">
        <v>2.3621405759533038</v>
      </c>
      <c r="CK49" s="100">
        <v>2327.1808954291946</v>
      </c>
      <c r="CL49" s="100">
        <v>5.2495505613960516</v>
      </c>
      <c r="CM49" s="100">
        <v>5171.8572130873899</v>
      </c>
      <c r="CN49" s="100">
        <v>8</v>
      </c>
      <c r="CO49" s="100">
        <v>7881.5999999999995</v>
      </c>
      <c r="CP49" s="100">
        <v>10</v>
      </c>
      <c r="CQ49" s="100">
        <v>9852</v>
      </c>
      <c r="CR49" s="100">
        <v>8.5240816407005795</v>
      </c>
      <c r="CS49" s="100">
        <v>8397.9252324182107</v>
      </c>
      <c r="CT49" s="100">
        <v>7</v>
      </c>
      <c r="CU49" s="100">
        <v>6896.4</v>
      </c>
    </row>
    <row r="50" spans="2:99">
      <c r="C50" s="99" t="s">
        <v>216</v>
      </c>
      <c r="D50" s="100">
        <v>11</v>
      </c>
      <c r="E50" s="100">
        <v>3102</v>
      </c>
      <c r="F50" s="100">
        <v>8</v>
      </c>
      <c r="G50" s="100">
        <v>2256</v>
      </c>
      <c r="H50" s="100">
        <v>10</v>
      </c>
      <c r="I50" s="100">
        <v>2820</v>
      </c>
      <c r="J50" s="100">
        <v>3.7704487767725401</v>
      </c>
      <c r="K50" s="100">
        <v>1063.2665550498564</v>
      </c>
      <c r="L50" s="100">
        <v>8</v>
      </c>
      <c r="M50" s="100">
        <v>2256</v>
      </c>
      <c r="N50" s="100">
        <v>7</v>
      </c>
      <c r="O50" s="100">
        <v>1974</v>
      </c>
      <c r="P50" s="100">
        <v>10</v>
      </c>
      <c r="Q50" s="100">
        <v>2820</v>
      </c>
      <c r="R50" s="100">
        <v>10</v>
      </c>
      <c r="S50" s="100">
        <v>2820</v>
      </c>
      <c r="T50" s="100">
        <v>7</v>
      </c>
      <c r="U50" s="100">
        <v>1974</v>
      </c>
      <c r="V50" s="100">
        <v>6.2967400294690039</v>
      </c>
      <c r="W50" s="100">
        <v>1775.680688310259</v>
      </c>
      <c r="X50" s="100">
        <v>8</v>
      </c>
      <c r="Y50" s="100">
        <v>2256</v>
      </c>
      <c r="Z50" s="100">
        <v>9.0771548098190387</v>
      </c>
      <c r="AA50" s="100">
        <v>2559.757656368969</v>
      </c>
      <c r="AB50" s="100">
        <v>9</v>
      </c>
      <c r="AC50" s="100">
        <v>2538</v>
      </c>
      <c r="AD50" s="100">
        <v>10</v>
      </c>
      <c r="AE50" s="100">
        <v>2820</v>
      </c>
      <c r="AF50" s="100">
        <v>9.7084144820226399</v>
      </c>
      <c r="AG50" s="100">
        <v>2737.7728839303845</v>
      </c>
      <c r="AH50" s="100">
        <v>10</v>
      </c>
      <c r="AI50" s="100">
        <v>2820</v>
      </c>
      <c r="AJ50" s="100">
        <v>8.4840888729207506</v>
      </c>
      <c r="AK50" s="100">
        <v>2392.5130621636517</v>
      </c>
      <c r="AL50" s="100">
        <v>9</v>
      </c>
      <c r="AM50" s="100">
        <v>2538</v>
      </c>
      <c r="AN50" s="100">
        <v>7</v>
      </c>
      <c r="AO50" s="100">
        <v>1974</v>
      </c>
      <c r="AP50" s="100">
        <v>2.6520132604622479</v>
      </c>
      <c r="AQ50" s="100">
        <v>747.86773945035395</v>
      </c>
      <c r="AR50" s="100">
        <v>7</v>
      </c>
      <c r="AS50" s="100">
        <v>1974</v>
      </c>
      <c r="AT50" s="100">
        <v>7</v>
      </c>
      <c r="AU50" s="100">
        <v>1974</v>
      </c>
      <c r="AV50" s="100">
        <v>10</v>
      </c>
      <c r="AW50" s="100">
        <v>2820</v>
      </c>
      <c r="AX50" s="100">
        <v>4.9320396930588446</v>
      </c>
      <c r="AY50" s="100">
        <v>1390.8351934425941</v>
      </c>
      <c r="AZ50" s="100">
        <v>6</v>
      </c>
      <c r="BA50" s="100">
        <v>1692</v>
      </c>
      <c r="BB50" s="100">
        <v>4.0836551243673274</v>
      </c>
      <c r="BC50" s="100">
        <v>1151.5907450715863</v>
      </c>
      <c r="BD50" s="100">
        <v>7.2126062741184009</v>
      </c>
      <c r="BE50" s="100">
        <v>2033.9549693013892</v>
      </c>
      <c r="BF50" s="100">
        <v>7.8443304308415414</v>
      </c>
      <c r="BG50" s="100">
        <v>2212.1011814973149</v>
      </c>
      <c r="BH50" s="100">
        <v>9</v>
      </c>
      <c r="BI50" s="100">
        <v>2538</v>
      </c>
      <c r="BJ50" s="100">
        <v>8</v>
      </c>
      <c r="BK50" s="100">
        <v>2256</v>
      </c>
      <c r="BL50" s="100">
        <v>7</v>
      </c>
      <c r="BM50" s="100">
        <v>1974</v>
      </c>
      <c r="BN50" s="100">
        <v>8</v>
      </c>
      <c r="BO50" s="100">
        <v>2256</v>
      </c>
      <c r="BP50" s="100">
        <v>9</v>
      </c>
      <c r="BQ50" s="100">
        <v>2538</v>
      </c>
      <c r="BR50" s="100">
        <v>2.7262735417366626</v>
      </c>
      <c r="BS50" s="100">
        <v>768.80913876973887</v>
      </c>
      <c r="BT50" s="100">
        <v>9</v>
      </c>
      <c r="BU50" s="100">
        <v>2538</v>
      </c>
      <c r="BV50" s="100">
        <v>6</v>
      </c>
      <c r="BW50" s="100">
        <v>1692</v>
      </c>
      <c r="BX50" s="100">
        <v>6</v>
      </c>
      <c r="BY50" s="100">
        <v>1692</v>
      </c>
      <c r="BZ50" s="100">
        <v>7</v>
      </c>
      <c r="CA50" s="100">
        <v>1974</v>
      </c>
      <c r="CB50" s="100">
        <v>8</v>
      </c>
      <c r="CC50" s="100">
        <v>2256</v>
      </c>
      <c r="CD50" s="100">
        <v>0.46105504938160108</v>
      </c>
      <c r="CE50" s="100">
        <v>130.0175239256115</v>
      </c>
      <c r="CF50" s="100">
        <v>6</v>
      </c>
      <c r="CG50" s="100">
        <v>1692</v>
      </c>
      <c r="CH50" s="100">
        <v>10</v>
      </c>
      <c r="CI50" s="100">
        <v>2820</v>
      </c>
      <c r="CJ50" s="100">
        <v>7</v>
      </c>
      <c r="CK50" s="100">
        <v>1974</v>
      </c>
      <c r="CL50" s="100">
        <v>8.4184505042218714</v>
      </c>
      <c r="CM50" s="100">
        <v>2374.0030421905676</v>
      </c>
      <c r="CN50" s="100">
        <v>9</v>
      </c>
      <c r="CO50" s="100">
        <v>2538</v>
      </c>
      <c r="CP50" s="100">
        <v>9</v>
      </c>
      <c r="CQ50" s="100">
        <v>2538</v>
      </c>
      <c r="CR50" s="100">
        <v>10</v>
      </c>
      <c r="CS50" s="100">
        <v>2820</v>
      </c>
      <c r="CT50" s="100">
        <v>6.9274359888793837</v>
      </c>
      <c r="CU50" s="100">
        <v>1953.5369488639863</v>
      </c>
    </row>
    <row r="51" spans="2:99">
      <c r="C51" s="99" t="s">
        <v>217</v>
      </c>
      <c r="D51" s="100">
        <v>11</v>
      </c>
      <c r="E51" s="100">
        <v>9398.4</v>
      </c>
      <c r="F51" s="100">
        <v>8</v>
      </c>
      <c r="G51" s="100">
        <v>6835.2</v>
      </c>
      <c r="H51" s="100">
        <v>11</v>
      </c>
      <c r="I51" s="100">
        <v>9398.4</v>
      </c>
      <c r="J51" s="100">
        <v>3.7704487767725401</v>
      </c>
      <c r="K51" s="100">
        <v>3221.4714348744583</v>
      </c>
      <c r="L51" s="100">
        <v>8</v>
      </c>
      <c r="M51" s="100">
        <v>6835.2</v>
      </c>
      <c r="N51" s="100">
        <v>7</v>
      </c>
      <c r="O51" s="100">
        <v>5980.8</v>
      </c>
      <c r="P51" s="100">
        <v>8</v>
      </c>
      <c r="Q51" s="100">
        <v>6835.2</v>
      </c>
      <c r="R51" s="100">
        <v>10</v>
      </c>
      <c r="S51" s="100">
        <v>8544</v>
      </c>
      <c r="T51" s="100">
        <v>7</v>
      </c>
      <c r="U51" s="100">
        <v>5980.8</v>
      </c>
      <c r="V51" s="100">
        <v>5.5096475257853781</v>
      </c>
      <c r="W51" s="100">
        <v>4707.4428460310273</v>
      </c>
      <c r="X51" s="100">
        <v>8</v>
      </c>
      <c r="Y51" s="100">
        <v>6835.2</v>
      </c>
      <c r="Z51" s="100">
        <v>9.9848702908009432</v>
      </c>
      <c r="AA51" s="100">
        <v>8531.0731764603261</v>
      </c>
      <c r="AB51" s="100">
        <v>10</v>
      </c>
      <c r="AC51" s="100">
        <v>8544</v>
      </c>
      <c r="AD51" s="100">
        <v>11</v>
      </c>
      <c r="AE51" s="100">
        <v>9398.4</v>
      </c>
      <c r="AF51" s="100">
        <v>8.8258313472933079</v>
      </c>
      <c r="AG51" s="100">
        <v>7540.7903031274018</v>
      </c>
      <c r="AH51" s="100">
        <v>10</v>
      </c>
      <c r="AI51" s="100">
        <v>8544</v>
      </c>
      <c r="AJ51" s="100">
        <v>8.4840888729207506</v>
      </c>
      <c r="AK51" s="100">
        <v>7248.8055330234893</v>
      </c>
      <c r="AL51" s="100">
        <v>11</v>
      </c>
      <c r="AM51" s="100">
        <v>9398.4</v>
      </c>
      <c r="AN51" s="100">
        <v>7</v>
      </c>
      <c r="AO51" s="100">
        <v>5980.8</v>
      </c>
      <c r="AP51" s="100">
        <v>2.9466814005136088</v>
      </c>
      <c r="AQ51" s="100">
        <v>2517.6445885988273</v>
      </c>
      <c r="AR51" s="100">
        <v>7</v>
      </c>
      <c r="AS51" s="100">
        <v>5980.8</v>
      </c>
      <c r="AT51" s="100">
        <v>6</v>
      </c>
      <c r="AU51" s="100">
        <v>5126.3999999999996</v>
      </c>
      <c r="AV51" s="100">
        <v>10</v>
      </c>
      <c r="AW51" s="100">
        <v>8544</v>
      </c>
      <c r="AX51" s="100">
        <v>4.9320396930588446</v>
      </c>
      <c r="AY51" s="100">
        <v>4213.9347137494769</v>
      </c>
      <c r="AZ51" s="100">
        <v>6</v>
      </c>
      <c r="BA51" s="100">
        <v>5126.3999999999996</v>
      </c>
      <c r="BB51" s="100">
        <v>3.6299156661042913</v>
      </c>
      <c r="BC51" s="100">
        <v>3101.3999451195064</v>
      </c>
      <c r="BD51" s="100">
        <v>7.2126062741184009</v>
      </c>
      <c r="BE51" s="100">
        <v>6162.4508006067617</v>
      </c>
      <c r="BF51" s="100">
        <v>7.8443304308415414</v>
      </c>
      <c r="BG51" s="100">
        <v>6702.195920111013</v>
      </c>
      <c r="BH51" s="100">
        <v>9</v>
      </c>
      <c r="BI51" s="100">
        <v>7689.5999999999995</v>
      </c>
      <c r="BJ51" s="100">
        <v>9</v>
      </c>
      <c r="BK51" s="100">
        <v>7689.5999999999995</v>
      </c>
      <c r="BL51" s="100">
        <v>7</v>
      </c>
      <c r="BM51" s="100">
        <v>5980.8</v>
      </c>
      <c r="BN51" s="100">
        <v>8</v>
      </c>
      <c r="BO51" s="100">
        <v>6835.2</v>
      </c>
      <c r="BP51" s="100">
        <v>9</v>
      </c>
      <c r="BQ51" s="100">
        <v>7689.5999999999995</v>
      </c>
      <c r="BR51" s="100">
        <v>2.7262735417366626</v>
      </c>
      <c r="BS51" s="100">
        <v>2329.3281140598046</v>
      </c>
      <c r="BT51" s="100">
        <v>7</v>
      </c>
      <c r="BU51" s="100">
        <v>5980.8</v>
      </c>
      <c r="BV51" s="100">
        <v>7</v>
      </c>
      <c r="BW51" s="100">
        <v>5980.8</v>
      </c>
      <c r="BX51" s="100">
        <v>6</v>
      </c>
      <c r="BY51" s="100">
        <v>5126.3999999999996</v>
      </c>
      <c r="BZ51" s="100">
        <v>7</v>
      </c>
      <c r="CA51" s="100">
        <v>5980.8</v>
      </c>
      <c r="CB51" s="100">
        <v>9</v>
      </c>
      <c r="CC51" s="100">
        <v>7689.5999999999995</v>
      </c>
      <c r="CD51" s="100">
        <v>0.46105504938160108</v>
      </c>
      <c r="CE51" s="100">
        <v>393.92543419163997</v>
      </c>
      <c r="CF51" s="100">
        <v>7</v>
      </c>
      <c r="CG51" s="100">
        <v>5980.8</v>
      </c>
      <c r="CH51" s="100">
        <v>8</v>
      </c>
      <c r="CI51" s="100">
        <v>6835.2</v>
      </c>
      <c r="CJ51" s="100">
        <v>7</v>
      </c>
      <c r="CK51" s="100">
        <v>5980.8</v>
      </c>
      <c r="CL51" s="100">
        <v>8.4184505042218714</v>
      </c>
      <c r="CM51" s="100">
        <v>7192.7241108071667</v>
      </c>
      <c r="CN51" s="100">
        <v>9</v>
      </c>
      <c r="CO51" s="100">
        <v>7689.5999999999995</v>
      </c>
      <c r="CP51" s="100">
        <v>9</v>
      </c>
      <c r="CQ51" s="100">
        <v>7689.5999999999995</v>
      </c>
      <c r="CR51" s="100">
        <v>9</v>
      </c>
      <c r="CS51" s="100">
        <v>7689.5999999999995</v>
      </c>
      <c r="CT51" s="100">
        <v>6.0615064902694593</v>
      </c>
      <c r="CU51" s="100">
        <v>5178.9511452862262</v>
      </c>
    </row>
    <row r="52" spans="2:99">
      <c r="C52" s="99" t="s">
        <v>218</v>
      </c>
      <c r="D52" s="100">
        <v>12</v>
      </c>
      <c r="E52" s="100">
        <v>6480</v>
      </c>
      <c r="F52" s="100">
        <v>9</v>
      </c>
      <c r="G52" s="100">
        <v>4860</v>
      </c>
      <c r="H52" s="100">
        <v>11</v>
      </c>
      <c r="I52" s="100">
        <v>5940</v>
      </c>
      <c r="J52" s="100">
        <v>3.7704487767725401</v>
      </c>
      <c r="K52" s="100">
        <v>2036.0423394571717</v>
      </c>
      <c r="L52" s="100">
        <v>8</v>
      </c>
      <c r="M52" s="100">
        <v>4320</v>
      </c>
      <c r="N52" s="100">
        <v>8</v>
      </c>
      <c r="O52" s="100">
        <v>4320</v>
      </c>
      <c r="P52" s="100">
        <v>9</v>
      </c>
      <c r="Q52" s="100">
        <v>4860</v>
      </c>
      <c r="R52" s="100">
        <v>9</v>
      </c>
      <c r="S52" s="100">
        <v>4860</v>
      </c>
      <c r="T52" s="100">
        <v>8</v>
      </c>
      <c r="U52" s="100">
        <v>4320</v>
      </c>
      <c r="V52" s="100">
        <v>6.2967400294690039</v>
      </c>
      <c r="W52" s="100">
        <v>3400.2396159132622</v>
      </c>
      <c r="X52" s="100">
        <v>8</v>
      </c>
      <c r="Y52" s="100">
        <v>4320</v>
      </c>
      <c r="Z52" s="100">
        <v>9.9848702908009432</v>
      </c>
      <c r="AA52" s="100">
        <v>5391.8299570325089</v>
      </c>
      <c r="AB52" s="100">
        <v>9</v>
      </c>
      <c r="AC52" s="100">
        <v>4860</v>
      </c>
      <c r="AD52" s="100">
        <v>11</v>
      </c>
      <c r="AE52" s="100">
        <v>5940</v>
      </c>
      <c r="AF52" s="100">
        <v>9.7084144820226399</v>
      </c>
      <c r="AG52" s="100">
        <v>5242.543820292226</v>
      </c>
      <c r="AH52" s="100">
        <v>10</v>
      </c>
      <c r="AI52" s="100">
        <v>5400</v>
      </c>
      <c r="AJ52" s="100">
        <v>7.7128080662915917</v>
      </c>
      <c r="AK52" s="100">
        <v>4164.9163557974598</v>
      </c>
      <c r="AL52" s="100">
        <v>11</v>
      </c>
      <c r="AM52" s="100">
        <v>5940</v>
      </c>
      <c r="AN52" s="100">
        <v>7</v>
      </c>
      <c r="AO52" s="100">
        <v>3780</v>
      </c>
      <c r="AP52" s="100">
        <v>2.9466814005136088</v>
      </c>
      <c r="AQ52" s="100">
        <v>1591.2079562773488</v>
      </c>
      <c r="AR52" s="100">
        <v>6</v>
      </c>
      <c r="AS52" s="100">
        <v>3240</v>
      </c>
      <c r="AT52" s="100">
        <v>8</v>
      </c>
      <c r="AU52" s="100">
        <v>4320</v>
      </c>
      <c r="AV52" s="100">
        <v>10</v>
      </c>
      <c r="AW52" s="100">
        <v>5400</v>
      </c>
      <c r="AX52" s="100">
        <v>4.9320396930588446</v>
      </c>
      <c r="AY52" s="100">
        <v>2663.3014342517763</v>
      </c>
      <c r="AZ52" s="100">
        <v>6</v>
      </c>
      <c r="BA52" s="100">
        <v>3240</v>
      </c>
      <c r="BB52" s="100">
        <v>4.0836551243673274</v>
      </c>
      <c r="BC52" s="100">
        <v>2205.1737671583569</v>
      </c>
      <c r="BD52" s="100">
        <v>8.1141820583832001</v>
      </c>
      <c r="BE52" s="100">
        <v>4381.6583115269277</v>
      </c>
      <c r="BF52" s="100">
        <v>7.8443304308415414</v>
      </c>
      <c r="BG52" s="100">
        <v>4235.9384326544323</v>
      </c>
      <c r="BH52" s="100">
        <v>8</v>
      </c>
      <c r="BI52" s="100">
        <v>4320</v>
      </c>
      <c r="BJ52" s="100">
        <v>8</v>
      </c>
      <c r="BK52" s="100">
        <v>4320</v>
      </c>
      <c r="BL52" s="100">
        <v>7</v>
      </c>
      <c r="BM52" s="100">
        <v>3780</v>
      </c>
      <c r="BN52" s="100">
        <v>7</v>
      </c>
      <c r="BO52" s="100">
        <v>3780</v>
      </c>
      <c r="BP52" s="100">
        <v>8</v>
      </c>
      <c r="BQ52" s="100">
        <v>4320</v>
      </c>
      <c r="BR52" s="100">
        <v>2.9741165909854499</v>
      </c>
      <c r="BS52" s="100">
        <v>1606.0229591321429</v>
      </c>
      <c r="BT52" s="100">
        <v>9</v>
      </c>
      <c r="BU52" s="100">
        <v>4860</v>
      </c>
      <c r="BV52" s="100">
        <v>7</v>
      </c>
      <c r="BW52" s="100">
        <v>3780</v>
      </c>
      <c r="BX52" s="100">
        <v>7</v>
      </c>
      <c r="BY52" s="100">
        <v>3780</v>
      </c>
      <c r="BZ52" s="100">
        <v>7</v>
      </c>
      <c r="CA52" s="100">
        <v>3780</v>
      </c>
      <c r="CB52" s="100">
        <v>8</v>
      </c>
      <c r="CC52" s="100">
        <v>4320</v>
      </c>
      <c r="CD52" s="100">
        <v>0.51868693055430126</v>
      </c>
      <c r="CE52" s="100">
        <v>280.09094249932269</v>
      </c>
      <c r="CF52" s="100">
        <v>7</v>
      </c>
      <c r="CG52" s="100">
        <v>3780</v>
      </c>
      <c r="CH52" s="100">
        <v>8</v>
      </c>
      <c r="CI52" s="100">
        <v>4320</v>
      </c>
      <c r="CJ52" s="100">
        <v>7</v>
      </c>
      <c r="CK52" s="100">
        <v>3780</v>
      </c>
      <c r="CL52" s="100">
        <v>8.4184505042218714</v>
      </c>
      <c r="CM52" s="100">
        <v>4545.9632722798106</v>
      </c>
      <c r="CN52" s="100">
        <v>8</v>
      </c>
      <c r="CO52" s="100">
        <v>4320</v>
      </c>
      <c r="CP52" s="100">
        <v>10</v>
      </c>
      <c r="CQ52" s="100">
        <v>5400</v>
      </c>
      <c r="CR52" s="100">
        <v>9</v>
      </c>
      <c r="CS52" s="100">
        <v>4860</v>
      </c>
      <c r="CT52" s="100">
        <v>6.0615064902694593</v>
      </c>
      <c r="CU52" s="100">
        <v>3273.2135047455081</v>
      </c>
    </row>
    <row r="53" spans="2:99">
      <c r="C53" s="99" t="s">
        <v>219</v>
      </c>
      <c r="D53" s="100">
        <v>11</v>
      </c>
      <c r="E53" s="100">
        <v>4474.8</v>
      </c>
      <c r="F53" s="100">
        <v>8</v>
      </c>
      <c r="G53" s="100">
        <v>3254.4</v>
      </c>
      <c r="H53" s="100">
        <v>10</v>
      </c>
      <c r="I53" s="100">
        <v>4068</v>
      </c>
      <c r="J53" s="100">
        <v>3.7704487767725401</v>
      </c>
      <c r="K53" s="100">
        <v>1533.8185623910695</v>
      </c>
      <c r="L53" s="100">
        <v>8</v>
      </c>
      <c r="M53" s="100">
        <v>3254.4</v>
      </c>
      <c r="N53" s="100">
        <v>7</v>
      </c>
      <c r="O53" s="100">
        <v>2847.6</v>
      </c>
      <c r="P53" s="100">
        <v>10</v>
      </c>
      <c r="Q53" s="100">
        <v>4068</v>
      </c>
      <c r="R53" s="100">
        <v>10</v>
      </c>
      <c r="S53" s="100">
        <v>4068</v>
      </c>
      <c r="T53" s="100">
        <v>8</v>
      </c>
      <c r="U53" s="100">
        <v>3254.4</v>
      </c>
      <c r="V53" s="100">
        <v>6.2967400294690039</v>
      </c>
      <c r="W53" s="100">
        <v>2561.5138439879906</v>
      </c>
      <c r="X53" s="100">
        <v>8</v>
      </c>
      <c r="Y53" s="100">
        <v>3254.4</v>
      </c>
      <c r="Z53" s="100">
        <v>9.9848702908009432</v>
      </c>
      <c r="AA53" s="100">
        <v>4061.8452342978239</v>
      </c>
      <c r="AB53" s="100">
        <v>9</v>
      </c>
      <c r="AC53" s="100">
        <v>3661.2000000000003</v>
      </c>
      <c r="AD53" s="100">
        <v>11</v>
      </c>
      <c r="AE53" s="100">
        <v>4474.8</v>
      </c>
      <c r="AF53" s="100">
        <v>8.8258313472933079</v>
      </c>
      <c r="AG53" s="100">
        <v>3590.3481920789177</v>
      </c>
      <c r="AH53" s="100">
        <v>11</v>
      </c>
      <c r="AI53" s="100">
        <v>4474.8</v>
      </c>
      <c r="AJ53" s="100">
        <v>7.7128080662915917</v>
      </c>
      <c r="AK53" s="100">
        <v>3137.5703213674196</v>
      </c>
      <c r="AL53" s="100">
        <v>10</v>
      </c>
      <c r="AM53" s="100">
        <v>4068</v>
      </c>
      <c r="AN53" s="100">
        <v>8</v>
      </c>
      <c r="AO53" s="100">
        <v>3254.4</v>
      </c>
      <c r="AP53" s="100">
        <v>2.9466814005136088</v>
      </c>
      <c r="AQ53" s="100">
        <v>1198.7099937289361</v>
      </c>
      <c r="AR53" s="100">
        <v>6</v>
      </c>
      <c r="AS53" s="100">
        <v>2440.8000000000002</v>
      </c>
      <c r="AT53" s="100">
        <v>7</v>
      </c>
      <c r="AU53" s="100">
        <v>2847.6</v>
      </c>
      <c r="AV53" s="100">
        <v>10</v>
      </c>
      <c r="AW53" s="100">
        <v>4068</v>
      </c>
      <c r="AX53" s="100">
        <v>5.380406937882376</v>
      </c>
      <c r="AY53" s="100">
        <v>2188.7495423305504</v>
      </c>
      <c r="AZ53" s="100">
        <v>7</v>
      </c>
      <c r="BA53" s="100">
        <v>2847.6</v>
      </c>
      <c r="BB53" s="100">
        <v>3.6299156661042913</v>
      </c>
      <c r="BC53" s="100">
        <v>1476.6496929712257</v>
      </c>
      <c r="BD53" s="100">
        <v>8.1141820583832001</v>
      </c>
      <c r="BE53" s="100">
        <v>3300.8492613502858</v>
      </c>
      <c r="BF53" s="100">
        <v>8.715922700935046</v>
      </c>
      <c r="BG53" s="100">
        <v>3545.6373547403768</v>
      </c>
      <c r="BH53" s="100">
        <v>8</v>
      </c>
      <c r="BI53" s="100">
        <v>3254.4</v>
      </c>
      <c r="BJ53" s="100">
        <v>8</v>
      </c>
      <c r="BK53" s="100">
        <v>3254.4</v>
      </c>
      <c r="BL53" s="100">
        <v>7</v>
      </c>
      <c r="BM53" s="100">
        <v>2847.6</v>
      </c>
      <c r="BN53" s="100">
        <v>8</v>
      </c>
      <c r="BO53" s="100">
        <v>3254.4</v>
      </c>
      <c r="BP53" s="100">
        <v>8</v>
      </c>
      <c r="BQ53" s="100">
        <v>3254.4</v>
      </c>
      <c r="BR53" s="100">
        <v>2.9741165909854499</v>
      </c>
      <c r="BS53" s="100">
        <v>1209.8706292128811</v>
      </c>
      <c r="BT53" s="100">
        <v>9</v>
      </c>
      <c r="BU53" s="100">
        <v>3661.2000000000003</v>
      </c>
      <c r="BV53" s="100">
        <v>7</v>
      </c>
      <c r="BW53" s="100">
        <v>2847.6</v>
      </c>
      <c r="BX53" s="100">
        <v>6</v>
      </c>
      <c r="BY53" s="100">
        <v>2440.8000000000002</v>
      </c>
      <c r="BZ53" s="100">
        <v>7</v>
      </c>
      <c r="CA53" s="100">
        <v>2847.6</v>
      </c>
      <c r="CB53" s="100">
        <v>8</v>
      </c>
      <c r="CC53" s="100">
        <v>3254.4</v>
      </c>
      <c r="CD53" s="100">
        <v>0.46105504938160108</v>
      </c>
      <c r="CE53" s="100">
        <v>187.55719408843532</v>
      </c>
      <c r="CF53" s="100">
        <v>7</v>
      </c>
      <c r="CG53" s="100">
        <v>2847.6</v>
      </c>
      <c r="CH53" s="100">
        <v>9</v>
      </c>
      <c r="CI53" s="100">
        <v>3661.2000000000003</v>
      </c>
      <c r="CJ53" s="100">
        <v>8</v>
      </c>
      <c r="CK53" s="100">
        <v>3254.4</v>
      </c>
      <c r="CL53" s="100">
        <v>8.4184505042218714</v>
      </c>
      <c r="CM53" s="100">
        <v>3424.6256651174572</v>
      </c>
      <c r="CN53" s="100">
        <v>8</v>
      </c>
      <c r="CO53" s="100">
        <v>3254.4</v>
      </c>
      <c r="CP53" s="100">
        <v>11</v>
      </c>
      <c r="CQ53" s="100">
        <v>4474.8</v>
      </c>
      <c r="CR53" s="100">
        <v>8</v>
      </c>
      <c r="CS53" s="100">
        <v>3254.4</v>
      </c>
      <c r="CT53" s="100">
        <v>6.0615064902694593</v>
      </c>
      <c r="CU53" s="100">
        <v>2465.8208402416162</v>
      </c>
    </row>
    <row r="54" spans="2:99">
      <c r="C54" s="99" t="s">
        <v>220</v>
      </c>
      <c r="D54" s="100">
        <v>10</v>
      </c>
      <c r="E54" s="100">
        <v>3348</v>
      </c>
      <c r="F54" s="100">
        <v>9</v>
      </c>
      <c r="G54" s="100">
        <v>3013.2000000000003</v>
      </c>
      <c r="H54" s="100">
        <v>11</v>
      </c>
      <c r="I54" s="100">
        <v>3682.8</v>
      </c>
      <c r="J54" s="100">
        <v>4.3988569062346299</v>
      </c>
      <c r="K54" s="100">
        <v>1472.7372922073541</v>
      </c>
      <c r="L54" s="100">
        <v>7</v>
      </c>
      <c r="M54" s="100">
        <v>2343.6</v>
      </c>
      <c r="N54" s="100">
        <v>8</v>
      </c>
      <c r="O54" s="100">
        <v>2678.4</v>
      </c>
      <c r="P54" s="100">
        <v>10</v>
      </c>
      <c r="Q54" s="100">
        <v>3348</v>
      </c>
      <c r="R54" s="100">
        <v>11</v>
      </c>
      <c r="S54" s="100">
        <v>3682.8</v>
      </c>
      <c r="T54" s="100">
        <v>8</v>
      </c>
      <c r="U54" s="100">
        <v>2678.4</v>
      </c>
      <c r="V54" s="100">
        <v>6.2967400294690039</v>
      </c>
      <c r="W54" s="100">
        <v>2108.1485618662227</v>
      </c>
      <c r="X54" s="100">
        <v>8</v>
      </c>
      <c r="Y54" s="100">
        <v>2678.4</v>
      </c>
      <c r="Z54" s="100">
        <v>9.9848702908009432</v>
      </c>
      <c r="AA54" s="100">
        <v>3342.9345733601558</v>
      </c>
      <c r="AB54" s="100">
        <v>9</v>
      </c>
      <c r="AC54" s="100">
        <v>3013.2000000000003</v>
      </c>
      <c r="AD54" s="100">
        <v>10</v>
      </c>
      <c r="AE54" s="100">
        <v>3348</v>
      </c>
      <c r="AF54" s="100">
        <v>7.9432482125639785</v>
      </c>
      <c r="AG54" s="100">
        <v>2659.39950156642</v>
      </c>
      <c r="AH54" s="100">
        <v>11</v>
      </c>
      <c r="AI54" s="100">
        <v>3682.8</v>
      </c>
      <c r="AJ54" s="100">
        <v>9.2553696795499114</v>
      </c>
      <c r="AK54" s="100">
        <v>3098.6977687133103</v>
      </c>
      <c r="AL54" s="100">
        <v>11</v>
      </c>
      <c r="AM54" s="100">
        <v>3682.8</v>
      </c>
      <c r="AN54" s="100">
        <v>7</v>
      </c>
      <c r="AO54" s="100">
        <v>2343.6</v>
      </c>
      <c r="AP54" s="100">
        <v>2.3573451204108871</v>
      </c>
      <c r="AQ54" s="100">
        <v>789.23914631356502</v>
      </c>
      <c r="AR54" s="100">
        <v>6</v>
      </c>
      <c r="AS54" s="100">
        <v>2008.8000000000002</v>
      </c>
      <c r="AT54" s="100">
        <v>7</v>
      </c>
      <c r="AU54" s="100">
        <v>2343.6</v>
      </c>
      <c r="AV54" s="100">
        <v>11</v>
      </c>
      <c r="AW54" s="100">
        <v>3682.8</v>
      </c>
      <c r="AX54" s="100">
        <v>4.9320396930588446</v>
      </c>
      <c r="AY54" s="100">
        <v>1651.2468892361012</v>
      </c>
      <c r="AZ54" s="100">
        <v>7</v>
      </c>
      <c r="BA54" s="100">
        <v>2343.6</v>
      </c>
      <c r="BB54" s="100">
        <v>3.6299156661042913</v>
      </c>
      <c r="BC54" s="100">
        <v>1215.2957650117169</v>
      </c>
      <c r="BD54" s="100">
        <v>9.0157578426480001</v>
      </c>
      <c r="BE54" s="100">
        <v>3018.4757257185506</v>
      </c>
      <c r="BF54" s="100">
        <v>8.715922700935046</v>
      </c>
      <c r="BG54" s="100">
        <v>2918.0909202730536</v>
      </c>
      <c r="BH54" s="100">
        <v>9</v>
      </c>
      <c r="BI54" s="100">
        <v>3013.2000000000003</v>
      </c>
      <c r="BJ54" s="100">
        <v>8</v>
      </c>
      <c r="BK54" s="100">
        <v>2678.4</v>
      </c>
      <c r="BL54" s="100">
        <v>7</v>
      </c>
      <c r="BM54" s="100">
        <v>2343.6</v>
      </c>
      <c r="BN54" s="100">
        <v>8</v>
      </c>
      <c r="BO54" s="100">
        <v>2678.4</v>
      </c>
      <c r="BP54" s="100">
        <v>8</v>
      </c>
      <c r="BQ54" s="100">
        <v>2678.4</v>
      </c>
      <c r="BR54" s="100">
        <v>2.9741165909854499</v>
      </c>
      <c r="BS54" s="100">
        <v>995.73423466192867</v>
      </c>
      <c r="BT54" s="100">
        <v>8</v>
      </c>
      <c r="BU54" s="100">
        <v>2678.4</v>
      </c>
      <c r="BV54" s="100">
        <v>7</v>
      </c>
      <c r="BW54" s="100">
        <v>2343.6</v>
      </c>
      <c r="BX54" s="100">
        <v>6</v>
      </c>
      <c r="BY54" s="100">
        <v>2008.8000000000002</v>
      </c>
      <c r="BZ54" s="100">
        <v>7</v>
      </c>
      <c r="CA54" s="100">
        <v>2343.6</v>
      </c>
      <c r="CB54" s="100">
        <v>8</v>
      </c>
      <c r="CC54" s="100">
        <v>2678.4</v>
      </c>
      <c r="CD54" s="100">
        <v>0.51868693055430126</v>
      </c>
      <c r="CE54" s="100">
        <v>173.65638434958007</v>
      </c>
      <c r="CF54" s="100">
        <v>7</v>
      </c>
      <c r="CG54" s="100">
        <v>2343.6</v>
      </c>
      <c r="CH54" s="100">
        <v>9</v>
      </c>
      <c r="CI54" s="100">
        <v>3013.2000000000003</v>
      </c>
      <c r="CJ54" s="100">
        <v>8</v>
      </c>
      <c r="CK54" s="100">
        <v>2678.4</v>
      </c>
      <c r="CL54" s="100">
        <v>7.5766054537996839</v>
      </c>
      <c r="CM54" s="100">
        <v>2536.6475059321342</v>
      </c>
      <c r="CN54" s="100">
        <v>9</v>
      </c>
      <c r="CO54" s="100">
        <v>3013.2000000000003</v>
      </c>
      <c r="CP54" s="100">
        <v>9</v>
      </c>
      <c r="CQ54" s="100">
        <v>3013.2000000000003</v>
      </c>
      <c r="CR54" s="100">
        <v>9</v>
      </c>
      <c r="CS54" s="100">
        <v>3013.2000000000003</v>
      </c>
      <c r="CT54" s="100">
        <v>6.0615064902694593</v>
      </c>
      <c r="CU54" s="100">
        <v>2029.3923729422149</v>
      </c>
    </row>
    <row r="55" spans="2:99">
      <c r="C55" s="99" t="s">
        <v>221</v>
      </c>
      <c r="D55" s="100">
        <v>11</v>
      </c>
      <c r="E55" s="100">
        <v>7299.6</v>
      </c>
      <c r="F55" s="100">
        <v>9</v>
      </c>
      <c r="G55" s="100">
        <v>5972.4000000000005</v>
      </c>
      <c r="H55" s="100">
        <v>11</v>
      </c>
      <c r="I55" s="100">
        <v>7299.6</v>
      </c>
      <c r="J55" s="100">
        <v>4.3988569062346299</v>
      </c>
      <c r="K55" s="100">
        <v>2919.0814429773004</v>
      </c>
      <c r="L55" s="100">
        <v>8</v>
      </c>
      <c r="M55" s="100">
        <v>5308.8</v>
      </c>
      <c r="N55" s="100">
        <v>8</v>
      </c>
      <c r="O55" s="100">
        <v>5308.8</v>
      </c>
      <c r="P55" s="100">
        <v>9</v>
      </c>
      <c r="Q55" s="100">
        <v>5972.4000000000005</v>
      </c>
      <c r="R55" s="100">
        <v>9</v>
      </c>
      <c r="S55" s="100">
        <v>5972.4000000000005</v>
      </c>
      <c r="T55" s="100">
        <v>8</v>
      </c>
      <c r="U55" s="100">
        <v>5308.8</v>
      </c>
      <c r="V55" s="100">
        <v>5.5096475257853781</v>
      </c>
      <c r="W55" s="100">
        <v>3656.2020981111768</v>
      </c>
      <c r="X55" s="100">
        <v>8</v>
      </c>
      <c r="Y55" s="100">
        <v>5308.8</v>
      </c>
      <c r="Z55" s="100">
        <v>8.1694393288371341</v>
      </c>
      <c r="AA55" s="100">
        <v>5421.2399386163224</v>
      </c>
      <c r="AB55" s="100">
        <v>9</v>
      </c>
      <c r="AC55" s="100">
        <v>5972.4000000000005</v>
      </c>
      <c r="AD55" s="100">
        <v>11</v>
      </c>
      <c r="AE55" s="100">
        <v>7299.6</v>
      </c>
      <c r="AF55" s="100">
        <v>8.8258313472933079</v>
      </c>
      <c r="AG55" s="100">
        <v>5856.821682063839</v>
      </c>
      <c r="AH55" s="100">
        <v>10</v>
      </c>
      <c r="AI55" s="100">
        <v>6636</v>
      </c>
      <c r="AJ55" s="100">
        <v>8.4840888729207506</v>
      </c>
      <c r="AK55" s="100">
        <v>5630.0413760702104</v>
      </c>
      <c r="AL55" s="100">
        <v>10</v>
      </c>
      <c r="AM55" s="100">
        <v>6636</v>
      </c>
      <c r="AN55" s="100">
        <v>8</v>
      </c>
      <c r="AO55" s="100">
        <v>5308.8</v>
      </c>
      <c r="AP55" s="100">
        <v>2.6520132604622479</v>
      </c>
      <c r="AQ55" s="100">
        <v>1759.8759996427477</v>
      </c>
      <c r="AR55" s="100">
        <v>7</v>
      </c>
      <c r="AS55" s="100">
        <v>4645.2</v>
      </c>
      <c r="AT55" s="100">
        <v>8</v>
      </c>
      <c r="AU55" s="100">
        <v>5308.8</v>
      </c>
      <c r="AV55" s="100">
        <v>9</v>
      </c>
      <c r="AW55" s="100">
        <v>5972.4000000000005</v>
      </c>
      <c r="AX55" s="100">
        <v>4.9320396930588446</v>
      </c>
      <c r="AY55" s="100">
        <v>3272.9015403138492</v>
      </c>
      <c r="AZ55" s="100">
        <v>7</v>
      </c>
      <c r="BA55" s="100">
        <v>4645.2</v>
      </c>
      <c r="BB55" s="100">
        <v>3.6299156661042913</v>
      </c>
      <c r="BC55" s="100">
        <v>2408.8120360268076</v>
      </c>
      <c r="BD55" s="100">
        <v>8.1141820583832001</v>
      </c>
      <c r="BE55" s="100">
        <v>5384.5712139430916</v>
      </c>
      <c r="BF55" s="100">
        <v>8.715922700935046</v>
      </c>
      <c r="BG55" s="100">
        <v>5783.8863043404963</v>
      </c>
      <c r="BH55" s="100">
        <v>9</v>
      </c>
      <c r="BI55" s="100">
        <v>5972.4000000000005</v>
      </c>
      <c r="BJ55" s="100">
        <v>7</v>
      </c>
      <c r="BK55" s="100">
        <v>4645.2</v>
      </c>
      <c r="BL55" s="100">
        <v>8</v>
      </c>
      <c r="BM55" s="100">
        <v>5308.8</v>
      </c>
      <c r="BN55" s="100">
        <v>8</v>
      </c>
      <c r="BO55" s="100">
        <v>5308.8</v>
      </c>
      <c r="BP55" s="100">
        <v>9</v>
      </c>
      <c r="BQ55" s="100">
        <v>5972.4000000000005</v>
      </c>
      <c r="BR55" s="100">
        <v>2.7262735417366626</v>
      </c>
      <c r="BS55" s="100">
        <v>1809.1551222964495</v>
      </c>
      <c r="BT55" s="100">
        <v>7</v>
      </c>
      <c r="BU55" s="100">
        <v>4645.2</v>
      </c>
      <c r="BV55" s="100">
        <v>6</v>
      </c>
      <c r="BW55" s="100">
        <v>3981.6000000000004</v>
      </c>
      <c r="BX55" s="100">
        <v>6</v>
      </c>
      <c r="BY55" s="100">
        <v>3981.6000000000004</v>
      </c>
      <c r="BZ55" s="100">
        <v>8</v>
      </c>
      <c r="CA55" s="100">
        <v>5308.8</v>
      </c>
      <c r="CB55" s="100">
        <v>7</v>
      </c>
      <c r="CC55" s="100">
        <v>4645.2</v>
      </c>
      <c r="CD55" s="100">
        <v>0.46105504938160108</v>
      </c>
      <c r="CE55" s="100">
        <v>305.95613076963048</v>
      </c>
      <c r="CF55" s="100">
        <v>6</v>
      </c>
      <c r="CG55" s="100">
        <v>3981.6000000000004</v>
      </c>
      <c r="CH55" s="100">
        <v>9</v>
      </c>
      <c r="CI55" s="100">
        <v>5972.4000000000005</v>
      </c>
      <c r="CJ55" s="100">
        <v>8</v>
      </c>
      <c r="CK55" s="100">
        <v>5308.8</v>
      </c>
      <c r="CL55" s="100">
        <v>7.5766054537996839</v>
      </c>
      <c r="CM55" s="100">
        <v>5027.8353791414702</v>
      </c>
      <c r="CN55" s="100">
        <v>8</v>
      </c>
      <c r="CO55" s="100">
        <v>5308.8</v>
      </c>
      <c r="CP55" s="100">
        <v>9</v>
      </c>
      <c r="CQ55" s="100">
        <v>5972.4000000000005</v>
      </c>
      <c r="CR55" s="100">
        <v>9</v>
      </c>
      <c r="CS55" s="100">
        <v>5972.4000000000005</v>
      </c>
      <c r="CT55" s="100">
        <v>6.0615064902694593</v>
      </c>
      <c r="CU55" s="100">
        <v>4022.4157069428134</v>
      </c>
    </row>
    <row r="56" spans="2:99">
      <c r="C56" s="99" t="s">
        <v>222</v>
      </c>
      <c r="D56" s="100">
        <v>11</v>
      </c>
      <c r="E56" s="100">
        <v>10797.599999999999</v>
      </c>
      <c r="F56" s="100">
        <v>8</v>
      </c>
      <c r="G56" s="100">
        <v>7852.7999999999993</v>
      </c>
      <c r="H56" s="100">
        <v>10.856669796374641</v>
      </c>
      <c r="I56" s="100">
        <v>10656.907072121347</v>
      </c>
      <c r="J56" s="100">
        <v>0.48877230494257362</v>
      </c>
      <c r="K56" s="100">
        <v>479.77889453163021</v>
      </c>
      <c r="L56" s="100">
        <v>7</v>
      </c>
      <c r="M56" s="100">
        <v>6871.1999999999989</v>
      </c>
      <c r="N56" s="100">
        <v>7</v>
      </c>
      <c r="O56" s="100">
        <v>6871.1999999999989</v>
      </c>
      <c r="P56" s="100">
        <v>9</v>
      </c>
      <c r="Q56" s="100">
        <v>8834.4</v>
      </c>
      <c r="R56" s="100">
        <v>4.9868935827998602</v>
      </c>
      <c r="S56" s="100">
        <v>4895.1347408763422</v>
      </c>
      <c r="T56" s="100">
        <v>7</v>
      </c>
      <c r="U56" s="100">
        <v>6871.1999999999989</v>
      </c>
      <c r="V56" s="100">
        <v>7</v>
      </c>
      <c r="W56" s="100">
        <v>6871.1999999999989</v>
      </c>
      <c r="X56" s="100">
        <v>8</v>
      </c>
      <c r="Y56" s="100">
        <v>7852.7999999999993</v>
      </c>
      <c r="Z56" s="100">
        <v>2.5600452782215211</v>
      </c>
      <c r="AA56" s="100">
        <v>2512.9404451022447</v>
      </c>
      <c r="AB56" s="100">
        <v>9</v>
      </c>
      <c r="AC56" s="100">
        <v>8834.4</v>
      </c>
      <c r="AD56" s="100">
        <v>7.4414780764879875</v>
      </c>
      <c r="AE56" s="100">
        <v>7304.5548798806076</v>
      </c>
      <c r="AF56" s="100">
        <v>9</v>
      </c>
      <c r="AG56" s="100">
        <v>8834.4</v>
      </c>
      <c r="AH56" s="100">
        <v>4.4892354385383246</v>
      </c>
      <c r="AI56" s="100">
        <v>4406.6335064692194</v>
      </c>
      <c r="AJ56" s="100">
        <v>10</v>
      </c>
      <c r="AK56" s="100">
        <v>9816</v>
      </c>
      <c r="AL56" s="100">
        <v>3.677886431248321</v>
      </c>
      <c r="AM56" s="100">
        <v>3610.2133209133517</v>
      </c>
      <c r="AN56" s="100">
        <v>7</v>
      </c>
      <c r="AO56" s="100">
        <v>6871.1999999999989</v>
      </c>
      <c r="AP56" s="100">
        <v>10</v>
      </c>
      <c r="AQ56" s="100">
        <v>9816</v>
      </c>
      <c r="AR56" s="100">
        <v>1.7529182131083891</v>
      </c>
      <c r="AS56" s="100">
        <v>1720.6645179871946</v>
      </c>
      <c r="AT56" s="100">
        <v>5.1041271806140482</v>
      </c>
      <c r="AU56" s="100">
        <v>5010.2112404907493</v>
      </c>
      <c r="AV56" s="100">
        <v>0</v>
      </c>
      <c r="AW56" s="100">
        <v>0</v>
      </c>
      <c r="AX56" s="100">
        <v>0</v>
      </c>
      <c r="AY56" s="100">
        <v>0</v>
      </c>
      <c r="AZ56" s="100">
        <v>6</v>
      </c>
      <c r="BA56" s="100">
        <v>5889.5999999999995</v>
      </c>
      <c r="BB56" s="100">
        <v>0.77665807671564169</v>
      </c>
      <c r="BC56" s="100">
        <v>762.36756810407383</v>
      </c>
      <c r="BD56" s="100">
        <v>9</v>
      </c>
      <c r="BE56" s="100">
        <v>8834.4</v>
      </c>
      <c r="BF56" s="100">
        <v>4.1104575210791126</v>
      </c>
      <c r="BG56" s="100">
        <v>4034.8251026912567</v>
      </c>
      <c r="BH56" s="100">
        <v>9</v>
      </c>
      <c r="BI56" s="100">
        <v>8834.4</v>
      </c>
      <c r="BJ56" s="100">
        <v>9</v>
      </c>
      <c r="BK56" s="100">
        <v>8834.4</v>
      </c>
      <c r="BL56" s="100">
        <v>4.0160142541548485</v>
      </c>
      <c r="BM56" s="100">
        <v>3942.1195918783988</v>
      </c>
      <c r="BN56" s="100">
        <v>5.5826391037966161</v>
      </c>
      <c r="BO56" s="100">
        <v>5479.9185442867574</v>
      </c>
      <c r="BP56" s="100">
        <v>6.7307171612492969</v>
      </c>
      <c r="BQ56" s="100">
        <v>6606.871965482309</v>
      </c>
      <c r="BR56" s="100">
        <v>9.007283259907144</v>
      </c>
      <c r="BS56" s="100">
        <v>8841.5492479248514</v>
      </c>
      <c r="BT56" s="100">
        <v>0.47564571855391052</v>
      </c>
      <c r="BU56" s="100">
        <v>466.8938373325185</v>
      </c>
      <c r="BV56" s="100">
        <v>6</v>
      </c>
      <c r="BW56" s="100">
        <v>5889.5999999999995</v>
      </c>
      <c r="BX56" s="100">
        <v>4.8327067100785994</v>
      </c>
      <c r="BY56" s="100">
        <v>4743.784906613153</v>
      </c>
      <c r="BZ56" s="100">
        <v>5.6865067175031907</v>
      </c>
      <c r="CA56" s="100">
        <v>5581.8749939011313</v>
      </c>
      <c r="CB56" s="100">
        <v>8.1065549339164313</v>
      </c>
      <c r="CC56" s="100">
        <v>7957.3943231323683</v>
      </c>
      <c r="CD56" s="100">
        <v>3.9916404903643508</v>
      </c>
      <c r="CE56" s="100">
        <v>3918.1943053416462</v>
      </c>
      <c r="CF56" s="100">
        <v>5.8253625430921225</v>
      </c>
      <c r="CG56" s="100">
        <v>5718.1758722992272</v>
      </c>
      <c r="CH56" s="100">
        <v>7.2152583181455157</v>
      </c>
      <c r="CI56" s="100">
        <v>7082.4975650916376</v>
      </c>
      <c r="CJ56" s="100">
        <v>5.594165423789156</v>
      </c>
      <c r="CK56" s="100">
        <v>5491.2327799914347</v>
      </c>
      <c r="CL56" s="100">
        <v>8.8328479977460734</v>
      </c>
      <c r="CM56" s="100">
        <v>8670.323594587544</v>
      </c>
      <c r="CN56" s="100">
        <v>5.4904953735688986</v>
      </c>
      <c r="CO56" s="100">
        <v>5389.4702586952308</v>
      </c>
      <c r="CP56" s="100">
        <v>4.5977010883777858</v>
      </c>
      <c r="CQ56" s="100">
        <v>4513.1033883516338</v>
      </c>
      <c r="CR56" s="100">
        <v>4.0504538992550509</v>
      </c>
      <c r="CS56" s="100">
        <v>3975.9255475087575</v>
      </c>
      <c r="CT56" s="100">
        <v>5.8037221056836632</v>
      </c>
      <c r="CU56" s="100">
        <v>5696.9336189390833</v>
      </c>
    </row>
    <row r="57" spans="2:99">
      <c r="C57" s="99" t="s">
        <v>223</v>
      </c>
      <c r="D57" s="100">
        <v>11</v>
      </c>
      <c r="E57" s="100">
        <v>15523.2</v>
      </c>
      <c r="F57" s="100">
        <v>8</v>
      </c>
      <c r="G57" s="100">
        <v>11289.6</v>
      </c>
      <c r="H57" s="100">
        <v>10</v>
      </c>
      <c r="I57" s="100">
        <v>14112</v>
      </c>
      <c r="J57" s="100">
        <v>3.7704487767725401</v>
      </c>
      <c r="K57" s="100">
        <v>5320.8573137814092</v>
      </c>
      <c r="L57" s="100">
        <v>7</v>
      </c>
      <c r="M57" s="100">
        <v>9878.4</v>
      </c>
      <c r="N57" s="100">
        <v>6</v>
      </c>
      <c r="O57" s="100">
        <v>8467.2000000000007</v>
      </c>
      <c r="P57" s="100">
        <v>8</v>
      </c>
      <c r="Q57" s="100">
        <v>11289.6</v>
      </c>
      <c r="R57" s="100">
        <v>9</v>
      </c>
      <c r="S57" s="100">
        <v>12700.800000000001</v>
      </c>
      <c r="T57" s="100">
        <v>8</v>
      </c>
      <c r="U57" s="100">
        <v>11289.6</v>
      </c>
      <c r="V57" s="100">
        <v>5.5096475257853781</v>
      </c>
      <c r="W57" s="100">
        <v>7775.2145883883259</v>
      </c>
      <c r="X57" s="100">
        <v>7</v>
      </c>
      <c r="Y57" s="100">
        <v>9878.4</v>
      </c>
      <c r="Z57" s="100">
        <v>9.9848702908009432</v>
      </c>
      <c r="AA57" s="100">
        <v>14090.648954378292</v>
      </c>
      <c r="AB57" s="100">
        <v>9</v>
      </c>
      <c r="AC57" s="100">
        <v>12700.800000000001</v>
      </c>
      <c r="AD57" s="100">
        <v>10</v>
      </c>
      <c r="AE57" s="100">
        <v>14112</v>
      </c>
      <c r="AF57" s="100">
        <v>8.8258313472933079</v>
      </c>
      <c r="AG57" s="100">
        <v>12455.013197300317</v>
      </c>
      <c r="AH57" s="100">
        <v>9</v>
      </c>
      <c r="AI57" s="100">
        <v>12700.800000000001</v>
      </c>
      <c r="AJ57" s="100">
        <v>6.9415272596624336</v>
      </c>
      <c r="AK57" s="100">
        <v>9795.883268835627</v>
      </c>
      <c r="AL57" s="100">
        <v>10</v>
      </c>
      <c r="AM57" s="100">
        <v>14112</v>
      </c>
      <c r="AN57" s="100">
        <v>7</v>
      </c>
      <c r="AO57" s="100">
        <v>9878.4</v>
      </c>
      <c r="AP57" s="100">
        <v>2.6520132604622479</v>
      </c>
      <c r="AQ57" s="100">
        <v>3742.5211131643246</v>
      </c>
      <c r="AR57" s="100">
        <v>7</v>
      </c>
      <c r="AS57" s="100">
        <v>9878.4</v>
      </c>
      <c r="AT57" s="100">
        <v>7</v>
      </c>
      <c r="AU57" s="100">
        <v>9878.4</v>
      </c>
      <c r="AV57" s="100">
        <v>9</v>
      </c>
      <c r="AW57" s="100">
        <v>12700.800000000001</v>
      </c>
      <c r="AX57" s="100">
        <v>4.9320396930588446</v>
      </c>
      <c r="AY57" s="100">
        <v>6960.0944148446415</v>
      </c>
      <c r="AZ57" s="100">
        <v>6</v>
      </c>
      <c r="BA57" s="100">
        <v>8467.2000000000007</v>
      </c>
      <c r="BB57" s="100">
        <v>3.1761762078412548</v>
      </c>
      <c r="BC57" s="100">
        <v>4482.2198645055787</v>
      </c>
      <c r="BD57" s="100">
        <v>8.1141820583832001</v>
      </c>
      <c r="BE57" s="100">
        <v>11450.733720790373</v>
      </c>
      <c r="BF57" s="100">
        <v>7.8443304308415414</v>
      </c>
      <c r="BG57" s="100">
        <v>11069.919104003584</v>
      </c>
      <c r="BH57" s="100">
        <v>8</v>
      </c>
      <c r="BI57" s="100">
        <v>11289.6</v>
      </c>
      <c r="BJ57" s="100">
        <v>8</v>
      </c>
      <c r="BK57" s="100">
        <v>11289.6</v>
      </c>
      <c r="BL57" s="100">
        <v>8</v>
      </c>
      <c r="BM57" s="100">
        <v>11289.6</v>
      </c>
      <c r="BN57" s="100">
        <v>7</v>
      </c>
      <c r="BO57" s="100">
        <v>9878.4</v>
      </c>
      <c r="BP57" s="100">
        <v>8</v>
      </c>
      <c r="BQ57" s="100">
        <v>11289.6</v>
      </c>
      <c r="BR57" s="100">
        <v>2.4784304924878748</v>
      </c>
      <c r="BS57" s="100">
        <v>3497.561110998889</v>
      </c>
      <c r="BT57" s="100">
        <v>7</v>
      </c>
      <c r="BU57" s="100">
        <v>9878.4</v>
      </c>
      <c r="BV57" s="100">
        <v>6</v>
      </c>
      <c r="BW57" s="100">
        <v>8467.2000000000007</v>
      </c>
      <c r="BX57" s="100">
        <v>6</v>
      </c>
      <c r="BY57" s="100">
        <v>8467.2000000000007</v>
      </c>
      <c r="BZ57" s="100">
        <v>6</v>
      </c>
      <c r="CA57" s="100">
        <v>8467.2000000000007</v>
      </c>
      <c r="CB57" s="100">
        <v>7</v>
      </c>
      <c r="CC57" s="100">
        <v>9878.4</v>
      </c>
      <c r="CD57" s="100">
        <v>0.40342316820890095</v>
      </c>
      <c r="CE57" s="100">
        <v>569.31077497640104</v>
      </c>
      <c r="CF57" s="100">
        <v>6</v>
      </c>
      <c r="CG57" s="100">
        <v>8467.2000000000007</v>
      </c>
      <c r="CH57" s="100">
        <v>8</v>
      </c>
      <c r="CI57" s="100">
        <v>11289.6</v>
      </c>
      <c r="CJ57" s="100">
        <v>7</v>
      </c>
      <c r="CK57" s="100">
        <v>9878.4</v>
      </c>
      <c r="CL57" s="100">
        <v>8.4184505042218714</v>
      </c>
      <c r="CM57" s="100">
        <v>11880.117351557905</v>
      </c>
      <c r="CN57" s="100">
        <v>8</v>
      </c>
      <c r="CO57" s="100">
        <v>11289.6</v>
      </c>
      <c r="CP57" s="100">
        <v>9</v>
      </c>
      <c r="CQ57" s="100">
        <v>12700.800000000001</v>
      </c>
      <c r="CR57" s="100">
        <v>8</v>
      </c>
      <c r="CS57" s="100">
        <v>11289.6</v>
      </c>
      <c r="CT57" s="100">
        <v>6.9274359888793837</v>
      </c>
      <c r="CU57" s="100">
        <v>9775.9976675065864</v>
      </c>
    </row>
    <row r="58" spans="2:99">
      <c r="C58" s="99" t="s">
        <v>224</v>
      </c>
      <c r="D58" s="100">
        <v>11</v>
      </c>
      <c r="E58" s="100">
        <v>12949.2</v>
      </c>
      <c r="F58" s="100">
        <v>0.78958654749115065</v>
      </c>
      <c r="G58" s="100">
        <v>929.50128370658263</v>
      </c>
      <c r="H58" s="100">
        <v>10</v>
      </c>
      <c r="I58" s="100">
        <v>11772</v>
      </c>
      <c r="J58" s="100">
        <v>6</v>
      </c>
      <c r="K58" s="100">
        <v>7063.2000000000007</v>
      </c>
      <c r="L58" s="100">
        <v>7</v>
      </c>
      <c r="M58" s="100">
        <v>8240.4</v>
      </c>
      <c r="N58" s="100">
        <v>2.7216887558684379</v>
      </c>
      <c r="O58" s="100">
        <v>3203.9720034083252</v>
      </c>
      <c r="P58" s="100">
        <v>9</v>
      </c>
      <c r="Q58" s="100">
        <v>10594.800000000001</v>
      </c>
      <c r="R58" s="100">
        <v>10</v>
      </c>
      <c r="S58" s="100">
        <v>11772</v>
      </c>
      <c r="T58" s="100">
        <v>7</v>
      </c>
      <c r="U58" s="100">
        <v>8240.4</v>
      </c>
      <c r="V58" s="100">
        <v>8</v>
      </c>
      <c r="W58" s="100">
        <v>9417.6</v>
      </c>
      <c r="X58" s="100">
        <v>7</v>
      </c>
      <c r="Y58" s="100">
        <v>8240.4</v>
      </c>
      <c r="Z58" s="100">
        <v>10</v>
      </c>
      <c r="AA58" s="100">
        <v>11772</v>
      </c>
      <c r="AB58" s="100">
        <v>9</v>
      </c>
      <c r="AC58" s="100">
        <v>10594.800000000001</v>
      </c>
      <c r="AD58" s="100">
        <v>10</v>
      </c>
      <c r="AE58" s="100">
        <v>11772</v>
      </c>
      <c r="AF58" s="100">
        <v>9</v>
      </c>
      <c r="AG58" s="100">
        <v>10594.800000000001</v>
      </c>
      <c r="AH58" s="100">
        <v>11</v>
      </c>
      <c r="AI58" s="100">
        <v>12949.2</v>
      </c>
      <c r="AJ58" s="100">
        <v>11</v>
      </c>
      <c r="AK58" s="100">
        <v>12949.2</v>
      </c>
      <c r="AL58" s="100">
        <v>10</v>
      </c>
      <c r="AM58" s="100">
        <v>11772</v>
      </c>
      <c r="AN58" s="100">
        <v>7.8796915950834485</v>
      </c>
      <c r="AO58" s="100">
        <v>9275.9729457322355</v>
      </c>
      <c r="AP58" s="100">
        <v>2.1452067319722725</v>
      </c>
      <c r="AQ58" s="100">
        <v>2525.3373648777592</v>
      </c>
      <c r="AR58" s="100">
        <v>1.9802834310293984</v>
      </c>
      <c r="AS58" s="100">
        <v>2331.1896550078077</v>
      </c>
      <c r="AT58" s="100">
        <v>7</v>
      </c>
      <c r="AU58" s="100">
        <v>8240.4</v>
      </c>
      <c r="AV58" s="100">
        <v>10</v>
      </c>
      <c r="AW58" s="100">
        <v>11772</v>
      </c>
      <c r="AX58" s="100">
        <v>4.1119057374003392</v>
      </c>
      <c r="AY58" s="100">
        <v>4840.5354340676795</v>
      </c>
      <c r="AZ58" s="100">
        <v>4.1894495424196281</v>
      </c>
      <c r="BA58" s="100">
        <v>4931.8200013363867</v>
      </c>
      <c r="BB58" s="100">
        <v>7</v>
      </c>
      <c r="BC58" s="100">
        <v>8240.4</v>
      </c>
      <c r="BD58" s="100">
        <v>9</v>
      </c>
      <c r="BE58" s="100">
        <v>10594.800000000001</v>
      </c>
      <c r="BF58" s="100">
        <v>8.104678355265035</v>
      </c>
      <c r="BG58" s="100">
        <v>9540.8273598180003</v>
      </c>
      <c r="BH58" s="100">
        <v>8</v>
      </c>
      <c r="BI58" s="100">
        <v>9417.6</v>
      </c>
      <c r="BJ58" s="100">
        <v>8</v>
      </c>
      <c r="BK58" s="100">
        <v>9417.6</v>
      </c>
      <c r="BL58" s="100">
        <v>4.8830385079686938</v>
      </c>
      <c r="BM58" s="100">
        <v>5748.3129315807464</v>
      </c>
      <c r="BN58" s="100">
        <v>8</v>
      </c>
      <c r="BO58" s="100">
        <v>9417.6</v>
      </c>
      <c r="BP58" s="100">
        <v>0.94390697418796565</v>
      </c>
      <c r="BQ58" s="100">
        <v>1111.1672900140732</v>
      </c>
      <c r="BR58" s="100">
        <v>12</v>
      </c>
      <c r="BS58" s="100">
        <v>14126.400000000001</v>
      </c>
      <c r="BT58" s="100">
        <v>8</v>
      </c>
      <c r="BU58" s="100">
        <v>9417.6</v>
      </c>
      <c r="BV58" s="100">
        <v>5.9361564342671977</v>
      </c>
      <c r="BW58" s="100">
        <v>6988.0433544193456</v>
      </c>
      <c r="BX58" s="100">
        <v>6</v>
      </c>
      <c r="BY58" s="100">
        <v>7063.2000000000007</v>
      </c>
      <c r="BZ58" s="100">
        <v>7</v>
      </c>
      <c r="CA58" s="100">
        <v>8240.4</v>
      </c>
      <c r="CB58" s="100">
        <v>8</v>
      </c>
      <c r="CC58" s="100">
        <v>9417.6</v>
      </c>
      <c r="CD58" s="100">
        <v>2.8331061772963992</v>
      </c>
      <c r="CE58" s="100">
        <v>3335.1325919133214</v>
      </c>
      <c r="CF58" s="100">
        <v>6</v>
      </c>
      <c r="CG58" s="100">
        <v>7063.2000000000007</v>
      </c>
      <c r="CH58" s="100">
        <v>9</v>
      </c>
      <c r="CI58" s="100">
        <v>10594.800000000001</v>
      </c>
      <c r="CJ58" s="100">
        <v>2.3621405759533038</v>
      </c>
      <c r="CK58" s="100">
        <v>2780.7118860122296</v>
      </c>
      <c r="CL58" s="100">
        <v>5.8328339571067236</v>
      </c>
      <c r="CM58" s="100">
        <v>6866.4121343060351</v>
      </c>
      <c r="CN58" s="100">
        <v>9</v>
      </c>
      <c r="CO58" s="100">
        <v>10594.800000000001</v>
      </c>
      <c r="CP58" s="100">
        <v>9</v>
      </c>
      <c r="CQ58" s="100">
        <v>10594.800000000001</v>
      </c>
      <c r="CR58" s="100">
        <v>7.5769614584005147</v>
      </c>
      <c r="CS58" s="100">
        <v>8919.5990288290868</v>
      </c>
      <c r="CT58" s="100">
        <v>7</v>
      </c>
      <c r="CU58" s="100">
        <v>8240.4</v>
      </c>
    </row>
    <row r="59" spans="2:99">
      <c r="C59" s="99" t="s">
        <v>225</v>
      </c>
      <c r="D59" s="100">
        <v>12</v>
      </c>
      <c r="E59" s="100">
        <v>3643.2</v>
      </c>
      <c r="F59" s="100">
        <v>8</v>
      </c>
      <c r="G59" s="100">
        <v>2428.7999999999997</v>
      </c>
      <c r="H59" s="100">
        <v>11</v>
      </c>
      <c r="I59" s="100">
        <v>3339.5999999999995</v>
      </c>
      <c r="J59" s="100">
        <v>4.3988569062346299</v>
      </c>
      <c r="K59" s="100">
        <v>1335.4929567328336</v>
      </c>
      <c r="L59" s="100">
        <v>8</v>
      </c>
      <c r="M59" s="100">
        <v>2428.7999999999997</v>
      </c>
      <c r="N59" s="100">
        <v>7</v>
      </c>
      <c r="O59" s="100">
        <v>2125.1999999999998</v>
      </c>
      <c r="P59" s="100">
        <v>10</v>
      </c>
      <c r="Q59" s="100">
        <v>3035.9999999999995</v>
      </c>
      <c r="R59" s="100">
        <v>9</v>
      </c>
      <c r="S59" s="100">
        <v>2732.3999999999996</v>
      </c>
      <c r="T59" s="100">
        <v>9</v>
      </c>
      <c r="U59" s="100">
        <v>2732.3999999999996</v>
      </c>
      <c r="V59" s="100">
        <v>6.2967400294690039</v>
      </c>
      <c r="W59" s="100">
        <v>1911.6902729467893</v>
      </c>
      <c r="X59" s="100">
        <v>8</v>
      </c>
      <c r="Y59" s="100">
        <v>2428.7999999999997</v>
      </c>
      <c r="Z59" s="100">
        <v>9.9848702908009432</v>
      </c>
      <c r="AA59" s="100">
        <v>3031.4066202871659</v>
      </c>
      <c r="AB59" s="100">
        <v>9</v>
      </c>
      <c r="AC59" s="100">
        <v>2732.3999999999996</v>
      </c>
      <c r="AD59" s="100">
        <v>10</v>
      </c>
      <c r="AE59" s="100">
        <v>3035.9999999999995</v>
      </c>
      <c r="AF59" s="100">
        <v>7.9432482125639785</v>
      </c>
      <c r="AG59" s="100">
        <v>2411.5701573344236</v>
      </c>
      <c r="AH59" s="100">
        <v>11</v>
      </c>
      <c r="AI59" s="100">
        <v>3339.5999999999995</v>
      </c>
      <c r="AJ59" s="100">
        <v>8.4840888729207506</v>
      </c>
      <c r="AK59" s="100">
        <v>2575.7693818187395</v>
      </c>
      <c r="AL59" s="100">
        <v>11</v>
      </c>
      <c r="AM59" s="100">
        <v>3339.5999999999995</v>
      </c>
      <c r="AN59" s="100">
        <v>8</v>
      </c>
      <c r="AO59" s="100">
        <v>2428.7999999999997</v>
      </c>
      <c r="AP59" s="100">
        <v>2.3573451204108871</v>
      </c>
      <c r="AQ59" s="100">
        <v>715.68997855674525</v>
      </c>
      <c r="AR59" s="100">
        <v>7</v>
      </c>
      <c r="AS59" s="100">
        <v>2125.1999999999998</v>
      </c>
      <c r="AT59" s="100">
        <v>7</v>
      </c>
      <c r="AU59" s="100">
        <v>2125.1999999999998</v>
      </c>
      <c r="AV59" s="100">
        <v>10</v>
      </c>
      <c r="AW59" s="100">
        <v>3035.9999999999995</v>
      </c>
      <c r="AX59" s="100">
        <v>5.380406937882376</v>
      </c>
      <c r="AY59" s="100">
        <v>1633.4915463410891</v>
      </c>
      <c r="AZ59" s="100">
        <v>6</v>
      </c>
      <c r="BA59" s="100">
        <v>1821.6</v>
      </c>
      <c r="BB59" s="100">
        <v>3.6299156661042913</v>
      </c>
      <c r="BC59" s="100">
        <v>1102.0423962292627</v>
      </c>
      <c r="BD59" s="100">
        <v>7.2126062741184009</v>
      </c>
      <c r="BE59" s="100">
        <v>2189.7472648223461</v>
      </c>
      <c r="BF59" s="100">
        <v>7.8443304308415414</v>
      </c>
      <c r="BG59" s="100">
        <v>2381.5387188034915</v>
      </c>
      <c r="BH59" s="100">
        <v>8</v>
      </c>
      <c r="BI59" s="100">
        <v>2428.7999999999997</v>
      </c>
      <c r="BJ59" s="100">
        <v>8</v>
      </c>
      <c r="BK59" s="100">
        <v>2428.7999999999997</v>
      </c>
      <c r="BL59" s="100">
        <v>7</v>
      </c>
      <c r="BM59" s="100">
        <v>2125.1999999999998</v>
      </c>
      <c r="BN59" s="100">
        <v>7</v>
      </c>
      <c r="BO59" s="100">
        <v>2125.1999999999998</v>
      </c>
      <c r="BP59" s="100">
        <v>9</v>
      </c>
      <c r="BQ59" s="100">
        <v>2732.3999999999996</v>
      </c>
      <c r="BR59" s="100">
        <v>2.4784304924878748</v>
      </c>
      <c r="BS59" s="100">
        <v>752.45149751931876</v>
      </c>
      <c r="BT59" s="100">
        <v>8</v>
      </c>
      <c r="BU59" s="100">
        <v>2428.7999999999997</v>
      </c>
      <c r="BV59" s="100">
        <v>6</v>
      </c>
      <c r="BW59" s="100">
        <v>1821.6</v>
      </c>
      <c r="BX59" s="100">
        <v>7</v>
      </c>
      <c r="BY59" s="100">
        <v>2125.1999999999998</v>
      </c>
      <c r="BZ59" s="100">
        <v>7</v>
      </c>
      <c r="CA59" s="100">
        <v>2125.1999999999998</v>
      </c>
      <c r="CB59" s="100">
        <v>8</v>
      </c>
      <c r="CC59" s="100">
        <v>2428.7999999999997</v>
      </c>
      <c r="CD59" s="100">
        <v>0.51868693055430126</v>
      </c>
      <c r="CE59" s="100">
        <v>157.47335211628584</v>
      </c>
      <c r="CF59" s="100">
        <v>7</v>
      </c>
      <c r="CG59" s="100">
        <v>2125.1999999999998</v>
      </c>
      <c r="CH59" s="100">
        <v>9</v>
      </c>
      <c r="CI59" s="100">
        <v>2732.3999999999996</v>
      </c>
      <c r="CJ59" s="100">
        <v>8</v>
      </c>
      <c r="CK59" s="100">
        <v>2428.7999999999997</v>
      </c>
      <c r="CL59" s="100">
        <v>7.5766054537996839</v>
      </c>
      <c r="CM59" s="100">
        <v>2300.2574157735839</v>
      </c>
      <c r="CN59" s="100">
        <v>8</v>
      </c>
      <c r="CO59" s="100">
        <v>2428.7999999999997</v>
      </c>
      <c r="CP59" s="100">
        <v>10</v>
      </c>
      <c r="CQ59" s="100">
        <v>3035.9999999999995</v>
      </c>
      <c r="CR59" s="100">
        <v>10</v>
      </c>
      <c r="CS59" s="100">
        <v>3035.9999999999995</v>
      </c>
      <c r="CT59" s="100">
        <v>6.9274359888793837</v>
      </c>
      <c r="CU59" s="100">
        <v>2103.1695662237807</v>
      </c>
    </row>
    <row r="60" spans="2:99">
      <c r="C60" s="99" t="s">
        <v>226</v>
      </c>
      <c r="D60" s="100">
        <v>11</v>
      </c>
      <c r="E60" s="100">
        <v>7167.6</v>
      </c>
      <c r="F60" s="100">
        <v>9</v>
      </c>
      <c r="G60" s="100">
        <v>5864.4000000000005</v>
      </c>
      <c r="H60" s="100">
        <v>10</v>
      </c>
      <c r="I60" s="100">
        <v>6516</v>
      </c>
      <c r="J60" s="100">
        <v>3.7704487767725401</v>
      </c>
      <c r="K60" s="100">
        <v>2456.8244229449874</v>
      </c>
      <c r="L60" s="100">
        <v>8</v>
      </c>
      <c r="M60" s="100">
        <v>5212.8</v>
      </c>
      <c r="N60" s="100">
        <v>7</v>
      </c>
      <c r="O60" s="100">
        <v>4561.2</v>
      </c>
      <c r="P60" s="100">
        <v>9</v>
      </c>
      <c r="Q60" s="100">
        <v>5864.4000000000005</v>
      </c>
      <c r="R60" s="100">
        <v>10</v>
      </c>
      <c r="S60" s="100">
        <v>6516</v>
      </c>
      <c r="T60" s="100">
        <v>7</v>
      </c>
      <c r="U60" s="100">
        <v>4561.2</v>
      </c>
      <c r="V60" s="100">
        <v>5.5096475257853781</v>
      </c>
      <c r="W60" s="100">
        <v>3590.0863278017523</v>
      </c>
      <c r="X60" s="100">
        <v>8</v>
      </c>
      <c r="Y60" s="100">
        <v>5212.8</v>
      </c>
      <c r="Z60" s="100">
        <v>9.0771548098190387</v>
      </c>
      <c r="AA60" s="100">
        <v>5914.6740740780861</v>
      </c>
      <c r="AB60" s="100">
        <v>8</v>
      </c>
      <c r="AC60" s="100">
        <v>5212.8</v>
      </c>
      <c r="AD60" s="100">
        <v>11</v>
      </c>
      <c r="AE60" s="100">
        <v>7167.6</v>
      </c>
      <c r="AF60" s="100">
        <v>7.9432482125639785</v>
      </c>
      <c r="AG60" s="100">
        <v>5175.8205353066887</v>
      </c>
      <c r="AH60" s="100">
        <v>11</v>
      </c>
      <c r="AI60" s="100">
        <v>7167.6</v>
      </c>
      <c r="AJ60" s="100">
        <v>9.2553696795499114</v>
      </c>
      <c r="AK60" s="100">
        <v>6030.7988831947223</v>
      </c>
      <c r="AL60" s="100">
        <v>11</v>
      </c>
      <c r="AM60" s="100">
        <v>7167.6</v>
      </c>
      <c r="AN60" s="100">
        <v>7</v>
      </c>
      <c r="AO60" s="100">
        <v>4561.2</v>
      </c>
      <c r="AP60" s="100">
        <v>2.9466814005136088</v>
      </c>
      <c r="AQ60" s="100">
        <v>1920.0576005746675</v>
      </c>
      <c r="AR60" s="100">
        <v>6</v>
      </c>
      <c r="AS60" s="100">
        <v>3909.6000000000004</v>
      </c>
      <c r="AT60" s="100">
        <v>7</v>
      </c>
      <c r="AU60" s="100">
        <v>4561.2</v>
      </c>
      <c r="AV60" s="100">
        <v>10</v>
      </c>
      <c r="AW60" s="100">
        <v>6516</v>
      </c>
      <c r="AX60" s="100">
        <v>5.380406937882376</v>
      </c>
      <c r="AY60" s="100">
        <v>3505.8731607241562</v>
      </c>
      <c r="AZ60" s="100">
        <v>6</v>
      </c>
      <c r="BA60" s="100">
        <v>3909.6000000000004</v>
      </c>
      <c r="BB60" s="100">
        <v>3.6299156661042913</v>
      </c>
      <c r="BC60" s="100">
        <v>2365.2530480335563</v>
      </c>
      <c r="BD60" s="100">
        <v>7.2126062741184009</v>
      </c>
      <c r="BE60" s="100">
        <v>4699.73424821555</v>
      </c>
      <c r="BF60" s="100">
        <v>7.8443304308415414</v>
      </c>
      <c r="BG60" s="100">
        <v>5111.3657087363481</v>
      </c>
      <c r="BH60" s="100">
        <v>8</v>
      </c>
      <c r="BI60" s="100">
        <v>5212.8</v>
      </c>
      <c r="BJ60" s="100">
        <v>9</v>
      </c>
      <c r="BK60" s="100">
        <v>5864.4000000000005</v>
      </c>
      <c r="BL60" s="100">
        <v>7</v>
      </c>
      <c r="BM60" s="100">
        <v>4561.2</v>
      </c>
      <c r="BN60" s="100">
        <v>7</v>
      </c>
      <c r="BO60" s="100">
        <v>4561.2</v>
      </c>
      <c r="BP60" s="100">
        <v>9</v>
      </c>
      <c r="BQ60" s="100">
        <v>5864.4000000000005</v>
      </c>
      <c r="BR60" s="100">
        <v>2.9741165909854499</v>
      </c>
      <c r="BS60" s="100">
        <v>1937.9343706861191</v>
      </c>
      <c r="BT60" s="100">
        <v>8</v>
      </c>
      <c r="BU60" s="100">
        <v>5212.8</v>
      </c>
      <c r="BV60" s="100">
        <v>7</v>
      </c>
      <c r="BW60" s="100">
        <v>4561.2</v>
      </c>
      <c r="BX60" s="100">
        <v>6</v>
      </c>
      <c r="BY60" s="100">
        <v>3909.6000000000004</v>
      </c>
      <c r="BZ60" s="100">
        <v>7</v>
      </c>
      <c r="CA60" s="100">
        <v>4561.2</v>
      </c>
      <c r="CB60" s="100">
        <v>8</v>
      </c>
      <c r="CC60" s="100">
        <v>5212.8</v>
      </c>
      <c r="CD60" s="100">
        <v>0.40342316820890095</v>
      </c>
      <c r="CE60" s="100">
        <v>262.87053640491985</v>
      </c>
      <c r="CF60" s="100">
        <v>7</v>
      </c>
      <c r="CG60" s="100">
        <v>4561.2</v>
      </c>
      <c r="CH60" s="100">
        <v>8</v>
      </c>
      <c r="CI60" s="100">
        <v>5212.8</v>
      </c>
      <c r="CJ60" s="100">
        <v>7</v>
      </c>
      <c r="CK60" s="100">
        <v>4561.2</v>
      </c>
      <c r="CL60" s="100">
        <v>8.4184505042218714</v>
      </c>
      <c r="CM60" s="100">
        <v>5485.4623485509719</v>
      </c>
      <c r="CN60" s="100">
        <v>8</v>
      </c>
      <c r="CO60" s="100">
        <v>5212.8</v>
      </c>
      <c r="CP60" s="100">
        <v>11</v>
      </c>
      <c r="CQ60" s="100">
        <v>7167.6</v>
      </c>
      <c r="CR60" s="100">
        <v>9</v>
      </c>
      <c r="CS60" s="100">
        <v>5864.4000000000005</v>
      </c>
      <c r="CT60" s="100">
        <v>6.9274359888793837</v>
      </c>
      <c r="CU60" s="100">
        <v>4513.9172903538065</v>
      </c>
    </row>
    <row r="61" spans="2:99">
      <c r="C61" s="99" t="s">
        <v>227</v>
      </c>
      <c r="D61" s="100">
        <v>10</v>
      </c>
      <c r="E61" s="100">
        <v>9516</v>
      </c>
      <c r="F61" s="100">
        <v>8</v>
      </c>
      <c r="G61" s="100">
        <v>7612.7999999999993</v>
      </c>
      <c r="H61" s="100">
        <v>11</v>
      </c>
      <c r="I61" s="100">
        <v>10467.599999999999</v>
      </c>
      <c r="J61" s="100">
        <v>3.7704487767725401</v>
      </c>
      <c r="K61" s="100">
        <v>3587.9590559767489</v>
      </c>
      <c r="L61" s="100">
        <v>7</v>
      </c>
      <c r="M61" s="100">
        <v>6661.1999999999989</v>
      </c>
      <c r="N61" s="100">
        <v>8</v>
      </c>
      <c r="O61" s="100">
        <v>7612.7999999999993</v>
      </c>
      <c r="P61" s="100">
        <v>8</v>
      </c>
      <c r="Q61" s="100">
        <v>7612.7999999999993</v>
      </c>
      <c r="R61" s="100">
        <v>10</v>
      </c>
      <c r="S61" s="100">
        <v>9516</v>
      </c>
      <c r="T61" s="100">
        <v>7</v>
      </c>
      <c r="U61" s="100">
        <v>6661.1999999999989</v>
      </c>
      <c r="V61" s="100">
        <v>6.2967400294690039</v>
      </c>
      <c r="W61" s="100">
        <v>5991.9778120427036</v>
      </c>
      <c r="X61" s="100">
        <v>7</v>
      </c>
      <c r="Y61" s="100">
        <v>6661.1999999999989</v>
      </c>
      <c r="Z61" s="100">
        <v>9.0771548098190387</v>
      </c>
      <c r="AA61" s="100">
        <v>8637.8205170237961</v>
      </c>
      <c r="AB61" s="100">
        <v>9</v>
      </c>
      <c r="AC61" s="100">
        <v>8564.4</v>
      </c>
      <c r="AD61" s="100">
        <v>9</v>
      </c>
      <c r="AE61" s="100">
        <v>8564.4</v>
      </c>
      <c r="AF61" s="100">
        <v>7.9432482125639785</v>
      </c>
      <c r="AG61" s="100">
        <v>7558.7949990758816</v>
      </c>
      <c r="AH61" s="100">
        <v>11</v>
      </c>
      <c r="AI61" s="100">
        <v>10467.599999999999</v>
      </c>
      <c r="AJ61" s="100">
        <v>7.7128080662915917</v>
      </c>
      <c r="AK61" s="100">
        <v>7339.508155883078</v>
      </c>
      <c r="AL61" s="100">
        <v>10</v>
      </c>
      <c r="AM61" s="100">
        <v>9516</v>
      </c>
      <c r="AN61" s="100">
        <v>8</v>
      </c>
      <c r="AO61" s="100">
        <v>7612.7999999999993</v>
      </c>
      <c r="AP61" s="100">
        <v>2.3573451204108871</v>
      </c>
      <c r="AQ61" s="100">
        <v>2243.2496165829998</v>
      </c>
      <c r="AR61" s="100">
        <v>6</v>
      </c>
      <c r="AS61" s="100">
        <v>5709.5999999999995</v>
      </c>
      <c r="AT61" s="100">
        <v>7</v>
      </c>
      <c r="AU61" s="100">
        <v>6661.1999999999989</v>
      </c>
      <c r="AV61" s="100">
        <v>10</v>
      </c>
      <c r="AW61" s="100">
        <v>9516</v>
      </c>
      <c r="AX61" s="100">
        <v>5.380406937882376</v>
      </c>
      <c r="AY61" s="100">
        <v>5119.9952420888685</v>
      </c>
      <c r="AZ61" s="100">
        <v>6</v>
      </c>
      <c r="BA61" s="100">
        <v>5709.5999999999995</v>
      </c>
      <c r="BB61" s="100">
        <v>3.6299156661042913</v>
      </c>
      <c r="BC61" s="100">
        <v>3454.2277478648434</v>
      </c>
      <c r="BD61" s="100">
        <v>7.2126062741184009</v>
      </c>
      <c r="BE61" s="100">
        <v>6863.5161304510693</v>
      </c>
      <c r="BF61" s="100">
        <v>8.715922700935046</v>
      </c>
      <c r="BG61" s="100">
        <v>8294.0720422097893</v>
      </c>
      <c r="BH61" s="100">
        <v>9</v>
      </c>
      <c r="BI61" s="100">
        <v>8564.4</v>
      </c>
      <c r="BJ61" s="100">
        <v>8</v>
      </c>
      <c r="BK61" s="100">
        <v>7612.7999999999993</v>
      </c>
      <c r="BL61" s="100">
        <v>7</v>
      </c>
      <c r="BM61" s="100">
        <v>6661.1999999999989</v>
      </c>
      <c r="BN61" s="100">
        <v>7</v>
      </c>
      <c r="BO61" s="100">
        <v>6661.1999999999989</v>
      </c>
      <c r="BP61" s="100">
        <v>8</v>
      </c>
      <c r="BQ61" s="100">
        <v>7612.7999999999993</v>
      </c>
      <c r="BR61" s="100">
        <v>2.7262735417366626</v>
      </c>
      <c r="BS61" s="100">
        <v>2594.321902316608</v>
      </c>
      <c r="BT61" s="100">
        <v>8</v>
      </c>
      <c r="BU61" s="100">
        <v>7612.7999999999993</v>
      </c>
      <c r="BV61" s="100">
        <v>6</v>
      </c>
      <c r="BW61" s="100">
        <v>5709.5999999999995</v>
      </c>
      <c r="BX61" s="100">
        <v>7</v>
      </c>
      <c r="BY61" s="100">
        <v>6661.1999999999989</v>
      </c>
      <c r="BZ61" s="100">
        <v>7</v>
      </c>
      <c r="CA61" s="100">
        <v>6661.1999999999989</v>
      </c>
      <c r="CB61" s="100">
        <v>8</v>
      </c>
      <c r="CC61" s="100">
        <v>7612.7999999999993</v>
      </c>
      <c r="CD61" s="100">
        <v>0.46105504938160108</v>
      </c>
      <c r="CE61" s="100">
        <v>438.73998499153157</v>
      </c>
      <c r="CF61" s="100">
        <v>6</v>
      </c>
      <c r="CG61" s="100">
        <v>5709.5999999999995</v>
      </c>
      <c r="CH61" s="100">
        <v>9</v>
      </c>
      <c r="CI61" s="100">
        <v>8564.4</v>
      </c>
      <c r="CJ61" s="100">
        <v>8</v>
      </c>
      <c r="CK61" s="100">
        <v>7612.7999999999993</v>
      </c>
      <c r="CL61" s="100">
        <v>7.5766054537996839</v>
      </c>
      <c r="CM61" s="100">
        <v>7209.8977498357781</v>
      </c>
      <c r="CN61" s="100">
        <v>8</v>
      </c>
      <c r="CO61" s="100">
        <v>7612.7999999999993</v>
      </c>
      <c r="CP61" s="100">
        <v>9</v>
      </c>
      <c r="CQ61" s="100">
        <v>8564.4</v>
      </c>
      <c r="CR61" s="100">
        <v>8</v>
      </c>
      <c r="CS61" s="100">
        <v>7612.7999999999993</v>
      </c>
      <c r="CT61" s="100">
        <v>6.9274359888793837</v>
      </c>
      <c r="CU61" s="100">
        <v>6592.148087017621</v>
      </c>
    </row>
    <row r="62" spans="2:99">
      <c r="C62" s="99" t="s">
        <v>228</v>
      </c>
      <c r="D62" s="100">
        <v>11</v>
      </c>
      <c r="E62" s="100">
        <v>18361.2</v>
      </c>
      <c r="F62" s="100">
        <v>8</v>
      </c>
      <c r="G62" s="100">
        <v>13353.6</v>
      </c>
      <c r="H62" s="100">
        <v>9.8696998148860384</v>
      </c>
      <c r="I62" s="100">
        <v>16474.502931007777</v>
      </c>
      <c r="J62" s="100">
        <v>0.40731025411881128</v>
      </c>
      <c r="K62" s="100">
        <v>679.88227617511984</v>
      </c>
      <c r="L62" s="100">
        <v>7</v>
      </c>
      <c r="M62" s="100">
        <v>11684.4</v>
      </c>
      <c r="N62" s="100">
        <v>7</v>
      </c>
      <c r="O62" s="100">
        <v>11684.4</v>
      </c>
      <c r="P62" s="100">
        <v>8</v>
      </c>
      <c r="Q62" s="100">
        <v>13353.6</v>
      </c>
      <c r="R62" s="100">
        <v>4.9868935827998602</v>
      </c>
      <c r="S62" s="100">
        <v>8324.1227684095265</v>
      </c>
      <c r="T62" s="100">
        <v>8</v>
      </c>
      <c r="U62" s="100">
        <v>13353.6</v>
      </c>
      <c r="V62" s="100">
        <v>7</v>
      </c>
      <c r="W62" s="100">
        <v>11684.4</v>
      </c>
      <c r="X62" s="100">
        <v>8</v>
      </c>
      <c r="Y62" s="100">
        <v>13353.6</v>
      </c>
      <c r="Z62" s="100">
        <v>2.3273138892922915</v>
      </c>
      <c r="AA62" s="100">
        <v>3884.752344006693</v>
      </c>
      <c r="AB62" s="100">
        <v>9</v>
      </c>
      <c r="AC62" s="100">
        <v>15022.800000000001</v>
      </c>
      <c r="AD62" s="100">
        <v>7.4414780764879875</v>
      </c>
      <c r="AE62" s="100">
        <v>12421.31520527375</v>
      </c>
      <c r="AF62" s="100">
        <v>9</v>
      </c>
      <c r="AG62" s="100">
        <v>15022.800000000001</v>
      </c>
      <c r="AH62" s="100">
        <v>4.9880393761536927</v>
      </c>
      <c r="AI62" s="100">
        <v>8326.0353266757447</v>
      </c>
      <c r="AJ62" s="100">
        <v>11</v>
      </c>
      <c r="AK62" s="100">
        <v>18361.2</v>
      </c>
      <c r="AL62" s="100">
        <v>3.310097788123489</v>
      </c>
      <c r="AM62" s="100">
        <v>5525.2152279357279</v>
      </c>
      <c r="AN62" s="100">
        <v>7</v>
      </c>
      <c r="AO62" s="100">
        <v>11684.4</v>
      </c>
      <c r="AP62" s="100">
        <v>9</v>
      </c>
      <c r="AQ62" s="100">
        <v>15022.800000000001</v>
      </c>
      <c r="AR62" s="100">
        <v>1.7529182131083891</v>
      </c>
      <c r="AS62" s="100">
        <v>2925.9710813205234</v>
      </c>
      <c r="AT62" s="100">
        <v>4.3749661548120411</v>
      </c>
      <c r="AU62" s="100">
        <v>7302.6935056122593</v>
      </c>
      <c r="AV62" s="100">
        <v>0</v>
      </c>
      <c r="AW62" s="100">
        <v>0</v>
      </c>
      <c r="AX62" s="100">
        <v>0</v>
      </c>
      <c r="AY62" s="100">
        <v>0</v>
      </c>
      <c r="AZ62" s="100">
        <v>5</v>
      </c>
      <c r="BA62" s="100">
        <v>8346</v>
      </c>
      <c r="BB62" s="100">
        <v>0.77665807671564169</v>
      </c>
      <c r="BC62" s="100">
        <v>1296.3976616537491</v>
      </c>
      <c r="BD62" s="100">
        <v>8</v>
      </c>
      <c r="BE62" s="100">
        <v>13353.6</v>
      </c>
      <c r="BF62" s="100">
        <v>4.6242647112140016</v>
      </c>
      <c r="BG62" s="100">
        <v>7718.8226559584118</v>
      </c>
      <c r="BH62" s="100">
        <v>7</v>
      </c>
      <c r="BI62" s="100">
        <v>11684.4</v>
      </c>
      <c r="BJ62" s="100">
        <v>8</v>
      </c>
      <c r="BK62" s="100">
        <v>13353.6</v>
      </c>
      <c r="BL62" s="100">
        <v>3.5140124723854922</v>
      </c>
      <c r="BM62" s="100">
        <v>5865.589618905864</v>
      </c>
      <c r="BN62" s="100">
        <v>5.5826391037966161</v>
      </c>
      <c r="BO62" s="100">
        <v>9318.5411920573115</v>
      </c>
      <c r="BP62" s="100">
        <v>6.7307171612492969</v>
      </c>
      <c r="BQ62" s="100">
        <v>11234.913085557326</v>
      </c>
      <c r="BR62" s="100">
        <v>8.1884393271883127</v>
      </c>
      <c r="BS62" s="100">
        <v>13668.142924942731</v>
      </c>
      <c r="BT62" s="100">
        <v>0.47564571855391052</v>
      </c>
      <c r="BU62" s="100">
        <v>793.94783341018751</v>
      </c>
      <c r="BV62" s="100">
        <v>6</v>
      </c>
      <c r="BW62" s="100">
        <v>10015.200000000001</v>
      </c>
      <c r="BX62" s="100">
        <v>4.8327067100785994</v>
      </c>
      <c r="BY62" s="100">
        <v>8066.7540404631982</v>
      </c>
      <c r="BZ62" s="100">
        <v>5.6865067175031907</v>
      </c>
      <c r="CA62" s="100">
        <v>9491.9170128563255</v>
      </c>
      <c r="CB62" s="100">
        <v>7.2058266079257169</v>
      </c>
      <c r="CC62" s="100">
        <v>12027.965773949607</v>
      </c>
      <c r="CD62" s="100">
        <v>3.5481248803238676</v>
      </c>
      <c r="CE62" s="100">
        <v>5922.5300502365999</v>
      </c>
      <c r="CF62" s="100">
        <v>4.9931678940789617</v>
      </c>
      <c r="CG62" s="100">
        <v>8334.5958487966036</v>
      </c>
      <c r="CH62" s="100">
        <v>6.4135629494626807</v>
      </c>
      <c r="CI62" s="100">
        <v>10705.519275243107</v>
      </c>
      <c r="CJ62" s="100">
        <v>5.594165423789156</v>
      </c>
      <c r="CK62" s="100">
        <v>9337.780925388859</v>
      </c>
      <c r="CL62" s="100">
        <v>8.8328479977460734</v>
      </c>
      <c r="CM62" s="100">
        <v>14743.789877837746</v>
      </c>
      <c r="CN62" s="100">
        <v>4.8804403320612426</v>
      </c>
      <c r="CO62" s="100">
        <v>8146.4310022766267</v>
      </c>
      <c r="CP62" s="100">
        <v>4.1379309795400072</v>
      </c>
      <c r="CQ62" s="100">
        <v>6907.0343910481806</v>
      </c>
      <c r="CR62" s="100">
        <v>4.0504538992550509</v>
      </c>
      <c r="CS62" s="100">
        <v>6761.0176486365308</v>
      </c>
      <c r="CT62" s="100">
        <v>5.8037221056836632</v>
      </c>
      <c r="CU62" s="100">
        <v>9687.5729388071704</v>
      </c>
    </row>
    <row r="63" spans="2:99">
      <c r="C63" s="99" t="s">
        <v>229</v>
      </c>
      <c r="D63" s="100">
        <v>11</v>
      </c>
      <c r="E63" s="100">
        <v>8751.6</v>
      </c>
      <c r="F63" s="100">
        <v>8</v>
      </c>
      <c r="G63" s="100">
        <v>6364.8</v>
      </c>
      <c r="H63" s="100">
        <v>10</v>
      </c>
      <c r="I63" s="100">
        <v>7956</v>
      </c>
      <c r="J63" s="100">
        <v>3.7704487767725401</v>
      </c>
      <c r="K63" s="100">
        <v>2999.7690468002329</v>
      </c>
      <c r="L63" s="100">
        <v>8</v>
      </c>
      <c r="M63" s="100">
        <v>6364.8</v>
      </c>
      <c r="N63" s="100">
        <v>7</v>
      </c>
      <c r="O63" s="100">
        <v>5569.2</v>
      </c>
      <c r="P63" s="100">
        <v>8</v>
      </c>
      <c r="Q63" s="100">
        <v>6364.8</v>
      </c>
      <c r="R63" s="100">
        <v>10</v>
      </c>
      <c r="S63" s="100">
        <v>7956</v>
      </c>
      <c r="T63" s="100">
        <v>7</v>
      </c>
      <c r="U63" s="100">
        <v>5569.2</v>
      </c>
      <c r="V63" s="100">
        <v>6.2967400294690039</v>
      </c>
      <c r="W63" s="100">
        <v>5009.6863674455399</v>
      </c>
      <c r="X63" s="100">
        <v>8</v>
      </c>
      <c r="Y63" s="100">
        <v>6364.8</v>
      </c>
      <c r="Z63" s="100">
        <v>9.0771548098190387</v>
      </c>
      <c r="AA63" s="100">
        <v>7221.7843666920271</v>
      </c>
      <c r="AB63" s="100">
        <v>9</v>
      </c>
      <c r="AC63" s="100">
        <v>7160.4000000000005</v>
      </c>
      <c r="AD63" s="100">
        <v>11</v>
      </c>
      <c r="AE63" s="100">
        <v>8751.6</v>
      </c>
      <c r="AF63" s="100">
        <v>7.9432482125639785</v>
      </c>
      <c r="AG63" s="100">
        <v>6319.6482779159014</v>
      </c>
      <c r="AH63" s="100">
        <v>10</v>
      </c>
      <c r="AI63" s="100">
        <v>7956</v>
      </c>
      <c r="AJ63" s="100">
        <v>8.4840888729207506</v>
      </c>
      <c r="AK63" s="100">
        <v>6749.9411072957491</v>
      </c>
      <c r="AL63" s="100">
        <v>10</v>
      </c>
      <c r="AM63" s="100">
        <v>7956</v>
      </c>
      <c r="AN63" s="100">
        <v>7</v>
      </c>
      <c r="AO63" s="100">
        <v>5569.2</v>
      </c>
      <c r="AP63" s="100">
        <v>2.3573451204108871</v>
      </c>
      <c r="AQ63" s="100">
        <v>1875.5037777989019</v>
      </c>
      <c r="AR63" s="100">
        <v>6</v>
      </c>
      <c r="AS63" s="100">
        <v>4773.6000000000004</v>
      </c>
      <c r="AT63" s="100">
        <v>6</v>
      </c>
      <c r="AU63" s="100">
        <v>4773.6000000000004</v>
      </c>
      <c r="AV63" s="100">
        <v>9</v>
      </c>
      <c r="AW63" s="100">
        <v>7160.4000000000005</v>
      </c>
      <c r="AX63" s="100">
        <v>4.9320396930588446</v>
      </c>
      <c r="AY63" s="100">
        <v>3923.9307797976167</v>
      </c>
      <c r="AZ63" s="100">
        <v>6</v>
      </c>
      <c r="BA63" s="100">
        <v>4773.6000000000004</v>
      </c>
      <c r="BB63" s="100">
        <v>3.6299156661042913</v>
      </c>
      <c r="BC63" s="100">
        <v>2887.9609039525744</v>
      </c>
      <c r="BD63" s="100">
        <v>8.1141820583832001</v>
      </c>
      <c r="BE63" s="100">
        <v>6455.6432456496741</v>
      </c>
      <c r="BF63" s="100">
        <v>7.8443304308415414</v>
      </c>
      <c r="BG63" s="100">
        <v>6240.9492907775302</v>
      </c>
      <c r="BH63" s="100">
        <v>9</v>
      </c>
      <c r="BI63" s="100">
        <v>7160.4000000000005</v>
      </c>
      <c r="BJ63" s="100">
        <v>8</v>
      </c>
      <c r="BK63" s="100">
        <v>6364.8</v>
      </c>
      <c r="BL63" s="100">
        <v>7</v>
      </c>
      <c r="BM63" s="100">
        <v>5569.2</v>
      </c>
      <c r="BN63" s="100">
        <v>7</v>
      </c>
      <c r="BO63" s="100">
        <v>5569.2</v>
      </c>
      <c r="BP63" s="100">
        <v>9</v>
      </c>
      <c r="BQ63" s="100">
        <v>7160.4000000000005</v>
      </c>
      <c r="BR63" s="100">
        <v>2.9741165909854499</v>
      </c>
      <c r="BS63" s="100">
        <v>2366.207159788024</v>
      </c>
      <c r="BT63" s="100">
        <v>8</v>
      </c>
      <c r="BU63" s="100">
        <v>6364.8</v>
      </c>
      <c r="BV63" s="100">
        <v>6</v>
      </c>
      <c r="BW63" s="100">
        <v>4773.6000000000004</v>
      </c>
      <c r="BX63" s="100">
        <v>7</v>
      </c>
      <c r="BY63" s="100">
        <v>5569.2</v>
      </c>
      <c r="BZ63" s="100">
        <v>7</v>
      </c>
      <c r="CA63" s="100">
        <v>5569.2</v>
      </c>
      <c r="CB63" s="100">
        <v>9</v>
      </c>
      <c r="CC63" s="100">
        <v>7160.4000000000005</v>
      </c>
      <c r="CD63" s="100">
        <v>0.46105504938160108</v>
      </c>
      <c r="CE63" s="100">
        <v>366.8153972880018</v>
      </c>
      <c r="CF63" s="100">
        <v>7</v>
      </c>
      <c r="CG63" s="100">
        <v>5569.2</v>
      </c>
      <c r="CH63" s="100">
        <v>8</v>
      </c>
      <c r="CI63" s="100">
        <v>6364.8</v>
      </c>
      <c r="CJ63" s="100">
        <v>7</v>
      </c>
      <c r="CK63" s="100">
        <v>5569.2</v>
      </c>
      <c r="CL63" s="100">
        <v>8.4184505042218714</v>
      </c>
      <c r="CM63" s="100">
        <v>6697.7192211589208</v>
      </c>
      <c r="CN63" s="100">
        <v>8</v>
      </c>
      <c r="CO63" s="100">
        <v>6364.8</v>
      </c>
      <c r="CP63" s="100">
        <v>9</v>
      </c>
      <c r="CQ63" s="100">
        <v>7160.4000000000005</v>
      </c>
      <c r="CR63" s="100">
        <v>9</v>
      </c>
      <c r="CS63" s="100">
        <v>7160.4000000000005</v>
      </c>
      <c r="CT63" s="100">
        <v>6.0615064902694593</v>
      </c>
      <c r="CU63" s="100">
        <v>4822.5345636583816</v>
      </c>
    </row>
    <row r="64" spans="2:99">
      <c r="C64" s="99" t="s">
        <v>230</v>
      </c>
      <c r="D64" s="100">
        <v>11</v>
      </c>
      <c r="E64" s="100">
        <v>11101.199999999997</v>
      </c>
      <c r="F64" s="100">
        <v>8</v>
      </c>
      <c r="G64" s="100">
        <v>8073.5999999999985</v>
      </c>
      <c r="H64" s="100">
        <v>10</v>
      </c>
      <c r="I64" s="100">
        <v>10091.999999999998</v>
      </c>
      <c r="J64" s="100">
        <v>3.7704487767725401</v>
      </c>
      <c r="K64" s="100">
        <v>3805.1369055188466</v>
      </c>
      <c r="L64" s="100">
        <v>7</v>
      </c>
      <c r="M64" s="100">
        <v>7064.3999999999987</v>
      </c>
      <c r="N64" s="100">
        <v>7</v>
      </c>
      <c r="O64" s="100">
        <v>7064.3999999999987</v>
      </c>
      <c r="P64" s="100">
        <v>10</v>
      </c>
      <c r="Q64" s="100">
        <v>10091.999999999998</v>
      </c>
      <c r="R64" s="100">
        <v>9</v>
      </c>
      <c r="S64" s="100">
        <v>9082.7999999999993</v>
      </c>
      <c r="T64" s="100">
        <v>7</v>
      </c>
      <c r="U64" s="100">
        <v>7064.3999999999987</v>
      </c>
      <c r="V64" s="100">
        <v>6.2967400294690039</v>
      </c>
      <c r="W64" s="100">
        <v>6354.6700377401176</v>
      </c>
      <c r="X64" s="100">
        <v>7</v>
      </c>
      <c r="Y64" s="100">
        <v>7064.3999999999987</v>
      </c>
      <c r="Z64" s="100">
        <v>9.0771548098190387</v>
      </c>
      <c r="AA64" s="100">
        <v>9160.6646340693715</v>
      </c>
      <c r="AB64" s="100">
        <v>9</v>
      </c>
      <c r="AC64" s="100">
        <v>9082.7999999999993</v>
      </c>
      <c r="AD64" s="100">
        <v>9</v>
      </c>
      <c r="AE64" s="100">
        <v>9082.7999999999993</v>
      </c>
      <c r="AF64" s="100">
        <v>7.9432482125639785</v>
      </c>
      <c r="AG64" s="100">
        <v>8016.3260961195656</v>
      </c>
      <c r="AH64" s="100">
        <v>10</v>
      </c>
      <c r="AI64" s="100">
        <v>10091.999999999998</v>
      </c>
      <c r="AJ64" s="100">
        <v>8.4840888729207506</v>
      </c>
      <c r="AK64" s="100">
        <v>8562.1424905516196</v>
      </c>
      <c r="AL64" s="100">
        <v>9</v>
      </c>
      <c r="AM64" s="100">
        <v>9082.7999999999993</v>
      </c>
      <c r="AN64" s="100">
        <v>7</v>
      </c>
      <c r="AO64" s="100">
        <v>7064.3999999999987</v>
      </c>
      <c r="AP64" s="100">
        <v>2.3573451204108871</v>
      </c>
      <c r="AQ64" s="100">
        <v>2379.032695518667</v>
      </c>
      <c r="AR64" s="100">
        <v>7</v>
      </c>
      <c r="AS64" s="100">
        <v>7064.3999999999987</v>
      </c>
      <c r="AT64" s="100">
        <v>7</v>
      </c>
      <c r="AU64" s="100">
        <v>7064.3999999999987</v>
      </c>
      <c r="AV64" s="100">
        <v>10</v>
      </c>
      <c r="AW64" s="100">
        <v>10091.999999999998</v>
      </c>
      <c r="AX64" s="100">
        <v>4.9320396930588446</v>
      </c>
      <c r="AY64" s="100">
        <v>4977.4144582349854</v>
      </c>
      <c r="AZ64" s="100">
        <v>6</v>
      </c>
      <c r="BA64" s="100">
        <v>6055.1999999999989</v>
      </c>
      <c r="BB64" s="100">
        <v>3.1761762078412548</v>
      </c>
      <c r="BC64" s="100">
        <v>3205.3970289533936</v>
      </c>
      <c r="BD64" s="100">
        <v>7.2126062741184009</v>
      </c>
      <c r="BE64" s="100">
        <v>7278.9622518402894</v>
      </c>
      <c r="BF64" s="100">
        <v>7.8443304308415414</v>
      </c>
      <c r="BG64" s="100">
        <v>7916.4982708052821</v>
      </c>
      <c r="BH64" s="100">
        <v>8</v>
      </c>
      <c r="BI64" s="100">
        <v>8073.5999999999985</v>
      </c>
      <c r="BJ64" s="100">
        <v>8</v>
      </c>
      <c r="BK64" s="100">
        <v>8073.5999999999985</v>
      </c>
      <c r="BL64" s="100">
        <v>8</v>
      </c>
      <c r="BM64" s="100">
        <v>8073.5999999999985</v>
      </c>
      <c r="BN64" s="100">
        <v>8</v>
      </c>
      <c r="BO64" s="100">
        <v>8073.5999999999985</v>
      </c>
      <c r="BP64" s="100">
        <v>8</v>
      </c>
      <c r="BQ64" s="100">
        <v>8073.5999999999985</v>
      </c>
      <c r="BR64" s="100">
        <v>2.4784304924878748</v>
      </c>
      <c r="BS64" s="100">
        <v>2501.2320530187631</v>
      </c>
      <c r="BT64" s="100">
        <v>8</v>
      </c>
      <c r="BU64" s="100">
        <v>8073.5999999999985</v>
      </c>
      <c r="BV64" s="100">
        <v>6</v>
      </c>
      <c r="BW64" s="100">
        <v>6055.1999999999989</v>
      </c>
      <c r="BX64" s="100">
        <v>6</v>
      </c>
      <c r="BY64" s="100">
        <v>6055.1999999999989</v>
      </c>
      <c r="BZ64" s="100">
        <v>7</v>
      </c>
      <c r="CA64" s="100">
        <v>7064.3999999999987</v>
      </c>
      <c r="CB64" s="100">
        <v>9</v>
      </c>
      <c r="CC64" s="100">
        <v>9082.7999999999993</v>
      </c>
      <c r="CD64" s="100">
        <v>0.46105504938160108</v>
      </c>
      <c r="CE64" s="100">
        <v>465.29675583591171</v>
      </c>
      <c r="CF64" s="100">
        <v>6</v>
      </c>
      <c r="CG64" s="100">
        <v>6055.1999999999989</v>
      </c>
      <c r="CH64" s="100">
        <v>9</v>
      </c>
      <c r="CI64" s="100">
        <v>9082.7999999999993</v>
      </c>
      <c r="CJ64" s="100">
        <v>7</v>
      </c>
      <c r="CK64" s="100">
        <v>7064.3999999999987</v>
      </c>
      <c r="CL64" s="100">
        <v>7.5766054537996839</v>
      </c>
      <c r="CM64" s="100">
        <v>7646.3102239746395</v>
      </c>
      <c r="CN64" s="100">
        <v>9</v>
      </c>
      <c r="CO64" s="100">
        <v>9082.7999999999993</v>
      </c>
      <c r="CP64" s="100">
        <v>9</v>
      </c>
      <c r="CQ64" s="100">
        <v>9082.7999999999993</v>
      </c>
      <c r="CR64" s="100">
        <v>8</v>
      </c>
      <c r="CS64" s="100">
        <v>8073.5999999999985</v>
      </c>
      <c r="CT64" s="100">
        <v>6.9274359888793837</v>
      </c>
      <c r="CU64" s="100">
        <v>6991.168399977073</v>
      </c>
    </row>
    <row r="65" spans="2:99">
      <c r="C65" s="99" t="s">
        <v>231</v>
      </c>
      <c r="D65" s="100">
        <v>10</v>
      </c>
      <c r="E65" s="100">
        <v>10260</v>
      </c>
      <c r="F65" s="100">
        <v>8</v>
      </c>
      <c r="G65" s="100">
        <v>8208</v>
      </c>
      <c r="H65" s="100">
        <v>10</v>
      </c>
      <c r="I65" s="100">
        <v>10260</v>
      </c>
      <c r="J65" s="100">
        <v>3.7704487767725401</v>
      </c>
      <c r="K65" s="100">
        <v>3868.4804449686262</v>
      </c>
      <c r="L65" s="100">
        <v>7</v>
      </c>
      <c r="M65" s="100">
        <v>7182</v>
      </c>
      <c r="N65" s="100">
        <v>8</v>
      </c>
      <c r="O65" s="100">
        <v>8208</v>
      </c>
      <c r="P65" s="100">
        <v>8</v>
      </c>
      <c r="Q65" s="100">
        <v>8208</v>
      </c>
      <c r="R65" s="100">
        <v>9</v>
      </c>
      <c r="S65" s="100">
        <v>9234</v>
      </c>
      <c r="T65" s="100">
        <v>8</v>
      </c>
      <c r="U65" s="100">
        <v>8208</v>
      </c>
      <c r="V65" s="100">
        <v>5.5096475257853781</v>
      </c>
      <c r="W65" s="100">
        <v>5652.8983614557983</v>
      </c>
      <c r="X65" s="100">
        <v>8</v>
      </c>
      <c r="Y65" s="100">
        <v>8208</v>
      </c>
      <c r="Z65" s="100">
        <v>9.0771548098190387</v>
      </c>
      <c r="AA65" s="100">
        <v>9313.1608348743339</v>
      </c>
      <c r="AB65" s="100">
        <v>10</v>
      </c>
      <c r="AC65" s="100">
        <v>10260</v>
      </c>
      <c r="AD65" s="100">
        <v>10</v>
      </c>
      <c r="AE65" s="100">
        <v>10260</v>
      </c>
      <c r="AF65" s="100">
        <v>8.8258313472933079</v>
      </c>
      <c r="AG65" s="100">
        <v>9055.302962322934</v>
      </c>
      <c r="AH65" s="100">
        <v>9</v>
      </c>
      <c r="AI65" s="100">
        <v>9234</v>
      </c>
      <c r="AJ65" s="100">
        <v>8.4840888729207506</v>
      </c>
      <c r="AK65" s="100">
        <v>8704.6751836166895</v>
      </c>
      <c r="AL65" s="100">
        <v>9</v>
      </c>
      <c r="AM65" s="100">
        <v>9234</v>
      </c>
      <c r="AN65" s="100">
        <v>7</v>
      </c>
      <c r="AO65" s="100">
        <v>7182</v>
      </c>
      <c r="AP65" s="100">
        <v>2.3573451204108871</v>
      </c>
      <c r="AQ65" s="100">
        <v>2418.6360935415701</v>
      </c>
      <c r="AR65" s="100">
        <v>7</v>
      </c>
      <c r="AS65" s="100">
        <v>7182</v>
      </c>
      <c r="AT65" s="100">
        <v>7</v>
      </c>
      <c r="AU65" s="100">
        <v>7182</v>
      </c>
      <c r="AV65" s="100">
        <v>10</v>
      </c>
      <c r="AW65" s="100">
        <v>10260</v>
      </c>
      <c r="AX65" s="100">
        <v>5.380406937882376</v>
      </c>
      <c r="AY65" s="100">
        <v>5520.2975182673181</v>
      </c>
      <c r="AZ65" s="100">
        <v>6</v>
      </c>
      <c r="BA65" s="100">
        <v>6156</v>
      </c>
      <c r="BB65" s="100">
        <v>3.6299156661042913</v>
      </c>
      <c r="BC65" s="100">
        <v>3724.293473423003</v>
      </c>
      <c r="BD65" s="100">
        <v>8.1141820583832001</v>
      </c>
      <c r="BE65" s="100">
        <v>8325.1507919011638</v>
      </c>
      <c r="BF65" s="100">
        <v>8.715922700935046</v>
      </c>
      <c r="BG65" s="100">
        <v>8942.5366911593574</v>
      </c>
      <c r="BH65" s="100">
        <v>8</v>
      </c>
      <c r="BI65" s="100">
        <v>8208</v>
      </c>
      <c r="BJ65" s="100">
        <v>8</v>
      </c>
      <c r="BK65" s="100">
        <v>8208</v>
      </c>
      <c r="BL65" s="100">
        <v>7</v>
      </c>
      <c r="BM65" s="100">
        <v>7182</v>
      </c>
      <c r="BN65" s="100">
        <v>7</v>
      </c>
      <c r="BO65" s="100">
        <v>7182</v>
      </c>
      <c r="BP65" s="100">
        <v>7</v>
      </c>
      <c r="BQ65" s="100">
        <v>7182</v>
      </c>
      <c r="BR65" s="100">
        <v>2.4784304924878748</v>
      </c>
      <c r="BS65" s="100">
        <v>2542.8696852925596</v>
      </c>
      <c r="BT65" s="100">
        <v>8</v>
      </c>
      <c r="BU65" s="100">
        <v>8208</v>
      </c>
      <c r="BV65" s="100">
        <v>7</v>
      </c>
      <c r="BW65" s="100">
        <v>7182</v>
      </c>
      <c r="BX65" s="100">
        <v>6</v>
      </c>
      <c r="BY65" s="100">
        <v>6156</v>
      </c>
      <c r="BZ65" s="100">
        <v>7</v>
      </c>
      <c r="CA65" s="100">
        <v>7182</v>
      </c>
      <c r="CB65" s="100">
        <v>9</v>
      </c>
      <c r="CC65" s="100">
        <v>9234</v>
      </c>
      <c r="CD65" s="100">
        <v>0.40342316820890095</v>
      </c>
      <c r="CE65" s="100">
        <v>413.91217058233235</v>
      </c>
      <c r="CF65" s="100">
        <v>6</v>
      </c>
      <c r="CG65" s="100">
        <v>6156</v>
      </c>
      <c r="CH65" s="100">
        <v>9</v>
      </c>
      <c r="CI65" s="100">
        <v>9234</v>
      </c>
      <c r="CJ65" s="100">
        <v>8</v>
      </c>
      <c r="CK65" s="100">
        <v>8208</v>
      </c>
      <c r="CL65" s="100">
        <v>7.5766054537996839</v>
      </c>
      <c r="CM65" s="100">
        <v>7773.597195598476</v>
      </c>
      <c r="CN65" s="100">
        <v>8</v>
      </c>
      <c r="CO65" s="100">
        <v>8208</v>
      </c>
      <c r="CP65" s="100">
        <v>10</v>
      </c>
      <c r="CQ65" s="100">
        <v>10260</v>
      </c>
      <c r="CR65" s="100">
        <v>8</v>
      </c>
      <c r="CS65" s="100">
        <v>8208</v>
      </c>
      <c r="CT65" s="100">
        <v>6.0615064902694593</v>
      </c>
      <c r="CU65" s="100">
        <v>6219.1056590164653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8</v>
      </c>
      <c r="G66" s="100">
        <v>9523.1999999999989</v>
      </c>
      <c r="H66" s="100">
        <v>11</v>
      </c>
      <c r="I66" s="100">
        <v>13094.399999999998</v>
      </c>
      <c r="J66" s="100">
        <v>4.3988569062346299</v>
      </c>
      <c r="K66" s="100">
        <v>5236.399261181703</v>
      </c>
      <c r="L66" s="100">
        <v>7</v>
      </c>
      <c r="M66" s="100">
        <v>8332.7999999999993</v>
      </c>
      <c r="N66" s="100">
        <v>6</v>
      </c>
      <c r="O66" s="100">
        <v>7142.4</v>
      </c>
      <c r="P66" s="100">
        <v>8</v>
      </c>
      <c r="Q66" s="100">
        <v>9523.1999999999989</v>
      </c>
      <c r="R66" s="100">
        <v>9</v>
      </c>
      <c r="S66" s="100">
        <v>10713.599999999999</v>
      </c>
      <c r="T66" s="100">
        <v>8</v>
      </c>
      <c r="U66" s="100">
        <v>9523.1999999999989</v>
      </c>
      <c r="V66" s="100">
        <v>5.5096475257853781</v>
      </c>
      <c r="W66" s="100">
        <v>6558.6844146949134</v>
      </c>
      <c r="X66" s="100">
        <v>7</v>
      </c>
      <c r="Y66" s="100">
        <v>8332.7999999999993</v>
      </c>
      <c r="Z66" s="100">
        <v>9.9848702908009432</v>
      </c>
      <c r="AA66" s="100">
        <v>11885.989594169441</v>
      </c>
      <c r="AB66" s="100">
        <v>9</v>
      </c>
      <c r="AC66" s="100">
        <v>10713.599999999999</v>
      </c>
      <c r="AD66" s="100">
        <v>11</v>
      </c>
      <c r="AE66" s="100">
        <v>13094.399999999998</v>
      </c>
      <c r="AF66" s="100">
        <v>7.9432482125639785</v>
      </c>
      <c r="AG66" s="100">
        <v>9455.6426722361593</v>
      </c>
      <c r="AH66" s="100">
        <v>11</v>
      </c>
      <c r="AI66" s="100">
        <v>13094.399999999998</v>
      </c>
      <c r="AJ66" s="100">
        <v>8.4840888729207506</v>
      </c>
      <c r="AK66" s="100">
        <v>10099.45939432486</v>
      </c>
      <c r="AL66" s="100">
        <v>9</v>
      </c>
      <c r="AM66" s="100">
        <v>10713.599999999999</v>
      </c>
      <c r="AN66" s="100">
        <v>7</v>
      </c>
      <c r="AO66" s="100">
        <v>8332.7999999999993</v>
      </c>
      <c r="AP66" s="100">
        <v>2.6520132604622479</v>
      </c>
      <c r="AQ66" s="100">
        <v>3156.9565852542596</v>
      </c>
      <c r="AR66" s="100">
        <v>6</v>
      </c>
      <c r="AS66" s="100">
        <v>7142.4</v>
      </c>
      <c r="AT66" s="100">
        <v>7</v>
      </c>
      <c r="AU66" s="100">
        <v>8332.7999999999993</v>
      </c>
      <c r="AV66" s="100">
        <v>10</v>
      </c>
      <c r="AW66" s="100">
        <v>11903.999999999998</v>
      </c>
      <c r="AX66" s="100">
        <v>5.380406937882376</v>
      </c>
      <c r="AY66" s="100">
        <v>6404.8364188551795</v>
      </c>
      <c r="AZ66" s="100">
        <v>6</v>
      </c>
      <c r="BA66" s="100">
        <v>7142.4</v>
      </c>
      <c r="BB66" s="100">
        <v>3.6299156661042913</v>
      </c>
      <c r="BC66" s="100">
        <v>4321.0516089305474</v>
      </c>
      <c r="BD66" s="100">
        <v>8.1141820583832001</v>
      </c>
      <c r="BE66" s="100">
        <v>9659.1223222993594</v>
      </c>
      <c r="BF66" s="100">
        <v>8.715922700935046</v>
      </c>
      <c r="BG66" s="100">
        <v>10375.434383193078</v>
      </c>
      <c r="BH66" s="100">
        <v>9</v>
      </c>
      <c r="BI66" s="100">
        <v>10713.599999999999</v>
      </c>
      <c r="BJ66" s="100">
        <v>8</v>
      </c>
      <c r="BK66" s="100">
        <v>9523.1999999999989</v>
      </c>
      <c r="BL66" s="100">
        <v>7</v>
      </c>
      <c r="BM66" s="100">
        <v>8332.7999999999993</v>
      </c>
      <c r="BN66" s="100">
        <v>7</v>
      </c>
      <c r="BO66" s="100">
        <v>8332.7999999999993</v>
      </c>
      <c r="BP66" s="100">
        <v>7</v>
      </c>
      <c r="BQ66" s="100">
        <v>8332.7999999999993</v>
      </c>
      <c r="BR66" s="100">
        <v>2.4784304924878748</v>
      </c>
      <c r="BS66" s="100">
        <v>2950.323658257566</v>
      </c>
      <c r="BT66" s="100">
        <v>8</v>
      </c>
      <c r="BU66" s="100">
        <v>9523.1999999999989</v>
      </c>
      <c r="BV66" s="100">
        <v>6</v>
      </c>
      <c r="BW66" s="100">
        <v>7142.4</v>
      </c>
      <c r="BX66" s="100">
        <v>6</v>
      </c>
      <c r="BY66" s="100">
        <v>7142.4</v>
      </c>
      <c r="BZ66" s="100">
        <v>6</v>
      </c>
      <c r="CA66" s="100">
        <v>7142.4</v>
      </c>
      <c r="CB66" s="100">
        <v>8</v>
      </c>
      <c r="CC66" s="100">
        <v>9523.1999999999989</v>
      </c>
      <c r="CD66" s="100">
        <v>0.51868693055430126</v>
      </c>
      <c r="CE66" s="100">
        <v>617.44492213184014</v>
      </c>
      <c r="CF66" s="100">
        <v>6</v>
      </c>
      <c r="CG66" s="100">
        <v>7142.4</v>
      </c>
      <c r="CH66" s="100">
        <v>9</v>
      </c>
      <c r="CI66" s="100">
        <v>10713.599999999999</v>
      </c>
      <c r="CJ66" s="100">
        <v>7</v>
      </c>
      <c r="CK66" s="100">
        <v>8332.7999999999993</v>
      </c>
      <c r="CL66" s="100">
        <v>6.7347604033774973</v>
      </c>
      <c r="CM66" s="100">
        <v>8017.0587841805718</v>
      </c>
      <c r="CN66" s="100">
        <v>9</v>
      </c>
      <c r="CO66" s="100">
        <v>10713.599999999999</v>
      </c>
      <c r="CP66" s="100">
        <v>10</v>
      </c>
      <c r="CQ66" s="100">
        <v>11903.999999999998</v>
      </c>
      <c r="CR66" s="100">
        <v>8</v>
      </c>
      <c r="CS66" s="100">
        <v>9523.1999999999989</v>
      </c>
      <c r="CT66" s="100">
        <v>6.0615064902694593</v>
      </c>
      <c r="CU66" s="100">
        <v>7215.6173260167634</v>
      </c>
    </row>
    <row r="67" spans="2:99">
      <c r="C67" s="99" t="s">
        <v>233</v>
      </c>
      <c r="D67" s="100">
        <v>10</v>
      </c>
      <c r="E67" s="100">
        <v>11232</v>
      </c>
      <c r="F67" s="100">
        <v>8</v>
      </c>
      <c r="G67" s="100">
        <v>8985.6</v>
      </c>
      <c r="H67" s="100">
        <v>10</v>
      </c>
      <c r="I67" s="100">
        <v>11232</v>
      </c>
      <c r="J67" s="100">
        <v>3.7704487767725401</v>
      </c>
      <c r="K67" s="100">
        <v>4234.9680660709173</v>
      </c>
      <c r="L67" s="100">
        <v>7</v>
      </c>
      <c r="M67" s="100">
        <v>7862.4000000000005</v>
      </c>
      <c r="N67" s="100">
        <v>7</v>
      </c>
      <c r="O67" s="100">
        <v>7862.4000000000005</v>
      </c>
      <c r="P67" s="100">
        <v>9</v>
      </c>
      <c r="Q67" s="100">
        <v>10108.800000000001</v>
      </c>
      <c r="R67" s="100">
        <v>9</v>
      </c>
      <c r="S67" s="100">
        <v>10108.800000000001</v>
      </c>
      <c r="T67" s="100">
        <v>8</v>
      </c>
      <c r="U67" s="100">
        <v>8985.6</v>
      </c>
      <c r="V67" s="100">
        <v>6.2967400294690039</v>
      </c>
      <c r="W67" s="100">
        <v>7072.4984010995859</v>
      </c>
      <c r="X67" s="100">
        <v>7</v>
      </c>
      <c r="Y67" s="100">
        <v>7862.4000000000005</v>
      </c>
      <c r="Z67" s="100">
        <v>9.0771548098190387</v>
      </c>
      <c r="AA67" s="100">
        <v>10195.460282388745</v>
      </c>
      <c r="AB67" s="100">
        <v>10</v>
      </c>
      <c r="AC67" s="100">
        <v>11232</v>
      </c>
      <c r="AD67" s="100">
        <v>9</v>
      </c>
      <c r="AE67" s="100">
        <v>10108.800000000001</v>
      </c>
      <c r="AF67" s="100">
        <v>7.9432482125639785</v>
      </c>
      <c r="AG67" s="100">
        <v>8921.8563923518614</v>
      </c>
      <c r="AH67" s="100">
        <v>9</v>
      </c>
      <c r="AI67" s="100">
        <v>10108.800000000001</v>
      </c>
      <c r="AJ67" s="100">
        <v>8.4840888729207506</v>
      </c>
      <c r="AK67" s="100">
        <v>9529.3286220645878</v>
      </c>
      <c r="AL67" s="100">
        <v>9</v>
      </c>
      <c r="AM67" s="100">
        <v>10108.800000000001</v>
      </c>
      <c r="AN67" s="100">
        <v>8</v>
      </c>
      <c r="AO67" s="100">
        <v>8985.6</v>
      </c>
      <c r="AP67" s="100">
        <v>2.6520132604622479</v>
      </c>
      <c r="AQ67" s="100">
        <v>2978.7412941511971</v>
      </c>
      <c r="AR67" s="100">
        <v>6</v>
      </c>
      <c r="AS67" s="100">
        <v>6739.2000000000007</v>
      </c>
      <c r="AT67" s="100">
        <v>7</v>
      </c>
      <c r="AU67" s="100">
        <v>7862.4000000000005</v>
      </c>
      <c r="AV67" s="100">
        <v>9</v>
      </c>
      <c r="AW67" s="100">
        <v>10108.800000000001</v>
      </c>
      <c r="AX67" s="100">
        <v>4.9320396930588446</v>
      </c>
      <c r="AY67" s="100">
        <v>5539.6669832436946</v>
      </c>
      <c r="AZ67" s="100">
        <v>6</v>
      </c>
      <c r="BA67" s="100">
        <v>6739.2000000000007</v>
      </c>
      <c r="BB67" s="100">
        <v>3.6299156661042913</v>
      </c>
      <c r="BC67" s="100">
        <v>4077.12127616834</v>
      </c>
      <c r="BD67" s="100">
        <v>7.2126062741184009</v>
      </c>
      <c r="BE67" s="100">
        <v>8101.1993670897882</v>
      </c>
      <c r="BF67" s="100">
        <v>8.715922700935046</v>
      </c>
      <c r="BG67" s="100">
        <v>9789.7243776902433</v>
      </c>
      <c r="BH67" s="100">
        <v>9</v>
      </c>
      <c r="BI67" s="100">
        <v>10108.800000000001</v>
      </c>
      <c r="BJ67" s="100">
        <v>9</v>
      </c>
      <c r="BK67" s="100">
        <v>10108.800000000001</v>
      </c>
      <c r="BL67" s="100">
        <v>8</v>
      </c>
      <c r="BM67" s="100">
        <v>8985.6</v>
      </c>
      <c r="BN67" s="100">
        <v>7</v>
      </c>
      <c r="BO67" s="100">
        <v>7862.4000000000005</v>
      </c>
      <c r="BP67" s="100">
        <v>8</v>
      </c>
      <c r="BQ67" s="100">
        <v>8985.6</v>
      </c>
      <c r="BR67" s="100">
        <v>2.4784304924878748</v>
      </c>
      <c r="BS67" s="100">
        <v>2783.7731291623813</v>
      </c>
      <c r="BT67" s="100">
        <v>8</v>
      </c>
      <c r="BU67" s="100">
        <v>8985.6</v>
      </c>
      <c r="BV67" s="100">
        <v>6</v>
      </c>
      <c r="BW67" s="100">
        <v>6739.2000000000007</v>
      </c>
      <c r="BX67" s="100">
        <v>6</v>
      </c>
      <c r="BY67" s="100">
        <v>6739.2000000000007</v>
      </c>
      <c r="BZ67" s="100">
        <v>7</v>
      </c>
      <c r="CA67" s="100">
        <v>7862.4000000000005</v>
      </c>
      <c r="CB67" s="100">
        <v>8</v>
      </c>
      <c r="CC67" s="100">
        <v>8985.6</v>
      </c>
      <c r="CD67" s="100">
        <v>0.46105504938160108</v>
      </c>
      <c r="CE67" s="100">
        <v>517.85703146541437</v>
      </c>
      <c r="CF67" s="100">
        <v>6</v>
      </c>
      <c r="CG67" s="100">
        <v>6739.2000000000007</v>
      </c>
      <c r="CH67" s="100">
        <v>8</v>
      </c>
      <c r="CI67" s="100">
        <v>8985.6</v>
      </c>
      <c r="CJ67" s="100">
        <v>7</v>
      </c>
      <c r="CK67" s="100">
        <v>7862.4000000000005</v>
      </c>
      <c r="CL67" s="100">
        <v>6.7347604033774973</v>
      </c>
      <c r="CM67" s="100">
        <v>7564.4828850736048</v>
      </c>
      <c r="CN67" s="100">
        <v>8</v>
      </c>
      <c r="CO67" s="100">
        <v>8985.6</v>
      </c>
      <c r="CP67" s="100">
        <v>9</v>
      </c>
      <c r="CQ67" s="100">
        <v>10108.800000000001</v>
      </c>
      <c r="CR67" s="100">
        <v>9</v>
      </c>
      <c r="CS67" s="100">
        <v>10108.800000000001</v>
      </c>
      <c r="CT67" s="100">
        <v>6.0615064902694593</v>
      </c>
      <c r="CU67" s="100">
        <v>6808.2840898706572</v>
      </c>
    </row>
    <row r="68" spans="2:99">
      <c r="C68" s="99" t="s">
        <v>234</v>
      </c>
      <c r="D68" s="100">
        <v>10</v>
      </c>
      <c r="E68" s="100">
        <v>10332</v>
      </c>
      <c r="F68" s="100">
        <v>9</v>
      </c>
      <c r="G68" s="100">
        <v>9298.8000000000011</v>
      </c>
      <c r="H68" s="100">
        <v>11</v>
      </c>
      <c r="I68" s="100">
        <v>11365.2</v>
      </c>
      <c r="J68" s="100">
        <v>3.7704487767725401</v>
      </c>
      <c r="K68" s="100">
        <v>3895.6276761613885</v>
      </c>
      <c r="L68" s="100">
        <v>7</v>
      </c>
      <c r="M68" s="100">
        <v>7232.4000000000005</v>
      </c>
      <c r="N68" s="100">
        <v>7</v>
      </c>
      <c r="O68" s="100">
        <v>7232.4000000000005</v>
      </c>
      <c r="P68" s="100">
        <v>9</v>
      </c>
      <c r="Q68" s="100">
        <v>9298.8000000000011</v>
      </c>
      <c r="R68" s="100">
        <v>10</v>
      </c>
      <c r="S68" s="100">
        <v>10332</v>
      </c>
      <c r="T68" s="100">
        <v>7</v>
      </c>
      <c r="U68" s="100">
        <v>7232.4000000000005</v>
      </c>
      <c r="V68" s="100">
        <v>6.2967400294690039</v>
      </c>
      <c r="W68" s="100">
        <v>6505.7917984473752</v>
      </c>
      <c r="X68" s="100">
        <v>8</v>
      </c>
      <c r="Y68" s="100">
        <v>8265.6</v>
      </c>
      <c r="Z68" s="100">
        <v>9.0771548098190387</v>
      </c>
      <c r="AA68" s="100">
        <v>9378.516349505031</v>
      </c>
      <c r="AB68" s="100">
        <v>8</v>
      </c>
      <c r="AC68" s="100">
        <v>8265.6</v>
      </c>
      <c r="AD68" s="100">
        <v>10</v>
      </c>
      <c r="AE68" s="100">
        <v>10332</v>
      </c>
      <c r="AF68" s="100">
        <v>7.9432482125639785</v>
      </c>
      <c r="AG68" s="100">
        <v>8206.9640532211033</v>
      </c>
      <c r="AH68" s="100">
        <v>10</v>
      </c>
      <c r="AI68" s="100">
        <v>10332</v>
      </c>
      <c r="AJ68" s="100">
        <v>7.7128080662915917</v>
      </c>
      <c r="AK68" s="100">
        <v>7968.8732940924729</v>
      </c>
      <c r="AL68" s="100">
        <v>10</v>
      </c>
      <c r="AM68" s="100">
        <v>10332</v>
      </c>
      <c r="AN68" s="100">
        <v>7</v>
      </c>
      <c r="AO68" s="100">
        <v>7232.4000000000005</v>
      </c>
      <c r="AP68" s="100">
        <v>2.6520132604622479</v>
      </c>
      <c r="AQ68" s="100">
        <v>2740.0601007095947</v>
      </c>
      <c r="AR68" s="100">
        <v>7</v>
      </c>
      <c r="AS68" s="100">
        <v>7232.4000000000005</v>
      </c>
      <c r="AT68" s="100">
        <v>6</v>
      </c>
      <c r="AU68" s="100">
        <v>6199.2000000000007</v>
      </c>
      <c r="AV68" s="100">
        <v>10</v>
      </c>
      <c r="AW68" s="100">
        <v>10332</v>
      </c>
      <c r="AX68" s="100">
        <v>4.4836724482353132</v>
      </c>
      <c r="AY68" s="100">
        <v>4632.5303735167254</v>
      </c>
      <c r="AZ68" s="100">
        <v>6</v>
      </c>
      <c r="BA68" s="100">
        <v>6199.2000000000007</v>
      </c>
      <c r="BB68" s="100">
        <v>3.6299156661042913</v>
      </c>
      <c r="BC68" s="100">
        <v>3750.4288662189538</v>
      </c>
      <c r="BD68" s="100">
        <v>8.1141820583832001</v>
      </c>
      <c r="BE68" s="100">
        <v>8383.572902721522</v>
      </c>
      <c r="BF68" s="100">
        <v>7.8443304308415414</v>
      </c>
      <c r="BG68" s="100">
        <v>8104.7622011454805</v>
      </c>
      <c r="BH68" s="100">
        <v>8</v>
      </c>
      <c r="BI68" s="100">
        <v>8265.6</v>
      </c>
      <c r="BJ68" s="100">
        <v>8</v>
      </c>
      <c r="BK68" s="100">
        <v>8265.6</v>
      </c>
      <c r="BL68" s="100">
        <v>8</v>
      </c>
      <c r="BM68" s="100">
        <v>8265.6</v>
      </c>
      <c r="BN68" s="100">
        <v>6</v>
      </c>
      <c r="BO68" s="100">
        <v>6199.2000000000007</v>
      </c>
      <c r="BP68" s="100">
        <v>8</v>
      </c>
      <c r="BQ68" s="100">
        <v>8265.6</v>
      </c>
      <c r="BR68" s="100">
        <v>2.9741165909854499</v>
      </c>
      <c r="BS68" s="100">
        <v>3072.8572618061671</v>
      </c>
      <c r="BT68" s="100">
        <v>8</v>
      </c>
      <c r="BU68" s="100">
        <v>8265.6</v>
      </c>
      <c r="BV68" s="100">
        <v>7</v>
      </c>
      <c r="BW68" s="100">
        <v>7232.4000000000005</v>
      </c>
      <c r="BX68" s="100">
        <v>6</v>
      </c>
      <c r="BY68" s="100">
        <v>6199.2000000000007</v>
      </c>
      <c r="BZ68" s="100">
        <v>7</v>
      </c>
      <c r="CA68" s="100">
        <v>7232.4000000000005</v>
      </c>
      <c r="CB68" s="100">
        <v>7</v>
      </c>
      <c r="CC68" s="100">
        <v>7232.4000000000005</v>
      </c>
      <c r="CD68" s="100">
        <v>0.40342316820890095</v>
      </c>
      <c r="CE68" s="100">
        <v>416.81681739343651</v>
      </c>
      <c r="CF68" s="100">
        <v>6</v>
      </c>
      <c r="CG68" s="100">
        <v>6199.2000000000007</v>
      </c>
      <c r="CH68" s="100">
        <v>8</v>
      </c>
      <c r="CI68" s="100">
        <v>8265.6</v>
      </c>
      <c r="CJ68" s="100">
        <v>8</v>
      </c>
      <c r="CK68" s="100">
        <v>8265.6</v>
      </c>
      <c r="CL68" s="100">
        <v>7.5766054537996839</v>
      </c>
      <c r="CM68" s="100">
        <v>7828.1487548658333</v>
      </c>
      <c r="CN68" s="100">
        <v>9</v>
      </c>
      <c r="CO68" s="100">
        <v>9298.8000000000011</v>
      </c>
      <c r="CP68" s="100">
        <v>10</v>
      </c>
      <c r="CQ68" s="100">
        <v>10332</v>
      </c>
      <c r="CR68" s="100">
        <v>8</v>
      </c>
      <c r="CS68" s="100">
        <v>8265.6</v>
      </c>
      <c r="CT68" s="100">
        <v>6.0615064902694593</v>
      </c>
      <c r="CU68" s="100">
        <v>6262.7485057464055</v>
      </c>
    </row>
    <row r="69" spans="2:99">
      <c r="C69" s="99" t="s">
        <v>235</v>
      </c>
      <c r="D69" s="100">
        <v>11</v>
      </c>
      <c r="E69" s="100">
        <v>8342.4</v>
      </c>
      <c r="F69" s="100">
        <v>9</v>
      </c>
      <c r="G69" s="100">
        <v>6825.5999999999995</v>
      </c>
      <c r="H69" s="100">
        <v>11</v>
      </c>
      <c r="I69" s="100">
        <v>8342.4</v>
      </c>
      <c r="J69" s="100">
        <v>3.7704487767725401</v>
      </c>
      <c r="K69" s="100">
        <v>2859.5083523042945</v>
      </c>
      <c r="L69" s="100">
        <v>8</v>
      </c>
      <c r="M69" s="100">
        <v>6067.2</v>
      </c>
      <c r="N69" s="100">
        <v>8</v>
      </c>
      <c r="O69" s="100">
        <v>6067.2</v>
      </c>
      <c r="P69" s="100">
        <v>9</v>
      </c>
      <c r="Q69" s="100">
        <v>6825.5999999999995</v>
      </c>
      <c r="R69" s="100">
        <v>9</v>
      </c>
      <c r="S69" s="100">
        <v>6825.5999999999995</v>
      </c>
      <c r="T69" s="100">
        <v>8</v>
      </c>
      <c r="U69" s="100">
        <v>6067.2</v>
      </c>
      <c r="V69" s="100">
        <v>5.5096475257853781</v>
      </c>
      <c r="W69" s="100">
        <v>4178.5166835556311</v>
      </c>
      <c r="X69" s="100">
        <v>8</v>
      </c>
      <c r="Y69" s="100">
        <v>6067.2</v>
      </c>
      <c r="Z69" s="100">
        <v>9.9848702908009432</v>
      </c>
      <c r="AA69" s="100">
        <v>7572.5256285434352</v>
      </c>
      <c r="AB69" s="100">
        <v>10</v>
      </c>
      <c r="AC69" s="100">
        <v>7584</v>
      </c>
      <c r="AD69" s="100">
        <v>9</v>
      </c>
      <c r="AE69" s="100">
        <v>6825.5999999999995</v>
      </c>
      <c r="AF69" s="100">
        <v>8.8258313472933079</v>
      </c>
      <c r="AG69" s="100">
        <v>6693.5104937872447</v>
      </c>
      <c r="AH69" s="100">
        <v>10</v>
      </c>
      <c r="AI69" s="100">
        <v>7584</v>
      </c>
      <c r="AJ69" s="100">
        <v>8.4840888729207506</v>
      </c>
      <c r="AK69" s="100">
        <v>6434.3330012230972</v>
      </c>
      <c r="AL69" s="100">
        <v>10</v>
      </c>
      <c r="AM69" s="100">
        <v>7584</v>
      </c>
      <c r="AN69" s="100">
        <v>8</v>
      </c>
      <c r="AO69" s="100">
        <v>6067.2</v>
      </c>
      <c r="AP69" s="100">
        <v>2.3573451204108871</v>
      </c>
      <c r="AQ69" s="100">
        <v>1787.8105393196167</v>
      </c>
      <c r="AR69" s="100">
        <v>6</v>
      </c>
      <c r="AS69" s="100">
        <v>4550.3999999999996</v>
      </c>
      <c r="AT69" s="100">
        <v>7</v>
      </c>
      <c r="AU69" s="100">
        <v>5308.8</v>
      </c>
      <c r="AV69" s="100">
        <v>10</v>
      </c>
      <c r="AW69" s="100">
        <v>7584</v>
      </c>
      <c r="AX69" s="100">
        <v>4.9320396930588446</v>
      </c>
      <c r="AY69" s="100">
        <v>3740.4589032158278</v>
      </c>
      <c r="AZ69" s="100">
        <v>6</v>
      </c>
      <c r="BA69" s="100">
        <v>4550.3999999999996</v>
      </c>
      <c r="BB69" s="100">
        <v>4.0836551243673274</v>
      </c>
      <c r="BC69" s="100">
        <v>3097.0440463201808</v>
      </c>
      <c r="BD69" s="100">
        <v>8.1141820583832001</v>
      </c>
      <c r="BE69" s="100">
        <v>6153.7956730778187</v>
      </c>
      <c r="BF69" s="100">
        <v>7.8443304308415414</v>
      </c>
      <c r="BG69" s="100">
        <v>5949.140198750225</v>
      </c>
      <c r="BH69" s="100">
        <v>9</v>
      </c>
      <c r="BI69" s="100">
        <v>6825.5999999999995</v>
      </c>
      <c r="BJ69" s="100">
        <v>8</v>
      </c>
      <c r="BK69" s="100">
        <v>6067.2</v>
      </c>
      <c r="BL69" s="100">
        <v>7</v>
      </c>
      <c r="BM69" s="100">
        <v>5308.8</v>
      </c>
      <c r="BN69" s="100">
        <v>7</v>
      </c>
      <c r="BO69" s="100">
        <v>5308.8</v>
      </c>
      <c r="BP69" s="100">
        <v>8</v>
      </c>
      <c r="BQ69" s="100">
        <v>6067.2</v>
      </c>
      <c r="BR69" s="100">
        <v>2.9741165909854499</v>
      </c>
      <c r="BS69" s="100">
        <v>2255.570022603365</v>
      </c>
      <c r="BT69" s="100">
        <v>8</v>
      </c>
      <c r="BU69" s="100">
        <v>6067.2</v>
      </c>
      <c r="BV69" s="100">
        <v>6</v>
      </c>
      <c r="BW69" s="100">
        <v>4550.3999999999996</v>
      </c>
      <c r="BX69" s="100">
        <v>7</v>
      </c>
      <c r="BY69" s="100">
        <v>5308.8</v>
      </c>
      <c r="BZ69" s="100">
        <v>7</v>
      </c>
      <c r="CA69" s="100">
        <v>5308.8</v>
      </c>
      <c r="CB69" s="100">
        <v>8</v>
      </c>
      <c r="CC69" s="100">
        <v>6067.2</v>
      </c>
      <c r="CD69" s="100">
        <v>0.46105504938160108</v>
      </c>
      <c r="CE69" s="100">
        <v>349.66414945100627</v>
      </c>
      <c r="CF69" s="100">
        <v>7</v>
      </c>
      <c r="CG69" s="100">
        <v>5308.8</v>
      </c>
      <c r="CH69" s="100">
        <v>10</v>
      </c>
      <c r="CI69" s="100">
        <v>7584</v>
      </c>
      <c r="CJ69" s="100">
        <v>8</v>
      </c>
      <c r="CK69" s="100">
        <v>6067.2</v>
      </c>
      <c r="CL69" s="100">
        <v>7.5766054537996839</v>
      </c>
      <c r="CM69" s="100">
        <v>5746.0975761616801</v>
      </c>
      <c r="CN69" s="100">
        <v>8</v>
      </c>
      <c r="CO69" s="100">
        <v>6067.2</v>
      </c>
      <c r="CP69" s="100">
        <v>10</v>
      </c>
      <c r="CQ69" s="100">
        <v>7584</v>
      </c>
      <c r="CR69" s="100">
        <v>9</v>
      </c>
      <c r="CS69" s="100">
        <v>6825.5999999999995</v>
      </c>
      <c r="CT69" s="100">
        <v>6.9274359888793837</v>
      </c>
      <c r="CU69" s="100">
        <v>5253.7674539661248</v>
      </c>
    </row>
    <row r="70" spans="2:99">
      <c r="C70" s="99" t="s">
        <v>236</v>
      </c>
      <c r="D70" s="100">
        <v>10</v>
      </c>
      <c r="E70" s="100">
        <v>5351.9999999999991</v>
      </c>
      <c r="F70" s="100">
        <v>9</v>
      </c>
      <c r="G70" s="100">
        <v>4816.7999999999993</v>
      </c>
      <c r="H70" s="100">
        <v>11</v>
      </c>
      <c r="I70" s="100">
        <v>5887.1999999999989</v>
      </c>
      <c r="J70" s="100">
        <v>4.3988569062346299</v>
      </c>
      <c r="K70" s="100">
        <v>2354.2682162167735</v>
      </c>
      <c r="L70" s="100">
        <v>8</v>
      </c>
      <c r="M70" s="100">
        <v>4281.5999999999995</v>
      </c>
      <c r="N70" s="100">
        <v>8</v>
      </c>
      <c r="O70" s="100">
        <v>4281.5999999999995</v>
      </c>
      <c r="P70" s="100">
        <v>9</v>
      </c>
      <c r="Q70" s="100">
        <v>4816.7999999999993</v>
      </c>
      <c r="R70" s="100">
        <v>10</v>
      </c>
      <c r="S70" s="100">
        <v>5351.9999999999991</v>
      </c>
      <c r="T70" s="100">
        <v>8</v>
      </c>
      <c r="U70" s="100">
        <v>4281.5999999999995</v>
      </c>
      <c r="V70" s="100">
        <v>5.5096475257853781</v>
      </c>
      <c r="W70" s="100">
        <v>2948.763355800334</v>
      </c>
      <c r="X70" s="100">
        <v>9</v>
      </c>
      <c r="Y70" s="100">
        <v>4816.7999999999993</v>
      </c>
      <c r="Z70" s="100">
        <v>9.9848702908009432</v>
      </c>
      <c r="AA70" s="100">
        <v>5343.9025796366641</v>
      </c>
      <c r="AB70" s="100">
        <v>9</v>
      </c>
      <c r="AC70" s="100">
        <v>4816.7999999999993</v>
      </c>
      <c r="AD70" s="100">
        <v>11</v>
      </c>
      <c r="AE70" s="100">
        <v>5887.1999999999989</v>
      </c>
      <c r="AF70" s="100">
        <v>8.8258313472933079</v>
      </c>
      <c r="AG70" s="100">
        <v>4723.5849370713777</v>
      </c>
      <c r="AH70" s="100">
        <v>11</v>
      </c>
      <c r="AI70" s="100">
        <v>5887.1999999999989</v>
      </c>
      <c r="AJ70" s="100">
        <v>7.7128080662915917</v>
      </c>
      <c r="AK70" s="100">
        <v>4127.8948770792595</v>
      </c>
      <c r="AL70" s="100">
        <v>11</v>
      </c>
      <c r="AM70" s="100">
        <v>5887.1999999999989</v>
      </c>
      <c r="AN70" s="100">
        <v>8</v>
      </c>
      <c r="AO70" s="100">
        <v>4281.5999999999995</v>
      </c>
      <c r="AP70" s="100">
        <v>2.6520132604622479</v>
      </c>
      <c r="AQ70" s="100">
        <v>1419.3574969993949</v>
      </c>
      <c r="AR70" s="100">
        <v>7</v>
      </c>
      <c r="AS70" s="100">
        <v>3746.3999999999996</v>
      </c>
      <c r="AT70" s="100">
        <v>8</v>
      </c>
      <c r="AU70" s="100">
        <v>4281.5999999999995</v>
      </c>
      <c r="AV70" s="100">
        <v>10</v>
      </c>
      <c r="AW70" s="100">
        <v>5351.9999999999991</v>
      </c>
      <c r="AX70" s="100">
        <v>4.9320396930588446</v>
      </c>
      <c r="AY70" s="100">
        <v>2639.6276437250931</v>
      </c>
      <c r="AZ70" s="100">
        <v>6</v>
      </c>
      <c r="BA70" s="100">
        <v>3211.2</v>
      </c>
      <c r="BB70" s="100">
        <v>3.6299156661042913</v>
      </c>
      <c r="BC70" s="100">
        <v>1942.7308644990164</v>
      </c>
      <c r="BD70" s="100">
        <v>8.1141820583832001</v>
      </c>
      <c r="BE70" s="100">
        <v>4342.7102376466883</v>
      </c>
      <c r="BF70" s="100">
        <v>8.715922700935046</v>
      </c>
      <c r="BG70" s="100">
        <v>4664.7618295404363</v>
      </c>
      <c r="BH70" s="100">
        <v>9</v>
      </c>
      <c r="BI70" s="100">
        <v>4816.7999999999993</v>
      </c>
      <c r="BJ70" s="100">
        <v>9</v>
      </c>
      <c r="BK70" s="100">
        <v>4816.7999999999993</v>
      </c>
      <c r="BL70" s="100">
        <v>7</v>
      </c>
      <c r="BM70" s="100">
        <v>3746.3999999999996</v>
      </c>
      <c r="BN70" s="100">
        <v>8</v>
      </c>
      <c r="BO70" s="100">
        <v>4281.5999999999995</v>
      </c>
      <c r="BP70" s="100">
        <v>8</v>
      </c>
      <c r="BQ70" s="100">
        <v>4281.5999999999995</v>
      </c>
      <c r="BR70" s="100">
        <v>2.4784304924878748</v>
      </c>
      <c r="BS70" s="100">
        <v>1326.4559995795105</v>
      </c>
      <c r="BT70" s="100">
        <v>9</v>
      </c>
      <c r="BU70" s="100">
        <v>4816.7999999999993</v>
      </c>
      <c r="BV70" s="100">
        <v>6</v>
      </c>
      <c r="BW70" s="100">
        <v>3211.2</v>
      </c>
      <c r="BX70" s="100">
        <v>6</v>
      </c>
      <c r="BY70" s="100">
        <v>3211.2</v>
      </c>
      <c r="BZ70" s="100">
        <v>7</v>
      </c>
      <c r="CA70" s="100">
        <v>3746.3999999999996</v>
      </c>
      <c r="CB70" s="100">
        <v>7</v>
      </c>
      <c r="CC70" s="100">
        <v>3746.3999999999996</v>
      </c>
      <c r="CD70" s="100">
        <v>0.46105504938160108</v>
      </c>
      <c r="CE70" s="100">
        <v>246.75666242903287</v>
      </c>
      <c r="CF70" s="100">
        <v>6</v>
      </c>
      <c r="CG70" s="100">
        <v>3211.2</v>
      </c>
      <c r="CH70" s="100">
        <v>9</v>
      </c>
      <c r="CI70" s="100">
        <v>4816.7999999999993</v>
      </c>
      <c r="CJ70" s="100">
        <v>8</v>
      </c>
      <c r="CK70" s="100">
        <v>4281.5999999999995</v>
      </c>
      <c r="CL70" s="100">
        <v>7.5766054537996839</v>
      </c>
      <c r="CM70" s="100">
        <v>4054.9992388735905</v>
      </c>
      <c r="CN70" s="100">
        <v>9</v>
      </c>
      <c r="CO70" s="100">
        <v>4816.7999999999993</v>
      </c>
      <c r="CP70" s="100">
        <v>10</v>
      </c>
      <c r="CQ70" s="100">
        <v>5351.9999999999991</v>
      </c>
      <c r="CR70" s="100">
        <v>9</v>
      </c>
      <c r="CS70" s="100">
        <v>4816.7999999999993</v>
      </c>
      <c r="CT70" s="100">
        <v>6.0615064902694593</v>
      </c>
      <c r="CU70" s="100">
        <v>3244.1182735922143</v>
      </c>
    </row>
    <row r="71" spans="2:99">
      <c r="B71" s="99" t="s">
        <v>130</v>
      </c>
      <c r="C71" s="99" t="s">
        <v>237</v>
      </c>
      <c r="D71" s="100">
        <v>9</v>
      </c>
      <c r="E71" s="100">
        <v>5076</v>
      </c>
      <c r="F71" s="100">
        <v>1.0856815028003322</v>
      </c>
      <c r="G71" s="100">
        <v>612.32436757938729</v>
      </c>
      <c r="H71" s="100">
        <v>10</v>
      </c>
      <c r="I71" s="100">
        <v>5640</v>
      </c>
      <c r="J71" s="100">
        <v>12</v>
      </c>
      <c r="K71" s="100">
        <v>6768</v>
      </c>
      <c r="L71" s="100">
        <v>12</v>
      </c>
      <c r="M71" s="100">
        <v>6768</v>
      </c>
      <c r="N71" s="100">
        <v>4.2769394735075448</v>
      </c>
      <c r="O71" s="100">
        <v>2412.1938630582554</v>
      </c>
      <c r="P71" s="100">
        <v>8</v>
      </c>
      <c r="Q71" s="100">
        <v>4512</v>
      </c>
      <c r="R71" s="100">
        <v>8</v>
      </c>
      <c r="S71" s="100">
        <v>4512</v>
      </c>
      <c r="T71" s="100">
        <v>12</v>
      </c>
      <c r="U71" s="100">
        <v>6768</v>
      </c>
      <c r="V71" s="100">
        <v>8</v>
      </c>
      <c r="W71" s="100">
        <v>4512</v>
      </c>
      <c r="X71" s="100">
        <v>10</v>
      </c>
      <c r="Y71" s="100">
        <v>5640</v>
      </c>
      <c r="Z71" s="100">
        <v>14</v>
      </c>
      <c r="AA71" s="100">
        <v>7896</v>
      </c>
      <c r="AB71" s="100">
        <v>9</v>
      </c>
      <c r="AC71" s="100">
        <v>5076</v>
      </c>
      <c r="AD71" s="100">
        <v>7</v>
      </c>
      <c r="AE71" s="100">
        <v>3948</v>
      </c>
      <c r="AF71" s="100">
        <v>8</v>
      </c>
      <c r="AG71" s="100">
        <v>4512</v>
      </c>
      <c r="AH71" s="100">
        <v>12</v>
      </c>
      <c r="AI71" s="100">
        <v>6768</v>
      </c>
      <c r="AJ71" s="100">
        <v>11</v>
      </c>
      <c r="AK71" s="100">
        <v>6204</v>
      </c>
      <c r="AL71" s="100">
        <v>10</v>
      </c>
      <c r="AM71" s="100">
        <v>5640</v>
      </c>
      <c r="AN71" s="100">
        <v>10.834575943239741</v>
      </c>
      <c r="AO71" s="100">
        <v>6110.7008319872139</v>
      </c>
      <c r="AP71" s="100">
        <v>3.3369882497346466</v>
      </c>
      <c r="AQ71" s="100">
        <v>1882.0613728503406</v>
      </c>
      <c r="AR71" s="100">
        <v>3.3947715960503975</v>
      </c>
      <c r="AS71" s="100">
        <v>1914.6511801724241</v>
      </c>
      <c r="AT71" s="100">
        <v>9</v>
      </c>
      <c r="AU71" s="100">
        <v>5076</v>
      </c>
      <c r="AV71" s="100">
        <v>9</v>
      </c>
      <c r="AW71" s="100">
        <v>5076</v>
      </c>
      <c r="AX71" s="100">
        <v>5.345477458620441</v>
      </c>
      <c r="AY71" s="100">
        <v>3014.8492866619285</v>
      </c>
      <c r="AZ71" s="100">
        <v>9.7753822656457992</v>
      </c>
      <c r="BA71" s="100">
        <v>5513.3155978242303</v>
      </c>
      <c r="BB71" s="100">
        <v>8</v>
      </c>
      <c r="BC71" s="100">
        <v>4512</v>
      </c>
      <c r="BD71" s="100">
        <v>8</v>
      </c>
      <c r="BE71" s="100">
        <v>4512</v>
      </c>
      <c r="BF71" s="100">
        <v>7.2942105197385319</v>
      </c>
      <c r="BG71" s="100">
        <v>4113.9347331325316</v>
      </c>
      <c r="BH71" s="100">
        <v>9</v>
      </c>
      <c r="BI71" s="100">
        <v>5076</v>
      </c>
      <c r="BJ71" s="100">
        <v>12</v>
      </c>
      <c r="BK71" s="100">
        <v>6768</v>
      </c>
      <c r="BL71" s="100">
        <v>6.7141779484569533</v>
      </c>
      <c r="BM71" s="100">
        <v>3786.7963629297215</v>
      </c>
      <c r="BN71" s="100">
        <v>11</v>
      </c>
      <c r="BO71" s="100">
        <v>6204</v>
      </c>
      <c r="BP71" s="100">
        <v>1.7529700949205076</v>
      </c>
      <c r="BQ71" s="100">
        <v>988.67513353516631</v>
      </c>
      <c r="BR71" s="100">
        <v>8</v>
      </c>
      <c r="BS71" s="100">
        <v>4512</v>
      </c>
      <c r="BT71" s="100">
        <v>13</v>
      </c>
      <c r="BU71" s="100">
        <v>7332</v>
      </c>
      <c r="BV71" s="100">
        <v>11.872312868534395</v>
      </c>
      <c r="BW71" s="100">
        <v>6695.9844578533994</v>
      </c>
      <c r="BX71" s="100">
        <v>9</v>
      </c>
      <c r="BY71" s="100">
        <v>5076</v>
      </c>
      <c r="BZ71" s="100">
        <v>9</v>
      </c>
      <c r="CA71" s="100">
        <v>5076</v>
      </c>
      <c r="CB71" s="100">
        <v>12</v>
      </c>
      <c r="CC71" s="100">
        <v>6768</v>
      </c>
      <c r="CD71" s="100">
        <v>4.9579358102686983</v>
      </c>
      <c r="CE71" s="100">
        <v>2796.275796991546</v>
      </c>
      <c r="CF71" s="100">
        <v>10</v>
      </c>
      <c r="CG71" s="100">
        <v>5640</v>
      </c>
      <c r="CH71" s="100">
        <v>16</v>
      </c>
      <c r="CI71" s="100">
        <v>9024</v>
      </c>
      <c r="CJ71" s="100">
        <v>3.3744865370761481</v>
      </c>
      <c r="CK71" s="100">
        <v>1903.2104069109475</v>
      </c>
      <c r="CL71" s="100">
        <v>8.1659675399494134</v>
      </c>
      <c r="CM71" s="100">
        <v>4605.6056925314688</v>
      </c>
      <c r="CN71" s="100">
        <v>9</v>
      </c>
      <c r="CO71" s="100">
        <v>5076</v>
      </c>
      <c r="CP71" s="100">
        <v>14</v>
      </c>
      <c r="CQ71" s="100">
        <v>7896</v>
      </c>
      <c r="CR71" s="100">
        <v>13.2596825522009</v>
      </c>
      <c r="CS71" s="100">
        <v>7478.4609594413078</v>
      </c>
      <c r="CT71" s="100">
        <v>8</v>
      </c>
      <c r="CU71" s="100">
        <v>4512</v>
      </c>
    </row>
    <row r="72" spans="2:99">
      <c r="C72" s="99" t="s">
        <v>238</v>
      </c>
      <c r="D72" s="100">
        <v>9</v>
      </c>
      <c r="E72" s="100">
        <v>669.59999999999991</v>
      </c>
      <c r="F72" s="100">
        <v>1.0856815028003322</v>
      </c>
      <c r="G72" s="100">
        <v>80.774703808344697</v>
      </c>
      <c r="H72" s="100">
        <v>10</v>
      </c>
      <c r="I72" s="100">
        <v>743.99999999999989</v>
      </c>
      <c r="J72" s="100">
        <v>12</v>
      </c>
      <c r="K72" s="100">
        <v>892.8</v>
      </c>
      <c r="L72" s="100">
        <v>15</v>
      </c>
      <c r="M72" s="100">
        <v>1115.9999999999998</v>
      </c>
      <c r="N72" s="100">
        <v>4.2769394735075448</v>
      </c>
      <c r="O72" s="100">
        <v>318.20429682896128</v>
      </c>
      <c r="P72" s="100">
        <v>7</v>
      </c>
      <c r="Q72" s="100">
        <v>520.79999999999995</v>
      </c>
      <c r="R72" s="100">
        <v>9</v>
      </c>
      <c r="S72" s="100">
        <v>669.59999999999991</v>
      </c>
      <c r="T72" s="100">
        <v>15</v>
      </c>
      <c r="U72" s="100">
        <v>1115.9999999999998</v>
      </c>
      <c r="V72" s="100">
        <v>9</v>
      </c>
      <c r="W72" s="100">
        <v>669.59999999999991</v>
      </c>
      <c r="X72" s="100">
        <v>10</v>
      </c>
      <c r="Y72" s="100">
        <v>743.99999999999989</v>
      </c>
      <c r="Z72" s="100">
        <v>15</v>
      </c>
      <c r="AA72" s="100">
        <v>1115.9999999999998</v>
      </c>
      <c r="AB72" s="100">
        <v>10</v>
      </c>
      <c r="AC72" s="100">
        <v>743.99999999999989</v>
      </c>
      <c r="AD72" s="100">
        <v>7</v>
      </c>
      <c r="AE72" s="100">
        <v>520.79999999999995</v>
      </c>
      <c r="AF72" s="100">
        <v>8</v>
      </c>
      <c r="AG72" s="100">
        <v>595.19999999999993</v>
      </c>
      <c r="AH72" s="100">
        <v>13</v>
      </c>
      <c r="AI72" s="100">
        <v>967.19999999999993</v>
      </c>
      <c r="AJ72" s="100">
        <v>12</v>
      </c>
      <c r="AK72" s="100">
        <v>892.8</v>
      </c>
      <c r="AL72" s="100">
        <v>10</v>
      </c>
      <c r="AM72" s="100">
        <v>743.99999999999989</v>
      </c>
      <c r="AN72" s="100">
        <v>10.834575943239741</v>
      </c>
      <c r="AO72" s="100">
        <v>806.09245017703665</v>
      </c>
      <c r="AP72" s="100">
        <v>3.0986319461821714</v>
      </c>
      <c r="AQ72" s="100">
        <v>230.53821679595353</v>
      </c>
      <c r="AR72" s="100">
        <v>3.3947715960503975</v>
      </c>
      <c r="AS72" s="100">
        <v>252.57100674614955</v>
      </c>
      <c r="AT72" s="100">
        <v>10</v>
      </c>
      <c r="AU72" s="100">
        <v>743.99999999999989</v>
      </c>
      <c r="AV72" s="100">
        <v>9</v>
      </c>
      <c r="AW72" s="100">
        <v>669.59999999999991</v>
      </c>
      <c r="AX72" s="100">
        <v>5.345477458620441</v>
      </c>
      <c r="AY72" s="100">
        <v>397.70352292136079</v>
      </c>
      <c r="AZ72" s="100">
        <v>9.7753822656457992</v>
      </c>
      <c r="BA72" s="100">
        <v>727.28844056404739</v>
      </c>
      <c r="BB72" s="100">
        <v>7</v>
      </c>
      <c r="BC72" s="100">
        <v>520.79999999999995</v>
      </c>
      <c r="BD72" s="100">
        <v>9</v>
      </c>
      <c r="BE72" s="100">
        <v>669.59999999999991</v>
      </c>
      <c r="BF72" s="100">
        <v>7.2942105197385319</v>
      </c>
      <c r="BG72" s="100">
        <v>542.68926266854669</v>
      </c>
      <c r="BH72" s="100">
        <v>8</v>
      </c>
      <c r="BI72" s="100">
        <v>595.19999999999993</v>
      </c>
      <c r="BJ72" s="100">
        <v>12</v>
      </c>
      <c r="BK72" s="100">
        <v>892.8</v>
      </c>
      <c r="BL72" s="100">
        <v>7.3245577619530398</v>
      </c>
      <c r="BM72" s="100">
        <v>544.94709748930609</v>
      </c>
      <c r="BN72" s="100">
        <v>11</v>
      </c>
      <c r="BO72" s="100">
        <v>818.39999999999986</v>
      </c>
      <c r="BP72" s="100">
        <v>1.8878139483759313</v>
      </c>
      <c r="BQ72" s="100">
        <v>140.45335775916928</v>
      </c>
      <c r="BR72" s="100">
        <v>8</v>
      </c>
      <c r="BS72" s="100">
        <v>595.19999999999993</v>
      </c>
      <c r="BT72" s="100">
        <v>14</v>
      </c>
      <c r="BU72" s="100">
        <v>1041.5999999999999</v>
      </c>
      <c r="BV72" s="100">
        <v>11.024290520781939</v>
      </c>
      <c r="BW72" s="100">
        <v>820.20721474617619</v>
      </c>
      <c r="BX72" s="100">
        <v>10</v>
      </c>
      <c r="BY72" s="100">
        <v>743.99999999999989</v>
      </c>
      <c r="BZ72" s="100">
        <v>9</v>
      </c>
      <c r="CA72" s="100">
        <v>669.59999999999991</v>
      </c>
      <c r="CB72" s="100">
        <v>12</v>
      </c>
      <c r="CC72" s="100">
        <v>892.8</v>
      </c>
      <c r="CD72" s="100">
        <v>4.9579358102686983</v>
      </c>
      <c r="CE72" s="100">
        <v>368.8704242839911</v>
      </c>
      <c r="CF72" s="100">
        <v>9</v>
      </c>
      <c r="CG72" s="100">
        <v>669.59999999999991</v>
      </c>
      <c r="CH72" s="100">
        <v>14</v>
      </c>
      <c r="CI72" s="100">
        <v>1041.5999999999999</v>
      </c>
      <c r="CJ72" s="100">
        <v>4.0493838444913779</v>
      </c>
      <c r="CK72" s="100">
        <v>301.2741580301585</v>
      </c>
      <c r="CL72" s="100">
        <v>8.7492509356600863</v>
      </c>
      <c r="CM72" s="100">
        <v>650.94426961311035</v>
      </c>
      <c r="CN72" s="100">
        <v>10</v>
      </c>
      <c r="CO72" s="100">
        <v>743.99999999999989</v>
      </c>
      <c r="CP72" s="100">
        <v>14</v>
      </c>
      <c r="CQ72" s="100">
        <v>1041.5999999999999</v>
      </c>
      <c r="CR72" s="100">
        <v>13.2596825522009</v>
      </c>
      <c r="CS72" s="100">
        <v>986.52038188374684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1.184379821236726</v>
      </c>
      <c r="G73" s="100">
        <v>662.30519603557707</v>
      </c>
      <c r="H73" s="100">
        <v>10</v>
      </c>
      <c r="I73" s="100">
        <v>5591.9999999999991</v>
      </c>
      <c r="J73" s="100">
        <v>14</v>
      </c>
      <c r="K73" s="100">
        <v>7828.7999999999993</v>
      </c>
      <c r="L73" s="100">
        <v>13</v>
      </c>
      <c r="M73" s="100">
        <v>7269.5999999999995</v>
      </c>
      <c r="N73" s="100">
        <v>4.2769394735075448</v>
      </c>
      <c r="O73" s="100">
        <v>2391.6645535854186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15</v>
      </c>
      <c r="U73" s="100">
        <v>8387.9999999999982</v>
      </c>
      <c r="V73" s="100">
        <v>8</v>
      </c>
      <c r="W73" s="100">
        <v>4473.5999999999995</v>
      </c>
      <c r="X73" s="100">
        <v>9</v>
      </c>
      <c r="Y73" s="100">
        <v>5032.7999999999993</v>
      </c>
      <c r="Z73" s="100">
        <v>14</v>
      </c>
      <c r="AA73" s="100">
        <v>7828.7999999999993</v>
      </c>
      <c r="AB73" s="100">
        <v>9</v>
      </c>
      <c r="AC73" s="100">
        <v>5032.7999999999993</v>
      </c>
      <c r="AD73" s="100">
        <v>7</v>
      </c>
      <c r="AE73" s="100">
        <v>3914.3999999999996</v>
      </c>
      <c r="AF73" s="100">
        <v>9</v>
      </c>
      <c r="AG73" s="100">
        <v>5032.7999999999993</v>
      </c>
      <c r="AH73" s="100">
        <v>13</v>
      </c>
      <c r="AI73" s="100">
        <v>7269.5999999999995</v>
      </c>
      <c r="AJ73" s="100">
        <v>11</v>
      </c>
      <c r="AK73" s="100">
        <v>6151.1999999999989</v>
      </c>
      <c r="AL73" s="100">
        <v>9</v>
      </c>
      <c r="AM73" s="100">
        <v>5032.7999999999993</v>
      </c>
      <c r="AN73" s="100">
        <v>11.819537392625172</v>
      </c>
      <c r="AO73" s="100">
        <v>6609.485309955995</v>
      </c>
      <c r="AP73" s="100">
        <v>3.0986319461821714</v>
      </c>
      <c r="AQ73" s="100">
        <v>1732.7549843050701</v>
      </c>
      <c r="AR73" s="100">
        <v>3.3947715960503975</v>
      </c>
      <c r="AS73" s="100">
        <v>1898.356276511382</v>
      </c>
      <c r="AT73" s="100">
        <v>10</v>
      </c>
      <c r="AU73" s="100">
        <v>5591.9999999999991</v>
      </c>
      <c r="AV73" s="100">
        <v>9</v>
      </c>
      <c r="AW73" s="100">
        <v>5032.7999999999993</v>
      </c>
      <c r="AX73" s="100">
        <v>5.345477458620441</v>
      </c>
      <c r="AY73" s="100">
        <v>2989.1909948605503</v>
      </c>
      <c r="AZ73" s="100">
        <v>9.0771406752425268</v>
      </c>
      <c r="BA73" s="100">
        <v>5075.93706559562</v>
      </c>
      <c r="BB73" s="100">
        <v>8</v>
      </c>
      <c r="BC73" s="100">
        <v>4473.5999999999995</v>
      </c>
      <c r="BD73" s="100">
        <v>7</v>
      </c>
      <c r="BE73" s="100">
        <v>3914.3999999999996</v>
      </c>
      <c r="BF73" s="100">
        <v>6.4837426842120287</v>
      </c>
      <c r="BG73" s="100">
        <v>3625.7089090113659</v>
      </c>
      <c r="BH73" s="100">
        <v>8</v>
      </c>
      <c r="BI73" s="100">
        <v>4473.5999999999995</v>
      </c>
      <c r="BJ73" s="100">
        <v>12</v>
      </c>
      <c r="BK73" s="100">
        <v>6710.4</v>
      </c>
      <c r="BL73" s="100">
        <v>6.7141779484569533</v>
      </c>
      <c r="BM73" s="100">
        <v>3754.5683087771276</v>
      </c>
      <c r="BN73" s="100">
        <v>12</v>
      </c>
      <c r="BO73" s="100">
        <v>6710.4</v>
      </c>
      <c r="BP73" s="100">
        <v>1.6181262414650839</v>
      </c>
      <c r="BQ73" s="100">
        <v>904.85619422727484</v>
      </c>
      <c r="BR73" s="100">
        <v>7</v>
      </c>
      <c r="BS73" s="100">
        <v>3914.3999999999996</v>
      </c>
      <c r="BT73" s="100">
        <v>14</v>
      </c>
      <c r="BU73" s="100">
        <v>7828.7999999999993</v>
      </c>
      <c r="BV73" s="100">
        <v>11.024290520781939</v>
      </c>
      <c r="BW73" s="100">
        <v>6164.7832592212599</v>
      </c>
      <c r="BX73" s="100">
        <v>9</v>
      </c>
      <c r="BY73" s="100">
        <v>5032.7999999999993</v>
      </c>
      <c r="BZ73" s="100">
        <v>8</v>
      </c>
      <c r="CA73" s="100">
        <v>4473.5999999999995</v>
      </c>
      <c r="CB73" s="100">
        <v>12</v>
      </c>
      <c r="CC73" s="100">
        <v>6710.4</v>
      </c>
      <c r="CD73" s="100">
        <v>4.9579358102686983</v>
      </c>
      <c r="CE73" s="100">
        <v>2772.4777051022556</v>
      </c>
      <c r="CF73" s="100">
        <v>10</v>
      </c>
      <c r="CG73" s="100">
        <v>5591.9999999999991</v>
      </c>
      <c r="CH73" s="100">
        <v>16</v>
      </c>
      <c r="CI73" s="100">
        <v>8947.1999999999989</v>
      </c>
      <c r="CJ73" s="100">
        <v>3.3744865370761481</v>
      </c>
      <c r="CK73" s="100">
        <v>1887.0128715329818</v>
      </c>
      <c r="CL73" s="100">
        <v>8.7492509356600863</v>
      </c>
      <c r="CM73" s="100">
        <v>4892.5811232211199</v>
      </c>
      <c r="CN73" s="100">
        <v>9</v>
      </c>
      <c r="CO73" s="100">
        <v>5032.7999999999993</v>
      </c>
      <c r="CP73" s="100">
        <v>14</v>
      </c>
      <c r="CQ73" s="100">
        <v>7828.7999999999993</v>
      </c>
      <c r="CR73" s="100">
        <v>14.206802734500965</v>
      </c>
      <c r="CS73" s="100">
        <v>7944.4440891329386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8</v>
      </c>
      <c r="E74" s="100">
        <v>3225.6</v>
      </c>
      <c r="F74" s="100">
        <v>1.0856815028003322</v>
      </c>
      <c r="G74" s="100">
        <v>437.74678192909391</v>
      </c>
      <c r="H74" s="100">
        <v>10</v>
      </c>
      <c r="I74" s="100">
        <v>4032</v>
      </c>
      <c r="J74" s="100">
        <v>14</v>
      </c>
      <c r="K74" s="100">
        <v>5644.8</v>
      </c>
      <c r="L74" s="100">
        <v>13</v>
      </c>
      <c r="M74" s="100">
        <v>5241.5999999999995</v>
      </c>
      <c r="N74" s="100">
        <v>3.8881267940977682</v>
      </c>
      <c r="O74" s="100">
        <v>1567.6927233802201</v>
      </c>
      <c r="P74" s="100">
        <v>7</v>
      </c>
      <c r="Q74" s="100">
        <v>2822.4</v>
      </c>
      <c r="R74" s="100">
        <v>9</v>
      </c>
      <c r="S74" s="100">
        <v>3628.7999999999997</v>
      </c>
      <c r="T74" s="100">
        <v>15</v>
      </c>
      <c r="U74" s="100">
        <v>6048</v>
      </c>
      <c r="V74" s="100">
        <v>9</v>
      </c>
      <c r="W74" s="100">
        <v>3628.7999999999997</v>
      </c>
      <c r="X74" s="100">
        <v>10</v>
      </c>
      <c r="Y74" s="100">
        <v>4032</v>
      </c>
      <c r="Z74" s="100">
        <v>14</v>
      </c>
      <c r="AA74" s="100">
        <v>5644.8</v>
      </c>
      <c r="AB74" s="100">
        <v>11</v>
      </c>
      <c r="AC74" s="100">
        <v>4435.2</v>
      </c>
      <c r="AD74" s="100">
        <v>8</v>
      </c>
      <c r="AE74" s="100">
        <v>3225.6</v>
      </c>
      <c r="AF74" s="100">
        <v>8</v>
      </c>
      <c r="AG74" s="100">
        <v>3225.6</v>
      </c>
      <c r="AH74" s="100">
        <v>12</v>
      </c>
      <c r="AI74" s="100">
        <v>4838.3999999999996</v>
      </c>
      <c r="AJ74" s="100">
        <v>10</v>
      </c>
      <c r="AK74" s="100">
        <v>4032</v>
      </c>
      <c r="AL74" s="100">
        <v>11</v>
      </c>
      <c r="AM74" s="100">
        <v>4435.2</v>
      </c>
      <c r="AN74" s="100">
        <v>10.834575943239741</v>
      </c>
      <c r="AO74" s="100">
        <v>4368.5010203142638</v>
      </c>
      <c r="AP74" s="100">
        <v>3.3369882497346466</v>
      </c>
      <c r="AQ74" s="100">
        <v>1345.4736622930095</v>
      </c>
      <c r="AR74" s="100">
        <v>3.3947715960503975</v>
      </c>
      <c r="AS74" s="100">
        <v>1368.7719075275202</v>
      </c>
      <c r="AT74" s="100">
        <v>10</v>
      </c>
      <c r="AU74" s="100">
        <v>4032</v>
      </c>
      <c r="AV74" s="100">
        <v>10</v>
      </c>
      <c r="AW74" s="100">
        <v>4032</v>
      </c>
      <c r="AX74" s="100">
        <v>5.345477458620441</v>
      </c>
      <c r="AY74" s="100">
        <v>2155.2965113157616</v>
      </c>
      <c r="AZ74" s="100">
        <v>9.0771406752425268</v>
      </c>
      <c r="BA74" s="100">
        <v>3659.9031202577867</v>
      </c>
      <c r="BB74" s="100">
        <v>8</v>
      </c>
      <c r="BC74" s="100">
        <v>3225.6</v>
      </c>
      <c r="BD74" s="100">
        <v>9</v>
      </c>
      <c r="BE74" s="100">
        <v>3628.7999999999997</v>
      </c>
      <c r="BF74" s="100">
        <v>6.4837426842120287</v>
      </c>
      <c r="BG74" s="100">
        <v>2614.24505027429</v>
      </c>
      <c r="BH74" s="100">
        <v>9</v>
      </c>
      <c r="BI74" s="100">
        <v>3628.7999999999997</v>
      </c>
      <c r="BJ74" s="100">
        <v>13</v>
      </c>
      <c r="BK74" s="100">
        <v>5241.5999999999995</v>
      </c>
      <c r="BL74" s="100">
        <v>7.3245577619530398</v>
      </c>
      <c r="BM74" s="100">
        <v>2953.2616896194654</v>
      </c>
      <c r="BN74" s="100">
        <v>13</v>
      </c>
      <c r="BO74" s="100">
        <v>5241.5999999999995</v>
      </c>
      <c r="BP74" s="100">
        <v>1.8878139483759313</v>
      </c>
      <c r="BQ74" s="100">
        <v>761.16658398517552</v>
      </c>
      <c r="BR74" s="100">
        <v>8</v>
      </c>
      <c r="BS74" s="100">
        <v>3225.6</v>
      </c>
      <c r="BT74" s="100">
        <v>14</v>
      </c>
      <c r="BU74" s="100">
        <v>5644.8</v>
      </c>
      <c r="BV74" s="100">
        <v>11.024290520781939</v>
      </c>
      <c r="BW74" s="100">
        <v>4444.9939379792777</v>
      </c>
      <c r="BX74" s="100">
        <v>9</v>
      </c>
      <c r="BY74" s="100">
        <v>3628.7999999999997</v>
      </c>
      <c r="BZ74" s="100">
        <v>10</v>
      </c>
      <c r="CA74" s="100">
        <v>4032</v>
      </c>
      <c r="CB74" s="100">
        <v>12</v>
      </c>
      <c r="CC74" s="100">
        <v>4838.3999999999996</v>
      </c>
      <c r="CD74" s="100">
        <v>4.9579358102686983</v>
      </c>
      <c r="CE74" s="100">
        <v>1999.0397187003391</v>
      </c>
      <c r="CF74" s="100">
        <v>10</v>
      </c>
      <c r="CG74" s="100">
        <v>4032</v>
      </c>
      <c r="CH74" s="100">
        <v>14</v>
      </c>
      <c r="CI74" s="100">
        <v>5644.8</v>
      </c>
      <c r="CJ74" s="100">
        <v>4.0493838444913779</v>
      </c>
      <c r="CK74" s="100">
        <v>1632.7115660989234</v>
      </c>
      <c r="CL74" s="100">
        <v>8.1659675399494134</v>
      </c>
      <c r="CM74" s="100">
        <v>3292.5181121076034</v>
      </c>
      <c r="CN74" s="100">
        <v>10</v>
      </c>
      <c r="CO74" s="100">
        <v>4032</v>
      </c>
      <c r="CP74" s="100">
        <v>12</v>
      </c>
      <c r="CQ74" s="100">
        <v>4838.3999999999996</v>
      </c>
      <c r="CR74" s="100">
        <v>14.206802734500965</v>
      </c>
      <c r="CS74" s="100">
        <v>5728.1828625507887</v>
      </c>
      <c r="CT74" s="100">
        <v>9</v>
      </c>
      <c r="CU74" s="100">
        <v>3628.7999999999997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1.0856815028003322</v>
      </c>
      <c r="G75" s="100">
        <v>698.3103426011736</v>
      </c>
      <c r="H75" s="100">
        <v>9</v>
      </c>
      <c r="I75" s="100">
        <v>5788.7999999999993</v>
      </c>
      <c r="J75" s="100">
        <v>12</v>
      </c>
      <c r="K75" s="100">
        <v>7718.4</v>
      </c>
      <c r="L75" s="100">
        <v>14</v>
      </c>
      <c r="M75" s="100">
        <v>9004.7999999999993</v>
      </c>
      <c r="N75" s="100">
        <v>3.4993141146879916</v>
      </c>
      <c r="O75" s="100">
        <v>2250.7588385673162</v>
      </c>
      <c r="P75" s="100">
        <v>7</v>
      </c>
      <c r="Q75" s="100">
        <v>4502.3999999999996</v>
      </c>
      <c r="R75" s="100">
        <v>8</v>
      </c>
      <c r="S75" s="100">
        <v>5145.5999999999995</v>
      </c>
      <c r="T75" s="100">
        <v>13</v>
      </c>
      <c r="U75" s="100">
        <v>8361.5999999999985</v>
      </c>
      <c r="V75" s="100">
        <v>9</v>
      </c>
      <c r="W75" s="100">
        <v>5788.7999999999993</v>
      </c>
      <c r="X75" s="100">
        <v>10</v>
      </c>
      <c r="Y75" s="100">
        <v>6431.9999999999991</v>
      </c>
      <c r="Z75" s="100">
        <v>15</v>
      </c>
      <c r="AA75" s="100">
        <v>9647.9999999999982</v>
      </c>
      <c r="AB75" s="100">
        <v>9</v>
      </c>
      <c r="AC75" s="100">
        <v>5788.7999999999993</v>
      </c>
      <c r="AD75" s="100">
        <v>7</v>
      </c>
      <c r="AE75" s="100">
        <v>4502.3999999999996</v>
      </c>
      <c r="AF75" s="100">
        <v>8</v>
      </c>
      <c r="AG75" s="100">
        <v>5145.5999999999995</v>
      </c>
      <c r="AH75" s="100">
        <v>14</v>
      </c>
      <c r="AI75" s="100">
        <v>9004.7999999999993</v>
      </c>
      <c r="AJ75" s="100">
        <v>11</v>
      </c>
      <c r="AK75" s="100">
        <v>7075.1999999999989</v>
      </c>
      <c r="AL75" s="100">
        <v>10</v>
      </c>
      <c r="AM75" s="100">
        <v>6431.9999999999991</v>
      </c>
      <c r="AN75" s="100">
        <v>10.834575943239741</v>
      </c>
      <c r="AO75" s="100">
        <v>6968.7992466918013</v>
      </c>
      <c r="AP75" s="100">
        <v>3.5753445532871209</v>
      </c>
      <c r="AQ75" s="100">
        <v>2299.661616674276</v>
      </c>
      <c r="AR75" s="100">
        <v>3.3947715960503975</v>
      </c>
      <c r="AS75" s="100">
        <v>2183.5170905796153</v>
      </c>
      <c r="AT75" s="100">
        <v>9</v>
      </c>
      <c r="AU75" s="100">
        <v>5788.7999999999993</v>
      </c>
      <c r="AV75" s="100">
        <v>9</v>
      </c>
      <c r="AW75" s="100">
        <v>5788.7999999999993</v>
      </c>
      <c r="AX75" s="100">
        <v>5.7566680323604755</v>
      </c>
      <c r="AY75" s="100">
        <v>3702.6888784142575</v>
      </c>
      <c r="AZ75" s="100">
        <v>9.0771406752425268</v>
      </c>
      <c r="BA75" s="100">
        <v>5838.4168823159926</v>
      </c>
      <c r="BB75" s="100">
        <v>7</v>
      </c>
      <c r="BC75" s="100">
        <v>4502.3999999999996</v>
      </c>
      <c r="BD75" s="100">
        <v>8</v>
      </c>
      <c r="BE75" s="100">
        <v>5145.5999999999995</v>
      </c>
      <c r="BF75" s="100">
        <v>7.2942105197385319</v>
      </c>
      <c r="BG75" s="100">
        <v>4691.6362062958233</v>
      </c>
      <c r="BH75" s="100">
        <v>9</v>
      </c>
      <c r="BI75" s="100">
        <v>5788.7999999999993</v>
      </c>
      <c r="BJ75" s="100">
        <v>13</v>
      </c>
      <c r="BK75" s="100">
        <v>8361.5999999999985</v>
      </c>
      <c r="BL75" s="100">
        <v>6.7141779484569533</v>
      </c>
      <c r="BM75" s="100">
        <v>4318.5592564475119</v>
      </c>
      <c r="BN75" s="100">
        <v>11</v>
      </c>
      <c r="BO75" s="100">
        <v>7075.1999999999989</v>
      </c>
      <c r="BP75" s="100">
        <v>1.8878139483759313</v>
      </c>
      <c r="BQ75" s="100">
        <v>1214.2419315953989</v>
      </c>
      <c r="BR75" s="100">
        <v>7</v>
      </c>
      <c r="BS75" s="100">
        <v>4502.3999999999996</v>
      </c>
      <c r="BT75" s="100">
        <v>12</v>
      </c>
      <c r="BU75" s="100">
        <v>7718.4</v>
      </c>
      <c r="BV75" s="100">
        <v>11.872312868534395</v>
      </c>
      <c r="BW75" s="100">
        <v>7636.2716370413227</v>
      </c>
      <c r="BX75" s="100">
        <v>9</v>
      </c>
      <c r="BY75" s="100">
        <v>5788.7999999999993</v>
      </c>
      <c r="BZ75" s="100">
        <v>8</v>
      </c>
      <c r="CA75" s="100">
        <v>5145.5999999999995</v>
      </c>
      <c r="CB75" s="100">
        <v>12</v>
      </c>
      <c r="CC75" s="100">
        <v>7718.4</v>
      </c>
      <c r="CD75" s="100">
        <v>5.3120740824307475</v>
      </c>
      <c r="CE75" s="100">
        <v>3416.7260498194564</v>
      </c>
      <c r="CF75" s="100">
        <v>9</v>
      </c>
      <c r="CG75" s="100">
        <v>5788.7999999999993</v>
      </c>
      <c r="CH75" s="100">
        <v>15</v>
      </c>
      <c r="CI75" s="100">
        <v>9647.9999999999982</v>
      </c>
      <c r="CJ75" s="100">
        <v>3.3744865370761481</v>
      </c>
      <c r="CK75" s="100">
        <v>2170.4697406473783</v>
      </c>
      <c r="CL75" s="100">
        <v>8.1659675399494134</v>
      </c>
      <c r="CM75" s="100">
        <v>5252.3503216954623</v>
      </c>
      <c r="CN75" s="100">
        <v>9</v>
      </c>
      <c r="CO75" s="100">
        <v>5788.7999999999993</v>
      </c>
      <c r="CP75" s="100">
        <v>14</v>
      </c>
      <c r="CQ75" s="100">
        <v>9004.7999999999993</v>
      </c>
      <c r="CR75" s="100">
        <v>12.312562369900837</v>
      </c>
      <c r="CS75" s="100">
        <v>7919.4401163202174</v>
      </c>
      <c r="CT75" s="100">
        <v>8</v>
      </c>
      <c r="CU75" s="100">
        <v>5145.5999999999995</v>
      </c>
    </row>
    <row r="76" spans="2:99">
      <c r="C76" s="99" t="s">
        <v>242</v>
      </c>
      <c r="D76" s="100">
        <v>8</v>
      </c>
      <c r="E76" s="100">
        <v>6230.4</v>
      </c>
      <c r="F76" s="100">
        <v>1.0856815028003322</v>
      </c>
      <c r="G76" s="100">
        <v>845.52875438089859</v>
      </c>
      <c r="H76" s="100">
        <v>9</v>
      </c>
      <c r="I76" s="100">
        <v>7009.2</v>
      </c>
      <c r="J76" s="100">
        <v>13</v>
      </c>
      <c r="K76" s="100">
        <v>10124.4</v>
      </c>
      <c r="L76" s="100">
        <v>12</v>
      </c>
      <c r="M76" s="100">
        <v>9345.5999999999985</v>
      </c>
      <c r="N76" s="100">
        <v>3.8881267940977682</v>
      </c>
      <c r="O76" s="100">
        <v>3028.0731472433417</v>
      </c>
      <c r="P76" s="100">
        <v>7</v>
      </c>
      <c r="Q76" s="100">
        <v>5451.5999999999995</v>
      </c>
      <c r="R76" s="100">
        <v>8</v>
      </c>
      <c r="S76" s="100">
        <v>6230.4</v>
      </c>
      <c r="T76" s="100">
        <v>13</v>
      </c>
      <c r="U76" s="100">
        <v>10124.4</v>
      </c>
      <c r="V76" s="100">
        <v>8</v>
      </c>
      <c r="W76" s="100">
        <v>6230.4</v>
      </c>
      <c r="X76" s="100">
        <v>9</v>
      </c>
      <c r="Y76" s="100">
        <v>7009.2</v>
      </c>
      <c r="Z76" s="100">
        <v>15</v>
      </c>
      <c r="AA76" s="100">
        <v>11682</v>
      </c>
      <c r="AB76" s="100">
        <v>10</v>
      </c>
      <c r="AC76" s="100">
        <v>7788</v>
      </c>
      <c r="AD76" s="100">
        <v>7</v>
      </c>
      <c r="AE76" s="100">
        <v>5451.5999999999995</v>
      </c>
      <c r="AF76" s="100">
        <v>8</v>
      </c>
      <c r="AG76" s="100">
        <v>6230.4</v>
      </c>
      <c r="AH76" s="100">
        <v>14</v>
      </c>
      <c r="AI76" s="100">
        <v>10903.199999999999</v>
      </c>
      <c r="AJ76" s="100">
        <v>11</v>
      </c>
      <c r="AK76" s="100">
        <v>8566.7999999999993</v>
      </c>
      <c r="AL76" s="100">
        <v>11</v>
      </c>
      <c r="AM76" s="100">
        <v>8566.7999999999993</v>
      </c>
      <c r="AN76" s="100">
        <v>11.819537392625172</v>
      </c>
      <c r="AO76" s="100">
        <v>9205.0557213764841</v>
      </c>
      <c r="AP76" s="100">
        <v>2.8602756426296967</v>
      </c>
      <c r="AQ76" s="100">
        <v>2227.5826704800074</v>
      </c>
      <c r="AR76" s="100">
        <v>2.8289763300419977</v>
      </c>
      <c r="AS76" s="100">
        <v>2203.2067658367077</v>
      </c>
      <c r="AT76" s="100">
        <v>9</v>
      </c>
      <c r="AU76" s="100">
        <v>7009.2</v>
      </c>
      <c r="AV76" s="100">
        <v>9</v>
      </c>
      <c r="AW76" s="100">
        <v>7009.2</v>
      </c>
      <c r="AX76" s="100">
        <v>5.345477458620441</v>
      </c>
      <c r="AY76" s="100">
        <v>4163.0578447735988</v>
      </c>
      <c r="AZ76" s="100">
        <v>9.7753822656457992</v>
      </c>
      <c r="BA76" s="100">
        <v>7613.0677084849476</v>
      </c>
      <c r="BB76" s="100">
        <v>8</v>
      </c>
      <c r="BC76" s="100">
        <v>6230.4</v>
      </c>
      <c r="BD76" s="100">
        <v>9</v>
      </c>
      <c r="BE76" s="100">
        <v>7009.2</v>
      </c>
      <c r="BF76" s="100">
        <v>6.4837426842120287</v>
      </c>
      <c r="BG76" s="100">
        <v>5049.538802464328</v>
      </c>
      <c r="BH76" s="100">
        <v>8</v>
      </c>
      <c r="BI76" s="100">
        <v>6230.4</v>
      </c>
      <c r="BJ76" s="100">
        <v>11</v>
      </c>
      <c r="BK76" s="100">
        <v>8566.7999999999993</v>
      </c>
      <c r="BL76" s="100">
        <v>7.3245577619530398</v>
      </c>
      <c r="BM76" s="100">
        <v>5704.3655850090272</v>
      </c>
      <c r="BN76" s="100">
        <v>11</v>
      </c>
      <c r="BO76" s="100">
        <v>8566.7999999999993</v>
      </c>
      <c r="BP76" s="100">
        <v>1.8878139483759313</v>
      </c>
      <c r="BQ76" s="100">
        <v>1470.2295029951752</v>
      </c>
      <c r="BR76" s="100">
        <v>8</v>
      </c>
      <c r="BS76" s="100">
        <v>6230.4</v>
      </c>
      <c r="BT76" s="100">
        <v>14</v>
      </c>
      <c r="BU76" s="100">
        <v>10903.199999999999</v>
      </c>
      <c r="BV76" s="100">
        <v>10.176268173029483</v>
      </c>
      <c r="BW76" s="100">
        <v>7925.2776531553609</v>
      </c>
      <c r="BX76" s="100">
        <v>9</v>
      </c>
      <c r="BY76" s="100">
        <v>7009.2</v>
      </c>
      <c r="BZ76" s="100">
        <v>9</v>
      </c>
      <c r="CA76" s="100">
        <v>7009.2</v>
      </c>
      <c r="CB76" s="100">
        <v>13</v>
      </c>
      <c r="CC76" s="100">
        <v>10124.4</v>
      </c>
      <c r="CD76" s="100">
        <v>5.3120740824307475</v>
      </c>
      <c r="CE76" s="100">
        <v>4137.0432953970658</v>
      </c>
      <c r="CF76" s="100">
        <v>10</v>
      </c>
      <c r="CG76" s="100">
        <v>7788</v>
      </c>
      <c r="CH76" s="100">
        <v>15</v>
      </c>
      <c r="CI76" s="100">
        <v>11682</v>
      </c>
      <c r="CJ76" s="100">
        <v>3.711935190783763</v>
      </c>
      <c r="CK76" s="100">
        <v>2890.8551265823944</v>
      </c>
      <c r="CL76" s="100">
        <v>7.5826841442387414</v>
      </c>
      <c r="CM76" s="100">
        <v>5905.3944115331315</v>
      </c>
      <c r="CN76" s="100">
        <v>9</v>
      </c>
      <c r="CO76" s="100">
        <v>7009.2</v>
      </c>
      <c r="CP76" s="100">
        <v>13</v>
      </c>
      <c r="CQ76" s="100">
        <v>10124.4</v>
      </c>
      <c r="CR76" s="100">
        <v>15.153922916801029</v>
      </c>
      <c r="CS76" s="100">
        <v>11801.875167604641</v>
      </c>
      <c r="CT76" s="100">
        <v>9</v>
      </c>
      <c r="CU76" s="100">
        <v>7009.2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1.0856815028003322</v>
      </c>
      <c r="G77" s="100">
        <v>302.25373037961242</v>
      </c>
      <c r="H77" s="100">
        <v>10</v>
      </c>
      <c r="I77" s="100">
        <v>2784</v>
      </c>
      <c r="J77" s="100">
        <v>13</v>
      </c>
      <c r="K77" s="100">
        <v>3619.2</v>
      </c>
      <c r="L77" s="100">
        <v>14</v>
      </c>
      <c r="M77" s="100">
        <v>3897.5999999999995</v>
      </c>
      <c r="N77" s="100">
        <v>3.8881267940977682</v>
      </c>
      <c r="O77" s="100">
        <v>1082.4544994768187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13</v>
      </c>
      <c r="U77" s="100">
        <v>3619.2</v>
      </c>
      <c r="V77" s="100">
        <v>8</v>
      </c>
      <c r="W77" s="100">
        <v>2227.1999999999998</v>
      </c>
      <c r="X77" s="100">
        <v>9</v>
      </c>
      <c r="Y77" s="100">
        <v>2505.6</v>
      </c>
      <c r="Z77" s="100">
        <v>16</v>
      </c>
      <c r="AA77" s="100">
        <v>4454.3999999999996</v>
      </c>
      <c r="AB77" s="100">
        <v>11</v>
      </c>
      <c r="AC77" s="100">
        <v>3062.3999999999996</v>
      </c>
      <c r="AD77" s="100">
        <v>7</v>
      </c>
      <c r="AE77" s="100">
        <v>1948.7999999999997</v>
      </c>
      <c r="AF77" s="100">
        <v>8</v>
      </c>
      <c r="AG77" s="100">
        <v>2227.1999999999998</v>
      </c>
      <c r="AH77" s="100">
        <v>14</v>
      </c>
      <c r="AI77" s="100">
        <v>3897.5999999999995</v>
      </c>
      <c r="AJ77" s="100">
        <v>12</v>
      </c>
      <c r="AK77" s="100">
        <v>3340.7999999999997</v>
      </c>
      <c r="AL77" s="100">
        <v>10</v>
      </c>
      <c r="AM77" s="100">
        <v>2784</v>
      </c>
      <c r="AN77" s="100">
        <v>11.819537392625172</v>
      </c>
      <c r="AO77" s="100">
        <v>3290.5592101068478</v>
      </c>
      <c r="AP77" s="100">
        <v>3.3369882497346466</v>
      </c>
      <c r="AQ77" s="100">
        <v>929.01752872612553</v>
      </c>
      <c r="AR77" s="100">
        <v>3.3947715960503975</v>
      </c>
      <c r="AS77" s="100">
        <v>945.1044123404306</v>
      </c>
      <c r="AT77" s="100">
        <v>9</v>
      </c>
      <c r="AU77" s="100">
        <v>2505.6</v>
      </c>
      <c r="AV77" s="100">
        <v>10</v>
      </c>
      <c r="AW77" s="100">
        <v>2784</v>
      </c>
      <c r="AX77" s="100">
        <v>5.345477458620441</v>
      </c>
      <c r="AY77" s="100">
        <v>1488.1809244799306</v>
      </c>
      <c r="AZ77" s="100">
        <v>9.7753822656457992</v>
      </c>
      <c r="BA77" s="100">
        <v>2721.4664227557901</v>
      </c>
      <c r="BB77" s="100">
        <v>8</v>
      </c>
      <c r="BC77" s="100">
        <v>2227.1999999999998</v>
      </c>
      <c r="BD77" s="100">
        <v>8</v>
      </c>
      <c r="BE77" s="100">
        <v>2227.1999999999998</v>
      </c>
      <c r="BF77" s="100">
        <v>7.2942105197385319</v>
      </c>
      <c r="BG77" s="100">
        <v>2030.7082086952071</v>
      </c>
      <c r="BH77" s="100">
        <v>8</v>
      </c>
      <c r="BI77" s="100">
        <v>2227.1999999999998</v>
      </c>
      <c r="BJ77" s="100">
        <v>13</v>
      </c>
      <c r="BK77" s="100">
        <v>3619.2</v>
      </c>
      <c r="BL77" s="100">
        <v>6.7141779484569533</v>
      </c>
      <c r="BM77" s="100">
        <v>1869.2271408504157</v>
      </c>
      <c r="BN77" s="100">
        <v>12</v>
      </c>
      <c r="BO77" s="100">
        <v>3340.7999999999997</v>
      </c>
      <c r="BP77" s="100">
        <v>1.8878139483759313</v>
      </c>
      <c r="BQ77" s="100">
        <v>525.56740322785924</v>
      </c>
      <c r="BR77" s="100">
        <v>9</v>
      </c>
      <c r="BS77" s="100">
        <v>2505.6</v>
      </c>
      <c r="BT77" s="100">
        <v>14</v>
      </c>
      <c r="BU77" s="100">
        <v>3897.5999999999995</v>
      </c>
      <c r="BV77" s="100">
        <v>11.024290520781939</v>
      </c>
      <c r="BW77" s="100">
        <v>3069.1624809856917</v>
      </c>
      <c r="BX77" s="100">
        <v>9</v>
      </c>
      <c r="BY77" s="100">
        <v>2505.6</v>
      </c>
      <c r="BZ77" s="100">
        <v>10</v>
      </c>
      <c r="CA77" s="100">
        <v>2784</v>
      </c>
      <c r="CB77" s="100">
        <v>11</v>
      </c>
      <c r="CC77" s="100">
        <v>3062.3999999999996</v>
      </c>
      <c r="CD77" s="100">
        <v>5.3120740824307475</v>
      </c>
      <c r="CE77" s="100">
        <v>1478.8814245487199</v>
      </c>
      <c r="CF77" s="100">
        <v>9</v>
      </c>
      <c r="CG77" s="100">
        <v>2505.6</v>
      </c>
      <c r="CH77" s="100">
        <v>14</v>
      </c>
      <c r="CI77" s="100">
        <v>3897.5999999999995</v>
      </c>
      <c r="CJ77" s="100">
        <v>3.3744865370761481</v>
      </c>
      <c r="CK77" s="100">
        <v>939.45705192199955</v>
      </c>
      <c r="CL77" s="100">
        <v>7.5826841442387414</v>
      </c>
      <c r="CM77" s="100">
        <v>2111.0192657560656</v>
      </c>
      <c r="CN77" s="100">
        <v>9</v>
      </c>
      <c r="CO77" s="100">
        <v>2505.6</v>
      </c>
      <c r="CP77" s="100">
        <v>14</v>
      </c>
      <c r="CQ77" s="100">
        <v>3897.5999999999995</v>
      </c>
      <c r="CR77" s="100">
        <v>13.2596825522009</v>
      </c>
      <c r="CS77" s="100">
        <v>3691.4956225327301</v>
      </c>
      <c r="CT77" s="100">
        <v>9</v>
      </c>
      <c r="CU77" s="100">
        <v>2505.6</v>
      </c>
    </row>
    <row r="78" spans="2:99">
      <c r="C78" s="99" t="s">
        <v>244</v>
      </c>
      <c r="D78" s="100">
        <v>8</v>
      </c>
      <c r="E78" s="100">
        <v>4416</v>
      </c>
      <c r="F78" s="100">
        <v>1.0856815028003322</v>
      </c>
      <c r="G78" s="100">
        <v>599.29618954578336</v>
      </c>
      <c r="H78" s="100">
        <v>10</v>
      </c>
      <c r="I78" s="100">
        <v>5520</v>
      </c>
      <c r="J78" s="100">
        <v>13</v>
      </c>
      <c r="K78" s="100">
        <v>7176</v>
      </c>
      <c r="L78" s="100">
        <v>14</v>
      </c>
      <c r="M78" s="100">
        <v>7728</v>
      </c>
      <c r="N78" s="100">
        <v>4.2769394735075448</v>
      </c>
      <c r="O78" s="100">
        <v>2360.8705893761648</v>
      </c>
      <c r="P78" s="100">
        <v>8</v>
      </c>
      <c r="Q78" s="100">
        <v>4416</v>
      </c>
      <c r="R78" s="100">
        <v>9</v>
      </c>
      <c r="S78" s="100">
        <v>4968</v>
      </c>
      <c r="T78" s="100">
        <v>13</v>
      </c>
      <c r="U78" s="100">
        <v>7176</v>
      </c>
      <c r="V78" s="100">
        <v>9</v>
      </c>
      <c r="W78" s="100">
        <v>4968</v>
      </c>
      <c r="X78" s="100">
        <v>10</v>
      </c>
      <c r="Y78" s="100">
        <v>5520</v>
      </c>
      <c r="Z78" s="100">
        <v>15</v>
      </c>
      <c r="AA78" s="100">
        <v>8280</v>
      </c>
      <c r="AB78" s="100">
        <v>9</v>
      </c>
      <c r="AC78" s="100">
        <v>4968</v>
      </c>
      <c r="AD78" s="100">
        <v>7</v>
      </c>
      <c r="AE78" s="100">
        <v>3864</v>
      </c>
      <c r="AF78" s="100">
        <v>8</v>
      </c>
      <c r="AG78" s="100">
        <v>4416</v>
      </c>
      <c r="AH78" s="100">
        <v>12</v>
      </c>
      <c r="AI78" s="100">
        <v>6624</v>
      </c>
      <c r="AJ78" s="100">
        <v>10</v>
      </c>
      <c r="AK78" s="100">
        <v>5520</v>
      </c>
      <c r="AL78" s="100">
        <v>10</v>
      </c>
      <c r="AM78" s="100">
        <v>5520</v>
      </c>
      <c r="AN78" s="100">
        <v>9.8496144938543111</v>
      </c>
      <c r="AO78" s="100">
        <v>5436.9872006075793</v>
      </c>
      <c r="AP78" s="100">
        <v>3.5753445532871209</v>
      </c>
      <c r="AQ78" s="100">
        <v>1973.5901934144906</v>
      </c>
      <c r="AR78" s="100">
        <v>3.3947715960503975</v>
      </c>
      <c r="AS78" s="100">
        <v>1873.9139210198193</v>
      </c>
      <c r="AT78" s="100">
        <v>9</v>
      </c>
      <c r="AU78" s="100">
        <v>4968</v>
      </c>
      <c r="AV78" s="100">
        <v>10</v>
      </c>
      <c r="AW78" s="100">
        <v>5520</v>
      </c>
      <c r="AX78" s="100">
        <v>5.345477458620441</v>
      </c>
      <c r="AY78" s="100">
        <v>2950.7035571584834</v>
      </c>
      <c r="AZ78" s="100">
        <v>9.7753822656457992</v>
      </c>
      <c r="BA78" s="100">
        <v>5396.0110106364809</v>
      </c>
      <c r="BB78" s="100">
        <v>7</v>
      </c>
      <c r="BC78" s="100">
        <v>3864</v>
      </c>
      <c r="BD78" s="100">
        <v>8</v>
      </c>
      <c r="BE78" s="100">
        <v>4416</v>
      </c>
      <c r="BF78" s="100">
        <v>6.4837426842120287</v>
      </c>
      <c r="BG78" s="100">
        <v>3579.0259616850399</v>
      </c>
      <c r="BH78" s="100">
        <v>8</v>
      </c>
      <c r="BI78" s="100">
        <v>4416</v>
      </c>
      <c r="BJ78" s="100">
        <v>11</v>
      </c>
      <c r="BK78" s="100">
        <v>6072</v>
      </c>
      <c r="BL78" s="100">
        <v>6.1037981349608668</v>
      </c>
      <c r="BM78" s="100">
        <v>3369.2965704983985</v>
      </c>
      <c r="BN78" s="100">
        <v>12</v>
      </c>
      <c r="BO78" s="100">
        <v>6624</v>
      </c>
      <c r="BP78" s="100">
        <v>1.7529700949205076</v>
      </c>
      <c r="BQ78" s="100">
        <v>967.6394923961202</v>
      </c>
      <c r="BR78" s="100">
        <v>8</v>
      </c>
      <c r="BS78" s="100">
        <v>4416</v>
      </c>
      <c r="BT78" s="100">
        <v>13</v>
      </c>
      <c r="BU78" s="100">
        <v>7176</v>
      </c>
      <c r="BV78" s="100">
        <v>11.024290520781939</v>
      </c>
      <c r="BW78" s="100">
        <v>6085.4083674716303</v>
      </c>
      <c r="BX78" s="100">
        <v>9</v>
      </c>
      <c r="BY78" s="100">
        <v>4968</v>
      </c>
      <c r="BZ78" s="100">
        <v>9</v>
      </c>
      <c r="CA78" s="100">
        <v>4968</v>
      </c>
      <c r="CB78" s="100">
        <v>11</v>
      </c>
      <c r="CC78" s="100">
        <v>6072</v>
      </c>
      <c r="CD78" s="100">
        <v>4.9579358102686983</v>
      </c>
      <c r="CE78" s="100">
        <v>2736.7805672683216</v>
      </c>
      <c r="CF78" s="100">
        <v>9</v>
      </c>
      <c r="CG78" s="100">
        <v>4968</v>
      </c>
      <c r="CH78" s="100">
        <v>16</v>
      </c>
      <c r="CI78" s="100">
        <v>8832</v>
      </c>
      <c r="CJ78" s="100">
        <v>4.0493838444913779</v>
      </c>
      <c r="CK78" s="100">
        <v>2235.2598821592405</v>
      </c>
      <c r="CL78" s="100">
        <v>8.7492509356600863</v>
      </c>
      <c r="CM78" s="100">
        <v>4829.5865164843672</v>
      </c>
      <c r="CN78" s="100">
        <v>9</v>
      </c>
      <c r="CO78" s="100">
        <v>4968</v>
      </c>
      <c r="CP78" s="100">
        <v>14</v>
      </c>
      <c r="CQ78" s="100">
        <v>7728</v>
      </c>
      <c r="CR78" s="100">
        <v>13.2596825522009</v>
      </c>
      <c r="CS78" s="100">
        <v>7319.3447688148972</v>
      </c>
      <c r="CT78" s="100">
        <v>9</v>
      </c>
      <c r="CU78" s="100">
        <v>4968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1.0856815028003322</v>
      </c>
      <c r="G79" s="100">
        <v>822.07803392041149</v>
      </c>
      <c r="H79" s="100">
        <v>9</v>
      </c>
      <c r="I79" s="100">
        <v>6814.7999999999993</v>
      </c>
      <c r="J79" s="100">
        <v>12</v>
      </c>
      <c r="K79" s="100">
        <v>9086.4</v>
      </c>
      <c r="L79" s="100">
        <v>14</v>
      </c>
      <c r="M79" s="100">
        <v>10600.8</v>
      </c>
      <c r="N79" s="100">
        <v>4.2769394735075448</v>
      </c>
      <c r="O79" s="100">
        <v>3238.4985693399126</v>
      </c>
      <c r="P79" s="100">
        <v>7</v>
      </c>
      <c r="Q79" s="100">
        <v>5300.4</v>
      </c>
      <c r="R79" s="100">
        <v>9</v>
      </c>
      <c r="S79" s="100">
        <v>6814.7999999999993</v>
      </c>
      <c r="T79" s="100">
        <v>14</v>
      </c>
      <c r="U79" s="100">
        <v>10600.8</v>
      </c>
      <c r="V79" s="100">
        <v>8</v>
      </c>
      <c r="W79" s="100">
        <v>6057.5999999999995</v>
      </c>
      <c r="X79" s="100">
        <v>9</v>
      </c>
      <c r="Y79" s="100">
        <v>6814.7999999999993</v>
      </c>
      <c r="Z79" s="100">
        <v>15</v>
      </c>
      <c r="AA79" s="100">
        <v>11357.999999999998</v>
      </c>
      <c r="AB79" s="100">
        <v>10</v>
      </c>
      <c r="AC79" s="100">
        <v>7571.9999999999991</v>
      </c>
      <c r="AD79" s="100">
        <v>8</v>
      </c>
      <c r="AE79" s="100">
        <v>6057.5999999999995</v>
      </c>
      <c r="AF79" s="100">
        <v>9</v>
      </c>
      <c r="AG79" s="100">
        <v>6814.7999999999993</v>
      </c>
      <c r="AH79" s="100">
        <v>12</v>
      </c>
      <c r="AI79" s="100">
        <v>9086.4</v>
      </c>
      <c r="AJ79" s="100">
        <v>11</v>
      </c>
      <c r="AK79" s="100">
        <v>8329.1999999999989</v>
      </c>
      <c r="AL79" s="100">
        <v>10</v>
      </c>
      <c r="AM79" s="100">
        <v>7571.9999999999991</v>
      </c>
      <c r="AN79" s="100">
        <v>10.834575943239741</v>
      </c>
      <c r="AO79" s="100">
        <v>8203.9409042211319</v>
      </c>
      <c r="AP79" s="100">
        <v>3.0986319461821714</v>
      </c>
      <c r="AQ79" s="100">
        <v>2346.2841096491402</v>
      </c>
      <c r="AR79" s="100">
        <v>3.1118739630461971</v>
      </c>
      <c r="AS79" s="100">
        <v>2356.31096481858</v>
      </c>
      <c r="AT79" s="100">
        <v>10</v>
      </c>
      <c r="AU79" s="100">
        <v>7571.9999999999991</v>
      </c>
      <c r="AV79" s="100">
        <v>10</v>
      </c>
      <c r="AW79" s="100">
        <v>7571.9999999999991</v>
      </c>
      <c r="AX79" s="100">
        <v>5.7566680323604755</v>
      </c>
      <c r="AY79" s="100">
        <v>4358.9490341033516</v>
      </c>
      <c r="AZ79" s="100">
        <v>8.3788990848392562</v>
      </c>
      <c r="BA79" s="100">
        <v>6344.5023870402838</v>
      </c>
      <c r="BB79" s="100">
        <v>7</v>
      </c>
      <c r="BC79" s="100">
        <v>5300.4</v>
      </c>
      <c r="BD79" s="100">
        <v>9</v>
      </c>
      <c r="BE79" s="100">
        <v>6814.7999999999993</v>
      </c>
      <c r="BF79" s="100">
        <v>7.2942105197385319</v>
      </c>
      <c r="BG79" s="100">
        <v>5523.1762055460158</v>
      </c>
      <c r="BH79" s="100">
        <v>8</v>
      </c>
      <c r="BI79" s="100">
        <v>6057.5999999999995</v>
      </c>
      <c r="BJ79" s="100">
        <v>11</v>
      </c>
      <c r="BK79" s="100">
        <v>8329.1999999999989</v>
      </c>
      <c r="BL79" s="100">
        <v>6.1037981349608668</v>
      </c>
      <c r="BM79" s="100">
        <v>4621.7959477923678</v>
      </c>
      <c r="BN79" s="100">
        <v>12</v>
      </c>
      <c r="BO79" s="100">
        <v>9086.4</v>
      </c>
      <c r="BP79" s="100">
        <v>1.7529700949205076</v>
      </c>
      <c r="BQ79" s="100">
        <v>1327.3489558738083</v>
      </c>
      <c r="BR79" s="100">
        <v>7</v>
      </c>
      <c r="BS79" s="100">
        <v>5300.4</v>
      </c>
      <c r="BT79" s="100">
        <v>14</v>
      </c>
      <c r="BU79" s="100">
        <v>10600.8</v>
      </c>
      <c r="BV79" s="100">
        <v>10.176268173029483</v>
      </c>
      <c r="BW79" s="100">
        <v>7705.4702606179235</v>
      </c>
      <c r="BX79" s="100">
        <v>9</v>
      </c>
      <c r="BY79" s="100">
        <v>6814.7999999999993</v>
      </c>
      <c r="BZ79" s="100">
        <v>10</v>
      </c>
      <c r="CA79" s="100">
        <v>7571.9999999999991</v>
      </c>
      <c r="CB79" s="100">
        <v>12</v>
      </c>
      <c r="CC79" s="100">
        <v>9086.4</v>
      </c>
      <c r="CD79" s="100">
        <v>5.6662123545927985</v>
      </c>
      <c r="CE79" s="100">
        <v>4290.4559948976666</v>
      </c>
      <c r="CF79" s="100">
        <v>10</v>
      </c>
      <c r="CG79" s="100">
        <v>7571.9999999999991</v>
      </c>
      <c r="CH79" s="100">
        <v>15</v>
      </c>
      <c r="CI79" s="100">
        <v>11357.999999999998</v>
      </c>
      <c r="CJ79" s="100">
        <v>3.3744865370761481</v>
      </c>
      <c r="CK79" s="100">
        <v>2555.1612058740593</v>
      </c>
      <c r="CL79" s="100">
        <v>7.5826841442387414</v>
      </c>
      <c r="CM79" s="100">
        <v>5741.6084340175748</v>
      </c>
      <c r="CN79" s="100">
        <v>9</v>
      </c>
      <c r="CO79" s="100">
        <v>6814.7999999999993</v>
      </c>
      <c r="CP79" s="100">
        <v>13</v>
      </c>
      <c r="CQ79" s="100">
        <v>9843.5999999999985</v>
      </c>
      <c r="CR79" s="100">
        <v>15.153922916801029</v>
      </c>
      <c r="CS79" s="100">
        <v>11474.550432601738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1.0856815028003322</v>
      </c>
      <c r="G80" s="100">
        <v>874.1907460548274</v>
      </c>
      <c r="H80" s="100">
        <v>9</v>
      </c>
      <c r="I80" s="100">
        <v>7246.7999999999993</v>
      </c>
      <c r="J80" s="100">
        <v>12</v>
      </c>
      <c r="K80" s="100">
        <v>9662.4</v>
      </c>
      <c r="L80" s="100">
        <v>13</v>
      </c>
      <c r="M80" s="100">
        <v>10467.599999999999</v>
      </c>
      <c r="N80" s="100">
        <v>3.8881267940977682</v>
      </c>
      <c r="O80" s="100">
        <v>3130.7196946075228</v>
      </c>
      <c r="P80" s="100">
        <v>8</v>
      </c>
      <c r="Q80" s="100">
        <v>6441.5999999999995</v>
      </c>
      <c r="R80" s="100">
        <v>9</v>
      </c>
      <c r="S80" s="100">
        <v>7246.7999999999993</v>
      </c>
      <c r="T80" s="100">
        <v>13</v>
      </c>
      <c r="U80" s="100">
        <v>10467.599999999999</v>
      </c>
      <c r="V80" s="100">
        <v>8</v>
      </c>
      <c r="W80" s="100">
        <v>6441.5999999999995</v>
      </c>
      <c r="X80" s="100">
        <v>9</v>
      </c>
      <c r="Y80" s="100">
        <v>7246.7999999999993</v>
      </c>
      <c r="Z80" s="100">
        <v>13</v>
      </c>
      <c r="AA80" s="100">
        <v>10467.599999999999</v>
      </c>
      <c r="AB80" s="100">
        <v>9</v>
      </c>
      <c r="AC80" s="100">
        <v>7246.7999999999993</v>
      </c>
      <c r="AD80" s="100">
        <v>8</v>
      </c>
      <c r="AE80" s="100">
        <v>6441.5999999999995</v>
      </c>
      <c r="AF80" s="100">
        <v>9</v>
      </c>
      <c r="AG80" s="100">
        <v>7246.7999999999993</v>
      </c>
      <c r="AH80" s="100">
        <v>13</v>
      </c>
      <c r="AI80" s="100">
        <v>10467.599999999999</v>
      </c>
      <c r="AJ80" s="100">
        <v>10</v>
      </c>
      <c r="AK80" s="100">
        <v>8051.9999999999991</v>
      </c>
      <c r="AL80" s="100">
        <v>10</v>
      </c>
      <c r="AM80" s="100">
        <v>8051.9999999999991</v>
      </c>
      <c r="AN80" s="100">
        <v>9.8496144938543111</v>
      </c>
      <c r="AO80" s="100">
        <v>7930.9095904514907</v>
      </c>
      <c r="AP80" s="100">
        <v>3.0986319461821714</v>
      </c>
      <c r="AQ80" s="100">
        <v>2495.0184430658842</v>
      </c>
      <c r="AR80" s="100">
        <v>3.1118739630461971</v>
      </c>
      <c r="AS80" s="100">
        <v>2505.6809150447975</v>
      </c>
      <c r="AT80" s="100">
        <v>9</v>
      </c>
      <c r="AU80" s="100">
        <v>7246.7999999999993</v>
      </c>
      <c r="AV80" s="100">
        <v>10</v>
      </c>
      <c r="AW80" s="100">
        <v>8051.9999999999991</v>
      </c>
      <c r="AX80" s="100">
        <v>5.7566680323604755</v>
      </c>
      <c r="AY80" s="100">
        <v>4635.2690996566544</v>
      </c>
      <c r="AZ80" s="100">
        <v>9.0771406752425268</v>
      </c>
      <c r="BA80" s="100">
        <v>7308.9136717052816</v>
      </c>
      <c r="BB80" s="100">
        <v>7</v>
      </c>
      <c r="BC80" s="100">
        <v>5636.4</v>
      </c>
      <c r="BD80" s="100">
        <v>8</v>
      </c>
      <c r="BE80" s="100">
        <v>6441.5999999999995</v>
      </c>
      <c r="BF80" s="100">
        <v>6.4837426842120287</v>
      </c>
      <c r="BG80" s="100">
        <v>5220.709609327525</v>
      </c>
      <c r="BH80" s="100">
        <v>8</v>
      </c>
      <c r="BI80" s="100">
        <v>6441.5999999999995</v>
      </c>
      <c r="BJ80" s="100">
        <v>11</v>
      </c>
      <c r="BK80" s="100">
        <v>8857.1999999999989</v>
      </c>
      <c r="BL80" s="100">
        <v>6.1037981349608668</v>
      </c>
      <c r="BM80" s="100">
        <v>4914.7782582704895</v>
      </c>
      <c r="BN80" s="100">
        <v>12</v>
      </c>
      <c r="BO80" s="100">
        <v>9662.4</v>
      </c>
      <c r="BP80" s="100">
        <v>1.7529700949205076</v>
      </c>
      <c r="BQ80" s="100">
        <v>1411.4915204299925</v>
      </c>
      <c r="BR80" s="100">
        <v>9</v>
      </c>
      <c r="BS80" s="100">
        <v>7246.7999999999993</v>
      </c>
      <c r="BT80" s="100">
        <v>12</v>
      </c>
      <c r="BU80" s="100">
        <v>9662.4</v>
      </c>
      <c r="BV80" s="100">
        <v>11.024290520781939</v>
      </c>
      <c r="BW80" s="100">
        <v>8876.7587273336158</v>
      </c>
      <c r="BX80" s="100">
        <v>8</v>
      </c>
      <c r="BY80" s="100">
        <v>6441.5999999999995</v>
      </c>
      <c r="BZ80" s="100">
        <v>8</v>
      </c>
      <c r="CA80" s="100">
        <v>6441.5999999999995</v>
      </c>
      <c r="CB80" s="100">
        <v>13</v>
      </c>
      <c r="CC80" s="100">
        <v>10467.599999999999</v>
      </c>
      <c r="CD80" s="100">
        <v>5.3120740824307475</v>
      </c>
      <c r="CE80" s="100">
        <v>4277.282051173238</v>
      </c>
      <c r="CF80" s="100">
        <v>11</v>
      </c>
      <c r="CG80" s="100">
        <v>8857.1999999999989</v>
      </c>
      <c r="CH80" s="100">
        <v>15</v>
      </c>
      <c r="CI80" s="100">
        <v>12077.999999999998</v>
      </c>
      <c r="CJ80" s="100">
        <v>3.3744865370761481</v>
      </c>
      <c r="CK80" s="100">
        <v>2717.1365596537144</v>
      </c>
      <c r="CL80" s="100">
        <v>8.7492509356600863</v>
      </c>
      <c r="CM80" s="100">
        <v>7044.8968533935013</v>
      </c>
      <c r="CN80" s="100">
        <v>9</v>
      </c>
      <c r="CO80" s="100">
        <v>7246.7999999999993</v>
      </c>
      <c r="CP80" s="100">
        <v>12</v>
      </c>
      <c r="CQ80" s="100">
        <v>9662.4</v>
      </c>
      <c r="CR80" s="100">
        <v>14.206802734500965</v>
      </c>
      <c r="CS80" s="100">
        <v>11439.317561820175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7</v>
      </c>
      <c r="E81" s="100">
        <v>5275.2</v>
      </c>
      <c r="F81" s="100">
        <v>1.184379821236726</v>
      </c>
      <c r="G81" s="100">
        <v>892.54863328399676</v>
      </c>
      <c r="H81" s="100">
        <v>9</v>
      </c>
      <c r="I81" s="100">
        <v>6782.4000000000005</v>
      </c>
      <c r="J81" s="100">
        <v>13</v>
      </c>
      <c r="K81" s="100">
        <v>9796.8000000000011</v>
      </c>
      <c r="L81" s="100">
        <v>14</v>
      </c>
      <c r="M81" s="100">
        <v>10550.4</v>
      </c>
      <c r="N81" s="100">
        <v>3.4993141146879916</v>
      </c>
      <c r="O81" s="100">
        <v>2637.0831168288705</v>
      </c>
      <c r="P81" s="100">
        <v>7</v>
      </c>
      <c r="Q81" s="100">
        <v>5275.2</v>
      </c>
      <c r="R81" s="100">
        <v>9</v>
      </c>
      <c r="S81" s="100">
        <v>6782.4000000000005</v>
      </c>
      <c r="T81" s="100">
        <v>12</v>
      </c>
      <c r="U81" s="100">
        <v>9043.2000000000007</v>
      </c>
      <c r="V81" s="100">
        <v>9</v>
      </c>
      <c r="W81" s="100">
        <v>6782.4000000000005</v>
      </c>
      <c r="X81" s="100">
        <v>9</v>
      </c>
      <c r="Y81" s="100">
        <v>6782.4000000000005</v>
      </c>
      <c r="Z81" s="100">
        <v>14</v>
      </c>
      <c r="AA81" s="100">
        <v>10550.4</v>
      </c>
      <c r="AB81" s="100">
        <v>10</v>
      </c>
      <c r="AC81" s="100">
        <v>7536</v>
      </c>
      <c r="AD81" s="100">
        <v>7</v>
      </c>
      <c r="AE81" s="100">
        <v>5275.2</v>
      </c>
      <c r="AF81" s="100">
        <v>9</v>
      </c>
      <c r="AG81" s="100">
        <v>6782.4000000000005</v>
      </c>
      <c r="AH81" s="100">
        <v>14</v>
      </c>
      <c r="AI81" s="100">
        <v>10550.4</v>
      </c>
      <c r="AJ81" s="100">
        <v>10</v>
      </c>
      <c r="AK81" s="100">
        <v>7536</v>
      </c>
      <c r="AL81" s="100">
        <v>10</v>
      </c>
      <c r="AM81" s="100">
        <v>7536</v>
      </c>
      <c r="AN81" s="100">
        <v>10.834575943239741</v>
      </c>
      <c r="AO81" s="100">
        <v>8164.9364308254699</v>
      </c>
      <c r="AP81" s="100">
        <v>3.0986319461821714</v>
      </c>
      <c r="AQ81" s="100">
        <v>2335.1290346428846</v>
      </c>
      <c r="AR81" s="100">
        <v>3.3947715960503975</v>
      </c>
      <c r="AS81" s="100">
        <v>2558.2998747835795</v>
      </c>
      <c r="AT81" s="100">
        <v>10</v>
      </c>
      <c r="AU81" s="100">
        <v>7536</v>
      </c>
      <c r="AV81" s="100">
        <v>9</v>
      </c>
      <c r="AW81" s="100">
        <v>6782.4000000000005</v>
      </c>
      <c r="AX81" s="100">
        <v>6.1678586061005083</v>
      </c>
      <c r="AY81" s="100">
        <v>4648.098245557343</v>
      </c>
      <c r="AZ81" s="100">
        <v>9.7753822656457992</v>
      </c>
      <c r="BA81" s="100">
        <v>7366.7280753906743</v>
      </c>
      <c r="BB81" s="100">
        <v>8</v>
      </c>
      <c r="BC81" s="100">
        <v>6028.8</v>
      </c>
      <c r="BD81" s="100">
        <v>8</v>
      </c>
      <c r="BE81" s="100">
        <v>6028.8</v>
      </c>
      <c r="BF81" s="100">
        <v>6.4837426842120287</v>
      </c>
      <c r="BG81" s="100">
        <v>4886.1484868221851</v>
      </c>
      <c r="BH81" s="100">
        <v>8</v>
      </c>
      <c r="BI81" s="100">
        <v>6028.8</v>
      </c>
      <c r="BJ81" s="100">
        <v>11</v>
      </c>
      <c r="BK81" s="100">
        <v>8289.6</v>
      </c>
      <c r="BL81" s="100">
        <v>6.1037981349608668</v>
      </c>
      <c r="BM81" s="100">
        <v>4599.8222745065095</v>
      </c>
      <c r="BN81" s="100">
        <v>13</v>
      </c>
      <c r="BO81" s="100">
        <v>9796.8000000000011</v>
      </c>
      <c r="BP81" s="100">
        <v>1.7529700949205076</v>
      </c>
      <c r="BQ81" s="100">
        <v>1321.0382635320946</v>
      </c>
      <c r="BR81" s="100">
        <v>7</v>
      </c>
      <c r="BS81" s="100">
        <v>5275.2</v>
      </c>
      <c r="BT81" s="100">
        <v>13</v>
      </c>
      <c r="BU81" s="100">
        <v>9796.8000000000011</v>
      </c>
      <c r="BV81" s="100">
        <v>11.024290520781939</v>
      </c>
      <c r="BW81" s="100">
        <v>8307.9053364612701</v>
      </c>
      <c r="BX81" s="100">
        <v>8</v>
      </c>
      <c r="BY81" s="100">
        <v>6028.8</v>
      </c>
      <c r="BZ81" s="100">
        <v>8</v>
      </c>
      <c r="CA81" s="100">
        <v>6028.8</v>
      </c>
      <c r="CB81" s="100">
        <v>12</v>
      </c>
      <c r="CC81" s="100">
        <v>9043.2000000000007</v>
      </c>
      <c r="CD81" s="100">
        <v>4.9579358102686983</v>
      </c>
      <c r="CE81" s="100">
        <v>3736.3004266184912</v>
      </c>
      <c r="CF81" s="100">
        <v>9</v>
      </c>
      <c r="CG81" s="100">
        <v>6782.4000000000005</v>
      </c>
      <c r="CH81" s="100">
        <v>15</v>
      </c>
      <c r="CI81" s="100">
        <v>11304</v>
      </c>
      <c r="CJ81" s="100">
        <v>3.3744865370761481</v>
      </c>
      <c r="CK81" s="100">
        <v>2543.0130543405853</v>
      </c>
      <c r="CL81" s="100">
        <v>8.1659675399494134</v>
      </c>
      <c r="CM81" s="100">
        <v>6153.8731381058778</v>
      </c>
      <c r="CN81" s="100">
        <v>8</v>
      </c>
      <c r="CO81" s="100">
        <v>6028.8</v>
      </c>
      <c r="CP81" s="100">
        <v>13</v>
      </c>
      <c r="CQ81" s="100">
        <v>9796.8000000000011</v>
      </c>
      <c r="CR81" s="100">
        <v>14.206802734500965</v>
      </c>
      <c r="CS81" s="100">
        <v>10706.246540719927</v>
      </c>
      <c r="CT81" s="100">
        <v>8</v>
      </c>
      <c r="CU81" s="100">
        <v>6028.8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1.184379821236726</v>
      </c>
      <c r="G82" s="100">
        <v>602.61245304524607</v>
      </c>
      <c r="H82" s="100">
        <v>10</v>
      </c>
      <c r="I82" s="100">
        <v>5087.9999999999991</v>
      </c>
      <c r="J82" s="100">
        <v>12</v>
      </c>
      <c r="K82" s="100">
        <v>6105.5999999999985</v>
      </c>
      <c r="L82" s="100">
        <v>13</v>
      </c>
      <c r="M82" s="100">
        <v>6614.3999999999987</v>
      </c>
      <c r="N82" s="100">
        <v>4.2769394735075448</v>
      </c>
      <c r="O82" s="100">
        <v>2176.1068041206381</v>
      </c>
      <c r="P82" s="100">
        <v>7</v>
      </c>
      <c r="Q82" s="100">
        <v>3561.5999999999995</v>
      </c>
      <c r="R82" s="100">
        <v>9</v>
      </c>
      <c r="S82" s="100">
        <v>4579.1999999999989</v>
      </c>
      <c r="T82" s="100">
        <v>14</v>
      </c>
      <c r="U82" s="100">
        <v>7123.1999999999989</v>
      </c>
      <c r="V82" s="100">
        <v>8</v>
      </c>
      <c r="W82" s="100">
        <v>4070.3999999999992</v>
      </c>
      <c r="X82" s="100">
        <v>9</v>
      </c>
      <c r="Y82" s="100">
        <v>4579.1999999999989</v>
      </c>
      <c r="Z82" s="100">
        <v>14</v>
      </c>
      <c r="AA82" s="100">
        <v>7123.1999999999989</v>
      </c>
      <c r="AB82" s="100">
        <v>11</v>
      </c>
      <c r="AC82" s="100">
        <v>5596.7999999999993</v>
      </c>
      <c r="AD82" s="100">
        <v>7</v>
      </c>
      <c r="AE82" s="100">
        <v>3561.5999999999995</v>
      </c>
      <c r="AF82" s="100">
        <v>9</v>
      </c>
      <c r="AG82" s="100">
        <v>4579.1999999999989</v>
      </c>
      <c r="AH82" s="100">
        <v>12</v>
      </c>
      <c r="AI82" s="100">
        <v>6105.5999999999985</v>
      </c>
      <c r="AJ82" s="100">
        <v>10</v>
      </c>
      <c r="AK82" s="100">
        <v>5087.9999999999991</v>
      </c>
      <c r="AL82" s="100">
        <v>10</v>
      </c>
      <c r="AM82" s="100">
        <v>5087.9999999999991</v>
      </c>
      <c r="AN82" s="100">
        <v>9.8496144938543111</v>
      </c>
      <c r="AO82" s="100">
        <v>5011.4838544730728</v>
      </c>
      <c r="AP82" s="100">
        <v>3.3369882497346466</v>
      </c>
      <c r="AQ82" s="100">
        <v>1697.8596214649879</v>
      </c>
      <c r="AR82" s="100">
        <v>3.3947715960503975</v>
      </c>
      <c r="AS82" s="100">
        <v>1727.2597880704418</v>
      </c>
      <c r="AT82" s="100">
        <v>9</v>
      </c>
      <c r="AU82" s="100">
        <v>4579.1999999999989</v>
      </c>
      <c r="AV82" s="100">
        <v>9</v>
      </c>
      <c r="AW82" s="100">
        <v>4579.1999999999989</v>
      </c>
      <c r="AX82" s="100">
        <v>5.345477458620441</v>
      </c>
      <c r="AY82" s="100">
        <v>2719.77893094608</v>
      </c>
      <c r="AZ82" s="100">
        <v>9.7753822656457992</v>
      </c>
      <c r="BA82" s="100">
        <v>4973.7144967605818</v>
      </c>
      <c r="BB82" s="100">
        <v>8</v>
      </c>
      <c r="BC82" s="100">
        <v>4070.3999999999992</v>
      </c>
      <c r="BD82" s="100">
        <v>9</v>
      </c>
      <c r="BE82" s="100">
        <v>4579.1999999999989</v>
      </c>
      <c r="BF82" s="100">
        <v>7.2942105197385319</v>
      </c>
      <c r="BG82" s="100">
        <v>3711.2943124429644</v>
      </c>
      <c r="BH82" s="100">
        <v>8</v>
      </c>
      <c r="BI82" s="100">
        <v>4070.3999999999992</v>
      </c>
      <c r="BJ82" s="100">
        <v>13</v>
      </c>
      <c r="BK82" s="100">
        <v>6614.3999999999987</v>
      </c>
      <c r="BL82" s="100">
        <v>7.3245577619530398</v>
      </c>
      <c r="BM82" s="100">
        <v>3726.734989281706</v>
      </c>
      <c r="BN82" s="100">
        <v>14</v>
      </c>
      <c r="BO82" s="100">
        <v>7123.1999999999989</v>
      </c>
      <c r="BP82" s="100">
        <v>1.8878139483759313</v>
      </c>
      <c r="BQ82" s="100">
        <v>960.5197369336737</v>
      </c>
      <c r="BR82" s="100">
        <v>7</v>
      </c>
      <c r="BS82" s="100">
        <v>3561.5999999999995</v>
      </c>
      <c r="BT82" s="100">
        <v>13</v>
      </c>
      <c r="BU82" s="100">
        <v>6614.3999999999987</v>
      </c>
      <c r="BV82" s="100">
        <v>10.176268173029483</v>
      </c>
      <c r="BW82" s="100">
        <v>5177.6852464373997</v>
      </c>
      <c r="BX82" s="100">
        <v>8</v>
      </c>
      <c r="BY82" s="100">
        <v>4070.3999999999992</v>
      </c>
      <c r="BZ82" s="100">
        <v>8</v>
      </c>
      <c r="CA82" s="100">
        <v>4070.3999999999992</v>
      </c>
      <c r="CB82" s="100">
        <v>12</v>
      </c>
      <c r="CC82" s="100">
        <v>6105.5999999999985</v>
      </c>
      <c r="CD82" s="100">
        <v>4.6037975381066483</v>
      </c>
      <c r="CE82" s="100">
        <v>2342.412187388662</v>
      </c>
      <c r="CF82" s="100">
        <v>11</v>
      </c>
      <c r="CG82" s="100">
        <v>5596.7999999999993</v>
      </c>
      <c r="CH82" s="100">
        <v>16</v>
      </c>
      <c r="CI82" s="100">
        <v>8140.7999999999984</v>
      </c>
      <c r="CJ82" s="100">
        <v>3.3744865370761481</v>
      </c>
      <c r="CK82" s="100">
        <v>1716.9387500643438</v>
      </c>
      <c r="CL82" s="100">
        <v>8.7492509356600863</v>
      </c>
      <c r="CM82" s="100">
        <v>4451.6188760638506</v>
      </c>
      <c r="CN82" s="100">
        <v>9</v>
      </c>
      <c r="CO82" s="100">
        <v>4579.1999999999989</v>
      </c>
      <c r="CP82" s="100">
        <v>14</v>
      </c>
      <c r="CQ82" s="100">
        <v>7123.1999999999989</v>
      </c>
      <c r="CR82" s="100">
        <v>15.153922916801029</v>
      </c>
      <c r="CS82" s="100">
        <v>7710.3159800683625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8</v>
      </c>
      <c r="E83" s="100">
        <v>6883.2</v>
      </c>
      <c r="F83" s="100">
        <v>0.98698318436393817</v>
      </c>
      <c r="G83" s="100">
        <v>849.20033182673239</v>
      </c>
      <c r="H83" s="100">
        <v>9</v>
      </c>
      <c r="I83" s="100">
        <v>7743.5999999999995</v>
      </c>
      <c r="J83" s="100">
        <v>12</v>
      </c>
      <c r="K83" s="100">
        <v>10324.799999999999</v>
      </c>
      <c r="L83" s="100">
        <v>14</v>
      </c>
      <c r="M83" s="100">
        <v>12045.6</v>
      </c>
      <c r="N83" s="100">
        <v>3.8881267940977682</v>
      </c>
      <c r="O83" s="100">
        <v>3345.3442936417196</v>
      </c>
      <c r="P83" s="100">
        <v>7</v>
      </c>
      <c r="Q83" s="100">
        <v>6022.8</v>
      </c>
      <c r="R83" s="100">
        <v>9</v>
      </c>
      <c r="S83" s="100">
        <v>7743.5999999999995</v>
      </c>
      <c r="T83" s="100">
        <v>13</v>
      </c>
      <c r="U83" s="100">
        <v>11185.199999999999</v>
      </c>
      <c r="V83" s="100">
        <v>7</v>
      </c>
      <c r="W83" s="100">
        <v>6022.8</v>
      </c>
      <c r="X83" s="100">
        <v>8</v>
      </c>
      <c r="Y83" s="100">
        <v>6883.2</v>
      </c>
      <c r="Z83" s="100">
        <v>15</v>
      </c>
      <c r="AA83" s="100">
        <v>12906</v>
      </c>
      <c r="AB83" s="100">
        <v>10</v>
      </c>
      <c r="AC83" s="100">
        <v>8604</v>
      </c>
      <c r="AD83" s="100">
        <v>7</v>
      </c>
      <c r="AE83" s="100">
        <v>6022.8</v>
      </c>
      <c r="AF83" s="100">
        <v>8</v>
      </c>
      <c r="AG83" s="100">
        <v>6883.2</v>
      </c>
      <c r="AH83" s="100">
        <v>13</v>
      </c>
      <c r="AI83" s="100">
        <v>11185.199999999999</v>
      </c>
      <c r="AJ83" s="100">
        <v>10</v>
      </c>
      <c r="AK83" s="100">
        <v>8604</v>
      </c>
      <c r="AL83" s="100">
        <v>9</v>
      </c>
      <c r="AM83" s="100">
        <v>7743.5999999999995</v>
      </c>
      <c r="AN83" s="100">
        <v>9.8496144938543111</v>
      </c>
      <c r="AO83" s="100">
        <v>8474.6083105122489</v>
      </c>
      <c r="AP83" s="100">
        <v>3.0986319461821714</v>
      </c>
      <c r="AQ83" s="100">
        <v>2666.0629264951403</v>
      </c>
      <c r="AR83" s="100">
        <v>3.1118739630461971</v>
      </c>
      <c r="AS83" s="100">
        <v>2677.4563578049479</v>
      </c>
      <c r="AT83" s="100">
        <v>9</v>
      </c>
      <c r="AU83" s="100">
        <v>7743.5999999999995</v>
      </c>
      <c r="AV83" s="100">
        <v>9</v>
      </c>
      <c r="AW83" s="100">
        <v>7743.5999999999995</v>
      </c>
      <c r="AX83" s="100">
        <v>4.9342868848804073</v>
      </c>
      <c r="AY83" s="100">
        <v>4245.4604357511025</v>
      </c>
      <c r="AZ83" s="100">
        <v>9.7753822656457992</v>
      </c>
      <c r="BA83" s="100">
        <v>8410.7389013616448</v>
      </c>
      <c r="BB83" s="100">
        <v>7</v>
      </c>
      <c r="BC83" s="100">
        <v>6022.8</v>
      </c>
      <c r="BD83" s="100">
        <v>9</v>
      </c>
      <c r="BE83" s="100">
        <v>7743.5999999999995</v>
      </c>
      <c r="BF83" s="100">
        <v>5.6732748486855247</v>
      </c>
      <c r="BG83" s="100">
        <v>4881.2856798090252</v>
      </c>
      <c r="BH83" s="100">
        <v>8</v>
      </c>
      <c r="BI83" s="100">
        <v>6883.2</v>
      </c>
      <c r="BJ83" s="100">
        <v>12</v>
      </c>
      <c r="BK83" s="100">
        <v>10324.799999999999</v>
      </c>
      <c r="BL83" s="100">
        <v>7.3245577619530398</v>
      </c>
      <c r="BM83" s="100">
        <v>6302.0494983843955</v>
      </c>
      <c r="BN83" s="100">
        <v>12</v>
      </c>
      <c r="BO83" s="100">
        <v>10324.799999999999</v>
      </c>
      <c r="BP83" s="100">
        <v>1.6181262414650839</v>
      </c>
      <c r="BQ83" s="100">
        <v>1392.235818156558</v>
      </c>
      <c r="BR83" s="100">
        <v>8</v>
      </c>
      <c r="BS83" s="100">
        <v>6883.2</v>
      </c>
      <c r="BT83" s="100">
        <v>14</v>
      </c>
      <c r="BU83" s="100">
        <v>12045.6</v>
      </c>
      <c r="BV83" s="100">
        <v>11.024290520781939</v>
      </c>
      <c r="BW83" s="100">
        <v>9485.2995640807803</v>
      </c>
      <c r="BX83" s="100">
        <v>9</v>
      </c>
      <c r="BY83" s="100">
        <v>7743.5999999999995</v>
      </c>
      <c r="BZ83" s="100">
        <v>9</v>
      </c>
      <c r="CA83" s="100">
        <v>7743.5999999999995</v>
      </c>
      <c r="CB83" s="100">
        <v>11</v>
      </c>
      <c r="CC83" s="100">
        <v>9464.4</v>
      </c>
      <c r="CD83" s="100">
        <v>5.3120740824307475</v>
      </c>
      <c r="CE83" s="100">
        <v>4570.5085405234149</v>
      </c>
      <c r="CF83" s="100">
        <v>9</v>
      </c>
      <c r="CG83" s="100">
        <v>7743.5999999999995</v>
      </c>
      <c r="CH83" s="100">
        <v>13</v>
      </c>
      <c r="CI83" s="100">
        <v>11185.199999999999</v>
      </c>
      <c r="CJ83" s="100">
        <v>3.711935190783763</v>
      </c>
      <c r="CK83" s="100">
        <v>3193.7490381503494</v>
      </c>
      <c r="CL83" s="100">
        <v>8.1659675399494134</v>
      </c>
      <c r="CM83" s="100">
        <v>7025.9984713724753</v>
      </c>
      <c r="CN83" s="100">
        <v>10</v>
      </c>
      <c r="CO83" s="100">
        <v>8604</v>
      </c>
      <c r="CP83" s="100">
        <v>12</v>
      </c>
      <c r="CQ83" s="100">
        <v>10324.799999999999</v>
      </c>
      <c r="CR83" s="100">
        <v>13.2596825522009</v>
      </c>
      <c r="CS83" s="100">
        <v>11408.630867913655</v>
      </c>
      <c r="CT83" s="100">
        <v>9</v>
      </c>
      <c r="CU83" s="100">
        <v>7743.5999999999995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1.0856815028003322</v>
      </c>
      <c r="G84" s="100">
        <v>848.13438998761944</v>
      </c>
      <c r="H84" s="100">
        <v>9</v>
      </c>
      <c r="I84" s="100">
        <v>7030.7999999999993</v>
      </c>
      <c r="J84" s="100">
        <v>13</v>
      </c>
      <c r="K84" s="100">
        <v>10155.599999999999</v>
      </c>
      <c r="L84" s="100">
        <v>13</v>
      </c>
      <c r="M84" s="100">
        <v>10155.599999999999</v>
      </c>
      <c r="N84" s="100">
        <v>3.8881267940977682</v>
      </c>
      <c r="O84" s="100">
        <v>3037.4046515491764</v>
      </c>
      <c r="P84" s="100">
        <v>8</v>
      </c>
      <c r="Q84" s="100">
        <v>6249.5999999999995</v>
      </c>
      <c r="R84" s="100">
        <v>9</v>
      </c>
      <c r="S84" s="100">
        <v>7030.7999999999993</v>
      </c>
      <c r="T84" s="100">
        <v>12</v>
      </c>
      <c r="U84" s="100">
        <v>9374.4</v>
      </c>
      <c r="V84" s="100">
        <v>8</v>
      </c>
      <c r="W84" s="100">
        <v>6249.5999999999995</v>
      </c>
      <c r="X84" s="100">
        <v>9</v>
      </c>
      <c r="Y84" s="100">
        <v>7030.7999999999993</v>
      </c>
      <c r="Z84" s="100">
        <v>15</v>
      </c>
      <c r="AA84" s="100">
        <v>11717.999999999998</v>
      </c>
      <c r="AB84" s="100">
        <v>11</v>
      </c>
      <c r="AC84" s="100">
        <v>8593.1999999999989</v>
      </c>
      <c r="AD84" s="100">
        <v>7</v>
      </c>
      <c r="AE84" s="100">
        <v>5468.4</v>
      </c>
      <c r="AF84" s="100">
        <v>8</v>
      </c>
      <c r="AG84" s="100">
        <v>6249.5999999999995</v>
      </c>
      <c r="AH84" s="100">
        <v>12</v>
      </c>
      <c r="AI84" s="100">
        <v>9374.4</v>
      </c>
      <c r="AJ84" s="100">
        <v>10</v>
      </c>
      <c r="AK84" s="100">
        <v>7811.9999999999991</v>
      </c>
      <c r="AL84" s="100">
        <v>11</v>
      </c>
      <c r="AM84" s="100">
        <v>8593.1999999999989</v>
      </c>
      <c r="AN84" s="100">
        <v>10.834575943239741</v>
      </c>
      <c r="AO84" s="100">
        <v>8463.9707268588845</v>
      </c>
      <c r="AP84" s="100">
        <v>3.0986319461821714</v>
      </c>
      <c r="AQ84" s="100">
        <v>2420.651276357512</v>
      </c>
      <c r="AR84" s="100">
        <v>3.1118739630461971</v>
      </c>
      <c r="AS84" s="100">
        <v>2430.995939931689</v>
      </c>
      <c r="AT84" s="100">
        <v>10</v>
      </c>
      <c r="AU84" s="100">
        <v>7811.9999999999991</v>
      </c>
      <c r="AV84" s="100">
        <v>10</v>
      </c>
      <c r="AW84" s="100">
        <v>7811.9999999999991</v>
      </c>
      <c r="AX84" s="100">
        <v>4.9342868848804073</v>
      </c>
      <c r="AY84" s="100">
        <v>3854.6649144685739</v>
      </c>
      <c r="AZ84" s="100">
        <v>9.7753822656457992</v>
      </c>
      <c r="BA84" s="100">
        <v>7636.5286259224977</v>
      </c>
      <c r="BB84" s="100">
        <v>7</v>
      </c>
      <c r="BC84" s="100">
        <v>5468.4</v>
      </c>
      <c r="BD84" s="100">
        <v>8</v>
      </c>
      <c r="BE84" s="100">
        <v>6249.5999999999995</v>
      </c>
      <c r="BF84" s="100">
        <v>5.6732748486855247</v>
      </c>
      <c r="BG84" s="100">
        <v>4431.9623117931314</v>
      </c>
      <c r="BH84" s="100">
        <v>8</v>
      </c>
      <c r="BI84" s="100">
        <v>6249.5999999999995</v>
      </c>
      <c r="BJ84" s="100">
        <v>13</v>
      </c>
      <c r="BK84" s="100">
        <v>10155.599999999999</v>
      </c>
      <c r="BL84" s="100">
        <v>6.1037981349608668</v>
      </c>
      <c r="BM84" s="100">
        <v>4768.2871030314291</v>
      </c>
      <c r="BN84" s="100">
        <v>13</v>
      </c>
      <c r="BO84" s="100">
        <v>10155.599999999999</v>
      </c>
      <c r="BP84" s="100">
        <v>1.7529700949205076</v>
      </c>
      <c r="BQ84" s="100">
        <v>1369.4202381519003</v>
      </c>
      <c r="BR84" s="100">
        <v>8</v>
      </c>
      <c r="BS84" s="100">
        <v>6249.5999999999995</v>
      </c>
      <c r="BT84" s="100">
        <v>13</v>
      </c>
      <c r="BU84" s="100">
        <v>10155.599999999999</v>
      </c>
      <c r="BV84" s="100">
        <v>11.872312868534395</v>
      </c>
      <c r="BW84" s="100">
        <v>9274.6508128990681</v>
      </c>
      <c r="BX84" s="100">
        <v>9</v>
      </c>
      <c r="BY84" s="100">
        <v>7030.7999999999993</v>
      </c>
      <c r="BZ84" s="100">
        <v>9</v>
      </c>
      <c r="CA84" s="100">
        <v>7030.7999999999993</v>
      </c>
      <c r="CB84" s="100">
        <v>12</v>
      </c>
      <c r="CC84" s="100">
        <v>9374.4</v>
      </c>
      <c r="CD84" s="100">
        <v>4.9579358102686983</v>
      </c>
      <c r="CE84" s="100">
        <v>3873.139454981907</v>
      </c>
      <c r="CF84" s="100">
        <v>9</v>
      </c>
      <c r="CG84" s="100">
        <v>7030.7999999999993</v>
      </c>
      <c r="CH84" s="100">
        <v>14</v>
      </c>
      <c r="CI84" s="100">
        <v>10936.8</v>
      </c>
      <c r="CJ84" s="100">
        <v>3.3744865370761481</v>
      </c>
      <c r="CK84" s="100">
        <v>2636.1488827638868</v>
      </c>
      <c r="CL84" s="100">
        <v>7.5826841442387414</v>
      </c>
      <c r="CM84" s="100">
        <v>5923.5928534793038</v>
      </c>
      <c r="CN84" s="100">
        <v>9</v>
      </c>
      <c r="CO84" s="100">
        <v>7030.7999999999993</v>
      </c>
      <c r="CP84" s="100">
        <v>14</v>
      </c>
      <c r="CQ84" s="100">
        <v>10936.8</v>
      </c>
      <c r="CR84" s="100">
        <v>14.206802734500965</v>
      </c>
      <c r="CS84" s="100">
        <v>11098.354296192152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8</v>
      </c>
      <c r="E85" s="100">
        <v>1200</v>
      </c>
      <c r="F85" s="100">
        <v>1.0856815028003322</v>
      </c>
      <c r="G85" s="100">
        <v>162.85222542004982</v>
      </c>
      <c r="H85" s="100">
        <v>10</v>
      </c>
      <c r="I85" s="100">
        <v>1500</v>
      </c>
      <c r="J85" s="100">
        <v>12</v>
      </c>
      <c r="K85" s="100">
        <v>1800</v>
      </c>
      <c r="L85" s="100">
        <v>13</v>
      </c>
      <c r="M85" s="100">
        <v>1950</v>
      </c>
      <c r="N85" s="100">
        <v>4.6657521529173218</v>
      </c>
      <c r="O85" s="100">
        <v>699.86282293759825</v>
      </c>
      <c r="P85" s="100">
        <v>8</v>
      </c>
      <c r="Q85" s="100">
        <v>1200</v>
      </c>
      <c r="R85" s="100">
        <v>10</v>
      </c>
      <c r="S85" s="100">
        <v>1500</v>
      </c>
      <c r="T85" s="100">
        <v>13</v>
      </c>
      <c r="U85" s="100">
        <v>1950</v>
      </c>
      <c r="V85" s="100">
        <v>8</v>
      </c>
      <c r="W85" s="100">
        <v>1200</v>
      </c>
      <c r="X85" s="100">
        <v>10</v>
      </c>
      <c r="Y85" s="100">
        <v>1500</v>
      </c>
      <c r="Z85" s="100">
        <v>14</v>
      </c>
      <c r="AA85" s="100">
        <v>2100</v>
      </c>
      <c r="AB85" s="100">
        <v>10</v>
      </c>
      <c r="AC85" s="100">
        <v>1500</v>
      </c>
      <c r="AD85" s="100">
        <v>7</v>
      </c>
      <c r="AE85" s="100">
        <v>1050</v>
      </c>
      <c r="AF85" s="100">
        <v>9</v>
      </c>
      <c r="AG85" s="100">
        <v>1350</v>
      </c>
      <c r="AH85" s="100">
        <v>14</v>
      </c>
      <c r="AI85" s="100">
        <v>2100</v>
      </c>
      <c r="AJ85" s="100">
        <v>11</v>
      </c>
      <c r="AK85" s="100">
        <v>1650</v>
      </c>
      <c r="AL85" s="100">
        <v>10</v>
      </c>
      <c r="AM85" s="100">
        <v>1500</v>
      </c>
      <c r="AN85" s="100">
        <v>10.834575943239741</v>
      </c>
      <c r="AO85" s="100">
        <v>1625.1863914859612</v>
      </c>
      <c r="AP85" s="100">
        <v>3.5753445532871209</v>
      </c>
      <c r="AQ85" s="100">
        <v>536.30168299306808</v>
      </c>
      <c r="AR85" s="100">
        <v>3.1118739630461971</v>
      </c>
      <c r="AS85" s="100">
        <v>466.78109445692957</v>
      </c>
      <c r="AT85" s="100">
        <v>11</v>
      </c>
      <c r="AU85" s="100">
        <v>1650</v>
      </c>
      <c r="AV85" s="100">
        <v>9</v>
      </c>
      <c r="AW85" s="100">
        <v>1350</v>
      </c>
      <c r="AX85" s="100">
        <v>6.1678586061005083</v>
      </c>
      <c r="AY85" s="100">
        <v>925.17879091507621</v>
      </c>
      <c r="AZ85" s="100">
        <v>10.47362385604907</v>
      </c>
      <c r="BA85" s="100">
        <v>1571.0435784073604</v>
      </c>
      <c r="BB85" s="100">
        <v>7</v>
      </c>
      <c r="BC85" s="100">
        <v>1050</v>
      </c>
      <c r="BD85" s="100">
        <v>8</v>
      </c>
      <c r="BE85" s="100">
        <v>1200</v>
      </c>
      <c r="BF85" s="100">
        <v>7.2942105197385319</v>
      </c>
      <c r="BG85" s="100">
        <v>1094.1315779607799</v>
      </c>
      <c r="BH85" s="100">
        <v>8</v>
      </c>
      <c r="BI85" s="100">
        <v>1200</v>
      </c>
      <c r="BJ85" s="100">
        <v>12</v>
      </c>
      <c r="BK85" s="100">
        <v>1800</v>
      </c>
      <c r="BL85" s="100">
        <v>6.7141779484569533</v>
      </c>
      <c r="BM85" s="100">
        <v>1007.126692268543</v>
      </c>
      <c r="BN85" s="100">
        <v>11</v>
      </c>
      <c r="BO85" s="100">
        <v>1650</v>
      </c>
      <c r="BP85" s="100">
        <v>1.8878139483759313</v>
      </c>
      <c r="BQ85" s="100">
        <v>283.1720922563897</v>
      </c>
      <c r="BR85" s="100">
        <v>7</v>
      </c>
      <c r="BS85" s="100">
        <v>1050</v>
      </c>
      <c r="BT85" s="100">
        <v>14</v>
      </c>
      <c r="BU85" s="100">
        <v>2100</v>
      </c>
      <c r="BV85" s="100">
        <v>11.024290520781939</v>
      </c>
      <c r="BW85" s="100">
        <v>1653.6435781172909</v>
      </c>
      <c r="BX85" s="100">
        <v>9</v>
      </c>
      <c r="BY85" s="100">
        <v>1350</v>
      </c>
      <c r="BZ85" s="100">
        <v>9</v>
      </c>
      <c r="CA85" s="100">
        <v>1350</v>
      </c>
      <c r="CB85" s="100">
        <v>11</v>
      </c>
      <c r="CC85" s="100">
        <v>1650</v>
      </c>
      <c r="CD85" s="100">
        <v>4.9579358102686983</v>
      </c>
      <c r="CE85" s="100">
        <v>743.6903715403048</v>
      </c>
      <c r="CF85" s="100">
        <v>11</v>
      </c>
      <c r="CG85" s="100">
        <v>1650</v>
      </c>
      <c r="CH85" s="100">
        <v>17</v>
      </c>
      <c r="CI85" s="100">
        <v>2550</v>
      </c>
      <c r="CJ85" s="100">
        <v>3.3744865370761481</v>
      </c>
      <c r="CK85" s="100">
        <v>506.17298056142221</v>
      </c>
      <c r="CL85" s="100">
        <v>8.1659675399494134</v>
      </c>
      <c r="CM85" s="100">
        <v>1224.8951309924121</v>
      </c>
      <c r="CN85" s="100">
        <v>10</v>
      </c>
      <c r="CO85" s="100">
        <v>1500</v>
      </c>
      <c r="CP85" s="100">
        <v>15</v>
      </c>
      <c r="CQ85" s="100">
        <v>2250</v>
      </c>
      <c r="CR85" s="100">
        <v>13.2596825522009</v>
      </c>
      <c r="CS85" s="100">
        <v>1988.9523828301349</v>
      </c>
      <c r="CT85" s="100">
        <v>9</v>
      </c>
      <c r="CU85" s="100">
        <v>1350</v>
      </c>
    </row>
    <row r="86" spans="2:99">
      <c r="C86" s="99" t="s">
        <v>252</v>
      </c>
      <c r="D86" s="100">
        <v>9</v>
      </c>
      <c r="E86" s="100">
        <v>4860</v>
      </c>
      <c r="F86" s="100">
        <v>1.184379821236726</v>
      </c>
      <c r="G86" s="100">
        <v>639.56510346783205</v>
      </c>
      <c r="H86" s="100">
        <v>10</v>
      </c>
      <c r="I86" s="100">
        <v>5400</v>
      </c>
      <c r="J86" s="100">
        <v>13</v>
      </c>
      <c r="K86" s="100">
        <v>7020</v>
      </c>
      <c r="L86" s="100">
        <v>14</v>
      </c>
      <c r="M86" s="100">
        <v>7560</v>
      </c>
      <c r="N86" s="100">
        <v>3.8881267940977682</v>
      </c>
      <c r="O86" s="100">
        <v>2099.5884688127949</v>
      </c>
      <c r="P86" s="100">
        <v>7</v>
      </c>
      <c r="Q86" s="100">
        <v>3780</v>
      </c>
      <c r="R86" s="100">
        <v>9</v>
      </c>
      <c r="S86" s="100">
        <v>4860</v>
      </c>
      <c r="T86" s="100">
        <v>15</v>
      </c>
      <c r="U86" s="100">
        <v>8100</v>
      </c>
      <c r="V86" s="100">
        <v>8</v>
      </c>
      <c r="W86" s="100">
        <v>4320</v>
      </c>
      <c r="X86" s="100">
        <v>9</v>
      </c>
      <c r="Y86" s="100">
        <v>4860</v>
      </c>
      <c r="Z86" s="100">
        <v>14</v>
      </c>
      <c r="AA86" s="100">
        <v>7560</v>
      </c>
      <c r="AB86" s="100">
        <v>11</v>
      </c>
      <c r="AC86" s="100">
        <v>5940</v>
      </c>
      <c r="AD86" s="100">
        <v>7</v>
      </c>
      <c r="AE86" s="100">
        <v>3780</v>
      </c>
      <c r="AF86" s="100">
        <v>9</v>
      </c>
      <c r="AG86" s="100">
        <v>4860</v>
      </c>
      <c r="AH86" s="100">
        <v>14</v>
      </c>
      <c r="AI86" s="100">
        <v>7560</v>
      </c>
      <c r="AJ86" s="100">
        <v>11</v>
      </c>
      <c r="AK86" s="100">
        <v>5940</v>
      </c>
      <c r="AL86" s="100">
        <v>11</v>
      </c>
      <c r="AM86" s="100">
        <v>5940</v>
      </c>
      <c r="AN86" s="100">
        <v>9.8496144938543111</v>
      </c>
      <c r="AO86" s="100">
        <v>5318.7918266813276</v>
      </c>
      <c r="AP86" s="100">
        <v>3.0986319461821714</v>
      </c>
      <c r="AQ86" s="100">
        <v>1673.2612509383725</v>
      </c>
      <c r="AR86" s="100">
        <v>3.1118739630461971</v>
      </c>
      <c r="AS86" s="100">
        <v>1680.4119400449465</v>
      </c>
      <c r="AT86" s="100">
        <v>10</v>
      </c>
      <c r="AU86" s="100">
        <v>5400</v>
      </c>
      <c r="AV86" s="100">
        <v>9</v>
      </c>
      <c r="AW86" s="100">
        <v>4860</v>
      </c>
      <c r="AX86" s="100">
        <v>5.345477458620441</v>
      </c>
      <c r="AY86" s="100">
        <v>2886.5578276550382</v>
      </c>
      <c r="AZ86" s="100">
        <v>9.0771406752425268</v>
      </c>
      <c r="BA86" s="100">
        <v>4901.6559646309643</v>
      </c>
      <c r="BB86" s="100">
        <v>7</v>
      </c>
      <c r="BC86" s="100">
        <v>3780</v>
      </c>
      <c r="BD86" s="100">
        <v>8</v>
      </c>
      <c r="BE86" s="100">
        <v>4320</v>
      </c>
      <c r="BF86" s="100">
        <v>7.2942105197385319</v>
      </c>
      <c r="BG86" s="100">
        <v>3938.8736806588072</v>
      </c>
      <c r="BH86" s="100">
        <v>8</v>
      </c>
      <c r="BI86" s="100">
        <v>4320</v>
      </c>
      <c r="BJ86" s="100">
        <v>12</v>
      </c>
      <c r="BK86" s="100">
        <v>6480</v>
      </c>
      <c r="BL86" s="100">
        <v>6.7141779484569533</v>
      </c>
      <c r="BM86" s="100">
        <v>3625.6560921667547</v>
      </c>
      <c r="BN86" s="100">
        <v>12</v>
      </c>
      <c r="BO86" s="100">
        <v>6480</v>
      </c>
      <c r="BP86" s="100">
        <v>1.8878139483759313</v>
      </c>
      <c r="BQ86" s="100">
        <v>1019.4195321230029</v>
      </c>
      <c r="BR86" s="100">
        <v>8</v>
      </c>
      <c r="BS86" s="100">
        <v>4320</v>
      </c>
      <c r="BT86" s="100">
        <v>14</v>
      </c>
      <c r="BU86" s="100">
        <v>7560</v>
      </c>
      <c r="BV86" s="100">
        <v>10.176268173029483</v>
      </c>
      <c r="BW86" s="100">
        <v>5495.1848134359207</v>
      </c>
      <c r="BX86" s="100">
        <v>8</v>
      </c>
      <c r="BY86" s="100">
        <v>4320</v>
      </c>
      <c r="BZ86" s="100">
        <v>8</v>
      </c>
      <c r="CA86" s="100">
        <v>4320</v>
      </c>
      <c r="CB86" s="100">
        <v>12</v>
      </c>
      <c r="CC86" s="100">
        <v>6480</v>
      </c>
      <c r="CD86" s="100">
        <v>4.9579358102686983</v>
      </c>
      <c r="CE86" s="100">
        <v>2677.2853375450973</v>
      </c>
      <c r="CF86" s="100">
        <v>10</v>
      </c>
      <c r="CG86" s="100">
        <v>5400</v>
      </c>
      <c r="CH86" s="100">
        <v>15</v>
      </c>
      <c r="CI86" s="100">
        <v>8100</v>
      </c>
      <c r="CJ86" s="100">
        <v>4.0493838444913779</v>
      </c>
      <c r="CK86" s="100">
        <v>2186.6672760253441</v>
      </c>
      <c r="CL86" s="100">
        <v>7.5826841442387414</v>
      </c>
      <c r="CM86" s="100">
        <v>4094.6494378889201</v>
      </c>
      <c r="CN86" s="100">
        <v>8</v>
      </c>
      <c r="CO86" s="100">
        <v>4320</v>
      </c>
      <c r="CP86" s="100">
        <v>12</v>
      </c>
      <c r="CQ86" s="100">
        <v>6480</v>
      </c>
      <c r="CR86" s="100">
        <v>14.206802734500965</v>
      </c>
      <c r="CS86" s="100">
        <v>7671.6734766305208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9</v>
      </c>
      <c r="G87" s="100">
        <v>9666</v>
      </c>
      <c r="H87" s="100">
        <v>7.8957598519088306</v>
      </c>
      <c r="I87" s="100">
        <v>8480.0460809500837</v>
      </c>
      <c r="J87" s="100">
        <v>0.73315845741386043</v>
      </c>
      <c r="K87" s="100">
        <v>787.41218326248611</v>
      </c>
      <c r="L87" s="100">
        <v>6</v>
      </c>
      <c r="M87" s="100">
        <v>6444</v>
      </c>
      <c r="N87" s="100">
        <v>7</v>
      </c>
      <c r="O87" s="100">
        <v>7518</v>
      </c>
      <c r="P87" s="100">
        <v>7</v>
      </c>
      <c r="Q87" s="100">
        <v>7518</v>
      </c>
      <c r="R87" s="100">
        <v>4.9868935827998602</v>
      </c>
      <c r="S87" s="100">
        <v>5355.9237079270497</v>
      </c>
      <c r="T87" s="100">
        <v>9</v>
      </c>
      <c r="U87" s="100">
        <v>9666</v>
      </c>
      <c r="V87" s="100">
        <v>11</v>
      </c>
      <c r="W87" s="100">
        <v>11814</v>
      </c>
      <c r="X87" s="100">
        <v>6</v>
      </c>
      <c r="Y87" s="100">
        <v>6444</v>
      </c>
      <c r="Z87" s="100">
        <v>2.0945825003630625</v>
      </c>
      <c r="AA87" s="100">
        <v>2249.5816053899289</v>
      </c>
      <c r="AB87" s="100">
        <v>7</v>
      </c>
      <c r="AC87" s="100">
        <v>7518</v>
      </c>
      <c r="AD87" s="100">
        <v>7.4414780764879875</v>
      </c>
      <c r="AE87" s="100">
        <v>7992.1474541480984</v>
      </c>
      <c r="AF87" s="100">
        <v>5</v>
      </c>
      <c r="AG87" s="100">
        <v>5370</v>
      </c>
      <c r="AH87" s="100">
        <v>3.9904315009229552</v>
      </c>
      <c r="AI87" s="100">
        <v>4285.7234319912541</v>
      </c>
      <c r="AJ87" s="100">
        <v>9</v>
      </c>
      <c r="AK87" s="100">
        <v>9666</v>
      </c>
      <c r="AL87" s="100">
        <v>3.310097788123489</v>
      </c>
      <c r="AM87" s="100">
        <v>3555.045024444627</v>
      </c>
      <c r="AN87" s="100">
        <v>9</v>
      </c>
      <c r="AO87" s="100">
        <v>9666</v>
      </c>
      <c r="AP87" s="100">
        <v>10</v>
      </c>
      <c r="AQ87" s="100">
        <v>10740</v>
      </c>
      <c r="AR87" s="100">
        <v>2.2537519882822146</v>
      </c>
      <c r="AS87" s="100">
        <v>2420.5296354150983</v>
      </c>
      <c r="AT87" s="100">
        <v>5.1041271806140482</v>
      </c>
      <c r="AU87" s="100">
        <v>5481.8325919794879</v>
      </c>
      <c r="AV87" s="100">
        <v>0</v>
      </c>
      <c r="AW87" s="100">
        <v>0</v>
      </c>
      <c r="AX87" s="100">
        <v>0</v>
      </c>
      <c r="AY87" s="100">
        <v>0</v>
      </c>
      <c r="AZ87" s="100">
        <v>6</v>
      </c>
      <c r="BA87" s="100">
        <v>6444</v>
      </c>
      <c r="BB87" s="100">
        <v>1.0679048554840072</v>
      </c>
      <c r="BC87" s="100">
        <v>1146.9298147898237</v>
      </c>
      <c r="BD87" s="100">
        <v>10</v>
      </c>
      <c r="BE87" s="100">
        <v>10740</v>
      </c>
      <c r="BF87" s="100">
        <v>3.5966503309442235</v>
      </c>
      <c r="BG87" s="100">
        <v>3862.8024554340959</v>
      </c>
      <c r="BH87" s="100">
        <v>7</v>
      </c>
      <c r="BI87" s="100">
        <v>7518</v>
      </c>
      <c r="BJ87" s="100">
        <v>9</v>
      </c>
      <c r="BK87" s="100">
        <v>9666</v>
      </c>
      <c r="BL87" s="100">
        <v>4.5180160359242043</v>
      </c>
      <c r="BM87" s="100">
        <v>4852.3492225825958</v>
      </c>
      <c r="BN87" s="100">
        <v>6.3801589757675607</v>
      </c>
      <c r="BO87" s="100">
        <v>6852.2907399743599</v>
      </c>
      <c r="BP87" s="100">
        <v>7.5720568064054579</v>
      </c>
      <c r="BQ87" s="100">
        <v>8132.3890100794615</v>
      </c>
      <c r="BR87" s="100">
        <v>8.1884393271883127</v>
      </c>
      <c r="BS87" s="100">
        <v>8794.383837400248</v>
      </c>
      <c r="BT87" s="100">
        <v>0.5351014333731493</v>
      </c>
      <c r="BU87" s="100">
        <v>574.69893944276237</v>
      </c>
      <c r="BV87" s="100">
        <v>6</v>
      </c>
      <c r="BW87" s="100">
        <v>6444</v>
      </c>
      <c r="BX87" s="100">
        <v>5.6381578284250322</v>
      </c>
      <c r="BY87" s="100">
        <v>6055.3815077284844</v>
      </c>
      <c r="BZ87" s="100">
        <v>8.935939127505014</v>
      </c>
      <c r="CA87" s="100">
        <v>9597.1986229403847</v>
      </c>
      <c r="CB87" s="100">
        <v>8.1065549339164313</v>
      </c>
      <c r="CC87" s="100">
        <v>8706.4399990262464</v>
      </c>
      <c r="CD87" s="100">
        <v>4.4351561004048339</v>
      </c>
      <c r="CE87" s="100">
        <v>4763.3576518347918</v>
      </c>
      <c r="CF87" s="100">
        <v>7.4897518411184425</v>
      </c>
      <c r="CG87" s="100">
        <v>8043.9934773612076</v>
      </c>
      <c r="CH87" s="100">
        <v>6.4135629494626807</v>
      </c>
      <c r="CI87" s="100">
        <v>6888.1666077229193</v>
      </c>
      <c r="CJ87" s="100">
        <v>8.7908313802401015</v>
      </c>
      <c r="CK87" s="100">
        <v>9441.3529023778683</v>
      </c>
      <c r="CL87" s="100">
        <v>9.8142755530511927</v>
      </c>
      <c r="CM87" s="100">
        <v>10540.531943976981</v>
      </c>
      <c r="CN87" s="100">
        <v>6.7106054565842088</v>
      </c>
      <c r="CO87" s="100">
        <v>7207.1902603714407</v>
      </c>
      <c r="CP87" s="100">
        <v>4.1379309795400072</v>
      </c>
      <c r="CQ87" s="100">
        <v>4444.1378720259681</v>
      </c>
      <c r="CR87" s="100">
        <v>3.6004034660044897</v>
      </c>
      <c r="CS87" s="100">
        <v>3866.833322488822</v>
      </c>
      <c r="CT87" s="100">
        <v>5.0782568424732055</v>
      </c>
      <c r="CU87" s="100">
        <v>5454.0478488162225</v>
      </c>
    </row>
    <row r="88" spans="2:99">
      <c r="C88" s="99" t="s">
        <v>254</v>
      </c>
      <c r="D88" s="100">
        <v>6</v>
      </c>
      <c r="E88" s="100">
        <v>5954.4</v>
      </c>
      <c r="F88" s="100">
        <v>8</v>
      </c>
      <c r="G88" s="100">
        <v>7939.2</v>
      </c>
      <c r="H88" s="100">
        <v>6.9087898704202262</v>
      </c>
      <c r="I88" s="100">
        <v>6856.2830674050319</v>
      </c>
      <c r="J88" s="100">
        <v>0.73315845741386043</v>
      </c>
      <c r="K88" s="100">
        <v>727.58645313751504</v>
      </c>
      <c r="L88" s="100">
        <v>6</v>
      </c>
      <c r="M88" s="100">
        <v>5954.4</v>
      </c>
      <c r="N88" s="100">
        <v>7</v>
      </c>
      <c r="O88" s="100">
        <v>6946.8</v>
      </c>
      <c r="P88" s="100">
        <v>7</v>
      </c>
      <c r="Q88" s="100">
        <v>6946.8</v>
      </c>
      <c r="R88" s="100">
        <v>3.8786950088443355</v>
      </c>
      <c r="S88" s="100">
        <v>3849.2169267771183</v>
      </c>
      <c r="T88" s="100">
        <v>9</v>
      </c>
      <c r="U88" s="100">
        <v>8931.6</v>
      </c>
      <c r="V88" s="100">
        <v>11</v>
      </c>
      <c r="W88" s="100">
        <v>10916.4</v>
      </c>
      <c r="X88" s="100">
        <v>6</v>
      </c>
      <c r="Y88" s="100">
        <v>5954.4</v>
      </c>
      <c r="Z88" s="100">
        <v>2.3273138892922915</v>
      </c>
      <c r="AA88" s="100">
        <v>2309.6263037336703</v>
      </c>
      <c r="AB88" s="100">
        <v>8</v>
      </c>
      <c r="AC88" s="100">
        <v>7939.2</v>
      </c>
      <c r="AD88" s="100">
        <v>7.4414780764879875</v>
      </c>
      <c r="AE88" s="100">
        <v>7384.9228431066786</v>
      </c>
      <c r="AF88" s="100">
        <v>5</v>
      </c>
      <c r="AG88" s="100">
        <v>4962</v>
      </c>
      <c r="AH88" s="100">
        <v>4.4892354385383246</v>
      </c>
      <c r="AI88" s="100">
        <v>4455.1172492054329</v>
      </c>
      <c r="AJ88" s="100">
        <v>9</v>
      </c>
      <c r="AK88" s="100">
        <v>8931.6</v>
      </c>
      <c r="AL88" s="100">
        <v>4.0456750743731531</v>
      </c>
      <c r="AM88" s="100">
        <v>4014.927943807917</v>
      </c>
      <c r="AN88" s="100">
        <v>9</v>
      </c>
      <c r="AO88" s="100">
        <v>8931.6</v>
      </c>
      <c r="AP88" s="100">
        <v>8</v>
      </c>
      <c r="AQ88" s="100">
        <v>7939.2</v>
      </c>
      <c r="AR88" s="100">
        <v>2.2537519882822146</v>
      </c>
      <c r="AS88" s="100">
        <v>2236.6234731712698</v>
      </c>
      <c r="AT88" s="100">
        <v>4.3749661548120411</v>
      </c>
      <c r="AU88" s="100">
        <v>4341.7164120354691</v>
      </c>
      <c r="AV88" s="100">
        <v>0</v>
      </c>
      <c r="AW88" s="100">
        <v>0</v>
      </c>
      <c r="AX88" s="100">
        <v>0</v>
      </c>
      <c r="AY88" s="100">
        <v>0</v>
      </c>
      <c r="AZ88" s="100">
        <v>7</v>
      </c>
      <c r="BA88" s="100">
        <v>6946.8</v>
      </c>
      <c r="BB88" s="100">
        <v>0.970822595894552</v>
      </c>
      <c r="BC88" s="100">
        <v>963.44434416575336</v>
      </c>
      <c r="BD88" s="100">
        <v>9</v>
      </c>
      <c r="BE88" s="100">
        <v>8931.6</v>
      </c>
      <c r="BF88" s="100">
        <v>3.5966503309442235</v>
      </c>
      <c r="BG88" s="100">
        <v>3569.3157884290472</v>
      </c>
      <c r="BH88" s="100">
        <v>7</v>
      </c>
      <c r="BI88" s="100">
        <v>6946.8</v>
      </c>
      <c r="BJ88" s="100">
        <v>9</v>
      </c>
      <c r="BK88" s="100">
        <v>8931.6</v>
      </c>
      <c r="BL88" s="100">
        <v>3.5140124723854922</v>
      </c>
      <c r="BM88" s="100">
        <v>3487.3059775953625</v>
      </c>
      <c r="BN88" s="100">
        <v>6.3801589757675607</v>
      </c>
      <c r="BO88" s="100">
        <v>6331.6697675517271</v>
      </c>
      <c r="BP88" s="100">
        <v>7.5720568064054579</v>
      </c>
      <c r="BQ88" s="100">
        <v>7514.5091746767766</v>
      </c>
      <c r="BR88" s="100">
        <v>9.007283259907144</v>
      </c>
      <c r="BS88" s="100">
        <v>8938.8279071318502</v>
      </c>
      <c r="BT88" s="100">
        <v>0.5351014333731493</v>
      </c>
      <c r="BU88" s="100">
        <v>531.03466247951337</v>
      </c>
      <c r="BV88" s="100">
        <v>6</v>
      </c>
      <c r="BW88" s="100">
        <v>5954.4</v>
      </c>
      <c r="BX88" s="100">
        <v>5.6381578284250322</v>
      </c>
      <c r="BY88" s="100">
        <v>5595.3078289290015</v>
      </c>
      <c r="BZ88" s="100">
        <v>8.935939127505014</v>
      </c>
      <c r="CA88" s="100">
        <v>8868.025990135975</v>
      </c>
      <c r="CB88" s="100">
        <v>8.1065549339164313</v>
      </c>
      <c r="CC88" s="100">
        <v>8044.9451164186667</v>
      </c>
      <c r="CD88" s="100">
        <v>4.8786717104453174</v>
      </c>
      <c r="CE88" s="100">
        <v>4841.593805445933</v>
      </c>
      <c r="CF88" s="100">
        <v>7.4897518411184425</v>
      </c>
      <c r="CG88" s="100">
        <v>7432.8297271259426</v>
      </c>
      <c r="CH88" s="100">
        <v>7.2152583181455157</v>
      </c>
      <c r="CI88" s="100">
        <v>7160.4223549276094</v>
      </c>
      <c r="CJ88" s="100">
        <v>8.7908313802401015</v>
      </c>
      <c r="CK88" s="100">
        <v>8724.0210617502762</v>
      </c>
      <c r="CL88" s="100">
        <v>9.8142755530511927</v>
      </c>
      <c r="CM88" s="100">
        <v>9739.6870588480033</v>
      </c>
      <c r="CN88" s="100">
        <v>6.7106054565842088</v>
      </c>
      <c r="CO88" s="100">
        <v>6659.6048551141685</v>
      </c>
      <c r="CP88" s="100">
        <v>4.5977010883777858</v>
      </c>
      <c r="CQ88" s="100">
        <v>4562.7585601061146</v>
      </c>
      <c r="CR88" s="100">
        <v>3.6004034660044897</v>
      </c>
      <c r="CS88" s="100">
        <v>3573.0403996628556</v>
      </c>
      <c r="CT88" s="100">
        <v>5.0782568424732055</v>
      </c>
      <c r="CU88" s="100">
        <v>5039.6620904704087</v>
      </c>
    </row>
    <row r="89" spans="2:99">
      <c r="C89" s="99" t="s">
        <v>255</v>
      </c>
      <c r="D89" s="100">
        <v>6</v>
      </c>
      <c r="E89" s="100">
        <v>6372</v>
      </c>
      <c r="F89" s="100">
        <v>8</v>
      </c>
      <c r="G89" s="100">
        <v>8496</v>
      </c>
      <c r="H89" s="100">
        <v>7.8957598519088306</v>
      </c>
      <c r="I89" s="100">
        <v>8385.2969627271777</v>
      </c>
      <c r="J89" s="100">
        <v>0.81462050823762255</v>
      </c>
      <c r="K89" s="100">
        <v>865.1269797483551</v>
      </c>
      <c r="L89" s="100">
        <v>6</v>
      </c>
      <c r="M89" s="100">
        <v>6372</v>
      </c>
      <c r="N89" s="100">
        <v>7</v>
      </c>
      <c r="O89" s="100">
        <v>7434</v>
      </c>
      <c r="P89" s="100">
        <v>7</v>
      </c>
      <c r="Q89" s="100">
        <v>7434</v>
      </c>
      <c r="R89" s="100">
        <v>4.4327942958220978</v>
      </c>
      <c r="S89" s="100">
        <v>4707.627542163068</v>
      </c>
      <c r="T89" s="100">
        <v>9</v>
      </c>
      <c r="U89" s="100">
        <v>9558</v>
      </c>
      <c r="V89" s="100">
        <v>9</v>
      </c>
      <c r="W89" s="100">
        <v>9558</v>
      </c>
      <c r="X89" s="100">
        <v>5</v>
      </c>
      <c r="Y89" s="100">
        <v>5310</v>
      </c>
      <c r="Z89" s="100">
        <v>2.0945825003630625</v>
      </c>
      <c r="AA89" s="100">
        <v>2224.4466153855724</v>
      </c>
      <c r="AB89" s="100">
        <v>8</v>
      </c>
      <c r="AC89" s="100">
        <v>8496</v>
      </c>
      <c r="AD89" s="100">
        <v>7.4414780764879875</v>
      </c>
      <c r="AE89" s="100">
        <v>7902.8497172302432</v>
      </c>
      <c r="AF89" s="100">
        <v>5</v>
      </c>
      <c r="AG89" s="100">
        <v>5310</v>
      </c>
      <c r="AH89" s="100">
        <v>3.9904315009229552</v>
      </c>
      <c r="AI89" s="100">
        <v>4237.8382539801787</v>
      </c>
      <c r="AJ89" s="100">
        <v>9</v>
      </c>
      <c r="AK89" s="100">
        <v>9558</v>
      </c>
      <c r="AL89" s="100">
        <v>4.0456750743731531</v>
      </c>
      <c r="AM89" s="100">
        <v>4296.5069289842886</v>
      </c>
      <c r="AN89" s="100">
        <v>10</v>
      </c>
      <c r="AO89" s="100">
        <v>10620</v>
      </c>
      <c r="AP89" s="100">
        <v>8</v>
      </c>
      <c r="AQ89" s="100">
        <v>8496</v>
      </c>
      <c r="AR89" s="100">
        <v>2.5041688758691274</v>
      </c>
      <c r="AS89" s="100">
        <v>2659.4273461730131</v>
      </c>
      <c r="AT89" s="100">
        <v>5.1041271806140482</v>
      </c>
      <c r="AU89" s="100">
        <v>5420.5830658121195</v>
      </c>
      <c r="AV89" s="100">
        <v>0</v>
      </c>
      <c r="AW89" s="100">
        <v>0</v>
      </c>
      <c r="AX89" s="100">
        <v>0</v>
      </c>
      <c r="AY89" s="100">
        <v>0</v>
      </c>
      <c r="AZ89" s="100">
        <v>7</v>
      </c>
      <c r="BA89" s="100">
        <v>7434</v>
      </c>
      <c r="BB89" s="100">
        <v>1.0679048554840072</v>
      </c>
      <c r="BC89" s="100">
        <v>1134.1149565240155</v>
      </c>
      <c r="BD89" s="100">
        <v>11</v>
      </c>
      <c r="BE89" s="100">
        <v>11682</v>
      </c>
      <c r="BF89" s="100">
        <v>3.0828431408093344</v>
      </c>
      <c r="BG89" s="100">
        <v>3273.979415539513</v>
      </c>
      <c r="BH89" s="100">
        <v>7</v>
      </c>
      <c r="BI89" s="100">
        <v>7434</v>
      </c>
      <c r="BJ89" s="100">
        <v>9</v>
      </c>
      <c r="BK89" s="100">
        <v>9558</v>
      </c>
      <c r="BL89" s="100">
        <v>3.5140124723854922</v>
      </c>
      <c r="BM89" s="100">
        <v>3731.8812456733926</v>
      </c>
      <c r="BN89" s="100">
        <v>6.3801589757675607</v>
      </c>
      <c r="BO89" s="100">
        <v>6775.7288322651493</v>
      </c>
      <c r="BP89" s="100">
        <v>7.5720568064054579</v>
      </c>
      <c r="BQ89" s="100">
        <v>8041.5243284025964</v>
      </c>
      <c r="BR89" s="100">
        <v>8.1884393271883127</v>
      </c>
      <c r="BS89" s="100">
        <v>8696.1225654739883</v>
      </c>
      <c r="BT89" s="100">
        <v>0.5351014333731493</v>
      </c>
      <c r="BU89" s="100">
        <v>568.27772224228454</v>
      </c>
      <c r="BV89" s="100">
        <v>7</v>
      </c>
      <c r="BW89" s="100">
        <v>7434</v>
      </c>
      <c r="BX89" s="100">
        <v>6.443608946771465</v>
      </c>
      <c r="BY89" s="100">
        <v>6843.1127014712956</v>
      </c>
      <c r="BZ89" s="100">
        <v>8.1235810250045581</v>
      </c>
      <c r="CA89" s="100">
        <v>8627.2430485548412</v>
      </c>
      <c r="CB89" s="100">
        <v>7.2058266079257169</v>
      </c>
      <c r="CC89" s="100">
        <v>7652.5878576171117</v>
      </c>
      <c r="CD89" s="100">
        <v>4.8786717104453174</v>
      </c>
      <c r="CE89" s="100">
        <v>5181.1493564929269</v>
      </c>
      <c r="CF89" s="100">
        <v>8.3219464901316016</v>
      </c>
      <c r="CG89" s="100">
        <v>8837.9071725197609</v>
      </c>
      <c r="CH89" s="100">
        <v>8.0169536868283497</v>
      </c>
      <c r="CI89" s="100">
        <v>8514.0048154117067</v>
      </c>
      <c r="CJ89" s="100">
        <v>8.7908313802401015</v>
      </c>
      <c r="CK89" s="100">
        <v>9335.8629258149886</v>
      </c>
      <c r="CL89" s="100">
        <v>10.795703108356312</v>
      </c>
      <c r="CM89" s="100">
        <v>11465.036701074403</v>
      </c>
      <c r="CN89" s="100">
        <v>6.7106054565842088</v>
      </c>
      <c r="CO89" s="100">
        <v>7126.6629948924301</v>
      </c>
      <c r="CP89" s="100">
        <v>4.5977010883777858</v>
      </c>
      <c r="CQ89" s="100">
        <v>4882.7585558572082</v>
      </c>
      <c r="CR89" s="100">
        <v>3.6004034660044897</v>
      </c>
      <c r="CS89" s="100">
        <v>3823.628480896768</v>
      </c>
      <c r="CT89" s="100">
        <v>5.0782568424732055</v>
      </c>
      <c r="CU89" s="100">
        <v>5393.108766706544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8</v>
      </c>
      <c r="G90" s="100">
        <v>8870.4</v>
      </c>
      <c r="H90" s="100">
        <v>7.8957598519088306</v>
      </c>
      <c r="I90" s="100">
        <v>8754.8185237965117</v>
      </c>
      <c r="J90" s="100">
        <v>0.6516964065900982</v>
      </c>
      <c r="K90" s="100">
        <v>722.60097562710087</v>
      </c>
      <c r="L90" s="100">
        <v>7</v>
      </c>
      <c r="M90" s="100">
        <v>7761.5999999999995</v>
      </c>
      <c r="N90" s="100">
        <v>7</v>
      </c>
      <c r="O90" s="100">
        <v>7761.5999999999995</v>
      </c>
      <c r="P90" s="100">
        <v>8</v>
      </c>
      <c r="Q90" s="100">
        <v>8870.4</v>
      </c>
      <c r="R90" s="100">
        <v>4.4327942958220978</v>
      </c>
      <c r="S90" s="100">
        <v>4915.0823152075418</v>
      </c>
      <c r="T90" s="100">
        <v>8</v>
      </c>
      <c r="U90" s="100">
        <v>8870.4</v>
      </c>
      <c r="V90" s="100">
        <v>10</v>
      </c>
      <c r="W90" s="100">
        <v>11088</v>
      </c>
      <c r="X90" s="100">
        <v>5</v>
      </c>
      <c r="Y90" s="100">
        <v>5544</v>
      </c>
      <c r="Z90" s="100">
        <v>2.0945825003630625</v>
      </c>
      <c r="AA90" s="100">
        <v>2322.4730764025635</v>
      </c>
      <c r="AB90" s="100">
        <v>7</v>
      </c>
      <c r="AC90" s="100">
        <v>7761.5999999999995</v>
      </c>
      <c r="AD90" s="100">
        <v>8.1856258841367868</v>
      </c>
      <c r="AE90" s="100">
        <v>9076.221980330869</v>
      </c>
      <c r="AF90" s="100">
        <v>5</v>
      </c>
      <c r="AG90" s="100">
        <v>5544</v>
      </c>
      <c r="AH90" s="100">
        <v>3.9904315009229552</v>
      </c>
      <c r="AI90" s="100">
        <v>4424.5904482233727</v>
      </c>
      <c r="AJ90" s="100">
        <v>9</v>
      </c>
      <c r="AK90" s="100">
        <v>9979.1999999999989</v>
      </c>
      <c r="AL90" s="100">
        <v>3.677886431248321</v>
      </c>
      <c r="AM90" s="100">
        <v>4078.0404749681384</v>
      </c>
      <c r="AN90" s="100">
        <v>9</v>
      </c>
      <c r="AO90" s="100">
        <v>9979.1999999999989</v>
      </c>
      <c r="AP90" s="100">
        <v>9</v>
      </c>
      <c r="AQ90" s="100">
        <v>9979.1999999999989</v>
      </c>
      <c r="AR90" s="100">
        <v>2.2537519882822146</v>
      </c>
      <c r="AS90" s="100">
        <v>2498.9602046073196</v>
      </c>
      <c r="AT90" s="100">
        <v>4.3749661548120411</v>
      </c>
      <c r="AU90" s="100">
        <v>4850.9624724555906</v>
      </c>
      <c r="AV90" s="100">
        <v>0</v>
      </c>
      <c r="AW90" s="100">
        <v>0</v>
      </c>
      <c r="AX90" s="100">
        <v>0</v>
      </c>
      <c r="AY90" s="100">
        <v>0</v>
      </c>
      <c r="AZ90" s="100">
        <v>6</v>
      </c>
      <c r="BA90" s="100">
        <v>6652.7999999999993</v>
      </c>
      <c r="BB90" s="100">
        <v>1.0679048554840072</v>
      </c>
      <c r="BC90" s="100">
        <v>1184.092903760667</v>
      </c>
      <c r="BD90" s="100">
        <v>9</v>
      </c>
      <c r="BE90" s="100">
        <v>9979.1999999999989</v>
      </c>
      <c r="BF90" s="100">
        <v>3.5966503309442235</v>
      </c>
      <c r="BG90" s="100">
        <v>3987.9658869509549</v>
      </c>
      <c r="BH90" s="100">
        <v>6</v>
      </c>
      <c r="BI90" s="100">
        <v>6652.7999999999993</v>
      </c>
      <c r="BJ90" s="100">
        <v>10</v>
      </c>
      <c r="BK90" s="100">
        <v>11088</v>
      </c>
      <c r="BL90" s="100">
        <v>4.5180160359242043</v>
      </c>
      <c r="BM90" s="100">
        <v>5009.5761806327573</v>
      </c>
      <c r="BN90" s="100">
        <v>7.1776788477385054</v>
      </c>
      <c r="BO90" s="100">
        <v>7958.610306372454</v>
      </c>
      <c r="BP90" s="100">
        <v>6.7307171612492969</v>
      </c>
      <c r="BQ90" s="100">
        <v>7463.0191883932202</v>
      </c>
      <c r="BR90" s="100">
        <v>8.1884393271883127</v>
      </c>
      <c r="BS90" s="100">
        <v>9079.3415259864014</v>
      </c>
      <c r="BT90" s="100">
        <v>0.59455714819238803</v>
      </c>
      <c r="BU90" s="100">
        <v>659.24496591571983</v>
      </c>
      <c r="BV90" s="100">
        <v>7</v>
      </c>
      <c r="BW90" s="100">
        <v>7761.5999999999995</v>
      </c>
      <c r="BX90" s="100">
        <v>6.443608946771465</v>
      </c>
      <c r="BY90" s="100">
        <v>7144.6736001802001</v>
      </c>
      <c r="BZ90" s="100">
        <v>8.1235810250045581</v>
      </c>
      <c r="CA90" s="100">
        <v>9007.4266405250528</v>
      </c>
      <c r="CB90" s="100">
        <v>8.1065549339164313</v>
      </c>
      <c r="CC90" s="100">
        <v>8988.5481107265387</v>
      </c>
      <c r="CD90" s="100">
        <v>3.9916404903643508</v>
      </c>
      <c r="CE90" s="100">
        <v>4425.9309757159917</v>
      </c>
      <c r="CF90" s="100">
        <v>8.3219464901316016</v>
      </c>
      <c r="CG90" s="100">
        <v>9227.3742682579195</v>
      </c>
      <c r="CH90" s="100">
        <v>6.4135629494626807</v>
      </c>
      <c r="CI90" s="100">
        <v>7111.3585983642197</v>
      </c>
      <c r="CJ90" s="100">
        <v>7.9916648911273658</v>
      </c>
      <c r="CK90" s="100">
        <v>8861.1580312820224</v>
      </c>
      <c r="CL90" s="100">
        <v>10.795703108356312</v>
      </c>
      <c r="CM90" s="100">
        <v>11970.275606545478</v>
      </c>
      <c r="CN90" s="100">
        <v>6.7106054565842088</v>
      </c>
      <c r="CO90" s="100">
        <v>7440.7193302605701</v>
      </c>
      <c r="CP90" s="100">
        <v>4.5977010883777858</v>
      </c>
      <c r="CQ90" s="100">
        <v>5097.9309667932885</v>
      </c>
      <c r="CR90" s="100">
        <v>4.0504538992550509</v>
      </c>
      <c r="CS90" s="100">
        <v>4491.1432834940006</v>
      </c>
      <c r="CT90" s="100">
        <v>5.0782568424732055</v>
      </c>
      <c r="CU90" s="100">
        <v>5630.7711869342902</v>
      </c>
    </row>
    <row r="91" spans="2:99">
      <c r="C91" s="99" t="s">
        <v>257</v>
      </c>
      <c r="D91" s="100">
        <v>6</v>
      </c>
      <c r="E91" s="100">
        <v>6818.4</v>
      </c>
      <c r="F91" s="100">
        <v>9</v>
      </c>
      <c r="G91" s="100">
        <v>10227.599999999999</v>
      </c>
      <c r="H91" s="100">
        <v>7.8957598519088306</v>
      </c>
      <c r="I91" s="100">
        <v>8972.7414957091933</v>
      </c>
      <c r="J91" s="100">
        <v>0.73315845741386043</v>
      </c>
      <c r="K91" s="100">
        <v>833.16127100511085</v>
      </c>
      <c r="L91" s="100">
        <v>6</v>
      </c>
      <c r="M91" s="100">
        <v>6818.4</v>
      </c>
      <c r="N91" s="100">
        <v>8</v>
      </c>
      <c r="O91" s="100">
        <v>9091.1999999999989</v>
      </c>
      <c r="P91" s="100">
        <v>8</v>
      </c>
      <c r="Q91" s="100">
        <v>9091.1999999999989</v>
      </c>
      <c r="R91" s="100">
        <v>4.4327942958220978</v>
      </c>
      <c r="S91" s="100">
        <v>5037.4274377722313</v>
      </c>
      <c r="T91" s="100">
        <v>9</v>
      </c>
      <c r="U91" s="100">
        <v>10227.599999999999</v>
      </c>
      <c r="V91" s="100">
        <v>11</v>
      </c>
      <c r="W91" s="100">
        <v>12500.399999999998</v>
      </c>
      <c r="X91" s="100">
        <v>5</v>
      </c>
      <c r="Y91" s="100">
        <v>5681.9999999999991</v>
      </c>
      <c r="Z91" s="100">
        <v>2.3273138892922915</v>
      </c>
      <c r="AA91" s="100">
        <v>2644.7595037917599</v>
      </c>
      <c r="AB91" s="100">
        <v>7</v>
      </c>
      <c r="AC91" s="100">
        <v>7954.7999999999993</v>
      </c>
      <c r="AD91" s="100">
        <v>7.4414780764879875</v>
      </c>
      <c r="AE91" s="100">
        <v>8456.4956861209484</v>
      </c>
      <c r="AF91" s="100">
        <v>6</v>
      </c>
      <c r="AG91" s="100">
        <v>6818.4</v>
      </c>
      <c r="AH91" s="100">
        <v>3.9904315009229552</v>
      </c>
      <c r="AI91" s="100">
        <v>4534.7263576488458</v>
      </c>
      <c r="AJ91" s="100">
        <v>10</v>
      </c>
      <c r="AK91" s="100">
        <v>11363.999999999998</v>
      </c>
      <c r="AL91" s="100">
        <v>4.0456750743731531</v>
      </c>
      <c r="AM91" s="100">
        <v>4597.5051545176502</v>
      </c>
      <c r="AN91" s="100">
        <v>10</v>
      </c>
      <c r="AO91" s="100">
        <v>11363.999999999998</v>
      </c>
      <c r="AP91" s="100">
        <v>9</v>
      </c>
      <c r="AQ91" s="100">
        <v>10227.599999999999</v>
      </c>
      <c r="AR91" s="100">
        <v>2.2537519882822146</v>
      </c>
      <c r="AS91" s="100">
        <v>2561.1637594839085</v>
      </c>
      <c r="AT91" s="100">
        <v>4.3749661548120411</v>
      </c>
      <c r="AU91" s="100">
        <v>4971.7115383284026</v>
      </c>
      <c r="AV91" s="100">
        <v>0</v>
      </c>
      <c r="AW91" s="100">
        <v>0</v>
      </c>
      <c r="AX91" s="100">
        <v>0</v>
      </c>
      <c r="AY91" s="100">
        <v>0</v>
      </c>
      <c r="AZ91" s="100">
        <v>6</v>
      </c>
      <c r="BA91" s="100">
        <v>6818.4</v>
      </c>
      <c r="BB91" s="100">
        <v>1.0679048554840072</v>
      </c>
      <c r="BC91" s="100">
        <v>1213.5670777720256</v>
      </c>
      <c r="BD91" s="100">
        <v>10</v>
      </c>
      <c r="BE91" s="100">
        <v>11363.999999999998</v>
      </c>
      <c r="BF91" s="100">
        <v>3.0828431408093344</v>
      </c>
      <c r="BG91" s="100">
        <v>3503.342945215727</v>
      </c>
      <c r="BH91" s="100">
        <v>6</v>
      </c>
      <c r="BI91" s="100">
        <v>6818.4</v>
      </c>
      <c r="BJ91" s="100">
        <v>10</v>
      </c>
      <c r="BK91" s="100">
        <v>11363.999999999998</v>
      </c>
      <c r="BL91" s="100">
        <v>4.0160142541548485</v>
      </c>
      <c r="BM91" s="100">
        <v>4563.7985984215693</v>
      </c>
      <c r="BN91" s="100">
        <v>7.1776788477385054</v>
      </c>
      <c r="BO91" s="100">
        <v>8156.7142425700367</v>
      </c>
      <c r="BP91" s="100">
        <v>7.5720568064054579</v>
      </c>
      <c r="BQ91" s="100">
        <v>8604.8853547991621</v>
      </c>
      <c r="BR91" s="100">
        <v>8.1884393271883127</v>
      </c>
      <c r="BS91" s="100">
        <v>9305.3424514167982</v>
      </c>
      <c r="BT91" s="100">
        <v>0.47564571855391052</v>
      </c>
      <c r="BU91" s="100">
        <v>540.52379456466383</v>
      </c>
      <c r="BV91" s="100">
        <v>7</v>
      </c>
      <c r="BW91" s="100">
        <v>7954.7999999999993</v>
      </c>
      <c r="BX91" s="100">
        <v>5.6381578284250322</v>
      </c>
      <c r="BY91" s="100">
        <v>6407.2025562222061</v>
      </c>
      <c r="BZ91" s="100">
        <v>8.1235810250045581</v>
      </c>
      <c r="CA91" s="100">
        <v>9231.6374768151782</v>
      </c>
      <c r="CB91" s="100">
        <v>8.1065549339164313</v>
      </c>
      <c r="CC91" s="100">
        <v>9212.289026902632</v>
      </c>
      <c r="CD91" s="100">
        <v>4.8786717104453174</v>
      </c>
      <c r="CE91" s="100">
        <v>5544.1225317500584</v>
      </c>
      <c r="CF91" s="100">
        <v>7.4897518411184425</v>
      </c>
      <c r="CG91" s="100">
        <v>8511.3539922469972</v>
      </c>
      <c r="CH91" s="100">
        <v>6.4135629494626807</v>
      </c>
      <c r="CI91" s="100">
        <v>7288.3729357693892</v>
      </c>
      <c r="CJ91" s="100">
        <v>8.7908313802401015</v>
      </c>
      <c r="CK91" s="100">
        <v>9989.9007805048495</v>
      </c>
      <c r="CL91" s="100">
        <v>8.8328479977460734</v>
      </c>
      <c r="CM91" s="100">
        <v>10037.648464638636</v>
      </c>
      <c r="CN91" s="100">
        <v>6.7106054565842088</v>
      </c>
      <c r="CO91" s="100">
        <v>7625.9320408622943</v>
      </c>
      <c r="CP91" s="100">
        <v>4.5977010883777858</v>
      </c>
      <c r="CQ91" s="100">
        <v>5224.8275168325154</v>
      </c>
      <c r="CR91" s="100">
        <v>4.0504538992550509</v>
      </c>
      <c r="CS91" s="100">
        <v>4602.9358111134397</v>
      </c>
      <c r="CT91" s="100">
        <v>5.0782568424732055</v>
      </c>
      <c r="CU91" s="100">
        <v>5770.9310757865496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9</v>
      </c>
      <c r="G92" s="100">
        <v>7063.2</v>
      </c>
      <c r="H92" s="100">
        <v>7.8957598519088306</v>
      </c>
      <c r="I92" s="100">
        <v>6196.5923317780498</v>
      </c>
      <c r="J92" s="100">
        <v>0.73315845741386043</v>
      </c>
      <c r="K92" s="100">
        <v>575.38275737839763</v>
      </c>
      <c r="L92" s="100">
        <v>6</v>
      </c>
      <c r="M92" s="100">
        <v>4708.7999999999993</v>
      </c>
      <c r="N92" s="100">
        <v>8</v>
      </c>
      <c r="O92" s="100">
        <v>6278.4</v>
      </c>
      <c r="P92" s="100">
        <v>8</v>
      </c>
      <c r="Q92" s="100">
        <v>6278.4</v>
      </c>
      <c r="R92" s="100">
        <v>4.9868935827998602</v>
      </c>
      <c r="S92" s="100">
        <v>3913.7140837813299</v>
      </c>
      <c r="T92" s="100">
        <v>9</v>
      </c>
      <c r="U92" s="100">
        <v>7063.2</v>
      </c>
      <c r="V92" s="100">
        <v>11</v>
      </c>
      <c r="W92" s="100">
        <v>8632.7999999999993</v>
      </c>
      <c r="X92" s="100">
        <v>6</v>
      </c>
      <c r="Y92" s="100">
        <v>4708.7999999999993</v>
      </c>
      <c r="Z92" s="100">
        <v>2.0945825003630625</v>
      </c>
      <c r="AA92" s="100">
        <v>1643.8283462849313</v>
      </c>
      <c r="AB92" s="100">
        <v>8</v>
      </c>
      <c r="AC92" s="100">
        <v>6278.4</v>
      </c>
      <c r="AD92" s="100">
        <v>7.4414780764879875</v>
      </c>
      <c r="AE92" s="100">
        <v>5840.0719944277726</v>
      </c>
      <c r="AF92" s="100">
        <v>5</v>
      </c>
      <c r="AG92" s="100">
        <v>3924</v>
      </c>
      <c r="AH92" s="100">
        <v>4.4892354385383246</v>
      </c>
      <c r="AI92" s="100">
        <v>3523.151972164877</v>
      </c>
      <c r="AJ92" s="100">
        <v>9</v>
      </c>
      <c r="AK92" s="100">
        <v>7063.2</v>
      </c>
      <c r="AL92" s="100">
        <v>3.310097788123489</v>
      </c>
      <c r="AM92" s="100">
        <v>2597.7647441193139</v>
      </c>
      <c r="AN92" s="100">
        <v>9</v>
      </c>
      <c r="AO92" s="100">
        <v>7063.2</v>
      </c>
      <c r="AP92" s="100">
        <v>10</v>
      </c>
      <c r="AQ92" s="100">
        <v>7848</v>
      </c>
      <c r="AR92" s="100">
        <v>2.5041688758691274</v>
      </c>
      <c r="AS92" s="100">
        <v>1965.2717337820911</v>
      </c>
      <c r="AT92" s="100">
        <v>4.3749661548120411</v>
      </c>
      <c r="AU92" s="100">
        <v>3433.4734382964898</v>
      </c>
      <c r="AV92" s="100">
        <v>0</v>
      </c>
      <c r="AW92" s="100">
        <v>0</v>
      </c>
      <c r="AX92" s="100">
        <v>0</v>
      </c>
      <c r="AY92" s="100">
        <v>0</v>
      </c>
      <c r="AZ92" s="100">
        <v>7</v>
      </c>
      <c r="BA92" s="100">
        <v>5493.5999999999995</v>
      </c>
      <c r="BB92" s="100">
        <v>0.970822595894552</v>
      </c>
      <c r="BC92" s="100">
        <v>761.90157325804432</v>
      </c>
      <c r="BD92" s="100">
        <v>10</v>
      </c>
      <c r="BE92" s="100">
        <v>7848</v>
      </c>
      <c r="BF92" s="100">
        <v>4.1104575210791126</v>
      </c>
      <c r="BG92" s="100">
        <v>3225.8870625428872</v>
      </c>
      <c r="BH92" s="100">
        <v>7</v>
      </c>
      <c r="BI92" s="100">
        <v>5493.5999999999995</v>
      </c>
      <c r="BJ92" s="100">
        <v>9</v>
      </c>
      <c r="BK92" s="100">
        <v>7063.2</v>
      </c>
      <c r="BL92" s="100">
        <v>4.5180160359242043</v>
      </c>
      <c r="BM92" s="100">
        <v>3545.7389849933152</v>
      </c>
      <c r="BN92" s="100">
        <v>7.1776788477385054</v>
      </c>
      <c r="BO92" s="100">
        <v>5633.0423597051786</v>
      </c>
      <c r="BP92" s="100">
        <v>6.7307171612492969</v>
      </c>
      <c r="BQ92" s="100">
        <v>5282.2668281484475</v>
      </c>
      <c r="BR92" s="100">
        <v>9.007283259907144</v>
      </c>
      <c r="BS92" s="100">
        <v>7068.9159023751263</v>
      </c>
      <c r="BT92" s="100">
        <v>0.59455714819238803</v>
      </c>
      <c r="BU92" s="100">
        <v>466.60844990138611</v>
      </c>
      <c r="BV92" s="100">
        <v>7</v>
      </c>
      <c r="BW92" s="100">
        <v>5493.5999999999995</v>
      </c>
      <c r="BX92" s="100">
        <v>5.6381578284250322</v>
      </c>
      <c r="BY92" s="100">
        <v>4424.8262637479647</v>
      </c>
      <c r="BZ92" s="100">
        <v>8.935939127505014</v>
      </c>
      <c r="CA92" s="100">
        <v>7012.9250272659347</v>
      </c>
      <c r="CB92" s="100">
        <v>9.0072832599071457</v>
      </c>
      <c r="CC92" s="100">
        <v>7068.9159023751272</v>
      </c>
      <c r="CD92" s="100">
        <v>4.8786717104453174</v>
      </c>
      <c r="CE92" s="100">
        <v>3828.7815583574848</v>
      </c>
      <c r="CF92" s="100">
        <v>8.3219464901316016</v>
      </c>
      <c r="CG92" s="100">
        <v>6531.0636054552806</v>
      </c>
      <c r="CH92" s="100">
        <v>6.4135629494626807</v>
      </c>
      <c r="CI92" s="100">
        <v>5033.3642027383112</v>
      </c>
      <c r="CJ92" s="100">
        <v>8.7908313802401015</v>
      </c>
      <c r="CK92" s="100">
        <v>6899.0444672124313</v>
      </c>
      <c r="CL92" s="100">
        <v>10.795703108356312</v>
      </c>
      <c r="CM92" s="100">
        <v>8472.4677994380327</v>
      </c>
      <c r="CN92" s="100">
        <v>6.7106054565842088</v>
      </c>
      <c r="CO92" s="100">
        <v>5266.4831623272867</v>
      </c>
      <c r="CP92" s="100">
        <v>5.0574711972155644</v>
      </c>
      <c r="CQ92" s="100">
        <v>3969.1033955747748</v>
      </c>
      <c r="CR92" s="100">
        <v>3.6004034660044897</v>
      </c>
      <c r="CS92" s="100">
        <v>2825.5966401203232</v>
      </c>
      <c r="CT92" s="100">
        <v>5.8037221056836632</v>
      </c>
      <c r="CU92" s="100">
        <v>4554.7611085405388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6.9087898704202262</v>
      </c>
      <c r="I93" s="100">
        <v>4791.9366541234695</v>
      </c>
      <c r="J93" s="100">
        <v>0.6516964065900982</v>
      </c>
      <c r="K93" s="100">
        <v>452.0166276108921</v>
      </c>
      <c r="L93" s="100">
        <v>7</v>
      </c>
      <c r="M93" s="100">
        <v>4855.2</v>
      </c>
      <c r="N93" s="100">
        <v>7</v>
      </c>
      <c r="O93" s="100">
        <v>4855.2</v>
      </c>
      <c r="P93" s="100">
        <v>7</v>
      </c>
      <c r="Q93" s="100">
        <v>4855.2</v>
      </c>
      <c r="R93" s="100">
        <v>4.4327942958220978</v>
      </c>
      <c r="S93" s="100">
        <v>3074.5861235822072</v>
      </c>
      <c r="T93" s="100">
        <v>10</v>
      </c>
      <c r="U93" s="100">
        <v>6936</v>
      </c>
      <c r="V93" s="100">
        <v>11</v>
      </c>
      <c r="W93" s="100">
        <v>7629.6</v>
      </c>
      <c r="X93" s="100">
        <v>6</v>
      </c>
      <c r="Y93" s="100">
        <v>4161.6000000000004</v>
      </c>
      <c r="Z93" s="100">
        <v>2.3273138892922915</v>
      </c>
      <c r="AA93" s="100">
        <v>1614.2249136131334</v>
      </c>
      <c r="AB93" s="100">
        <v>8</v>
      </c>
      <c r="AC93" s="100">
        <v>5548.8</v>
      </c>
      <c r="AD93" s="100">
        <v>8.9297736917855861</v>
      </c>
      <c r="AE93" s="100">
        <v>6193.6910326224825</v>
      </c>
      <c r="AF93" s="100">
        <v>5</v>
      </c>
      <c r="AG93" s="100">
        <v>3468</v>
      </c>
      <c r="AH93" s="100">
        <v>4.4892354385383246</v>
      </c>
      <c r="AI93" s="100">
        <v>3113.7337001701821</v>
      </c>
      <c r="AJ93" s="100">
        <v>9</v>
      </c>
      <c r="AK93" s="100">
        <v>6242.4000000000005</v>
      </c>
      <c r="AL93" s="100">
        <v>3.677886431248321</v>
      </c>
      <c r="AM93" s="100">
        <v>2550.9820287138355</v>
      </c>
      <c r="AN93" s="100">
        <v>8</v>
      </c>
      <c r="AO93" s="100">
        <v>5548.8</v>
      </c>
      <c r="AP93" s="100">
        <v>9</v>
      </c>
      <c r="AQ93" s="100">
        <v>6242.4000000000005</v>
      </c>
      <c r="AR93" s="100">
        <v>2.5041688758691274</v>
      </c>
      <c r="AS93" s="100">
        <v>1736.8915323028268</v>
      </c>
      <c r="AT93" s="100">
        <v>5.1041271806140482</v>
      </c>
      <c r="AU93" s="100">
        <v>3540.2226124739041</v>
      </c>
      <c r="AV93" s="100">
        <v>0</v>
      </c>
      <c r="AW93" s="100">
        <v>0</v>
      </c>
      <c r="AX93" s="100">
        <v>0</v>
      </c>
      <c r="AY93" s="100">
        <v>0</v>
      </c>
      <c r="AZ93" s="100">
        <v>6</v>
      </c>
      <c r="BA93" s="100">
        <v>4161.6000000000004</v>
      </c>
      <c r="BB93" s="100">
        <v>1.0679048554840072</v>
      </c>
      <c r="BC93" s="100">
        <v>740.69880776370735</v>
      </c>
      <c r="BD93" s="100">
        <v>11</v>
      </c>
      <c r="BE93" s="100">
        <v>7629.6</v>
      </c>
      <c r="BF93" s="100">
        <v>3.5966503309442235</v>
      </c>
      <c r="BG93" s="100">
        <v>2494.6366695429133</v>
      </c>
      <c r="BH93" s="100">
        <v>7</v>
      </c>
      <c r="BI93" s="100">
        <v>4855.2</v>
      </c>
      <c r="BJ93" s="100">
        <v>9</v>
      </c>
      <c r="BK93" s="100">
        <v>6242.4000000000005</v>
      </c>
      <c r="BL93" s="100">
        <v>4.0160142541548485</v>
      </c>
      <c r="BM93" s="100">
        <v>2785.5074866818031</v>
      </c>
      <c r="BN93" s="100">
        <v>7.1776788477385054</v>
      </c>
      <c r="BO93" s="100">
        <v>4978.4380487914277</v>
      </c>
      <c r="BP93" s="100">
        <v>7.5720568064054579</v>
      </c>
      <c r="BQ93" s="100">
        <v>5251.9786009228255</v>
      </c>
      <c r="BR93" s="100">
        <v>9.007283259907144</v>
      </c>
      <c r="BS93" s="100">
        <v>6247.4516690715955</v>
      </c>
      <c r="BT93" s="100">
        <v>0.59455714819238803</v>
      </c>
      <c r="BU93" s="100">
        <v>412.38483798624037</v>
      </c>
      <c r="BV93" s="100">
        <v>6</v>
      </c>
      <c r="BW93" s="100">
        <v>4161.6000000000004</v>
      </c>
      <c r="BX93" s="100">
        <v>5.6381578284250322</v>
      </c>
      <c r="BY93" s="100">
        <v>3910.6262697956026</v>
      </c>
      <c r="BZ93" s="100">
        <v>9.7482972300054698</v>
      </c>
      <c r="CA93" s="100">
        <v>6761.4189587317942</v>
      </c>
      <c r="CB93" s="100">
        <v>9.0072832599071457</v>
      </c>
      <c r="CC93" s="100">
        <v>6247.4516690715964</v>
      </c>
      <c r="CD93" s="100">
        <v>4.8786717104453174</v>
      </c>
      <c r="CE93" s="100">
        <v>3383.8466983648723</v>
      </c>
      <c r="CF93" s="100">
        <v>8.3219464901316016</v>
      </c>
      <c r="CG93" s="100">
        <v>5772.1020855552788</v>
      </c>
      <c r="CH93" s="100">
        <v>7.2152583181455157</v>
      </c>
      <c r="CI93" s="100">
        <v>5004.50316946573</v>
      </c>
      <c r="CJ93" s="100">
        <v>7.9916648911273658</v>
      </c>
      <c r="CK93" s="100">
        <v>5543.0187684859411</v>
      </c>
      <c r="CL93" s="100">
        <v>9.8142755530511927</v>
      </c>
      <c r="CM93" s="100">
        <v>6807.1815235963077</v>
      </c>
      <c r="CN93" s="100">
        <v>6.1005504150765528</v>
      </c>
      <c r="CO93" s="100">
        <v>4231.3417678970973</v>
      </c>
      <c r="CP93" s="100">
        <v>4.5977010883777858</v>
      </c>
      <c r="CQ93" s="100">
        <v>3188.9654748988323</v>
      </c>
      <c r="CR93" s="100">
        <v>3.6004034660044897</v>
      </c>
      <c r="CS93" s="100">
        <v>2497.2398440207139</v>
      </c>
      <c r="CT93" s="100">
        <v>5.0782568424732055</v>
      </c>
      <c r="CU93" s="100">
        <v>3522.2789459394153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8</v>
      </c>
      <c r="G94" s="100">
        <v>9542.4</v>
      </c>
      <c r="H94" s="100">
        <v>7.8957598519088306</v>
      </c>
      <c r="I94" s="100">
        <v>9418.0623513568535</v>
      </c>
      <c r="J94" s="100">
        <v>0.73315845741386043</v>
      </c>
      <c r="K94" s="100">
        <v>874.51140800325265</v>
      </c>
      <c r="L94" s="100">
        <v>6</v>
      </c>
      <c r="M94" s="100">
        <v>7156.7999999999993</v>
      </c>
      <c r="N94" s="100">
        <v>8</v>
      </c>
      <c r="O94" s="100">
        <v>9542.4</v>
      </c>
      <c r="P94" s="100">
        <v>8</v>
      </c>
      <c r="Q94" s="100">
        <v>9542.4</v>
      </c>
      <c r="R94" s="100">
        <v>4.4327942958220978</v>
      </c>
      <c r="S94" s="100">
        <v>5287.4370360565981</v>
      </c>
      <c r="T94" s="100">
        <v>9</v>
      </c>
      <c r="U94" s="100">
        <v>10735.199999999999</v>
      </c>
      <c r="V94" s="100">
        <v>9</v>
      </c>
      <c r="W94" s="100">
        <v>10735.199999999999</v>
      </c>
      <c r="X94" s="100">
        <v>5</v>
      </c>
      <c r="Y94" s="100">
        <v>5964</v>
      </c>
      <c r="Z94" s="100">
        <v>2.0945825003630625</v>
      </c>
      <c r="AA94" s="100">
        <v>2498.4180064330608</v>
      </c>
      <c r="AB94" s="100">
        <v>7</v>
      </c>
      <c r="AC94" s="100">
        <v>8349.6</v>
      </c>
      <c r="AD94" s="100">
        <v>7.4414780764879875</v>
      </c>
      <c r="AE94" s="100">
        <v>8876.1950496348709</v>
      </c>
      <c r="AF94" s="100">
        <v>6</v>
      </c>
      <c r="AG94" s="100">
        <v>7156.7999999999993</v>
      </c>
      <c r="AH94" s="100">
        <v>4.4892354385383246</v>
      </c>
      <c r="AI94" s="100">
        <v>5354.7600310885136</v>
      </c>
      <c r="AJ94" s="100">
        <v>10</v>
      </c>
      <c r="AK94" s="100">
        <v>11928</v>
      </c>
      <c r="AL94" s="100">
        <v>3.677886431248321</v>
      </c>
      <c r="AM94" s="100">
        <v>4386.9829351929975</v>
      </c>
      <c r="AN94" s="100">
        <v>9</v>
      </c>
      <c r="AO94" s="100">
        <v>10735.199999999999</v>
      </c>
      <c r="AP94" s="100">
        <v>8</v>
      </c>
      <c r="AQ94" s="100">
        <v>9542.4</v>
      </c>
      <c r="AR94" s="100">
        <v>2.5041688758691274</v>
      </c>
      <c r="AS94" s="100">
        <v>2986.9726351366949</v>
      </c>
      <c r="AT94" s="100">
        <v>4.3749661548120411</v>
      </c>
      <c r="AU94" s="100">
        <v>5218.4596294598023</v>
      </c>
      <c r="AV94" s="100">
        <v>0</v>
      </c>
      <c r="AW94" s="100">
        <v>0</v>
      </c>
      <c r="AX94" s="100">
        <v>0</v>
      </c>
      <c r="AY94" s="100">
        <v>0</v>
      </c>
      <c r="AZ94" s="100">
        <v>7</v>
      </c>
      <c r="BA94" s="100">
        <v>8349.6</v>
      </c>
      <c r="BB94" s="100">
        <v>0.970822595894552</v>
      </c>
      <c r="BC94" s="100">
        <v>1157.9971923830217</v>
      </c>
      <c r="BD94" s="100">
        <v>11</v>
      </c>
      <c r="BE94" s="100">
        <v>13120.8</v>
      </c>
      <c r="BF94" s="100">
        <v>3.0828431408093344</v>
      </c>
      <c r="BG94" s="100">
        <v>3677.2152983573737</v>
      </c>
      <c r="BH94" s="100">
        <v>6</v>
      </c>
      <c r="BI94" s="100">
        <v>7156.7999999999993</v>
      </c>
      <c r="BJ94" s="100">
        <v>10</v>
      </c>
      <c r="BK94" s="100">
        <v>11928</v>
      </c>
      <c r="BL94" s="100">
        <v>4.0160142541548485</v>
      </c>
      <c r="BM94" s="100">
        <v>4790.3018023559034</v>
      </c>
      <c r="BN94" s="100">
        <v>6.3801589757675607</v>
      </c>
      <c r="BO94" s="100">
        <v>7610.2536262955464</v>
      </c>
      <c r="BP94" s="100">
        <v>6.7307171612492969</v>
      </c>
      <c r="BQ94" s="100">
        <v>8028.3994299381611</v>
      </c>
      <c r="BR94" s="100">
        <v>8.1884393271883127</v>
      </c>
      <c r="BS94" s="100">
        <v>9767.1704294702195</v>
      </c>
      <c r="BT94" s="100">
        <v>0.5351014333731493</v>
      </c>
      <c r="BU94" s="100">
        <v>638.26898972749245</v>
      </c>
      <c r="BV94" s="100">
        <v>6</v>
      </c>
      <c r="BW94" s="100">
        <v>7156.7999999999993</v>
      </c>
      <c r="BX94" s="100">
        <v>6.443608946771465</v>
      </c>
      <c r="BY94" s="100">
        <v>7685.9367517090031</v>
      </c>
      <c r="BZ94" s="100">
        <v>8.1235810250045581</v>
      </c>
      <c r="CA94" s="100">
        <v>9689.8074466254366</v>
      </c>
      <c r="CB94" s="100">
        <v>7.2058266079257169</v>
      </c>
      <c r="CC94" s="100">
        <v>8595.1099779337947</v>
      </c>
      <c r="CD94" s="100">
        <v>4.8786717104453174</v>
      </c>
      <c r="CE94" s="100">
        <v>5819.2796162191744</v>
      </c>
      <c r="CF94" s="100">
        <v>7.4897518411184425</v>
      </c>
      <c r="CG94" s="100">
        <v>8933.7759960860785</v>
      </c>
      <c r="CH94" s="100">
        <v>7.2152583181455157</v>
      </c>
      <c r="CI94" s="100">
        <v>8606.3601218839704</v>
      </c>
      <c r="CJ94" s="100">
        <v>8.7908313802401015</v>
      </c>
      <c r="CK94" s="100">
        <v>10485.703670350393</v>
      </c>
      <c r="CL94" s="100">
        <v>9.8142755530511927</v>
      </c>
      <c r="CM94" s="100">
        <v>11706.467879679461</v>
      </c>
      <c r="CN94" s="100">
        <v>6.7106054565842088</v>
      </c>
      <c r="CO94" s="100">
        <v>8004.4101886136441</v>
      </c>
      <c r="CP94" s="100">
        <v>4.5977010883777858</v>
      </c>
      <c r="CQ94" s="100">
        <v>5484.1378582170228</v>
      </c>
      <c r="CR94" s="100">
        <v>4.0504538992550509</v>
      </c>
      <c r="CS94" s="100">
        <v>4831.3814110314242</v>
      </c>
      <c r="CT94" s="100">
        <v>5.0782568424732055</v>
      </c>
      <c r="CU94" s="100">
        <v>6057.3447617020392</v>
      </c>
    </row>
    <row r="95" spans="2:99">
      <c r="B95" s="99" t="s">
        <v>132</v>
      </c>
      <c r="C95" s="99" t="s">
        <v>261</v>
      </c>
      <c r="D95" s="100">
        <v>9</v>
      </c>
      <c r="E95" s="100">
        <v>2959.2000000000003</v>
      </c>
      <c r="F95" s="100">
        <v>13</v>
      </c>
      <c r="G95" s="100">
        <v>4274.4000000000005</v>
      </c>
      <c r="H95" s="100">
        <v>11.843639777863245</v>
      </c>
      <c r="I95" s="100">
        <v>3894.1887589614353</v>
      </c>
      <c r="J95" s="100">
        <v>0.57023435576633585</v>
      </c>
      <c r="K95" s="100">
        <v>187.49305617597125</v>
      </c>
      <c r="L95" s="100">
        <v>7</v>
      </c>
      <c r="M95" s="100">
        <v>2301.6</v>
      </c>
      <c r="N95" s="100">
        <v>8</v>
      </c>
      <c r="O95" s="100">
        <v>2630.4</v>
      </c>
      <c r="P95" s="100">
        <v>14</v>
      </c>
      <c r="Q95" s="100">
        <v>4603.2</v>
      </c>
      <c r="R95" s="100">
        <v>6.0950921567553848</v>
      </c>
      <c r="S95" s="100">
        <v>2004.0663011411707</v>
      </c>
      <c r="T95" s="100">
        <v>8</v>
      </c>
      <c r="U95" s="100">
        <v>2630.4</v>
      </c>
      <c r="V95" s="100">
        <v>12</v>
      </c>
      <c r="W95" s="100">
        <v>3945.6000000000004</v>
      </c>
      <c r="X95" s="100">
        <v>11</v>
      </c>
      <c r="Y95" s="100">
        <v>3616.8</v>
      </c>
      <c r="Z95" s="100">
        <v>1.3963883335753751</v>
      </c>
      <c r="AA95" s="100">
        <v>459.13248407958332</v>
      </c>
      <c r="AB95" s="100">
        <v>6</v>
      </c>
      <c r="AC95" s="100">
        <v>1972.8000000000002</v>
      </c>
      <c r="AD95" s="100">
        <v>8.1856258841367868</v>
      </c>
      <c r="AE95" s="100">
        <v>2691.4337907041754</v>
      </c>
      <c r="AF95" s="100">
        <v>13</v>
      </c>
      <c r="AG95" s="100">
        <v>4274.4000000000005</v>
      </c>
      <c r="AH95" s="100">
        <v>5.9856472513844317</v>
      </c>
      <c r="AI95" s="100">
        <v>1968.0808162552012</v>
      </c>
      <c r="AJ95" s="100">
        <v>12</v>
      </c>
      <c r="AK95" s="100">
        <v>3945.6000000000004</v>
      </c>
      <c r="AL95" s="100">
        <v>3.310097788123489</v>
      </c>
      <c r="AM95" s="100">
        <v>1088.3601527350031</v>
      </c>
      <c r="AN95" s="100">
        <v>7</v>
      </c>
      <c r="AO95" s="100">
        <v>2301.6</v>
      </c>
      <c r="AP95" s="100">
        <v>14</v>
      </c>
      <c r="AQ95" s="100">
        <v>4603.2</v>
      </c>
      <c r="AR95" s="100">
        <v>2.0033351006953017</v>
      </c>
      <c r="AS95" s="100">
        <v>658.69658110861519</v>
      </c>
      <c r="AT95" s="100">
        <v>10.208254361228096</v>
      </c>
      <c r="AU95" s="100">
        <v>3356.4740339717982</v>
      </c>
      <c r="AV95" s="100">
        <v>0</v>
      </c>
      <c r="AW95" s="100">
        <v>0</v>
      </c>
      <c r="AX95" s="100">
        <v>0</v>
      </c>
      <c r="AY95" s="100">
        <v>0</v>
      </c>
      <c r="AZ95" s="100">
        <v>8</v>
      </c>
      <c r="BA95" s="100">
        <v>2630.4</v>
      </c>
      <c r="BB95" s="100">
        <v>0.67957581712618642</v>
      </c>
      <c r="BC95" s="100">
        <v>223.4445286710901</v>
      </c>
      <c r="BD95" s="100">
        <v>9</v>
      </c>
      <c r="BE95" s="100">
        <v>2959.2000000000003</v>
      </c>
      <c r="BF95" s="100">
        <v>5.6518790914837806</v>
      </c>
      <c r="BG95" s="100">
        <v>1858.3378452798672</v>
      </c>
      <c r="BH95" s="100">
        <v>12</v>
      </c>
      <c r="BI95" s="100">
        <v>3945.6000000000004</v>
      </c>
      <c r="BJ95" s="100">
        <v>8</v>
      </c>
      <c r="BK95" s="100">
        <v>2630.4</v>
      </c>
      <c r="BL95" s="100">
        <v>4.0160142541548485</v>
      </c>
      <c r="BM95" s="100">
        <v>1320.4654867661143</v>
      </c>
      <c r="BN95" s="100">
        <v>7.9751987197094509</v>
      </c>
      <c r="BO95" s="100">
        <v>2622.2453390404676</v>
      </c>
      <c r="BP95" s="100">
        <v>7.5720568064054579</v>
      </c>
      <c r="BQ95" s="100">
        <v>2489.6922779461147</v>
      </c>
      <c r="BR95" s="100">
        <v>5.7319075290318189</v>
      </c>
      <c r="BS95" s="100">
        <v>1884.6511955456622</v>
      </c>
      <c r="BT95" s="100">
        <v>0.7134685778308657</v>
      </c>
      <c r="BU95" s="100">
        <v>234.58846839078865</v>
      </c>
      <c r="BV95" s="100">
        <v>8</v>
      </c>
      <c r="BW95" s="100">
        <v>2630.4</v>
      </c>
      <c r="BX95" s="100">
        <v>9.6654134201571988</v>
      </c>
      <c r="BY95" s="100">
        <v>3177.9879325476873</v>
      </c>
      <c r="BZ95" s="100">
        <v>11.373013435006381</v>
      </c>
      <c r="CA95" s="100">
        <v>3739.4468174300982</v>
      </c>
      <c r="CB95" s="100">
        <v>7.2058266079257169</v>
      </c>
      <c r="CC95" s="100">
        <v>2369.2757886859758</v>
      </c>
      <c r="CD95" s="100">
        <v>4.4351561004048339</v>
      </c>
      <c r="CE95" s="100">
        <v>1458.2793258131094</v>
      </c>
      <c r="CF95" s="100">
        <v>6.6575571921052816</v>
      </c>
      <c r="CG95" s="100">
        <v>2189.0048047642167</v>
      </c>
      <c r="CH95" s="100">
        <v>8.0169536868283497</v>
      </c>
      <c r="CI95" s="100">
        <v>2635.9743722291614</v>
      </c>
      <c r="CJ95" s="100">
        <v>8.7908313802401015</v>
      </c>
      <c r="CK95" s="100">
        <v>2890.4253578229454</v>
      </c>
      <c r="CL95" s="100">
        <v>9.8142755530511927</v>
      </c>
      <c r="CM95" s="100">
        <v>3226.9338018432322</v>
      </c>
      <c r="CN95" s="100">
        <v>7.9307155395995199</v>
      </c>
      <c r="CO95" s="100">
        <v>2607.6192694203223</v>
      </c>
      <c r="CP95" s="100">
        <v>3.6781608707022291</v>
      </c>
      <c r="CQ95" s="100">
        <v>1209.3792942868929</v>
      </c>
      <c r="CR95" s="100">
        <v>5.850655632257296</v>
      </c>
      <c r="CS95" s="100">
        <v>1923.6955718861991</v>
      </c>
      <c r="CT95" s="100">
        <v>8.7055831585254957</v>
      </c>
      <c r="CU95" s="100">
        <v>2862.3957425231829</v>
      </c>
    </row>
    <row r="96" spans="2:99">
      <c r="C96" s="99" t="s">
        <v>262</v>
      </c>
      <c r="D96" s="100">
        <v>9</v>
      </c>
      <c r="E96" s="100">
        <v>6253.2</v>
      </c>
      <c r="F96" s="100">
        <v>12</v>
      </c>
      <c r="G96" s="100">
        <v>8337.5999999999985</v>
      </c>
      <c r="H96" s="100">
        <v>11.843639777863245</v>
      </c>
      <c r="I96" s="100">
        <v>8228.9609176593822</v>
      </c>
      <c r="J96" s="100">
        <v>0.57023435576633585</v>
      </c>
      <c r="K96" s="100">
        <v>396.19883038645014</v>
      </c>
      <c r="L96" s="100">
        <v>6</v>
      </c>
      <c r="M96" s="100">
        <v>4168.7999999999993</v>
      </c>
      <c r="N96" s="100">
        <v>7</v>
      </c>
      <c r="O96" s="100">
        <v>4863.5999999999995</v>
      </c>
      <c r="P96" s="100">
        <v>13</v>
      </c>
      <c r="Q96" s="100">
        <v>9032.4</v>
      </c>
      <c r="R96" s="100">
        <v>5.5409928697776225</v>
      </c>
      <c r="S96" s="100">
        <v>3849.8818459214917</v>
      </c>
      <c r="T96" s="100">
        <v>7</v>
      </c>
      <c r="U96" s="100">
        <v>4863.5999999999995</v>
      </c>
      <c r="V96" s="100">
        <v>13</v>
      </c>
      <c r="W96" s="100">
        <v>9032.4</v>
      </c>
      <c r="X96" s="100">
        <v>10</v>
      </c>
      <c r="Y96" s="100">
        <v>6948</v>
      </c>
      <c r="Z96" s="100">
        <v>1.8618511114338332</v>
      </c>
      <c r="AA96" s="100">
        <v>1293.6141522242272</v>
      </c>
      <c r="AB96" s="100">
        <v>6</v>
      </c>
      <c r="AC96" s="100">
        <v>4168.7999999999993</v>
      </c>
      <c r="AD96" s="100">
        <v>7.4414780764879875</v>
      </c>
      <c r="AE96" s="100">
        <v>5170.338967543853</v>
      </c>
      <c r="AF96" s="100">
        <v>14</v>
      </c>
      <c r="AG96" s="100">
        <v>9727.1999999999989</v>
      </c>
      <c r="AH96" s="100">
        <v>5.9856472513844317</v>
      </c>
      <c r="AI96" s="100">
        <v>4158.8277102619031</v>
      </c>
      <c r="AJ96" s="100">
        <v>13</v>
      </c>
      <c r="AK96" s="100">
        <v>9032.4</v>
      </c>
      <c r="AL96" s="100">
        <v>3.310097788123489</v>
      </c>
      <c r="AM96" s="100">
        <v>2299.8559431881999</v>
      </c>
      <c r="AN96" s="100">
        <v>8</v>
      </c>
      <c r="AO96" s="100">
        <v>5558.4</v>
      </c>
      <c r="AP96" s="100">
        <v>12</v>
      </c>
      <c r="AQ96" s="100">
        <v>8337.5999999999985</v>
      </c>
      <c r="AR96" s="100">
        <v>2.2537519882822146</v>
      </c>
      <c r="AS96" s="100">
        <v>1565.9068814584825</v>
      </c>
      <c r="AT96" s="100">
        <v>10.208254361228096</v>
      </c>
      <c r="AU96" s="100">
        <v>7092.6951301812805</v>
      </c>
      <c r="AV96" s="100">
        <v>0</v>
      </c>
      <c r="AW96" s="100">
        <v>0</v>
      </c>
      <c r="AX96" s="100">
        <v>0</v>
      </c>
      <c r="AY96" s="100">
        <v>0</v>
      </c>
      <c r="AZ96" s="100">
        <v>7</v>
      </c>
      <c r="BA96" s="100">
        <v>4863.5999999999995</v>
      </c>
      <c r="BB96" s="100">
        <v>0.67957581712618642</v>
      </c>
      <c r="BC96" s="100">
        <v>472.16927773927432</v>
      </c>
      <c r="BD96" s="100">
        <v>9</v>
      </c>
      <c r="BE96" s="100">
        <v>6253.2</v>
      </c>
      <c r="BF96" s="100">
        <v>6.1656862816186688</v>
      </c>
      <c r="BG96" s="100">
        <v>4283.9188284686506</v>
      </c>
      <c r="BH96" s="100">
        <v>12</v>
      </c>
      <c r="BI96" s="100">
        <v>8337.5999999999985</v>
      </c>
      <c r="BJ96" s="100">
        <v>7</v>
      </c>
      <c r="BK96" s="100">
        <v>4863.5999999999995</v>
      </c>
      <c r="BL96" s="100">
        <v>3.5140124723854922</v>
      </c>
      <c r="BM96" s="100">
        <v>2441.5358658134396</v>
      </c>
      <c r="BN96" s="100">
        <v>7.9751987197094509</v>
      </c>
      <c r="BO96" s="100">
        <v>5541.1680704541259</v>
      </c>
      <c r="BP96" s="100">
        <v>6.7307171612492969</v>
      </c>
      <c r="BQ96" s="100">
        <v>4676.5022836360113</v>
      </c>
      <c r="BR96" s="100">
        <v>6.5507514617506502</v>
      </c>
      <c r="BS96" s="100">
        <v>4551.4621156243511</v>
      </c>
      <c r="BT96" s="100">
        <v>0.65401286301162687</v>
      </c>
      <c r="BU96" s="100">
        <v>454.4081372204783</v>
      </c>
      <c r="BV96" s="100">
        <v>9</v>
      </c>
      <c r="BW96" s="100">
        <v>6253.2</v>
      </c>
      <c r="BX96" s="100">
        <v>9.6654134201571988</v>
      </c>
      <c r="BY96" s="100">
        <v>6715.529244325221</v>
      </c>
      <c r="BZ96" s="100">
        <v>9.7482972300054698</v>
      </c>
      <c r="CA96" s="100">
        <v>6773.1169154077998</v>
      </c>
      <c r="CB96" s="100">
        <v>7.2058266079257169</v>
      </c>
      <c r="CC96" s="100">
        <v>5006.6083271867874</v>
      </c>
      <c r="CD96" s="100">
        <v>3.5481248803238676</v>
      </c>
      <c r="CE96" s="100">
        <v>2465.2371668490232</v>
      </c>
      <c r="CF96" s="100">
        <v>7.4897518411184425</v>
      </c>
      <c r="CG96" s="100">
        <v>5203.8795792090932</v>
      </c>
      <c r="CH96" s="100">
        <v>8.0169536868283497</v>
      </c>
      <c r="CI96" s="100">
        <v>5570.1794216083372</v>
      </c>
      <c r="CJ96" s="100">
        <v>8.7908313802401015</v>
      </c>
      <c r="CK96" s="100">
        <v>6107.8696429908223</v>
      </c>
      <c r="CL96" s="100">
        <v>8.8328479977460734</v>
      </c>
      <c r="CM96" s="100">
        <v>6137.0627888339714</v>
      </c>
      <c r="CN96" s="100">
        <v>9.1508256226148301</v>
      </c>
      <c r="CO96" s="100">
        <v>6357.9936425927835</v>
      </c>
      <c r="CP96" s="100">
        <v>4.1379309795400072</v>
      </c>
      <c r="CQ96" s="100">
        <v>2875.0344445843966</v>
      </c>
      <c r="CR96" s="100">
        <v>5.4006051990067352</v>
      </c>
      <c r="CS96" s="100">
        <v>3752.3404922698792</v>
      </c>
      <c r="CT96" s="100">
        <v>8.7055831585254957</v>
      </c>
      <c r="CU96" s="100">
        <v>6048.6391785435144</v>
      </c>
    </row>
    <row r="97" spans="2:99">
      <c r="C97" s="99" t="s">
        <v>263</v>
      </c>
      <c r="D97" s="100">
        <v>8</v>
      </c>
      <c r="E97" s="100">
        <v>3139.2</v>
      </c>
      <c r="F97" s="100">
        <v>13</v>
      </c>
      <c r="G97" s="100">
        <v>5101.2</v>
      </c>
      <c r="H97" s="100">
        <v>12.83060975935185</v>
      </c>
      <c r="I97" s="100">
        <v>5034.7312695696655</v>
      </c>
      <c r="J97" s="100">
        <v>0.57023435576633585</v>
      </c>
      <c r="K97" s="100">
        <v>223.75996120271017</v>
      </c>
      <c r="L97" s="100">
        <v>6</v>
      </c>
      <c r="M97" s="100">
        <v>2354.3999999999996</v>
      </c>
      <c r="N97" s="100">
        <v>8</v>
      </c>
      <c r="O97" s="100">
        <v>3139.2</v>
      </c>
      <c r="P97" s="100">
        <v>13</v>
      </c>
      <c r="Q97" s="100">
        <v>5101.2</v>
      </c>
      <c r="R97" s="100">
        <v>5.5409928697776225</v>
      </c>
      <c r="S97" s="100">
        <v>2174.2856021007387</v>
      </c>
      <c r="T97" s="100">
        <v>8</v>
      </c>
      <c r="U97" s="100">
        <v>3139.2</v>
      </c>
      <c r="V97" s="100">
        <v>12</v>
      </c>
      <c r="W97" s="100">
        <v>4708.7999999999993</v>
      </c>
      <c r="X97" s="100">
        <v>10</v>
      </c>
      <c r="Y97" s="100">
        <v>3924</v>
      </c>
      <c r="Z97" s="100">
        <v>1.6291197225046041</v>
      </c>
      <c r="AA97" s="100">
        <v>639.26657911080667</v>
      </c>
      <c r="AB97" s="100">
        <v>7</v>
      </c>
      <c r="AC97" s="100">
        <v>2746.7999999999997</v>
      </c>
      <c r="AD97" s="100">
        <v>7.4414780764879875</v>
      </c>
      <c r="AE97" s="100">
        <v>2920.0359972138863</v>
      </c>
      <c r="AF97" s="100">
        <v>12</v>
      </c>
      <c r="AG97" s="100">
        <v>4708.7999999999993</v>
      </c>
      <c r="AH97" s="100">
        <v>5.4868433137690626</v>
      </c>
      <c r="AI97" s="100">
        <v>2153.0373163229801</v>
      </c>
      <c r="AJ97" s="100">
        <v>14</v>
      </c>
      <c r="AK97" s="100">
        <v>5493.5999999999995</v>
      </c>
      <c r="AL97" s="100">
        <v>2.9423091449986569</v>
      </c>
      <c r="AM97" s="100">
        <v>1154.562108497473</v>
      </c>
      <c r="AN97" s="100">
        <v>7</v>
      </c>
      <c r="AO97" s="100">
        <v>2746.7999999999997</v>
      </c>
      <c r="AP97" s="100">
        <v>13</v>
      </c>
      <c r="AQ97" s="100">
        <v>5101.2</v>
      </c>
      <c r="AR97" s="100">
        <v>2.0033351006953017</v>
      </c>
      <c r="AS97" s="100">
        <v>786.10869351283634</v>
      </c>
      <c r="AT97" s="100">
        <v>10.208254361228096</v>
      </c>
      <c r="AU97" s="100">
        <v>4005.7190113459046</v>
      </c>
      <c r="AV97" s="100">
        <v>0</v>
      </c>
      <c r="AW97" s="100">
        <v>0</v>
      </c>
      <c r="AX97" s="100">
        <v>0</v>
      </c>
      <c r="AY97" s="100">
        <v>0</v>
      </c>
      <c r="AZ97" s="100">
        <v>7</v>
      </c>
      <c r="BA97" s="100">
        <v>2746.7999999999997</v>
      </c>
      <c r="BB97" s="100">
        <v>0.77665807671564169</v>
      </c>
      <c r="BC97" s="100">
        <v>304.7606293032178</v>
      </c>
      <c r="BD97" s="100">
        <v>9</v>
      </c>
      <c r="BE97" s="100">
        <v>3531.6</v>
      </c>
      <c r="BF97" s="100">
        <v>5.6518790914837806</v>
      </c>
      <c r="BG97" s="100">
        <v>2217.7973554982354</v>
      </c>
      <c r="BH97" s="100">
        <v>11</v>
      </c>
      <c r="BI97" s="100">
        <v>4316.3999999999996</v>
      </c>
      <c r="BJ97" s="100">
        <v>8</v>
      </c>
      <c r="BK97" s="100">
        <v>3139.2</v>
      </c>
      <c r="BL97" s="100">
        <v>4.0160142541548485</v>
      </c>
      <c r="BM97" s="100">
        <v>1575.8839933303625</v>
      </c>
      <c r="BN97" s="100">
        <v>7.9751987197094509</v>
      </c>
      <c r="BO97" s="100">
        <v>3129.4679776139883</v>
      </c>
      <c r="BP97" s="100">
        <v>7.5720568064054579</v>
      </c>
      <c r="BQ97" s="100">
        <v>2971.2750908335015</v>
      </c>
      <c r="BR97" s="100">
        <v>6.5507514617506502</v>
      </c>
      <c r="BS97" s="100">
        <v>2570.5148735909552</v>
      </c>
      <c r="BT97" s="100">
        <v>0.65401286301162687</v>
      </c>
      <c r="BU97" s="100">
        <v>256.63464744576237</v>
      </c>
      <c r="BV97" s="100">
        <v>9</v>
      </c>
      <c r="BW97" s="100">
        <v>3531.6</v>
      </c>
      <c r="BX97" s="100">
        <v>8.859962301810766</v>
      </c>
      <c r="BY97" s="100">
        <v>3476.6492072305446</v>
      </c>
      <c r="BZ97" s="100">
        <v>10.560655332505926</v>
      </c>
      <c r="CA97" s="100">
        <v>4144.0011524753254</v>
      </c>
      <c r="CB97" s="100">
        <v>6.3050982819350025</v>
      </c>
      <c r="CC97" s="100">
        <v>2474.1205658312947</v>
      </c>
      <c r="CD97" s="100">
        <v>4.4351561004048339</v>
      </c>
      <c r="CE97" s="100">
        <v>1740.3552537988567</v>
      </c>
      <c r="CF97" s="100">
        <v>7.4897518411184425</v>
      </c>
      <c r="CG97" s="100">
        <v>2938.9786224548766</v>
      </c>
      <c r="CH97" s="100">
        <v>7.2152583181455157</v>
      </c>
      <c r="CI97" s="100">
        <v>2831.2673640403</v>
      </c>
      <c r="CJ97" s="100">
        <v>8.7908313802401015</v>
      </c>
      <c r="CK97" s="100">
        <v>3449.5222336062157</v>
      </c>
      <c r="CL97" s="100">
        <v>8.8328479977460734</v>
      </c>
      <c r="CM97" s="100">
        <v>3466.0095543155589</v>
      </c>
      <c r="CN97" s="100">
        <v>7.9307155395995199</v>
      </c>
      <c r="CO97" s="100">
        <v>3112.0127777388516</v>
      </c>
      <c r="CP97" s="100">
        <v>3.6781608707022291</v>
      </c>
      <c r="CQ97" s="100">
        <v>1443.3103256635545</v>
      </c>
      <c r="CR97" s="100">
        <v>5.850655632257296</v>
      </c>
      <c r="CS97" s="100">
        <v>2295.797270097763</v>
      </c>
      <c r="CT97" s="100">
        <v>8.7055831585254957</v>
      </c>
      <c r="CU97" s="100">
        <v>3416.0708314054045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13</v>
      </c>
      <c r="G98" s="100">
        <v>6832.8</v>
      </c>
      <c r="H98" s="100">
        <v>13.817579740840452</v>
      </c>
      <c r="I98" s="100">
        <v>7262.5199117857419</v>
      </c>
      <c r="J98" s="100">
        <v>0.48877230494257362</v>
      </c>
      <c r="K98" s="100">
        <v>256.8987234778167</v>
      </c>
      <c r="L98" s="100">
        <v>7</v>
      </c>
      <c r="M98" s="100">
        <v>3679.2000000000003</v>
      </c>
      <c r="N98" s="100">
        <v>7</v>
      </c>
      <c r="O98" s="100">
        <v>3679.2000000000003</v>
      </c>
      <c r="P98" s="100">
        <v>11</v>
      </c>
      <c r="Q98" s="100">
        <v>5781.6</v>
      </c>
      <c r="R98" s="100">
        <v>5.5409928697776225</v>
      </c>
      <c r="S98" s="100">
        <v>2912.3458523551185</v>
      </c>
      <c r="T98" s="100">
        <v>8</v>
      </c>
      <c r="U98" s="100">
        <v>4204.8</v>
      </c>
      <c r="V98" s="100">
        <v>12</v>
      </c>
      <c r="W98" s="100">
        <v>6307.2000000000007</v>
      </c>
      <c r="X98" s="100">
        <v>11</v>
      </c>
      <c r="Y98" s="100">
        <v>5781.6</v>
      </c>
      <c r="Z98" s="100">
        <v>1.3963883335753751</v>
      </c>
      <c r="AA98" s="100">
        <v>733.94170812721711</v>
      </c>
      <c r="AB98" s="100">
        <v>7</v>
      </c>
      <c r="AC98" s="100">
        <v>3679.2000000000003</v>
      </c>
      <c r="AD98" s="100">
        <v>7.4414780764879875</v>
      </c>
      <c r="AE98" s="100">
        <v>3911.2408770020866</v>
      </c>
      <c r="AF98" s="100">
        <v>12</v>
      </c>
      <c r="AG98" s="100">
        <v>6307.2000000000007</v>
      </c>
      <c r="AH98" s="100">
        <v>5.9856472513844317</v>
      </c>
      <c r="AI98" s="100">
        <v>3146.0561953276574</v>
      </c>
      <c r="AJ98" s="100">
        <v>12</v>
      </c>
      <c r="AK98" s="100">
        <v>6307.2000000000007</v>
      </c>
      <c r="AL98" s="100">
        <v>2.9423091449986569</v>
      </c>
      <c r="AM98" s="100">
        <v>1546.4776866112941</v>
      </c>
      <c r="AN98" s="100">
        <v>8</v>
      </c>
      <c r="AO98" s="100">
        <v>4204.8</v>
      </c>
      <c r="AP98" s="100">
        <v>14</v>
      </c>
      <c r="AQ98" s="100">
        <v>7358.4000000000005</v>
      </c>
      <c r="AR98" s="100">
        <v>2.0033351006953017</v>
      </c>
      <c r="AS98" s="100">
        <v>1052.9529289254506</v>
      </c>
      <c r="AT98" s="100">
        <v>10.937415387030104</v>
      </c>
      <c r="AU98" s="100">
        <v>5748.7055274230224</v>
      </c>
      <c r="AV98" s="100">
        <v>0</v>
      </c>
      <c r="AW98" s="100">
        <v>0</v>
      </c>
      <c r="AX98" s="100">
        <v>0</v>
      </c>
      <c r="AY98" s="100">
        <v>0</v>
      </c>
      <c r="AZ98" s="100">
        <v>8</v>
      </c>
      <c r="BA98" s="100">
        <v>4204.8</v>
      </c>
      <c r="BB98" s="100">
        <v>0.67957581712618642</v>
      </c>
      <c r="BC98" s="100">
        <v>357.18504948152361</v>
      </c>
      <c r="BD98" s="100">
        <v>11</v>
      </c>
      <c r="BE98" s="100">
        <v>5781.6</v>
      </c>
      <c r="BF98" s="100">
        <v>6.6794934717535588</v>
      </c>
      <c r="BG98" s="100">
        <v>3510.7417687536708</v>
      </c>
      <c r="BH98" s="100">
        <v>10</v>
      </c>
      <c r="BI98" s="100">
        <v>5256</v>
      </c>
      <c r="BJ98" s="100">
        <v>7</v>
      </c>
      <c r="BK98" s="100">
        <v>3679.2000000000003</v>
      </c>
      <c r="BL98" s="100">
        <v>4.0160142541548485</v>
      </c>
      <c r="BM98" s="100">
        <v>2110.8170919837885</v>
      </c>
      <c r="BN98" s="100">
        <v>7.9751987197094509</v>
      </c>
      <c r="BO98" s="100">
        <v>4191.7644470792875</v>
      </c>
      <c r="BP98" s="100">
        <v>7.5720568064054579</v>
      </c>
      <c r="BQ98" s="100">
        <v>3979.873057446709</v>
      </c>
      <c r="BR98" s="100">
        <v>6.5507514617506502</v>
      </c>
      <c r="BS98" s="100">
        <v>3443.0749682961418</v>
      </c>
      <c r="BT98" s="100">
        <v>0.59455714819238803</v>
      </c>
      <c r="BU98" s="100">
        <v>312.49923708991918</v>
      </c>
      <c r="BV98" s="100">
        <v>8</v>
      </c>
      <c r="BW98" s="100">
        <v>4204.8</v>
      </c>
      <c r="BX98" s="100">
        <v>8.859962301810766</v>
      </c>
      <c r="BY98" s="100">
        <v>4656.7961858317385</v>
      </c>
      <c r="BZ98" s="100">
        <v>10.560655332505926</v>
      </c>
      <c r="CA98" s="100">
        <v>5550.680442765115</v>
      </c>
      <c r="CB98" s="100">
        <v>6.3050982819350025</v>
      </c>
      <c r="CC98" s="100">
        <v>3313.9596569850373</v>
      </c>
      <c r="CD98" s="100">
        <v>3.9916404903643508</v>
      </c>
      <c r="CE98" s="100">
        <v>2098.006241735503</v>
      </c>
      <c r="CF98" s="100">
        <v>7.4897518411184425</v>
      </c>
      <c r="CG98" s="100">
        <v>3936.6135676918534</v>
      </c>
      <c r="CH98" s="100">
        <v>7.2152583181455157</v>
      </c>
      <c r="CI98" s="100">
        <v>3792.3397720172834</v>
      </c>
      <c r="CJ98" s="100">
        <v>9.5899978693528389</v>
      </c>
      <c r="CK98" s="100">
        <v>5040.5028801318522</v>
      </c>
      <c r="CL98" s="100">
        <v>7.8514204424409533</v>
      </c>
      <c r="CM98" s="100">
        <v>4126.7065845469651</v>
      </c>
      <c r="CN98" s="100">
        <v>8.540770581107175</v>
      </c>
      <c r="CO98" s="100">
        <v>4489.0290174299316</v>
      </c>
      <c r="CP98" s="100">
        <v>4.1379309795400072</v>
      </c>
      <c r="CQ98" s="100">
        <v>2174.896522846228</v>
      </c>
      <c r="CR98" s="100">
        <v>5.850655632257296</v>
      </c>
      <c r="CS98" s="100">
        <v>3075.1046003144347</v>
      </c>
      <c r="CT98" s="100">
        <v>7.980117895315038</v>
      </c>
      <c r="CU98" s="100">
        <v>4194.3499657775837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11</v>
      </c>
      <c r="G99" s="100">
        <v>46292.399999999994</v>
      </c>
      <c r="H99" s="100">
        <v>9.8696998148860384</v>
      </c>
      <c r="I99" s="100">
        <v>41535.644700966397</v>
      </c>
      <c r="J99" s="100">
        <v>0.40731025411881128</v>
      </c>
      <c r="K99" s="100">
        <v>1714.1244734336053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10</v>
      </c>
      <c r="Q99" s="100">
        <v>42084</v>
      </c>
      <c r="R99" s="100">
        <v>4.9868935827998602</v>
      </c>
      <c r="S99" s="100">
        <v>20986.842953854928</v>
      </c>
      <c r="T99" s="100">
        <v>6</v>
      </c>
      <c r="U99" s="100">
        <v>25250.399999999998</v>
      </c>
      <c r="V99" s="100">
        <v>11</v>
      </c>
      <c r="W99" s="100">
        <v>46292.399999999994</v>
      </c>
      <c r="X99" s="100">
        <v>9</v>
      </c>
      <c r="Y99" s="100">
        <v>37875.599999999999</v>
      </c>
      <c r="Z99" s="100">
        <v>1.3963883335753751</v>
      </c>
      <c r="AA99" s="100">
        <v>5876.5606630186076</v>
      </c>
      <c r="AB99" s="100">
        <v>5</v>
      </c>
      <c r="AC99" s="100">
        <v>21042</v>
      </c>
      <c r="AD99" s="100">
        <v>5.2090346535415915</v>
      </c>
      <c r="AE99" s="100">
        <v>21921.701435964431</v>
      </c>
      <c r="AF99" s="100">
        <v>11</v>
      </c>
      <c r="AG99" s="100">
        <v>46292.399999999994</v>
      </c>
      <c r="AH99" s="100">
        <v>4.4892354385383246</v>
      </c>
      <c r="AI99" s="100">
        <v>18892.498419544685</v>
      </c>
      <c r="AJ99" s="100">
        <v>10</v>
      </c>
      <c r="AK99" s="100">
        <v>42084</v>
      </c>
      <c r="AL99" s="100">
        <v>2.5745205018738244</v>
      </c>
      <c r="AM99" s="100">
        <v>10834.612080085803</v>
      </c>
      <c r="AN99" s="100">
        <v>6</v>
      </c>
      <c r="AO99" s="100">
        <v>25250.399999999998</v>
      </c>
      <c r="AP99" s="100">
        <v>12</v>
      </c>
      <c r="AQ99" s="100">
        <v>50500.799999999996</v>
      </c>
      <c r="AR99" s="100">
        <v>1.7529182131083891</v>
      </c>
      <c r="AS99" s="100">
        <v>7376.9810080453444</v>
      </c>
      <c r="AT99" s="100">
        <v>8.7499323096240822</v>
      </c>
      <c r="AU99" s="100">
        <v>36823.215131821984</v>
      </c>
      <c r="AV99" s="100">
        <v>0</v>
      </c>
      <c r="AW99" s="100">
        <v>0</v>
      </c>
      <c r="AX99" s="100">
        <v>0</v>
      </c>
      <c r="AY99" s="100">
        <v>0</v>
      </c>
      <c r="AZ99" s="100">
        <v>7</v>
      </c>
      <c r="BA99" s="100">
        <v>29458.799999999996</v>
      </c>
      <c r="BB99" s="100">
        <v>0.67957581712618642</v>
      </c>
      <c r="BC99" s="100">
        <v>2859.9268687938429</v>
      </c>
      <c r="BD99" s="100">
        <v>8</v>
      </c>
      <c r="BE99" s="100">
        <v>33667.199999999997</v>
      </c>
      <c r="BF99" s="100">
        <v>5.1380719013488916</v>
      </c>
      <c r="BG99" s="100">
        <v>21623.061789636675</v>
      </c>
      <c r="BH99" s="100">
        <v>9</v>
      </c>
      <c r="BI99" s="100">
        <v>37875.599999999999</v>
      </c>
      <c r="BJ99" s="100">
        <v>6</v>
      </c>
      <c r="BK99" s="100">
        <v>25250.399999999998</v>
      </c>
      <c r="BL99" s="100">
        <v>3.0120106906161364</v>
      </c>
      <c r="BM99" s="100">
        <v>12675.745790388946</v>
      </c>
      <c r="BN99" s="100">
        <v>6.3801589757675607</v>
      </c>
      <c r="BO99" s="100">
        <v>26850.261033620201</v>
      </c>
      <c r="BP99" s="100">
        <v>6.7307171612492969</v>
      </c>
      <c r="BQ99" s="100">
        <v>28325.550101401539</v>
      </c>
      <c r="BR99" s="100">
        <v>5.7319075290318189</v>
      </c>
      <c r="BS99" s="100">
        <v>24122.159645177504</v>
      </c>
      <c r="BT99" s="100">
        <v>0.59455714819238803</v>
      </c>
      <c r="BU99" s="100">
        <v>2502.1343024528455</v>
      </c>
      <c r="BV99" s="100">
        <v>7</v>
      </c>
      <c r="BW99" s="100">
        <v>29458.799999999996</v>
      </c>
      <c r="BX99" s="100">
        <v>8.0545111834643333</v>
      </c>
      <c r="BY99" s="100">
        <v>33896.604864491295</v>
      </c>
      <c r="BZ99" s="100">
        <v>8.1235810250045581</v>
      </c>
      <c r="CA99" s="100">
        <v>34187.278385629179</v>
      </c>
      <c r="CB99" s="100">
        <v>5.4043699559442873</v>
      </c>
      <c r="CC99" s="100">
        <v>22743.750522595936</v>
      </c>
      <c r="CD99" s="100">
        <v>3.1046092702833836</v>
      </c>
      <c r="CE99" s="100">
        <v>13065.437653060591</v>
      </c>
      <c r="CF99" s="100">
        <v>5.8253625430921225</v>
      </c>
      <c r="CG99" s="100">
        <v>24515.455726348886</v>
      </c>
      <c r="CH99" s="100">
        <v>7.2152583181455157</v>
      </c>
      <c r="CI99" s="100">
        <v>30364.693106083585</v>
      </c>
      <c r="CJ99" s="100">
        <v>7.9916648911273658</v>
      </c>
      <c r="CK99" s="100">
        <v>33632.1225278204</v>
      </c>
      <c r="CL99" s="100">
        <v>6.8699928871358349</v>
      </c>
      <c r="CM99" s="100">
        <v>28911.678066222445</v>
      </c>
      <c r="CN99" s="100">
        <v>6.7106054565842088</v>
      </c>
      <c r="CO99" s="100">
        <v>28240.912003488982</v>
      </c>
      <c r="CP99" s="100">
        <v>2.7586206530266715</v>
      </c>
      <c r="CQ99" s="100">
        <v>11609.379156197443</v>
      </c>
      <c r="CR99" s="100">
        <v>4.9505547657561735</v>
      </c>
      <c r="CS99" s="100">
        <v>20833.914676208278</v>
      </c>
      <c r="CT99" s="100">
        <v>7.980117895315038</v>
      </c>
      <c r="CU99" s="100">
        <v>33583.528150643804</v>
      </c>
    </row>
    <row r="100" spans="2:99">
      <c r="C100" s="99" t="s">
        <v>266</v>
      </c>
      <c r="D100" s="100">
        <v>8</v>
      </c>
      <c r="E100" s="100">
        <v>2592</v>
      </c>
      <c r="F100" s="100">
        <v>12</v>
      </c>
      <c r="G100" s="100">
        <v>3888</v>
      </c>
      <c r="H100" s="100">
        <v>11.843639777863245</v>
      </c>
      <c r="I100" s="100">
        <v>3837.3392880276915</v>
      </c>
      <c r="J100" s="100">
        <v>0.48877230494257362</v>
      </c>
      <c r="K100" s="100">
        <v>158.36222680139386</v>
      </c>
      <c r="L100" s="100">
        <v>7</v>
      </c>
      <c r="M100" s="100">
        <v>2268</v>
      </c>
      <c r="N100" s="100">
        <v>8</v>
      </c>
      <c r="O100" s="100">
        <v>2592</v>
      </c>
      <c r="P100" s="100">
        <v>13</v>
      </c>
      <c r="Q100" s="100">
        <v>4212</v>
      </c>
      <c r="R100" s="100">
        <v>5.5409928697776225</v>
      </c>
      <c r="S100" s="100">
        <v>1795.2816898079498</v>
      </c>
      <c r="T100" s="100">
        <v>7</v>
      </c>
      <c r="U100" s="100">
        <v>2268</v>
      </c>
      <c r="V100" s="100">
        <v>14</v>
      </c>
      <c r="W100" s="100">
        <v>4536</v>
      </c>
      <c r="X100" s="100">
        <v>10</v>
      </c>
      <c r="Y100" s="100">
        <v>3240</v>
      </c>
      <c r="Z100" s="100">
        <v>1.8618511114338332</v>
      </c>
      <c r="AA100" s="100">
        <v>603.23976010456192</v>
      </c>
      <c r="AB100" s="100">
        <v>7</v>
      </c>
      <c r="AC100" s="100">
        <v>2268</v>
      </c>
      <c r="AD100" s="100">
        <v>7.4414780764879875</v>
      </c>
      <c r="AE100" s="100">
        <v>2411.0388967821082</v>
      </c>
      <c r="AF100" s="100">
        <v>14</v>
      </c>
      <c r="AG100" s="100">
        <v>4536</v>
      </c>
      <c r="AH100" s="100">
        <v>5.4868433137690626</v>
      </c>
      <c r="AI100" s="100">
        <v>1777.7372336611763</v>
      </c>
      <c r="AJ100" s="100">
        <v>14</v>
      </c>
      <c r="AK100" s="100">
        <v>4536</v>
      </c>
      <c r="AL100" s="100">
        <v>2.9423091449986569</v>
      </c>
      <c r="AM100" s="100">
        <v>953.30816297956483</v>
      </c>
      <c r="AN100" s="100">
        <v>7</v>
      </c>
      <c r="AO100" s="100">
        <v>2268</v>
      </c>
      <c r="AP100" s="100">
        <v>13</v>
      </c>
      <c r="AQ100" s="100">
        <v>4212</v>
      </c>
      <c r="AR100" s="100">
        <v>2.2537519882822146</v>
      </c>
      <c r="AS100" s="100">
        <v>730.21564420343748</v>
      </c>
      <c r="AT100" s="100">
        <v>8.7499323096240822</v>
      </c>
      <c r="AU100" s="100">
        <v>2834.9780683182025</v>
      </c>
      <c r="AV100" s="100">
        <v>0</v>
      </c>
      <c r="AW100" s="100">
        <v>0</v>
      </c>
      <c r="AX100" s="100">
        <v>0</v>
      </c>
      <c r="AY100" s="100">
        <v>0</v>
      </c>
      <c r="AZ100" s="100">
        <v>9</v>
      </c>
      <c r="BA100" s="100">
        <v>2916</v>
      </c>
      <c r="BB100" s="100">
        <v>0.77665807671564169</v>
      </c>
      <c r="BC100" s="100">
        <v>251.6372168558679</v>
      </c>
      <c r="BD100" s="100">
        <v>10</v>
      </c>
      <c r="BE100" s="100">
        <v>3240</v>
      </c>
      <c r="BF100" s="100">
        <v>6.1656862816186688</v>
      </c>
      <c r="BG100" s="100">
        <v>1997.6823552444487</v>
      </c>
      <c r="BH100" s="100">
        <v>11</v>
      </c>
      <c r="BI100" s="100">
        <v>3564</v>
      </c>
      <c r="BJ100" s="100">
        <v>8</v>
      </c>
      <c r="BK100" s="100">
        <v>2592</v>
      </c>
      <c r="BL100" s="100">
        <v>4.0160142541548485</v>
      </c>
      <c r="BM100" s="100">
        <v>1301.1886183461709</v>
      </c>
      <c r="BN100" s="100">
        <v>8.7727185916803965</v>
      </c>
      <c r="BO100" s="100">
        <v>2842.3608237044486</v>
      </c>
      <c r="BP100" s="100">
        <v>7.5720568064054579</v>
      </c>
      <c r="BQ100" s="100">
        <v>2453.3464052753684</v>
      </c>
      <c r="BR100" s="100">
        <v>5.7319075290318189</v>
      </c>
      <c r="BS100" s="100">
        <v>1857.1380394063094</v>
      </c>
      <c r="BT100" s="100">
        <v>0.7134685778308657</v>
      </c>
      <c r="BU100" s="100">
        <v>231.16381921720048</v>
      </c>
      <c r="BV100" s="100">
        <v>9</v>
      </c>
      <c r="BW100" s="100">
        <v>2916</v>
      </c>
      <c r="BX100" s="100">
        <v>9.6654134201571988</v>
      </c>
      <c r="BY100" s="100">
        <v>3131.5939481309324</v>
      </c>
      <c r="BZ100" s="100">
        <v>10.560655332505926</v>
      </c>
      <c r="CA100" s="100">
        <v>3421.6523277319197</v>
      </c>
      <c r="CB100" s="100">
        <v>6.3050982819350025</v>
      </c>
      <c r="CC100" s="100">
        <v>2042.8518433469408</v>
      </c>
      <c r="CD100" s="100">
        <v>3.5481248803238676</v>
      </c>
      <c r="CE100" s="100">
        <v>1149.592461224933</v>
      </c>
      <c r="CF100" s="100">
        <v>7.4897518411184425</v>
      </c>
      <c r="CG100" s="100">
        <v>2426.6795965223755</v>
      </c>
      <c r="CH100" s="100">
        <v>8.0169536868283497</v>
      </c>
      <c r="CI100" s="100">
        <v>2597.4929945323852</v>
      </c>
      <c r="CJ100" s="100">
        <v>8.7908313802401015</v>
      </c>
      <c r="CK100" s="100">
        <v>2848.2293671977927</v>
      </c>
      <c r="CL100" s="100">
        <v>8.8328479977460734</v>
      </c>
      <c r="CM100" s="100">
        <v>2861.8427512697276</v>
      </c>
      <c r="CN100" s="100">
        <v>8.540770581107175</v>
      </c>
      <c r="CO100" s="100">
        <v>2767.2096682787246</v>
      </c>
      <c r="CP100" s="100">
        <v>3.6781608707022291</v>
      </c>
      <c r="CQ100" s="100">
        <v>1191.7241221075221</v>
      </c>
      <c r="CR100" s="100">
        <v>5.850655632257296</v>
      </c>
      <c r="CS100" s="100">
        <v>1895.6124248513638</v>
      </c>
      <c r="CT100" s="100">
        <v>8.7055831585254957</v>
      </c>
      <c r="CU100" s="100">
        <v>2820.6089433622606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12</v>
      </c>
      <c r="G101" s="100">
        <v>8683.2000000000007</v>
      </c>
      <c r="H101" s="100">
        <v>12.83060975935185</v>
      </c>
      <c r="I101" s="100">
        <v>9284.2292218669991</v>
      </c>
      <c r="J101" s="100">
        <v>0.57023435576633585</v>
      </c>
      <c r="K101" s="100">
        <v>412.62157983252064</v>
      </c>
      <c r="L101" s="100">
        <v>6</v>
      </c>
      <c r="M101" s="100">
        <v>4341.6000000000004</v>
      </c>
      <c r="N101" s="100">
        <v>8</v>
      </c>
      <c r="O101" s="100">
        <v>5788.8</v>
      </c>
      <c r="P101" s="100">
        <v>13</v>
      </c>
      <c r="Q101" s="100">
        <v>9406.8000000000011</v>
      </c>
      <c r="R101" s="100">
        <v>5.5409928697776225</v>
      </c>
      <c r="S101" s="100">
        <v>4009.4624405710879</v>
      </c>
      <c r="T101" s="100">
        <v>7</v>
      </c>
      <c r="U101" s="100">
        <v>5065.2</v>
      </c>
      <c r="V101" s="100">
        <v>13</v>
      </c>
      <c r="W101" s="100">
        <v>9406.8000000000011</v>
      </c>
      <c r="X101" s="100">
        <v>9</v>
      </c>
      <c r="Y101" s="100">
        <v>6512.4000000000005</v>
      </c>
      <c r="Z101" s="100">
        <v>1.3963883335753751</v>
      </c>
      <c r="AA101" s="100">
        <v>1010.4265981751414</v>
      </c>
      <c r="AB101" s="100">
        <v>6</v>
      </c>
      <c r="AC101" s="100">
        <v>4341.6000000000004</v>
      </c>
      <c r="AD101" s="100">
        <v>8.1856258841367868</v>
      </c>
      <c r="AE101" s="100">
        <v>5923.1188897613793</v>
      </c>
      <c r="AF101" s="100">
        <v>14</v>
      </c>
      <c r="AG101" s="100">
        <v>10130.4</v>
      </c>
      <c r="AH101" s="100">
        <v>5.9856472513844317</v>
      </c>
      <c r="AI101" s="100">
        <v>4331.2143511017748</v>
      </c>
      <c r="AJ101" s="100">
        <v>13</v>
      </c>
      <c r="AK101" s="100">
        <v>9406.8000000000011</v>
      </c>
      <c r="AL101" s="100">
        <v>2.9423091449986569</v>
      </c>
      <c r="AM101" s="100">
        <v>2129.0548973210284</v>
      </c>
      <c r="AN101" s="100">
        <v>7</v>
      </c>
      <c r="AO101" s="100">
        <v>5065.2</v>
      </c>
      <c r="AP101" s="100">
        <v>13</v>
      </c>
      <c r="AQ101" s="100">
        <v>9406.8000000000011</v>
      </c>
      <c r="AR101" s="100">
        <v>2.2537519882822146</v>
      </c>
      <c r="AS101" s="100">
        <v>1630.8149387210105</v>
      </c>
      <c r="AT101" s="100">
        <v>9.4790933354260911</v>
      </c>
      <c r="AU101" s="100">
        <v>6859.0719375143199</v>
      </c>
      <c r="AV101" s="100">
        <v>0</v>
      </c>
      <c r="AW101" s="100">
        <v>0</v>
      </c>
      <c r="AX101" s="100">
        <v>0</v>
      </c>
      <c r="AY101" s="100">
        <v>0</v>
      </c>
      <c r="AZ101" s="100">
        <v>7</v>
      </c>
      <c r="BA101" s="100">
        <v>5065.2</v>
      </c>
      <c r="BB101" s="100">
        <v>0.67957581712618642</v>
      </c>
      <c r="BC101" s="100">
        <v>491.74106127250849</v>
      </c>
      <c r="BD101" s="100">
        <v>9</v>
      </c>
      <c r="BE101" s="100">
        <v>6512.4000000000005</v>
      </c>
      <c r="BF101" s="100">
        <v>5.1380719013488916</v>
      </c>
      <c r="BG101" s="100">
        <v>3717.908827816058</v>
      </c>
      <c r="BH101" s="100">
        <v>11</v>
      </c>
      <c r="BI101" s="100">
        <v>7959.6</v>
      </c>
      <c r="BJ101" s="100">
        <v>8</v>
      </c>
      <c r="BK101" s="100">
        <v>5788.8</v>
      </c>
      <c r="BL101" s="100">
        <v>4.0160142541548485</v>
      </c>
      <c r="BM101" s="100">
        <v>2905.9879143064486</v>
      </c>
      <c r="BN101" s="100">
        <v>7.9751987197094509</v>
      </c>
      <c r="BO101" s="100">
        <v>5770.8537935817585</v>
      </c>
      <c r="BP101" s="100">
        <v>8.4133964515616206</v>
      </c>
      <c r="BQ101" s="100">
        <v>6087.9336723499891</v>
      </c>
      <c r="BR101" s="100">
        <v>6.5507514617506502</v>
      </c>
      <c r="BS101" s="100">
        <v>4740.1237577227703</v>
      </c>
      <c r="BT101" s="100">
        <v>0.59455714819238803</v>
      </c>
      <c r="BU101" s="100">
        <v>430.221552432012</v>
      </c>
      <c r="BV101" s="100">
        <v>8</v>
      </c>
      <c r="BW101" s="100">
        <v>5788.8</v>
      </c>
      <c r="BX101" s="100">
        <v>8.859962301810766</v>
      </c>
      <c r="BY101" s="100">
        <v>6411.0687215902708</v>
      </c>
      <c r="BZ101" s="100">
        <v>10.560655332505926</v>
      </c>
      <c r="CA101" s="100">
        <v>7641.6901986012881</v>
      </c>
      <c r="CB101" s="100">
        <v>6.3050982819350025</v>
      </c>
      <c r="CC101" s="100">
        <v>4562.3691168081677</v>
      </c>
      <c r="CD101" s="100">
        <v>3.9916404903643508</v>
      </c>
      <c r="CE101" s="100">
        <v>2888.3510588276445</v>
      </c>
      <c r="CF101" s="100">
        <v>7.4897518411184425</v>
      </c>
      <c r="CG101" s="100">
        <v>5419.5844322333051</v>
      </c>
      <c r="CH101" s="100">
        <v>7.2152583181455157</v>
      </c>
      <c r="CI101" s="100">
        <v>5220.9609190100955</v>
      </c>
      <c r="CJ101" s="100">
        <v>9.5899978693528389</v>
      </c>
      <c r="CK101" s="100">
        <v>6939.3224582637149</v>
      </c>
      <c r="CL101" s="100">
        <v>8.8328479977460734</v>
      </c>
      <c r="CM101" s="100">
        <v>6391.4488111690589</v>
      </c>
      <c r="CN101" s="100">
        <v>7.3206604980918639</v>
      </c>
      <c r="CO101" s="100">
        <v>5297.2299364192731</v>
      </c>
      <c r="CP101" s="100">
        <v>3.6781608707022291</v>
      </c>
      <c r="CQ101" s="100">
        <v>2661.5172060401333</v>
      </c>
      <c r="CR101" s="100">
        <v>4.9505547657561735</v>
      </c>
      <c r="CS101" s="100">
        <v>3582.2214285011673</v>
      </c>
      <c r="CT101" s="100">
        <v>9.4310484217359534</v>
      </c>
      <c r="CU101" s="100">
        <v>6824.3066379681359</v>
      </c>
    </row>
    <row r="102" spans="2:99">
      <c r="C102" s="99" t="s">
        <v>268</v>
      </c>
      <c r="D102" s="100">
        <v>8</v>
      </c>
      <c r="E102" s="100">
        <v>4252.8</v>
      </c>
      <c r="F102" s="100">
        <v>13</v>
      </c>
      <c r="G102" s="100">
        <v>6910.8</v>
      </c>
      <c r="H102" s="100">
        <v>12.83060975935185</v>
      </c>
      <c r="I102" s="100">
        <v>6820.752148071444</v>
      </c>
      <c r="J102" s="100">
        <v>0.57023435576633585</v>
      </c>
      <c r="K102" s="100">
        <v>303.13658352538414</v>
      </c>
      <c r="L102" s="100">
        <v>6</v>
      </c>
      <c r="M102" s="100">
        <v>3189.6000000000004</v>
      </c>
      <c r="N102" s="100">
        <v>8</v>
      </c>
      <c r="O102" s="100">
        <v>4252.8</v>
      </c>
      <c r="P102" s="100">
        <v>11</v>
      </c>
      <c r="Q102" s="100">
        <v>5847.6</v>
      </c>
      <c r="R102" s="100">
        <v>4.9868935827998602</v>
      </c>
      <c r="S102" s="100">
        <v>2651.0326286164059</v>
      </c>
      <c r="T102" s="100">
        <v>8</v>
      </c>
      <c r="U102" s="100">
        <v>4252.8</v>
      </c>
      <c r="V102" s="100">
        <v>12</v>
      </c>
      <c r="W102" s="100">
        <v>6379.2000000000007</v>
      </c>
      <c r="X102" s="100">
        <v>10</v>
      </c>
      <c r="Y102" s="100">
        <v>5316</v>
      </c>
      <c r="Z102" s="100">
        <v>1.8618511114338332</v>
      </c>
      <c r="AA102" s="100">
        <v>989.76005083822577</v>
      </c>
      <c r="AB102" s="100">
        <v>6</v>
      </c>
      <c r="AC102" s="100">
        <v>3189.6000000000004</v>
      </c>
      <c r="AD102" s="100">
        <v>8.1856258841367868</v>
      </c>
      <c r="AE102" s="100">
        <v>4351.478720007116</v>
      </c>
      <c r="AF102" s="100">
        <v>13</v>
      </c>
      <c r="AG102" s="100">
        <v>6910.8</v>
      </c>
      <c r="AH102" s="100">
        <v>4.9880393761536927</v>
      </c>
      <c r="AI102" s="100">
        <v>2651.6417323633032</v>
      </c>
      <c r="AJ102" s="100">
        <v>13</v>
      </c>
      <c r="AK102" s="100">
        <v>6910.8</v>
      </c>
      <c r="AL102" s="100">
        <v>3.310097788123489</v>
      </c>
      <c r="AM102" s="100">
        <v>1759.6479841664468</v>
      </c>
      <c r="AN102" s="100">
        <v>7</v>
      </c>
      <c r="AO102" s="100">
        <v>3721.2000000000003</v>
      </c>
      <c r="AP102" s="100">
        <v>13</v>
      </c>
      <c r="AQ102" s="100">
        <v>6910.8</v>
      </c>
      <c r="AR102" s="100">
        <v>2.2537519882822146</v>
      </c>
      <c r="AS102" s="100">
        <v>1198.0945569708254</v>
      </c>
      <c r="AT102" s="100">
        <v>9.4790933354260911</v>
      </c>
      <c r="AU102" s="100">
        <v>5039.0860171125105</v>
      </c>
      <c r="AV102" s="100">
        <v>0</v>
      </c>
      <c r="AW102" s="100">
        <v>0</v>
      </c>
      <c r="AX102" s="100">
        <v>0</v>
      </c>
      <c r="AY102" s="100">
        <v>0</v>
      </c>
      <c r="AZ102" s="100">
        <v>8</v>
      </c>
      <c r="BA102" s="100">
        <v>4252.8</v>
      </c>
      <c r="BB102" s="100">
        <v>0.77665807671564169</v>
      </c>
      <c r="BC102" s="100">
        <v>412.87143358203514</v>
      </c>
      <c r="BD102" s="100">
        <v>10</v>
      </c>
      <c r="BE102" s="100">
        <v>5316</v>
      </c>
      <c r="BF102" s="100">
        <v>6.1656862816186688</v>
      </c>
      <c r="BG102" s="100">
        <v>3277.6788273084844</v>
      </c>
      <c r="BH102" s="100">
        <v>11</v>
      </c>
      <c r="BI102" s="100">
        <v>5847.6</v>
      </c>
      <c r="BJ102" s="100">
        <v>8</v>
      </c>
      <c r="BK102" s="100">
        <v>4252.8</v>
      </c>
      <c r="BL102" s="100">
        <v>4.0160142541548485</v>
      </c>
      <c r="BM102" s="100">
        <v>2134.9131775087176</v>
      </c>
      <c r="BN102" s="100">
        <v>8.7727185916803965</v>
      </c>
      <c r="BO102" s="100">
        <v>4663.5772033372987</v>
      </c>
      <c r="BP102" s="100">
        <v>7.5720568064054579</v>
      </c>
      <c r="BQ102" s="100">
        <v>4025.3053982851416</v>
      </c>
      <c r="BR102" s="100">
        <v>6.5507514617506502</v>
      </c>
      <c r="BS102" s="100">
        <v>3482.3794770666459</v>
      </c>
      <c r="BT102" s="100">
        <v>0.65401286301162687</v>
      </c>
      <c r="BU102" s="100">
        <v>347.67323797698083</v>
      </c>
      <c r="BV102" s="100">
        <v>9</v>
      </c>
      <c r="BW102" s="100">
        <v>4784.4000000000005</v>
      </c>
      <c r="BX102" s="100">
        <v>9.6654134201571988</v>
      </c>
      <c r="BY102" s="100">
        <v>5138.1337741555672</v>
      </c>
      <c r="BZ102" s="100">
        <v>9.7482972300054698</v>
      </c>
      <c r="CA102" s="100">
        <v>5182.194807470908</v>
      </c>
      <c r="CB102" s="100">
        <v>7.2058266079257169</v>
      </c>
      <c r="CC102" s="100">
        <v>3830.6174247733111</v>
      </c>
      <c r="CD102" s="100">
        <v>3.9916404903643508</v>
      </c>
      <c r="CE102" s="100">
        <v>2121.956084677689</v>
      </c>
      <c r="CF102" s="100">
        <v>6.6575571921052816</v>
      </c>
      <c r="CG102" s="100">
        <v>3539.1574033231677</v>
      </c>
      <c r="CH102" s="100">
        <v>8.0169536868283497</v>
      </c>
      <c r="CI102" s="100">
        <v>4261.8125799179506</v>
      </c>
      <c r="CJ102" s="100">
        <v>8.7908313802401015</v>
      </c>
      <c r="CK102" s="100">
        <v>4673.2059617356381</v>
      </c>
      <c r="CL102" s="100">
        <v>7.8514204424409533</v>
      </c>
      <c r="CM102" s="100">
        <v>4173.8151072016108</v>
      </c>
      <c r="CN102" s="100">
        <v>7.3206604980918639</v>
      </c>
      <c r="CO102" s="100">
        <v>3891.6631207856349</v>
      </c>
      <c r="CP102" s="100">
        <v>4.1379309795400072</v>
      </c>
      <c r="CQ102" s="100">
        <v>2199.7241087234679</v>
      </c>
      <c r="CR102" s="100">
        <v>5.850655632257296</v>
      </c>
      <c r="CS102" s="100">
        <v>3110.2085341079787</v>
      </c>
      <c r="CT102" s="100">
        <v>9.4310484217359534</v>
      </c>
      <c r="CU102" s="100">
        <v>5013.5453409948332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12</v>
      </c>
      <c r="G103" s="100">
        <v>7070.4</v>
      </c>
      <c r="H103" s="100">
        <v>11.843639777863245</v>
      </c>
      <c r="I103" s="100">
        <v>6978.2725571170231</v>
      </c>
      <c r="J103" s="100">
        <v>0.57023435576633585</v>
      </c>
      <c r="K103" s="100">
        <v>335.98208241752502</v>
      </c>
      <c r="L103" s="100">
        <v>7</v>
      </c>
      <c r="M103" s="100">
        <v>4124.3999999999996</v>
      </c>
      <c r="N103" s="100">
        <v>8</v>
      </c>
      <c r="O103" s="100">
        <v>4713.5999999999995</v>
      </c>
      <c r="P103" s="100">
        <v>12</v>
      </c>
      <c r="Q103" s="100">
        <v>7070.4</v>
      </c>
      <c r="R103" s="100">
        <v>6.0950921567553848</v>
      </c>
      <c r="S103" s="100">
        <v>3591.2282987602725</v>
      </c>
      <c r="T103" s="100">
        <v>7</v>
      </c>
      <c r="U103" s="100">
        <v>4124.3999999999996</v>
      </c>
      <c r="V103" s="100">
        <v>13</v>
      </c>
      <c r="W103" s="100">
        <v>7659.5999999999995</v>
      </c>
      <c r="X103" s="100">
        <v>10</v>
      </c>
      <c r="Y103" s="100">
        <v>5891.9999999999991</v>
      </c>
      <c r="Z103" s="100">
        <v>1.8618511114338332</v>
      </c>
      <c r="AA103" s="100">
        <v>1097.0026748568143</v>
      </c>
      <c r="AB103" s="100">
        <v>6</v>
      </c>
      <c r="AC103" s="100">
        <v>3535.2</v>
      </c>
      <c r="AD103" s="100">
        <v>8.1856258841367868</v>
      </c>
      <c r="AE103" s="100">
        <v>4822.9707709333943</v>
      </c>
      <c r="AF103" s="100">
        <v>14</v>
      </c>
      <c r="AG103" s="100">
        <v>8248.7999999999993</v>
      </c>
      <c r="AH103" s="100">
        <v>5.9856472513844317</v>
      </c>
      <c r="AI103" s="100">
        <v>3526.7433605157066</v>
      </c>
      <c r="AJ103" s="100">
        <v>14</v>
      </c>
      <c r="AK103" s="100">
        <v>8248.7999999999993</v>
      </c>
      <c r="AL103" s="100">
        <v>3.310097788123489</v>
      </c>
      <c r="AM103" s="100">
        <v>1950.3096167623594</v>
      </c>
      <c r="AN103" s="100">
        <v>8</v>
      </c>
      <c r="AO103" s="100">
        <v>4713.5999999999995</v>
      </c>
      <c r="AP103" s="100">
        <v>12</v>
      </c>
      <c r="AQ103" s="100">
        <v>7070.4</v>
      </c>
      <c r="AR103" s="100">
        <v>2.0033351006953017</v>
      </c>
      <c r="AS103" s="100">
        <v>1180.3650413296716</v>
      </c>
      <c r="AT103" s="100">
        <v>9.4790933354260911</v>
      </c>
      <c r="AU103" s="100">
        <v>5585.0817932330519</v>
      </c>
      <c r="AV103" s="100">
        <v>0</v>
      </c>
      <c r="AW103" s="100">
        <v>0</v>
      </c>
      <c r="AX103" s="100">
        <v>0</v>
      </c>
      <c r="AY103" s="100">
        <v>0</v>
      </c>
      <c r="AZ103" s="100">
        <v>8</v>
      </c>
      <c r="BA103" s="100">
        <v>4713.5999999999995</v>
      </c>
      <c r="BB103" s="100">
        <v>0.67957581712618642</v>
      </c>
      <c r="BC103" s="100">
        <v>400.40607145074898</v>
      </c>
      <c r="BD103" s="100">
        <v>11</v>
      </c>
      <c r="BE103" s="100">
        <v>6481.1999999999989</v>
      </c>
      <c r="BF103" s="100">
        <v>6.1656862816186688</v>
      </c>
      <c r="BG103" s="100">
        <v>3632.8223571297194</v>
      </c>
      <c r="BH103" s="100">
        <v>12</v>
      </c>
      <c r="BI103" s="100">
        <v>7070.4</v>
      </c>
      <c r="BJ103" s="100">
        <v>8</v>
      </c>
      <c r="BK103" s="100">
        <v>4713.5999999999995</v>
      </c>
      <c r="BL103" s="100">
        <v>3.5140124723854922</v>
      </c>
      <c r="BM103" s="100">
        <v>2070.4561487295318</v>
      </c>
      <c r="BN103" s="100">
        <v>7.9751987197094509</v>
      </c>
      <c r="BO103" s="100">
        <v>4698.9870856528078</v>
      </c>
      <c r="BP103" s="100">
        <v>6.7307171612492969</v>
      </c>
      <c r="BQ103" s="100">
        <v>3965.7385514080852</v>
      </c>
      <c r="BR103" s="100">
        <v>5.7319075290318189</v>
      </c>
      <c r="BS103" s="100">
        <v>3377.2399161055473</v>
      </c>
      <c r="BT103" s="100">
        <v>0.65401286301162687</v>
      </c>
      <c r="BU103" s="100">
        <v>385.3443788864505</v>
      </c>
      <c r="BV103" s="100">
        <v>9</v>
      </c>
      <c r="BW103" s="100">
        <v>5302.7999999999993</v>
      </c>
      <c r="BX103" s="100">
        <v>9.6654134201571988</v>
      </c>
      <c r="BY103" s="100">
        <v>5694.8615871566208</v>
      </c>
      <c r="BZ103" s="100">
        <v>11.373013435006381</v>
      </c>
      <c r="CA103" s="100">
        <v>6700.9795159057594</v>
      </c>
      <c r="CB103" s="100">
        <v>7.2058266079257169</v>
      </c>
      <c r="CC103" s="100">
        <v>4245.6730373898317</v>
      </c>
      <c r="CD103" s="100">
        <v>3.5481248803238676</v>
      </c>
      <c r="CE103" s="100">
        <v>2090.5551794868225</v>
      </c>
      <c r="CF103" s="100">
        <v>7.4897518411184425</v>
      </c>
      <c r="CG103" s="100">
        <v>4412.9617847869858</v>
      </c>
      <c r="CH103" s="100">
        <v>7.2152583181455157</v>
      </c>
      <c r="CI103" s="100">
        <v>4251.2302010513376</v>
      </c>
      <c r="CJ103" s="100">
        <v>8.7908313802401015</v>
      </c>
      <c r="CK103" s="100">
        <v>5179.5578492374671</v>
      </c>
      <c r="CL103" s="100">
        <v>8.8328479977460734</v>
      </c>
      <c r="CM103" s="100">
        <v>5204.3140402719855</v>
      </c>
      <c r="CN103" s="100">
        <v>8.540770581107175</v>
      </c>
      <c r="CO103" s="100">
        <v>5032.2220263883473</v>
      </c>
      <c r="CP103" s="100">
        <v>4.1379309795400072</v>
      </c>
      <c r="CQ103" s="100">
        <v>2438.0689331449721</v>
      </c>
      <c r="CR103" s="100">
        <v>5.4006051990067352</v>
      </c>
      <c r="CS103" s="100">
        <v>3182.0365832547682</v>
      </c>
      <c r="CT103" s="100">
        <v>9.4310484217359534</v>
      </c>
      <c r="CU103" s="100">
        <v>5556.773730086823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13</v>
      </c>
      <c r="G104" s="100">
        <v>8221.1999999999989</v>
      </c>
      <c r="H104" s="100">
        <v>11.843639777863245</v>
      </c>
      <c r="I104" s="100">
        <v>7489.917795520716</v>
      </c>
      <c r="J104" s="100">
        <v>0.48877230494257362</v>
      </c>
      <c r="K104" s="100">
        <v>309.09960564568354</v>
      </c>
      <c r="L104" s="100">
        <v>7</v>
      </c>
      <c r="M104" s="100">
        <v>4426.8</v>
      </c>
      <c r="N104" s="100">
        <v>7</v>
      </c>
      <c r="O104" s="100">
        <v>4426.8</v>
      </c>
      <c r="P104" s="100">
        <v>13</v>
      </c>
      <c r="Q104" s="100">
        <v>8221.1999999999989</v>
      </c>
      <c r="R104" s="100">
        <v>5.5409928697776225</v>
      </c>
      <c r="S104" s="100">
        <v>3504.1238908473683</v>
      </c>
      <c r="T104" s="100">
        <v>8</v>
      </c>
      <c r="U104" s="100">
        <v>5059.2</v>
      </c>
      <c r="V104" s="100">
        <v>13</v>
      </c>
      <c r="W104" s="100">
        <v>8221.1999999999989</v>
      </c>
      <c r="X104" s="100">
        <v>10</v>
      </c>
      <c r="Y104" s="100">
        <v>6324</v>
      </c>
      <c r="Z104" s="100">
        <v>1.8618511114338332</v>
      </c>
      <c r="AA104" s="100">
        <v>1177.4346428707561</v>
      </c>
      <c r="AB104" s="100">
        <v>7</v>
      </c>
      <c r="AC104" s="100">
        <v>4426.8</v>
      </c>
      <c r="AD104" s="100">
        <v>7.4414780764879875</v>
      </c>
      <c r="AE104" s="100">
        <v>4705.9907355710029</v>
      </c>
      <c r="AF104" s="100">
        <v>12</v>
      </c>
      <c r="AG104" s="100">
        <v>7588.7999999999993</v>
      </c>
      <c r="AH104" s="100">
        <v>5.9856472513844317</v>
      </c>
      <c r="AI104" s="100">
        <v>3785.3233217755146</v>
      </c>
      <c r="AJ104" s="100">
        <v>12</v>
      </c>
      <c r="AK104" s="100">
        <v>7588.7999999999993</v>
      </c>
      <c r="AL104" s="100">
        <v>2.9423091449986569</v>
      </c>
      <c r="AM104" s="100">
        <v>1860.7163032971505</v>
      </c>
      <c r="AN104" s="100">
        <v>8</v>
      </c>
      <c r="AO104" s="100">
        <v>5059.2</v>
      </c>
      <c r="AP104" s="100">
        <v>14</v>
      </c>
      <c r="AQ104" s="100">
        <v>8853.6</v>
      </c>
      <c r="AR104" s="100">
        <v>2.2537519882822146</v>
      </c>
      <c r="AS104" s="100">
        <v>1425.2727573896725</v>
      </c>
      <c r="AT104" s="100">
        <v>9.4790933354260911</v>
      </c>
      <c r="AU104" s="100">
        <v>5994.5786253234601</v>
      </c>
      <c r="AV104" s="100">
        <v>0</v>
      </c>
      <c r="AW104" s="100">
        <v>0</v>
      </c>
      <c r="AX104" s="100">
        <v>0</v>
      </c>
      <c r="AY104" s="100">
        <v>0</v>
      </c>
      <c r="AZ104" s="100">
        <v>8</v>
      </c>
      <c r="BA104" s="100">
        <v>5059.2</v>
      </c>
      <c r="BB104" s="100">
        <v>0.67957581712618642</v>
      </c>
      <c r="BC104" s="100">
        <v>429.76374675060026</v>
      </c>
      <c r="BD104" s="100">
        <v>10</v>
      </c>
      <c r="BE104" s="100">
        <v>6324</v>
      </c>
      <c r="BF104" s="100">
        <v>6.6794934717535588</v>
      </c>
      <c r="BG104" s="100">
        <v>4224.1116715369508</v>
      </c>
      <c r="BH104" s="100">
        <v>11</v>
      </c>
      <c r="BI104" s="100">
        <v>6956.4</v>
      </c>
      <c r="BJ104" s="100">
        <v>7</v>
      </c>
      <c r="BK104" s="100">
        <v>4426.8</v>
      </c>
      <c r="BL104" s="100">
        <v>4.0160142541548485</v>
      </c>
      <c r="BM104" s="100">
        <v>2539.7274143275263</v>
      </c>
      <c r="BN104" s="100">
        <v>7.9751987197094509</v>
      </c>
      <c r="BO104" s="100">
        <v>5043.5156703442563</v>
      </c>
      <c r="BP104" s="100">
        <v>6.7307171612492969</v>
      </c>
      <c r="BQ104" s="100">
        <v>4256.5055327740556</v>
      </c>
      <c r="BR104" s="100">
        <v>5.7319075290318189</v>
      </c>
      <c r="BS104" s="100">
        <v>3624.8583213597221</v>
      </c>
      <c r="BT104" s="100">
        <v>0.65401286301162687</v>
      </c>
      <c r="BU104" s="100">
        <v>413.59773456855282</v>
      </c>
      <c r="BV104" s="100">
        <v>9</v>
      </c>
      <c r="BW104" s="100">
        <v>5691.5999999999995</v>
      </c>
      <c r="BX104" s="100">
        <v>8.859962301810766</v>
      </c>
      <c r="BY104" s="100">
        <v>5603.0401596651282</v>
      </c>
      <c r="BZ104" s="100">
        <v>10.560655332505926</v>
      </c>
      <c r="CA104" s="100">
        <v>6678.5584322767472</v>
      </c>
      <c r="CB104" s="100">
        <v>7.2058266079257169</v>
      </c>
      <c r="CC104" s="100">
        <v>4556.9647468522235</v>
      </c>
      <c r="CD104" s="100">
        <v>3.9916404903643508</v>
      </c>
      <c r="CE104" s="100">
        <v>2524.3134461064155</v>
      </c>
      <c r="CF104" s="100">
        <v>7.4897518411184425</v>
      </c>
      <c r="CG104" s="100">
        <v>4736.5190643233027</v>
      </c>
      <c r="CH104" s="100">
        <v>8.8186490555111856</v>
      </c>
      <c r="CI104" s="100">
        <v>5576.913662705274</v>
      </c>
      <c r="CJ104" s="100">
        <v>8.7908313802401015</v>
      </c>
      <c r="CK104" s="100">
        <v>5559.3217648638401</v>
      </c>
      <c r="CL104" s="100">
        <v>8.8328479977460734</v>
      </c>
      <c r="CM104" s="100">
        <v>5585.8930737746168</v>
      </c>
      <c r="CN104" s="100">
        <v>9.1508256226148301</v>
      </c>
      <c r="CO104" s="100">
        <v>5786.9821237416181</v>
      </c>
      <c r="CP104" s="100">
        <v>4.1379309795400072</v>
      </c>
      <c r="CQ104" s="100">
        <v>2616.8275514611005</v>
      </c>
      <c r="CR104" s="100">
        <v>5.850655632257296</v>
      </c>
      <c r="CS104" s="100">
        <v>3699.9546218395139</v>
      </c>
      <c r="CT104" s="100">
        <v>9.4310484217359534</v>
      </c>
      <c r="CU104" s="100">
        <v>5964.1950219058162</v>
      </c>
    </row>
    <row r="105" spans="2:99">
      <c r="C105" s="99" t="s">
        <v>271</v>
      </c>
      <c r="D105" s="100">
        <v>9</v>
      </c>
      <c r="E105" s="100">
        <v>5011.2</v>
      </c>
      <c r="F105" s="100">
        <v>11</v>
      </c>
      <c r="G105" s="100">
        <v>6124.7999999999993</v>
      </c>
      <c r="H105" s="100">
        <v>11.843639777863245</v>
      </c>
      <c r="I105" s="100">
        <v>6594.5386283142543</v>
      </c>
      <c r="J105" s="100">
        <v>0.57023435576633585</v>
      </c>
      <c r="K105" s="100">
        <v>317.50648929069575</v>
      </c>
      <c r="L105" s="100">
        <v>7</v>
      </c>
      <c r="M105" s="100">
        <v>3897.5999999999995</v>
      </c>
      <c r="N105" s="100">
        <v>8</v>
      </c>
      <c r="O105" s="100">
        <v>4454.3999999999996</v>
      </c>
      <c r="P105" s="100">
        <v>13</v>
      </c>
      <c r="Q105" s="100">
        <v>7238.4</v>
      </c>
      <c r="R105" s="100">
        <v>6.0950921567553848</v>
      </c>
      <c r="S105" s="100">
        <v>3393.7473128813981</v>
      </c>
      <c r="T105" s="100">
        <v>7</v>
      </c>
      <c r="U105" s="100">
        <v>3897.5999999999995</v>
      </c>
      <c r="V105" s="100">
        <v>12</v>
      </c>
      <c r="W105" s="100">
        <v>6681.5999999999995</v>
      </c>
      <c r="X105" s="100">
        <v>10</v>
      </c>
      <c r="Y105" s="100">
        <v>5568</v>
      </c>
      <c r="Z105" s="100">
        <v>1.6291197225046041</v>
      </c>
      <c r="AA105" s="100">
        <v>907.09386149056354</v>
      </c>
      <c r="AB105" s="100">
        <v>6</v>
      </c>
      <c r="AC105" s="100">
        <v>3340.7999999999997</v>
      </c>
      <c r="AD105" s="100">
        <v>7.4414780764879875</v>
      </c>
      <c r="AE105" s="100">
        <v>4143.4149929885107</v>
      </c>
      <c r="AF105" s="100">
        <v>12</v>
      </c>
      <c r="AG105" s="100">
        <v>6681.5999999999995</v>
      </c>
      <c r="AH105" s="100">
        <v>5.4868433137690626</v>
      </c>
      <c r="AI105" s="100">
        <v>3055.0743571066137</v>
      </c>
      <c r="AJ105" s="100">
        <v>14</v>
      </c>
      <c r="AK105" s="100">
        <v>7795.1999999999989</v>
      </c>
      <c r="AL105" s="100">
        <v>2.9423091449986569</v>
      </c>
      <c r="AM105" s="100">
        <v>1638.2777319352519</v>
      </c>
      <c r="AN105" s="100">
        <v>7</v>
      </c>
      <c r="AO105" s="100">
        <v>3897.5999999999995</v>
      </c>
      <c r="AP105" s="100">
        <v>14</v>
      </c>
      <c r="AQ105" s="100">
        <v>7795.1999999999989</v>
      </c>
      <c r="AR105" s="100">
        <v>2.2537519882822146</v>
      </c>
      <c r="AS105" s="100">
        <v>1254.8891070755369</v>
      </c>
      <c r="AT105" s="100">
        <v>9.4790933354260911</v>
      </c>
      <c r="AU105" s="100">
        <v>5277.9591691652467</v>
      </c>
      <c r="AV105" s="100">
        <v>0</v>
      </c>
      <c r="AW105" s="100">
        <v>0</v>
      </c>
      <c r="AX105" s="100">
        <v>0</v>
      </c>
      <c r="AY105" s="100">
        <v>0</v>
      </c>
      <c r="AZ105" s="100">
        <v>8</v>
      </c>
      <c r="BA105" s="100">
        <v>4454.3999999999996</v>
      </c>
      <c r="BB105" s="100">
        <v>0.77665807671564169</v>
      </c>
      <c r="BC105" s="100">
        <v>432.44321711526925</v>
      </c>
      <c r="BD105" s="100">
        <v>10</v>
      </c>
      <c r="BE105" s="100">
        <v>5568</v>
      </c>
      <c r="BF105" s="100">
        <v>6.1656862816186688</v>
      </c>
      <c r="BG105" s="100">
        <v>3433.0541216052743</v>
      </c>
      <c r="BH105" s="100">
        <v>11</v>
      </c>
      <c r="BI105" s="100">
        <v>6124.7999999999993</v>
      </c>
      <c r="BJ105" s="100">
        <v>8</v>
      </c>
      <c r="BK105" s="100">
        <v>4454.3999999999996</v>
      </c>
      <c r="BL105" s="100">
        <v>3.5140124723854922</v>
      </c>
      <c r="BM105" s="100">
        <v>1956.6021446242419</v>
      </c>
      <c r="BN105" s="100">
        <v>7.9751987197094509</v>
      </c>
      <c r="BO105" s="100">
        <v>4440.5906471342223</v>
      </c>
      <c r="BP105" s="100">
        <v>8.4133964515616206</v>
      </c>
      <c r="BQ105" s="100">
        <v>4684.5791442295103</v>
      </c>
      <c r="BR105" s="100">
        <v>6.5507514617506502</v>
      </c>
      <c r="BS105" s="100">
        <v>3647.4584139027615</v>
      </c>
      <c r="BT105" s="100">
        <v>0.7134685778308657</v>
      </c>
      <c r="BU105" s="100">
        <v>397.25930413622598</v>
      </c>
      <c r="BV105" s="100">
        <v>9</v>
      </c>
      <c r="BW105" s="100">
        <v>5011.2</v>
      </c>
      <c r="BX105" s="100">
        <v>8.859962301810766</v>
      </c>
      <c r="BY105" s="100">
        <v>4933.2270096482343</v>
      </c>
      <c r="BZ105" s="100">
        <v>9.7482972300054698</v>
      </c>
      <c r="CA105" s="100">
        <v>5427.8518976670448</v>
      </c>
      <c r="CB105" s="100">
        <v>6.3050982819350025</v>
      </c>
      <c r="CC105" s="100">
        <v>3510.6787233814093</v>
      </c>
      <c r="CD105" s="100">
        <v>3.9916404903643508</v>
      </c>
      <c r="CE105" s="100">
        <v>2222.5454250348703</v>
      </c>
      <c r="CF105" s="100">
        <v>7.4897518411184425</v>
      </c>
      <c r="CG105" s="100">
        <v>4170.2938251347487</v>
      </c>
      <c r="CH105" s="100">
        <v>7.2152583181455157</v>
      </c>
      <c r="CI105" s="100">
        <v>4017.4558315434228</v>
      </c>
      <c r="CJ105" s="100">
        <v>9.5899978693528389</v>
      </c>
      <c r="CK105" s="100">
        <v>5339.7108136556599</v>
      </c>
      <c r="CL105" s="100">
        <v>9.8142755530511927</v>
      </c>
      <c r="CM105" s="100">
        <v>5464.5886279389033</v>
      </c>
      <c r="CN105" s="100">
        <v>8.540770581107175</v>
      </c>
      <c r="CO105" s="100">
        <v>4755.5010595604745</v>
      </c>
      <c r="CP105" s="100">
        <v>4.1379309795400072</v>
      </c>
      <c r="CQ105" s="100">
        <v>2303.9999694078761</v>
      </c>
      <c r="CR105" s="100">
        <v>6.3007060655078577</v>
      </c>
      <c r="CS105" s="100">
        <v>3508.2331372747749</v>
      </c>
      <c r="CT105" s="100">
        <v>8.7055831585254957</v>
      </c>
      <c r="CU105" s="100">
        <v>4847.2687026669955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394.81354791051228</v>
      </c>
      <c r="E109" s="100">
        <f>SUM(L$6:L$19)+SUM(N$6:N$19)+SUM(P$6:P$19)+SUM(R$6:R$19)</f>
        <v>422</v>
      </c>
      <c r="F109" s="100">
        <f>SUM(T$6:T$19)+SUM(V$6:V$19)+SUM(X$6:X$19)+SUM(Z$6:Z$19)</f>
        <v>437.70942709291234</v>
      </c>
      <c r="G109" s="100">
        <f>SUM(AB$6:AB$19)+SUM(AD$6:AD$19)+SUM(AF$6:AF$19)+SUM(AH$6:AH$19)</f>
        <v>449.15263647885831</v>
      </c>
      <c r="H109" s="100">
        <f>SUM(AJ$6:AJ$19)+SUM(AL$6:AL$19)+SUM(AN$6:AN$19)+SUM(AP$6:AP$19)</f>
        <v>398.0817627349474</v>
      </c>
      <c r="I109" s="100">
        <f>SUM(AR$6:AR$19)+SUM(AT$6:AT$19)+SUM(AV$6:AV$19)+SUM(AX$6:AX$19)</f>
        <v>419.0785607064708</v>
      </c>
      <c r="J109" s="100">
        <f>SUM(AZ$6:AZ$19)+SUM(BB$6:BB$19)+SUM(BD$6:BD$19)+SUM(BF$6:BF$19)</f>
        <v>387.03681168666509</v>
      </c>
      <c r="K109" s="100">
        <f>SUM(BH$6:BH$19)+SUM(BJ$6:BJ$19)+SUM(BL$6:BL$19)+SUM(BN$6:BN$19)</f>
        <v>498</v>
      </c>
      <c r="L109" s="100">
        <f>SUM(BP$6:BP$19)+SUM(BR$6:BR$19)+SUM(BT$6:BT$19)+SUM(BV$6:BV$19)</f>
        <v>457.62900447079147</v>
      </c>
      <c r="M109" s="100">
        <f>SUM(BX$6:BX$19)+SUM(BZ$6:BZ$19)+SUM(CB$6:CB$19)+SUM(CD$6:CD$19)</f>
        <v>420.68529821603323</v>
      </c>
      <c r="N109" s="100">
        <f>SUM(CF$6:CF$19)+SUM(CH$6:CH$19)+SUM(CJ$6:CJ$19)+SUM(CL$6:CL$19)</f>
        <v>529.65402584897367</v>
      </c>
      <c r="O109" s="100">
        <f>SUM(CN$6:CN$19)+SUM(CP$6:CP$19)+SUM(CR$6:CR$19)+SUM(CT$6:CT$19)</f>
        <v>590.07394426229678</v>
      </c>
    </row>
    <row r="110" spans="2:99">
      <c r="C110" s="99" t="s">
        <v>127</v>
      </c>
      <c r="D110" s="100">
        <f>SUM(D$20:D$36)+SUM(F$20:F$36)+SUM(H$20:H$36)+SUM(J$20:J$36)</f>
        <v>815.38039819131654</v>
      </c>
      <c r="E110" s="100">
        <f>SUM(L$20:L$36)+SUM(N$20:N$36)+SUM(P$20:P$36)+SUM(R$20:R$36)</f>
        <v>883</v>
      </c>
      <c r="F110" s="100">
        <f>SUM(T$20:T$36)+SUM(V$20:V$36)+SUM(X$20:X$36)+SUM(Z$20:Z$36)</f>
        <v>1007.6303616346729</v>
      </c>
      <c r="G110" s="100">
        <f>SUM(AB$20:AB$36)+SUM(AD$20:AD$36)+SUM(AF$20:AF$36)+SUM(AH$20:AH$36)</f>
        <v>956.6986221793702</v>
      </c>
      <c r="H110" s="100">
        <f>SUM(AJ$20:AJ$36)+SUM(AL$20:AL$36)+SUM(AN$20:AN$36)+SUM(AP$20:AP$36)</f>
        <v>978.96571349450278</v>
      </c>
      <c r="I110" s="100">
        <f>SUM(AR$20:AR$36)+SUM(AT$20:AT$36)+SUM(AV$20:AV$36)+SUM(AX$20:AX$36)</f>
        <v>988.537528350824</v>
      </c>
      <c r="J110" s="100">
        <f>SUM(AZ$20:AZ$36)+SUM(BB$20:BB$36)+SUM(BD$20:BD$36)+SUM(BF$20:BF$36)</f>
        <v>901.87644726671306</v>
      </c>
      <c r="K110" s="100">
        <f>SUM(BH$20:BH$36)+SUM(BJ$20:BJ$36)+SUM(BL$20:BL$36)+SUM(BN$20:BN$36)</f>
        <v>1022</v>
      </c>
      <c r="L110" s="100">
        <f>SUM(BP$20:BP$36)+SUM(BR$20:BR$36)+SUM(BT$20:BT$36)+SUM(BV$20:BV$36)</f>
        <v>922.7536950400804</v>
      </c>
      <c r="M110" s="100">
        <f>SUM(BX$20:BX$36)+SUM(BZ$20:BZ$36)+SUM(CB$20:CB$36)+SUM(CD$20:CD$36)</f>
        <v>1047.9001148456261</v>
      </c>
      <c r="N110" s="100">
        <f>SUM(CF$20:CF$36)+SUM(CH$20:CH$36)+SUM(CJ$20:CJ$36)+SUM(CL$20:CL$36)</f>
        <v>1264.7380201688748</v>
      </c>
      <c r="O110" s="100">
        <f>SUM(CN$20:CN$36)+SUM(CP$20:CP$36)+SUM(CR$20:CR$36)+SUM(CT$20:CT$36)</f>
        <v>1294.4160295273737</v>
      </c>
    </row>
    <row r="111" spans="2:99">
      <c r="C111" s="99" t="s">
        <v>128</v>
      </c>
      <c r="D111" s="100">
        <f>SUM(D$37:D$48)+SUM(F$37:F$48)+SUM(H$37:H$48)+SUM(J$37:J$48)</f>
        <v>455.11917877200307</v>
      </c>
      <c r="E111" s="100">
        <f>SUM(L$37:L$48)+SUM(N$37:N$48)+SUM(P$37:P$48)+SUM(R$37:R$48)</f>
        <v>500</v>
      </c>
      <c r="F111" s="100">
        <f>SUM(T$37:T$48)+SUM(V$37:V$48)+SUM(X$37:X$48)+SUM(Z$37:Z$48)</f>
        <v>460.36123702982047</v>
      </c>
      <c r="G111" s="100">
        <f>SUM(AB$37:AB$48)+SUM(AD$37:AD$48)+SUM(AF$37:AF$48)+SUM(AH$37:AH$48)</f>
        <v>539.80038588304637</v>
      </c>
      <c r="H111" s="100">
        <f>SUM(AJ$37:AJ$48)+SUM(AL$37:AL$48)+SUM(AN$37:AN$48)+SUM(AP$37:AP$48)</f>
        <v>349.3006836564835</v>
      </c>
      <c r="I111" s="100">
        <f>SUM(AR$37:AR$48)+SUM(AT$37:AT$48)+SUM(AV$37:AV$48)+SUM(AX$37:AX$48)</f>
        <v>392.9073348891767</v>
      </c>
      <c r="J111" s="100">
        <f>SUM(AZ$37:AZ$48)+SUM(BB$37:BB$48)+SUM(BD$37:BD$48)+SUM(BF$37:BF$48)</f>
        <v>435.36390228708524</v>
      </c>
      <c r="K111" s="100">
        <f>SUM(BH$37:BH$48)+SUM(BJ$37:BJ$48)+SUM(BL$37:BL$48)+SUM(BN$37:BN$48)</f>
        <v>553</v>
      </c>
      <c r="L111" s="100">
        <f>SUM(BP$37:BP$48)+SUM(BR$37:BR$48)+SUM(BT$37:BT$48)+SUM(BV$37:BV$48)</f>
        <v>516.45018384558148</v>
      </c>
      <c r="M111" s="100">
        <f>SUM(BX$37:BX$48)+SUM(BZ$37:BZ$48)+SUM(CB$37:CB$48)+SUM(CD$37:CD$48)</f>
        <v>396.9126835617044</v>
      </c>
      <c r="N111" s="100">
        <f>SUM(CF$37:CF$48)+SUM(CH$37:CH$48)+SUM(CJ$37:CJ$48)+SUM(CL$37:CL$48)</f>
        <v>508.07742039517404</v>
      </c>
      <c r="O111" s="100">
        <f>SUM(CN$37:CN$48)+SUM(CP$37:CP$48)+SUM(CR$37:CR$48)+SUM(CT$37:CT$48)</f>
        <v>560.8389758220701</v>
      </c>
    </row>
    <row r="112" spans="2:99">
      <c r="C112" s="99" t="s">
        <v>129</v>
      </c>
      <c r="D112" s="100">
        <f>SUM(D$49:D$70)+SUM(F$49:F$70)+SUM(H$49:H$70)+SUM(J$49:J$70)</f>
        <v>719.21174389452062</v>
      </c>
      <c r="E112" s="100">
        <f>SUM(L$49:L$70)+SUM(N$49:N$70)+SUM(P$49:P$70)+SUM(R$49:R$70)</f>
        <v>714.80597735674633</v>
      </c>
      <c r="F112" s="100">
        <f>SUM(T$49:T$70)+SUM(V$49:V$70)+SUM(X$49:X$70)+SUM(Z$49:Z$70)</f>
        <v>671.58245009308484</v>
      </c>
      <c r="G112" s="100">
        <f>SUM(AB$49:AB$70)+SUM(AD$49:AD$70)+SUM(AF$49:AF$70)+SUM(AH$49:AH$70)</f>
        <v>823.04711327584221</v>
      </c>
      <c r="H112" s="100">
        <f>SUM(AJ$49:AJ$70)+SUM(AL$49:AL$70)+SUM(AN$49:AN$70)+SUM(AP$49:AP$70)</f>
        <v>632.76224937169195</v>
      </c>
      <c r="I112" s="100">
        <f>SUM(AR$49:AR$70)+SUM(AT$49:AT$70)+SUM(AV$49:AV$70)+SUM(AX$49:AX$70)</f>
        <v>570.59904937141926</v>
      </c>
      <c r="J112" s="100">
        <f>SUM(AZ$49:AZ$70)+SUM(BB$49:BB$70)+SUM(BD$49:BD$70)+SUM(BF$49:BF$70)</f>
        <v>562.48502389043847</v>
      </c>
      <c r="K112" s="100">
        <f>SUM(BH$49:BH$70)+SUM(BJ$49:BJ$70)+SUM(BL$49:BL$70)+SUM(BN$49:BN$70)</f>
        <v>671.85100213657483</v>
      </c>
      <c r="L112" s="100">
        <f>SUM(BP$49:BP$70)+SUM(BR$49:BR$70)+SUM(BT$49:BT$70)+SUM(BV$49:BV$70)</f>
        <v>550.86316427403051</v>
      </c>
      <c r="M112" s="100">
        <f>SUM(BX$49:BX$70)+SUM(BZ$49:BZ$70)+SUM(CB$49:CB$70)+SUM(CD$49:CD$70)</f>
        <v>481.85577701115557</v>
      </c>
      <c r="N112" s="100">
        <f>SUM(CF$49:CF$70)+SUM(CH$49:CH$70)+SUM(CJ$49:CJ$70)+SUM(CL$49:CL$70)</f>
        <v>648.69616763876434</v>
      </c>
      <c r="O112" s="100">
        <f>SUM(CN$49:CN$70)+SUM(CP$49:CP$70)+SUM(CR$49:CR$70)+SUM(CT$49:CT$70)</f>
        <v>701.08458619764622</v>
      </c>
    </row>
    <row r="113" spans="2:15">
      <c r="C113" s="99" t="s">
        <v>130</v>
      </c>
      <c r="D113" s="100">
        <f>SUM(D$71:D$86)+SUM(F$71:F$86)+SUM(H$71:H$86)+SUM(J$71:J$86)</f>
        <v>503.66699900011452</v>
      </c>
      <c r="E113" s="100">
        <f>SUM(L$71:L$86)+SUM(N$71:N$86)+SUM(P$71:P$86)+SUM(R$71:R$86)</f>
        <v>537.54290478202302</v>
      </c>
      <c r="F113" s="100">
        <f>SUM(T$71:T$86)+SUM(V$71:V$86)+SUM(X$71:X$86)+SUM(Z$71:Z$86)</f>
        <v>728</v>
      </c>
      <c r="G113" s="100">
        <f>SUM(AB$71:AB$86)+SUM(AD$71:AD$86)+SUM(AF$71:AF$86)+SUM(AH$71:AH$86)</f>
        <v>618</v>
      </c>
      <c r="H113" s="100">
        <f>SUM(AJ$71:AJ$86)+SUM(AL$71:AL$86)+SUM(AN$71:AN$86)+SUM(AP$71:AP$86)</f>
        <v>556.10661006395208</v>
      </c>
      <c r="I113" s="100">
        <f>SUM(AR$71:AR$86)+SUM(AT$71:AT$86)+SUM(AV$71:AV$86)+SUM(AX$71:AX$86)</f>
        <v>442.63675667940004</v>
      </c>
      <c r="J113" s="100">
        <f>SUM(AZ$71:AZ$86)+SUM(BB$71:BB$86)+SUM(BD$71:BD$86)+SUM(BF$71:BF$86)</f>
        <v>512.81935666846471</v>
      </c>
      <c r="K113" s="100">
        <f>SUM(BH$71:BH$86)+SUM(BJ$71:BJ$86)+SUM(BL$71:BL$86)+SUM(BN$71:BN$86)</f>
        <v>622.4268471753112</v>
      </c>
      <c r="L113" s="100">
        <f>SUM(BP$71:BP$86)+SUM(BR$71:BR$86)+SUM(BT$71:BT$86)+SUM(BV$71:BV$86)</f>
        <v>543.39721062421927</v>
      </c>
      <c r="M113" s="100">
        <f>SUM(BX$71:BX$86)+SUM(BZ$71:BZ$86)+SUM(CB$71:CB$86)+SUM(CD$71:CD$86)</f>
        <v>553.45180259727147</v>
      </c>
      <c r="N113" s="100">
        <f>SUM(CF$71:CF$86)+SUM(CH$71:CH$86)+SUM(CJ$71:CJ$86)+SUM(CL$71:CL$86)</f>
        <v>584.02175176948515</v>
      </c>
      <c r="O113" s="100">
        <f>SUM(CN$71:CN$86)+SUM(CP$71:CP$86)+SUM(CR$71:CR$86)+SUM(CT$71:CT$86)</f>
        <v>717.57324284051515</v>
      </c>
    </row>
    <row r="114" spans="2:15">
      <c r="C114" s="99" t="s">
        <v>131</v>
      </c>
      <c r="D114" s="100">
        <f>SUM(D$87:D$94)+SUM(F$87:F$94)+SUM(H$87:H$94)+SUM(J$87:J$94)</f>
        <v>185.97594446078054</v>
      </c>
      <c r="E114" s="100">
        <f>SUM(L$87:L$94)+SUM(N$87:N$94)+SUM(P$87:P$94)+SUM(R$87:R$94)</f>
        <v>205.01645365355455</v>
      </c>
      <c r="F114" s="100">
        <f>SUM(T$87:T$94)+SUM(V$87:V$94)+SUM(X$87:X$94)+SUM(Z$87:Z$94)</f>
        <v>216.4548541696922</v>
      </c>
      <c r="G114" s="100">
        <f>SUM(AB$87:AB$94)+SUM(AD$87:AD$94)+SUM(AF$87:AF$94)+SUM(AH$87:AH$94)</f>
        <v>197.68293579269539</v>
      </c>
      <c r="H114" s="100">
        <f>SUM(AJ$87:AJ$94)+SUM(AL$87:AL$94)+SUM(AN$87:AN$94)+SUM(AP$87:AP$94)</f>
        <v>247.79088009311141</v>
      </c>
      <c r="I114" s="100">
        <f>SUM(AR$87:AR$94)+SUM(AT$87:AT$94)+SUM(AV$87:AV$94)+SUM(AX$87:AX$94)</f>
        <v>56.218895772507722</v>
      </c>
      <c r="J114" s="100">
        <f>SUM(AZ$87:AZ$94)+SUM(BB$87:BB$94)+SUM(BD$87:BD$94)+SUM(BF$87:BF$94)</f>
        <v>168.99758033238771</v>
      </c>
      <c r="K114" s="100">
        <f>SUM(BH$87:BH$94)+SUM(BJ$87:BJ$94)+SUM(BL$87:BL$94)+SUM(BN$87:BN$94)</f>
        <v>214.86146710903239</v>
      </c>
      <c r="L114" s="100">
        <f>SUM(BP$87:BP$94)+SUM(BR$87:BR$94)+SUM(BT$87:BT$94)+SUM(BV$87:BV$94)</f>
        <v>182.41620482806184</v>
      </c>
      <c r="M114" s="100">
        <f>SUM(BX$87:BX$94)+SUM(BZ$87:BZ$94)+SUM(CB$87:CB$94)+SUM(CD$87:CD$94)</f>
        <v>219.12332101975082</v>
      </c>
      <c r="N114" s="100">
        <f>SUM(CF$87:CF$94)+SUM(CH$87:CH$94)+SUM(CJ$87:CJ$94)+SUM(CL$87:CL$94)</f>
        <v>267.76915136283094</v>
      </c>
      <c r="O114" s="100">
        <f>SUM(CN$87:CN$94)+SUM(CP$87:CP$94)+SUM(CR$87:CR$94)+SUM(CT$87:CT$94)</f>
        <v>161.36129634897202</v>
      </c>
    </row>
    <row r="115" spans="2:15">
      <c r="C115" s="99" t="s">
        <v>132</v>
      </c>
      <c r="D115" s="100">
        <f>SUM(D$95:D$105)+SUM(F$95:F$105)+SUM(H$95:H$105)+SUM(J$95:J$105)</f>
        <v>367.10621516027237</v>
      </c>
      <c r="E115" s="100">
        <f>SUM(L$95:L$105)+SUM(N$95:N$105)+SUM(P$95:P$105)+SUM(R$95:R$105)</f>
        <v>352.50502085453161</v>
      </c>
      <c r="F115" s="100">
        <f>SUM(T$95:T$105)+SUM(V$95:V$105)+SUM(X$95:X$105)+SUM(Z$95:Z$105)</f>
        <v>346.15304833647986</v>
      </c>
      <c r="G115" s="100">
        <f>SUM(AB$95:AB$105)+SUM(AD$95:AD$105)+SUM(AF$95:AF$105)+SUM(AH$95:AH$105)</f>
        <v>354.45209491332247</v>
      </c>
      <c r="H115" s="100">
        <f>SUM(AJ$95:AJ$105)+SUM(AL$95:AL$105)+SUM(AN$95:AN$105)+SUM(AP$95:AP$105)</f>
        <v>398.46876652435969</v>
      </c>
      <c r="I115" s="100">
        <f>SUM(AR$95:AR$105)+SUM(AT$95:AT$105)+SUM(AV$95:AV$105)+SUM(AX$95:AX$105)</f>
        <v>129.74628031267588</v>
      </c>
      <c r="J115" s="100">
        <f>SUM(AZ$95:AZ$105)+SUM(BB$95:BB$105)+SUM(BD$95:BD$105)+SUM(BF$95:BF$105)</f>
        <v>264.63098336401168</v>
      </c>
      <c r="K115" s="100">
        <f>SUM(BH$95:BH$105)+SUM(BJ$95:BJ$105)+SUM(BL$95:BL$105)+SUM(BN$95:BN$105)</f>
        <v>333.39333380366054</v>
      </c>
      <c r="L115" s="100">
        <f>SUM(BP$95:BP$105)+SUM(BR$95:BR$105)+SUM(BT$95:BT$105)+SUM(BV$95:BV$105)</f>
        <v>250.76813348893862</v>
      </c>
      <c r="M115" s="100">
        <f>SUM(BX$95:BX$105)+SUM(BZ$95:BZ$105)+SUM(CB$95:CB$105)+SUM(CD$95:CD$105)</f>
        <v>329.1356590100018</v>
      </c>
      <c r="N115" s="100">
        <f>SUM(CF$95:CF$105)+SUM(CH$95:CH$105)+SUM(CJ$95:CJ$105)+SUM(CL$95:CL$105)</f>
        <v>356.7324563934111</v>
      </c>
      <c r="O115" s="100">
        <f>SUM(CN$95:CN$105)+SUM(CP$95:CP$105)+SUM(CR$95:CR$105)+SUM(CT$95:CT$105)</f>
        <v>291.2962461734798</v>
      </c>
    </row>
    <row r="116" spans="2:15">
      <c r="C116" s="99" t="s">
        <v>278</v>
      </c>
      <c r="D116" s="100">
        <f t="shared" ref="D116:O116" si="0">SUM(D$109:D$115)</f>
        <v>3441.2740273895201</v>
      </c>
      <c r="E116" s="100">
        <f t="shared" si="0"/>
        <v>3614.8703566468557</v>
      </c>
      <c r="F116" s="100">
        <f t="shared" si="0"/>
        <v>3867.8913783566627</v>
      </c>
      <c r="G116" s="100">
        <f t="shared" si="0"/>
        <v>3938.8337885231349</v>
      </c>
      <c r="H116" s="100">
        <f t="shared" si="0"/>
        <v>3561.4766659390489</v>
      </c>
      <c r="I116" s="100">
        <f t="shared" si="0"/>
        <v>2999.7244060824746</v>
      </c>
      <c r="J116" s="100">
        <f t="shared" si="0"/>
        <v>3233.2101054957657</v>
      </c>
      <c r="K116" s="100">
        <f t="shared" si="0"/>
        <v>3915.5326502245784</v>
      </c>
      <c r="L116" s="100">
        <f t="shared" si="0"/>
        <v>3424.2775965717033</v>
      </c>
      <c r="M116" s="100">
        <f t="shared" si="0"/>
        <v>3449.0646562615434</v>
      </c>
      <c r="N116" s="100">
        <f t="shared" si="0"/>
        <v>4159.6889935775134</v>
      </c>
      <c r="O116" s="100">
        <f t="shared" si="0"/>
        <v>4316.6443211723536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2763694.835373586</v>
      </c>
      <c r="E120" s="100">
        <f>E109*pricing!E15*2000</f>
        <v>2954000</v>
      </c>
      <c r="F120" s="100">
        <f>F109*pricing!F15*2000</f>
        <v>3063965.9896503864</v>
      </c>
      <c r="G120" s="100">
        <f>G109*pricing!G15*2000</f>
        <v>3144068.4553520083</v>
      </c>
      <c r="H120" s="100">
        <f>H109*pricing!H15*2000</f>
        <v>2786572.3391446318</v>
      </c>
      <c r="I120" s="100">
        <f>I109*pricing!I15*2000</f>
        <v>2933549.9249452953</v>
      </c>
      <c r="J120" s="100">
        <f>J109*pricing!J15*2000</f>
        <v>2709257.6818066556</v>
      </c>
      <c r="K120" s="100">
        <f>K109*pricing!K15*2000</f>
        <v>3486000</v>
      </c>
      <c r="L120" s="100">
        <f>L109*pricing!L15*2000</f>
        <v>3203403.0312955403</v>
      </c>
      <c r="M120" s="100">
        <f>M109*pricing!M15*2000</f>
        <v>2944797.0875122328</v>
      </c>
      <c r="N120" s="100">
        <f>N109*pricing!N15*2000</f>
        <v>3707578.1809428157</v>
      </c>
      <c r="O120" s="100">
        <f>O109*pricing!O15*2000</f>
        <v>4130517.6098360773</v>
      </c>
    </row>
    <row r="121" spans="2:15">
      <c r="C121" s="99" t="s">
        <v>127</v>
      </c>
      <c r="D121" s="100">
        <f>D110*pricing!D16*2000</f>
        <v>5707662.7873392152</v>
      </c>
      <c r="E121" s="100">
        <f>E110*pricing!E16*2000</f>
        <v>6181000</v>
      </c>
      <c r="F121" s="100">
        <f>F110*pricing!F16*2000</f>
        <v>7053412.5314427102</v>
      </c>
      <c r="G121" s="100">
        <f>G110*pricing!G16*2000</f>
        <v>6696890.3552555908</v>
      </c>
      <c r="H121" s="100">
        <f>H110*pricing!H16*2000</f>
        <v>6852759.9944615196</v>
      </c>
      <c r="I121" s="100">
        <f>I110*pricing!I16*2000</f>
        <v>6919762.6984557686</v>
      </c>
      <c r="J121" s="100">
        <f>J110*pricing!J16*2000</f>
        <v>6313135.1308669914</v>
      </c>
      <c r="K121" s="100">
        <f>K110*pricing!K16*2000</f>
        <v>7154000</v>
      </c>
      <c r="L121" s="100">
        <f>L110*pricing!L16*2000</f>
        <v>6459275.8652805621</v>
      </c>
      <c r="M121" s="100">
        <f>M110*pricing!M16*2000</f>
        <v>7335300.8039193824</v>
      </c>
      <c r="N121" s="100">
        <f>N110*pricing!N16*2000</f>
        <v>8853166.1411821228</v>
      </c>
      <c r="O121" s="100">
        <f>O110*pricing!O16*2000</f>
        <v>9060912.2066916153</v>
      </c>
    </row>
    <row r="122" spans="2:15">
      <c r="C122" s="99" t="s">
        <v>128</v>
      </c>
      <c r="D122" s="100">
        <f>D111*pricing!D17*2000</f>
        <v>3185834.2514040214</v>
      </c>
      <c r="E122" s="100">
        <f>E111*pricing!E17*2000</f>
        <v>3500000</v>
      </c>
      <c r="F122" s="100">
        <f>F111*pricing!F17*2000</f>
        <v>3222528.6592087434</v>
      </c>
      <c r="G122" s="100">
        <f>G111*pricing!G17*2000</f>
        <v>3778602.7011813247</v>
      </c>
      <c r="H122" s="100">
        <f>H111*pricing!H17*2000</f>
        <v>2445104.7855953844</v>
      </c>
      <c r="I122" s="100">
        <f>I111*pricing!I17*2000</f>
        <v>2750351.3442242369</v>
      </c>
      <c r="J122" s="100">
        <f>J111*pricing!J17*2000</f>
        <v>3047547.3160095965</v>
      </c>
      <c r="K122" s="100">
        <f>K111*pricing!K17*2000</f>
        <v>3871000</v>
      </c>
      <c r="L122" s="100">
        <f>L111*pricing!L17*2000</f>
        <v>3615151.2869190699</v>
      </c>
      <c r="M122" s="100">
        <f>M111*pricing!M17*2000</f>
        <v>2778388.7849319307</v>
      </c>
      <c r="N122" s="100">
        <f>N111*pricing!N17*2000</f>
        <v>3556541.942766218</v>
      </c>
      <c r="O122" s="100">
        <f>O111*pricing!O17*2000</f>
        <v>3925872.8307544906</v>
      </c>
    </row>
    <row r="123" spans="2:15">
      <c r="C123" s="99" t="s">
        <v>129</v>
      </c>
      <c r="D123" s="100">
        <f>D112*pricing!D18*2000</f>
        <v>5034482.2072616443</v>
      </c>
      <c r="E123" s="100">
        <f>E112*pricing!E18*2000</f>
        <v>5003641.8414972238</v>
      </c>
      <c r="F123" s="100">
        <f>F112*pricing!F18*2000</f>
        <v>4701077.1506515937</v>
      </c>
      <c r="G123" s="100">
        <f>G112*pricing!G18*2000</f>
        <v>5761329.7929308955</v>
      </c>
      <c r="H123" s="100">
        <f>H112*pricing!H18*2000</f>
        <v>4429335.745601844</v>
      </c>
      <c r="I123" s="100">
        <f>I112*pricing!I18*2000</f>
        <v>3994193.3455999345</v>
      </c>
      <c r="J123" s="100">
        <f>J112*pricing!J18*2000</f>
        <v>3937395.1672330694</v>
      </c>
      <c r="K123" s="100">
        <f>K112*pricing!K18*2000</f>
        <v>4702957.0149560245</v>
      </c>
      <c r="L123" s="100">
        <f>L112*pricing!L18*2000</f>
        <v>3856042.1499182135</v>
      </c>
      <c r="M123" s="100">
        <f>M112*pricing!M18*2000</f>
        <v>3372990.4390780888</v>
      </c>
      <c r="N123" s="100">
        <f>N112*pricing!N18*2000</f>
        <v>4540873.1734713502</v>
      </c>
      <c r="O123" s="100">
        <f>O112*pricing!O18*2000</f>
        <v>4907592.1033835234</v>
      </c>
    </row>
    <row r="124" spans="2:15">
      <c r="C124" s="99" t="s">
        <v>130</v>
      </c>
      <c r="D124" s="100">
        <f>D113*pricing!D19*2000</f>
        <v>3525668.9930008017</v>
      </c>
      <c r="E124" s="100">
        <f>E113*pricing!E19*2000</f>
        <v>3762800.3334741611</v>
      </c>
      <c r="F124" s="100">
        <f>F113*pricing!F19*2000</f>
        <v>5096000</v>
      </c>
      <c r="G124" s="100">
        <f>G113*pricing!G19*2000</f>
        <v>4326000</v>
      </c>
      <c r="H124" s="100">
        <f>H113*pricing!H19*2000</f>
        <v>3892746.2704476649</v>
      </c>
      <c r="I124" s="100">
        <f>I113*pricing!I19*2000</f>
        <v>3098457.2967558</v>
      </c>
      <c r="J124" s="100">
        <f>J113*pricing!J19*2000</f>
        <v>3589735.4966792529</v>
      </c>
      <c r="K124" s="100">
        <f>K113*pricing!K19*2000</f>
        <v>4356987.9302271781</v>
      </c>
      <c r="L124" s="100">
        <f>L113*pricing!L19*2000</f>
        <v>3803780.4743695352</v>
      </c>
      <c r="M124" s="100">
        <f>M113*pricing!M19*2000</f>
        <v>3874162.6181809003</v>
      </c>
      <c r="N124" s="100">
        <f>N113*pricing!N19*2000</f>
        <v>4088152.2623863961</v>
      </c>
      <c r="O124" s="100">
        <f>O113*pricing!O19*2000</f>
        <v>5023012.6998836063</v>
      </c>
    </row>
    <row r="125" spans="2:15">
      <c r="C125" s="99" t="s">
        <v>131</v>
      </c>
      <c r="D125" s="100">
        <f>D114*pricing!D20*2000</f>
        <v>1301831.6112254639</v>
      </c>
      <c r="E125" s="100">
        <f>E114*pricing!E20*2000</f>
        <v>1435115.175574882</v>
      </c>
      <c r="F125" s="100">
        <f>F114*pricing!F20*2000</f>
        <v>1515183.9791878453</v>
      </c>
      <c r="G125" s="100">
        <f>G114*pricing!G20*2000</f>
        <v>1383780.5505488678</v>
      </c>
      <c r="H125" s="100">
        <f>H114*pricing!H20*2000</f>
        <v>1734536.16065178</v>
      </c>
      <c r="I125" s="100">
        <f>I114*pricing!I20*2000</f>
        <v>393532.27040755405</v>
      </c>
      <c r="J125" s="100">
        <f>J114*pricing!J20*2000</f>
        <v>1182983.0623267139</v>
      </c>
      <c r="K125" s="100">
        <f>K114*pricing!K20*2000</f>
        <v>1504030.2697632266</v>
      </c>
      <c r="L125" s="100">
        <f>L114*pricing!L20*2000</f>
        <v>1276913.4337964328</v>
      </c>
      <c r="M125" s="100">
        <f>M114*pricing!M20*2000</f>
        <v>1533863.2471382557</v>
      </c>
      <c r="N125" s="100">
        <f>N114*pricing!N20*2000</f>
        <v>1874384.0595398166</v>
      </c>
      <c r="O125" s="100">
        <f>O114*pricing!O20*2000</f>
        <v>1129529.0744428041</v>
      </c>
    </row>
    <row r="126" spans="2:15">
      <c r="C126" s="99" t="s">
        <v>132</v>
      </c>
      <c r="D126" s="100">
        <f>D115*pricing!D21*2000</f>
        <v>2569743.5061219065</v>
      </c>
      <c r="E126" s="100">
        <f>E115*pricing!E21*2000</f>
        <v>2467535.1459817211</v>
      </c>
      <c r="F126" s="100">
        <f>F115*pricing!F21*2000</f>
        <v>2423071.3383553587</v>
      </c>
      <c r="G126" s="100">
        <f>G115*pricing!G21*2000</f>
        <v>2481164.6643932573</v>
      </c>
      <c r="H126" s="100">
        <f>H115*pricing!H21*2000</f>
        <v>2789281.365670518</v>
      </c>
      <c r="I126" s="100">
        <f>I115*pricing!I21*2000</f>
        <v>908223.96218873106</v>
      </c>
      <c r="J126" s="100">
        <f>J115*pricing!J21*2000</f>
        <v>1852416.8835480819</v>
      </c>
      <c r="K126" s="100">
        <f>K115*pricing!K21*2000</f>
        <v>2333753.336625624</v>
      </c>
      <c r="L126" s="100">
        <f>L115*pricing!L21*2000</f>
        <v>1755376.9344225703</v>
      </c>
      <c r="M126" s="100">
        <f>M115*pricing!M21*2000</f>
        <v>2303949.6130700125</v>
      </c>
      <c r="N126" s="100">
        <f>N115*pricing!N21*2000</f>
        <v>2497127.1947538774</v>
      </c>
      <c r="O126" s="100">
        <f>O115*pricing!O21*2000</f>
        <v>2039073.7232143586</v>
      </c>
    </row>
    <row r="127" spans="2:15">
      <c r="C127" s="99" t="s">
        <v>278</v>
      </c>
      <c r="D127" s="100">
        <f t="shared" ref="D127:O127" si="1">SUM(D$120:D$126)</f>
        <v>24088918.19172664</v>
      </c>
      <c r="E127" s="100">
        <f t="shared" si="1"/>
        <v>25304092.496527992</v>
      </c>
      <c r="F127" s="100">
        <f t="shared" si="1"/>
        <v>27075239.648496639</v>
      </c>
      <c r="G127" s="100">
        <f t="shared" si="1"/>
        <v>27571836.519661944</v>
      </c>
      <c r="H127" s="100">
        <f t="shared" si="1"/>
        <v>24930336.661573343</v>
      </c>
      <c r="I127" s="100">
        <f t="shared" si="1"/>
        <v>20998070.842577323</v>
      </c>
      <c r="J127" s="100">
        <f t="shared" si="1"/>
        <v>22632470.738470361</v>
      </c>
      <c r="K127" s="100">
        <f t="shared" si="1"/>
        <v>27408728.551572055</v>
      </c>
      <c r="L127" s="100">
        <f t="shared" si="1"/>
        <v>23969943.176001921</v>
      </c>
      <c r="M127" s="100">
        <f t="shared" si="1"/>
        <v>24143452.593830802</v>
      </c>
      <c r="N127" s="100">
        <f t="shared" si="1"/>
        <v>29117822.955042601</v>
      </c>
      <c r="O127" s="100">
        <f t="shared" si="1"/>
        <v>30216510.248206474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200155.48093298476</v>
      </c>
      <c r="E131" s="106">
        <f>SUM(M$6:M$19)+SUM(O$6:O$19)+SUM(Q$6:Q$19)+SUM(S$6:S$19)</f>
        <v>214026</v>
      </c>
      <c r="F131" s="106">
        <f>SUM(U$6:U$19)+SUM(W$6:W$19)+SUM(Y$6:Y$19)+SUM(AA$6:AA$19)</f>
        <v>222203.91317616616</v>
      </c>
      <c r="G131" s="106">
        <f>SUM(AC$6:AC$19)+SUM(AE$6:AE$19)+SUM(AG$6:AG$19)+SUM(AI$6:AI$19)</f>
        <v>227134.46615817555</v>
      </c>
      <c r="H131" s="106">
        <f>SUM(AK$6:AK$19)+SUM(AM$6:AM$19)+SUM(AO$6:AO$19)+SUM(AQ$6:AQ$19)</f>
        <v>201323.7728374553</v>
      </c>
      <c r="I131" s="106">
        <f>SUM(AS$6:AS$19)+SUM(AU$6:AU$19)+SUM(AW$6:AW$19)+SUM(AY$6:AY$19)</f>
        <v>212449.6627801802</v>
      </c>
      <c r="J131" s="106">
        <f>SUM(BA$6:BA$19)+SUM(BC$6:BC$19)+SUM(BE$6:BE$19)+SUM(BG$6:BG$19)</f>
        <v>195285.76092398461</v>
      </c>
      <c r="K131" s="106">
        <f>SUM(BI$6:BI$19)+SUM(BK$6:BK$19)+SUM(BM$6:BM$19)+SUM(BO$6:BO$19)</f>
        <v>252525.6</v>
      </c>
      <c r="L131" s="106">
        <f>SUM(BQ$6:BQ$19)+SUM(BS$6:BS$19)+SUM(BU$6:BU$19)+SUM(BW$6:BW$19)</f>
        <v>230350.8272111413</v>
      </c>
      <c r="M131" s="106">
        <f>SUM(BY$6:BY$19)+SUM(CA$6:CA$19)+SUM(CC$6:CC$19)+SUM(CE$6:CE$19)</f>
        <v>212062.0630303807</v>
      </c>
      <c r="N131" s="106">
        <f>SUM(CG$6:CG$19)+SUM(CI$6:CI$19)+SUM(CK$6:CK$19)+SUM(CM$6:CM$19)</f>
        <v>265997.3384487594</v>
      </c>
      <c r="O131" s="106">
        <f>SUM(CO$6:CO$19)+SUM(CQ$6:CQ$19)+SUM(CS$6:CS$19)+SUM(CU$6:CU$19)</f>
        <v>300015.94821402442</v>
      </c>
    </row>
    <row r="132" spans="2:15">
      <c r="C132" s="105" t="s">
        <v>127</v>
      </c>
      <c r="D132" s="106">
        <f>SUM(E$20:E$36)+SUM(G$20:G$36)+SUM(I$20:I$36)+SUM(K$20:K$36)</f>
        <v>347741.13139004918</v>
      </c>
      <c r="E132" s="106">
        <f>SUM(M$20:M$36)+SUM(O$20:O$36)+SUM(Q$20:Q$36)+SUM(S$20:S$36)</f>
        <v>379870.8</v>
      </c>
      <c r="F132" s="106">
        <f>SUM(U$20:U$36)+SUM(W$20:W$36)+SUM(Y$20:Y$36)+SUM(AA$20:AA$36)</f>
        <v>431971.12200847559</v>
      </c>
      <c r="G132" s="106">
        <f>SUM(AC$20:AC$36)+SUM(AE$20:AE$36)+SUM(AG$20:AG$36)+SUM(AI$20:AI$36)</f>
        <v>411129.5918403996</v>
      </c>
      <c r="H132" s="106">
        <f>SUM(AK$20:AK$36)+SUM(AM$20:AM$36)+SUM(AO$20:AO$36)+SUM(AQ$20:AQ$36)</f>
        <v>419793.78403795254</v>
      </c>
      <c r="I132" s="106">
        <f>SUM(AS$20:AS$36)+SUM(AU$20:AU$36)+SUM(AW$20:AW$36)+SUM(AY$20:AY$36)</f>
        <v>425790.32409345882</v>
      </c>
      <c r="J132" s="106">
        <f>SUM(BA$20:BA$36)+SUM(BC$20:BC$36)+SUM(BE$20:BE$36)+SUM(BG$20:BG$36)</f>
        <v>385598.53484664392</v>
      </c>
      <c r="K132" s="106">
        <f>SUM(BI$20:BI$36)+SUM(BK$20:BK$36)+SUM(BM$20:BM$36)+SUM(BO$20:BO$36)</f>
        <v>437728.79999999993</v>
      </c>
      <c r="L132" s="106">
        <f>SUM(BQ$20:BQ$36)+SUM(BS$20:BS$36)+SUM(BU$20:BU$36)+SUM(BW$20:BW$36)</f>
        <v>394200.5366574619</v>
      </c>
      <c r="M132" s="106">
        <f>SUM(BY$20:BY$36)+SUM(CA$20:CA$36)+SUM(CC$20:CC$36)+SUM(CE$20:CE$36)</f>
        <v>450924.5034652368</v>
      </c>
      <c r="N132" s="106">
        <f>SUM(CG$20:CG$36)+SUM(CI$20:CI$36)+SUM(CK$20:CK$36)+SUM(CM$20:CM$36)</f>
        <v>541724.06037532864</v>
      </c>
      <c r="O132" s="106">
        <f>SUM(CO$20:CO$36)+SUM(CQ$20:CQ$36)+SUM(CS$20:CS$36)+SUM(CU$20:CU$36)</f>
        <v>552073.27308169263</v>
      </c>
    </row>
    <row r="133" spans="2:15">
      <c r="C133" s="105" t="s">
        <v>128</v>
      </c>
      <c r="D133" s="106">
        <f>SUM(E$37:E$48)+SUM(G$37:G$48)+SUM(I$37:I$48)+SUM(K$37:K$48)</f>
        <v>478799.69762635382</v>
      </c>
      <c r="E133" s="106">
        <f>SUM(M$37:M$48)+SUM(O$37:O$48)+SUM(Q$37:Q$48)+SUM(S$37:S$48)</f>
        <v>523900.80000000005</v>
      </c>
      <c r="F133" s="106">
        <f>SUM(U$37:U$48)+SUM(W$37:W$48)+SUM(Y$37:Y$48)+SUM(AA$37:AA$48)</f>
        <v>483475.43839205295</v>
      </c>
      <c r="G133" s="106">
        <f>SUM(AC$37:AC$48)+SUM(AE$37:AE$48)+SUM(AG$37:AG$48)+SUM(AI$37:AI$48)</f>
        <v>567364.45367295423</v>
      </c>
      <c r="H133" s="106">
        <f>SUM(AK$37:AK$48)+SUM(AM$37:AM$48)+SUM(AO$37:AO$48)+SUM(AQ$37:AQ$48)</f>
        <v>365989.26722389192</v>
      </c>
      <c r="I133" s="106">
        <f>SUM(AS$37:AS$48)+SUM(AU$37:AU$48)+SUM(AW$37:AW$48)+SUM(AY$37:AY$48)</f>
        <v>411899.00024671608</v>
      </c>
      <c r="J133" s="106">
        <f>SUM(BA$37:BA$48)+SUM(BC$37:BC$48)+SUM(BE$37:BE$48)+SUM(BG$37:BG$48)</f>
        <v>458474.1168131844</v>
      </c>
      <c r="K133" s="106">
        <f>SUM(BI$37:BI$48)+SUM(BK$37:BK$48)+SUM(BM$37:BM$48)+SUM(BO$37:BO$48)</f>
        <v>579768</v>
      </c>
      <c r="L133" s="106">
        <f>SUM(BQ$37:BQ$48)+SUM(BS$37:BS$48)+SUM(BU$37:BU$48)+SUM(BW$37:BW$48)</f>
        <v>543015.68678123422</v>
      </c>
      <c r="M133" s="106">
        <f>SUM(BY$37:BY$48)+SUM(CA$37:CA$48)+SUM(CC$37:CC$48)+SUM(CE$37:CE$48)</f>
        <v>417583.82972845808</v>
      </c>
      <c r="N133" s="106">
        <f>SUM(CG$37:CG$48)+SUM(CI$37:CI$48)+SUM(CK$37:CK$48)+SUM(CM$37:CM$48)</f>
        <v>534509.78242882015</v>
      </c>
      <c r="O133" s="106">
        <f>SUM(CO$37:CO$48)+SUM(CQ$37:CQ$48)+SUM(CS$37:CS$48)+SUM(CU$37:CU$48)</f>
        <v>590433.63751774654</v>
      </c>
    </row>
    <row r="134" spans="2:15">
      <c r="C134" s="105" t="s">
        <v>129</v>
      </c>
      <c r="D134" s="106">
        <f>SUM(E$49:E$70)+SUM(G$49:G$70)+SUM(I$49:I$70)+SUM(K$49:K$70)</f>
        <v>600549.38246974675</v>
      </c>
      <c r="E134" s="106">
        <f>SUM(M$49:M$70)+SUM(O$49:O$70)+SUM(Q$49:Q$70)+SUM(S$49:S$70)</f>
        <v>591131.69552673027</v>
      </c>
      <c r="F134" s="106">
        <f>SUM(U$49:U$70)+SUM(W$49:W$70)+SUM(Y$49:Y$70)+SUM(AA$49:AA$70)</f>
        <v>561875.03383653017</v>
      </c>
      <c r="G134" s="106">
        <f>SUM(AC$49:AC$70)+SUM(AE$49:AE$70)+SUM(AG$49:AG$70)+SUM(AI$49:AI$70)</f>
        <v>688067.45007540204</v>
      </c>
      <c r="H134" s="106">
        <f>SUM(AK$49:AK$70)+SUM(AM$49:AM$70)+SUM(AO$49:AO$70)+SUM(AQ$49:AQ$70)</f>
        <v>536518.19906463963</v>
      </c>
      <c r="I134" s="106">
        <f>SUM(AS$49:AS$70)+SUM(AU$49:AU$70)+SUM(AW$49:AW$70)+SUM(AY$49:AY$70)</f>
        <v>458821.98191265133</v>
      </c>
      <c r="J134" s="106">
        <f>SUM(BA$49:BA$70)+SUM(BC$49:BC$70)+SUM(BE$49:BE$70)+SUM(BG$49:BG$70)</f>
        <v>470412.72960020346</v>
      </c>
      <c r="K134" s="106">
        <f>SUM(BI$49:BI$70)+SUM(BK$49:BK$70)+SUM(BM$49:BM$70)+SUM(BO$49:BO$70)</f>
        <v>562590.30522450351</v>
      </c>
      <c r="L134" s="106">
        <f>SUM(BQ$49:BQ$70)+SUM(BS$49:BS$70)+SUM(BU$49:BU$70)+SUM(BW$49:BW$70)</f>
        <v>459591.27077009843</v>
      </c>
      <c r="M134" s="106">
        <f>SUM(BY$49:BY$70)+SUM(CA$49:CA$70)+SUM(CC$49:CC$70)+SUM(CE$49:CE$70)</f>
        <v>408281.28636916995</v>
      </c>
      <c r="N134" s="106">
        <f>SUM(CG$49:CG$70)+SUM(CI$49:CI$70)+SUM(CK$49:CK$70)+SUM(CM$49:CM$70)</f>
        <v>538404.42558914516</v>
      </c>
      <c r="O134" s="106">
        <f>SUM(CO$49:CO$70)+SUM(CQ$49:CQ$70)+SUM(CS$49:CS$70)+SUM(CU$49:CU$70)</f>
        <v>578121.72045747878</v>
      </c>
    </row>
    <row r="135" spans="2:15">
      <c r="C135" s="105" t="s">
        <v>130</v>
      </c>
      <c r="D135" s="106">
        <f>SUM(E$71:E$86)+SUM(G$71:G$86)+SUM(I$71:I$86)+SUM(K$71:K$86)</f>
        <v>281430.9219832666</v>
      </c>
      <c r="E135" s="106">
        <f>SUM(M$71:M$86)+SUM(O$71:O$86)+SUM(Q$71:Q$86)+SUM(S$71:S$86)</f>
        <v>300702.9209333547</v>
      </c>
      <c r="F135" s="106">
        <f>SUM(U$71:U$86)+SUM(W$71:W$86)+SUM(Y$71:Y$86)+SUM(AA$71:AA$86)</f>
        <v>406034.4</v>
      </c>
      <c r="G135" s="106">
        <f>SUM(AC$71:AC$86)+SUM(AE$71:AE$86)+SUM(AG$71:AG$86)+SUM(AI$71:AI$86)</f>
        <v>347369.99999999994</v>
      </c>
      <c r="H135" s="106">
        <f>SUM(AK$71:AK$86)+SUM(AM$71:AM$86)+SUM(AO$71:AO$86)+SUM(AQ$71:AQ$86)</f>
        <v>310754.85761787306</v>
      </c>
      <c r="I135" s="106">
        <f>SUM(AS$71:AS$86)+SUM(AU$71:AU$86)+SUM(AW$71:AW$86)+SUM(AY$71:AY$86)</f>
        <v>248097.71823532906</v>
      </c>
      <c r="J135" s="106">
        <f>SUM(BA$71:BA$86)+SUM(BC$71:BC$86)+SUM(BE$71:BE$86)+SUM(BG$71:BG$86)</f>
        <v>286807.90094824176</v>
      </c>
      <c r="K135" s="106">
        <f>SUM(BI$71:BI$86)+SUM(BK$71:BK$86)+SUM(BM$71:BM$86)+SUM(BO$71:BO$86)</f>
        <v>349498.07286732318</v>
      </c>
      <c r="L135" s="106">
        <f>SUM(BQ$71:BQ$86)+SUM(BS$71:BS$86)+SUM(BU$71:BU$86)+SUM(BW$71:BW$86)</f>
        <v>304742.56310501613</v>
      </c>
      <c r="M135" s="106">
        <f>SUM(BY$71:BY$86)+SUM(CA$71:CA$86)+SUM(CC$71:CC$86)+SUM(CE$71:CE$86)</f>
        <v>311343.9693467805</v>
      </c>
      <c r="N135" s="106">
        <f>SUM(CG$71:CG$86)+SUM(CI$71:CI$86)+SUM(CK$71:CK$86)+SUM(CM$71:CM$86)</f>
        <v>327203.17145957396</v>
      </c>
      <c r="O135" s="106">
        <f>SUM(CO$71:CO$86)+SUM(CQ$71:CQ$86)+SUM(CS$71:CS$86)+SUM(CU$71:CU$86)</f>
        <v>402034.20550705795</v>
      </c>
    </row>
    <row r="136" spans="2:15">
      <c r="C136" s="105" t="s">
        <v>131</v>
      </c>
      <c r="D136" s="106">
        <f>SUM(E$87:E$94)+SUM(G$87:G$94)+SUM(I$87:I$94)+SUM(K$87:K$94)</f>
        <v>186561.97612361948</v>
      </c>
      <c r="E136" s="106">
        <f>SUM(M$87:M$94)+SUM(O$87:O$94)+SUM(Q$87:Q$94)+SUM(S$87:S$94)</f>
        <v>206176.21517326712</v>
      </c>
      <c r="F136" s="106">
        <f>SUM(U$87:U$94)+SUM(W$87:W$94)+SUM(Y$87:Y$94)+SUM(AA$87:AA$94)</f>
        <v>216138.55837103463</v>
      </c>
      <c r="G136" s="106">
        <f>SUM(AC$87:AC$94)+SUM(AE$87:AE$94)+SUM(AG$87:AG$94)+SUM(AI$87:AI$94)</f>
        <v>198051.83720209461</v>
      </c>
      <c r="H136" s="106">
        <f>SUM(AK$87:AK$94)+SUM(AM$87:AM$94)+SUM(AO$87:AO$94)+SUM(AQ$87:AQ$94)</f>
        <v>249732.95523474878</v>
      </c>
      <c r="I136" s="106">
        <f>SUM(AS$87:AS$94)+SUM(AU$87:AU$94)+SUM(AW$87:AW$94)+SUM(AY$87:AY$94)</f>
        <v>56324.80208091349</v>
      </c>
      <c r="J136" s="106">
        <f>SUM(BA$87:BA$94)+SUM(BC$87:BC$94)+SUM(BE$87:BE$94)+SUM(BG$87:BG$94)</f>
        <v>169493.89219242957</v>
      </c>
      <c r="K136" s="106">
        <f>SUM(BI$87:BI$94)+SUM(BK$87:BK$94)+SUM(BM$87:BM$94)+SUM(BO$87:BO$94)</f>
        <v>215780.00742246257</v>
      </c>
      <c r="L136" s="106">
        <f>SUM(BQ$87:BQ$94)+SUM(BS$87:BS$94)+SUM(BU$87:BU$94)+SUM(BW$87:BW$94)</f>
        <v>182968.37056594697</v>
      </c>
      <c r="M136" s="106">
        <f>SUM(BY$87:BY$94)+SUM(CA$87:CA$94)+SUM(CC$87:CC$94)+SUM(CE$87:CE$94)</f>
        <v>219167.10054563131</v>
      </c>
      <c r="N136" s="106">
        <f>SUM(CG$87:CG$94)+SUM(CI$87:CI$94)+SUM(CK$87:CK$94)+SUM(CM$87:CM$94)</f>
        <v>268916.31271646835</v>
      </c>
      <c r="O136" s="106">
        <f>SUM(CO$87:CO$94)+SUM(CQ$87:CQ$94)+SUM(CS$87:CS$94)+SUM(CU$87:CU$94)</f>
        <v>162351.66977836902</v>
      </c>
    </row>
    <row r="137" spans="2:15">
      <c r="C137" s="105" t="s">
        <v>132</v>
      </c>
      <c r="D137" s="106">
        <f>SUM(E$95:E$105)+SUM(G$95:G$105)+SUM(I$95:I$105)+SUM(K$95:K$105)</f>
        <v>298627.47881005052</v>
      </c>
      <c r="E137" s="106">
        <f>SUM(M$95:M$105)+SUM(O$95:O$105)+SUM(Q$95:Q$105)+SUM(S$95:S$105)</f>
        <v>285264.69881685794</v>
      </c>
      <c r="F137" s="106">
        <f>SUM(U$95:U$105)+SUM(W$95:W$105)+SUM(Y$95:Y$105)+SUM(AA$95:AA$105)</f>
        <v>283712.27317489649</v>
      </c>
      <c r="G137" s="106">
        <f>SUM(AC$95:AC$105)+SUM(AE$95:AE$105)+SUM(AG$95:AG$105)+SUM(AI$95:AI$105)</f>
        <v>282536.99888870848</v>
      </c>
      <c r="H137" s="106">
        <f>SUM(AK$95:AK$105)+SUM(AM$95:AM$105)+SUM(AO$95:AO$105)+SUM(AQ$95:AQ$105)</f>
        <v>323501.18266757956</v>
      </c>
      <c r="I137" s="106">
        <f>SUM(AS$95:AS$105)+SUM(AU$95:AU$105)+SUM(AW$95:AW$105)+SUM(AY$95:AY$105)</f>
        <v>107477.86258415166</v>
      </c>
      <c r="J137" s="106">
        <f>SUM(BA$95:BA$105)+SUM(BC$95:BC$105)+SUM(BE$95:BE$105)+SUM(BG$95:BG$105)</f>
        <v>216413.46484929399</v>
      </c>
      <c r="K137" s="106">
        <f>SUM(BI$95:BI$105)+SUM(BK$95:BK$105)+SUM(BM$95:BM$105)+SUM(BO$95:BO$105)</f>
        <v>265873.31573768816</v>
      </c>
      <c r="L137" s="106">
        <f>SUM(BQ$95:BQ$105)+SUM(BS$95:BS$105)+SUM(BU$95:BU$105)+SUM(BW$95:BW$105)</f>
        <v>206756.48705920164</v>
      </c>
      <c r="M137" s="106">
        <f>SUM(BY$95:BY$105)+SUM(CA$95:CA$105)+SUM(CC$95:CC$105)+SUM(CE$95:CE$105)</f>
        <v>264764.44257858681</v>
      </c>
      <c r="N137" s="106">
        <f>SUM(CG$95:CG$105)+SUM(CI$95:CI$105)+SUM(CK$95:CK$105)+SUM(CM$95:CM$105)</f>
        <v>291819.53269624634</v>
      </c>
      <c r="O137" s="106">
        <f>SUM(CO$95:CO$105)+SUM(CQ$95:CQ$105)+SUM(CS$95:CS$105)+SUM(CU$95:CU$105)</f>
        <v>237053.03786679299</v>
      </c>
    </row>
    <row r="138" spans="2:15">
      <c r="C138" s="105" t="s">
        <v>278</v>
      </c>
      <c r="D138" s="100">
        <f t="shared" ref="D138:O138" si="2">SUM(D$131:D$137)</f>
        <v>2393866.0693360711</v>
      </c>
      <c r="E138" s="100">
        <f t="shared" si="2"/>
        <v>2501073.1304502101</v>
      </c>
      <c r="F138" s="100">
        <f t="shared" si="2"/>
        <v>2605410.7389591555</v>
      </c>
      <c r="G138" s="100">
        <f t="shared" si="2"/>
        <v>2721654.7978377347</v>
      </c>
      <c r="H138" s="100">
        <f t="shared" si="2"/>
        <v>2407614.0186841409</v>
      </c>
      <c r="I138" s="100">
        <f t="shared" si="2"/>
        <v>1920861.3519334004</v>
      </c>
      <c r="J138" s="100">
        <f t="shared" si="2"/>
        <v>2182486.4001739817</v>
      </c>
      <c r="K138" s="100">
        <f t="shared" si="2"/>
        <v>2663764.101251977</v>
      </c>
      <c r="L138" s="100">
        <f t="shared" si="2"/>
        <v>2321625.7421501009</v>
      </c>
      <c r="M138" s="100">
        <f t="shared" si="2"/>
        <v>2284127.1950642443</v>
      </c>
      <c r="N138" s="100">
        <f t="shared" si="2"/>
        <v>2768574.6237143418</v>
      </c>
      <c r="O138" s="100">
        <f t="shared" si="2"/>
        <v>2822083.4924231628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9</v>
      </c>
      <c r="G6" s="100">
        <v>5205.5999999999995</v>
      </c>
      <c r="H6" s="100">
        <v>9</v>
      </c>
      <c r="I6" s="100">
        <v>5205.5999999999995</v>
      </c>
      <c r="J6" s="100">
        <v>9.3269158932032656</v>
      </c>
      <c r="K6" s="100">
        <v>5394.6881526287689</v>
      </c>
      <c r="L6" s="100">
        <v>3.5965602330194635</v>
      </c>
      <c r="M6" s="100">
        <v>2080.2504387784575</v>
      </c>
      <c r="N6" s="100">
        <v>5</v>
      </c>
      <c r="O6" s="100">
        <v>2892</v>
      </c>
      <c r="P6" s="100">
        <v>8</v>
      </c>
      <c r="Q6" s="100">
        <v>4627.2</v>
      </c>
      <c r="R6" s="100">
        <v>6</v>
      </c>
      <c r="S6" s="100">
        <v>3470.3999999999996</v>
      </c>
      <c r="T6" s="100">
        <v>5</v>
      </c>
      <c r="U6" s="100">
        <v>2892</v>
      </c>
      <c r="V6" s="100">
        <v>5.2132384669406395</v>
      </c>
      <c r="W6" s="100">
        <v>3015.3371292784659</v>
      </c>
      <c r="X6" s="100">
        <v>4.7931691687541838</v>
      </c>
      <c r="Y6" s="100">
        <v>2772.36904720742</v>
      </c>
      <c r="Z6" s="100">
        <v>6.1172753211947724</v>
      </c>
      <c r="AA6" s="100">
        <v>3538.2320457790561</v>
      </c>
      <c r="AB6" s="100">
        <v>5.8945541092274283</v>
      </c>
      <c r="AC6" s="100">
        <v>3409.4100967771442</v>
      </c>
      <c r="AD6" s="100">
        <v>9</v>
      </c>
      <c r="AE6" s="100">
        <v>5205.5999999999995</v>
      </c>
      <c r="AF6" s="100">
        <v>7.2487123480496285</v>
      </c>
      <c r="AG6" s="100">
        <v>4192.6552221119045</v>
      </c>
      <c r="AH6" s="100">
        <v>5</v>
      </c>
      <c r="AI6" s="100">
        <v>2892</v>
      </c>
      <c r="AJ6" s="100">
        <v>7.3880947927001923</v>
      </c>
      <c r="AK6" s="100">
        <v>4273.2740280977914</v>
      </c>
      <c r="AL6" s="100">
        <v>5.2638521396249649</v>
      </c>
      <c r="AM6" s="100">
        <v>3044.6120775590794</v>
      </c>
      <c r="AN6" s="100">
        <v>8</v>
      </c>
      <c r="AO6" s="100">
        <v>4627.2</v>
      </c>
      <c r="AP6" s="100">
        <v>8.4156776545800653</v>
      </c>
      <c r="AQ6" s="100">
        <v>4867.6279554091097</v>
      </c>
      <c r="AR6" s="100">
        <v>1.3626974610191396</v>
      </c>
      <c r="AS6" s="100">
        <v>788.18421145347031</v>
      </c>
      <c r="AT6" s="100">
        <v>6.1003845070390774</v>
      </c>
      <c r="AU6" s="100">
        <v>3528.4623988714025</v>
      </c>
      <c r="AV6" s="100">
        <v>5</v>
      </c>
      <c r="AW6" s="100">
        <v>2892</v>
      </c>
      <c r="AX6" s="100">
        <v>9.3957344937486198</v>
      </c>
      <c r="AY6" s="100">
        <v>5434.4928311842013</v>
      </c>
      <c r="AZ6" s="100">
        <v>1.0642898217666756</v>
      </c>
      <c r="BA6" s="100">
        <v>615.58523290984522</v>
      </c>
      <c r="BB6" s="100">
        <v>7.6151937901817375</v>
      </c>
      <c r="BC6" s="100">
        <v>4404.6280882411165</v>
      </c>
      <c r="BD6" s="100">
        <v>2.0723080157091891</v>
      </c>
      <c r="BE6" s="100">
        <v>1198.6229562861949</v>
      </c>
      <c r="BF6" s="100">
        <v>6.8736794860300225</v>
      </c>
      <c r="BG6" s="100">
        <v>3975.736214719765</v>
      </c>
      <c r="BH6" s="100">
        <v>4.2956147287856385</v>
      </c>
      <c r="BI6" s="100">
        <v>2484.5835591296131</v>
      </c>
      <c r="BJ6" s="100">
        <v>7.2268131560790874</v>
      </c>
      <c r="BK6" s="100">
        <v>4179.9887294761438</v>
      </c>
      <c r="BL6" s="100">
        <v>6</v>
      </c>
      <c r="BM6" s="100">
        <v>3470.3999999999996</v>
      </c>
      <c r="BN6" s="100">
        <v>10</v>
      </c>
      <c r="BO6" s="100">
        <v>5784</v>
      </c>
      <c r="BP6" s="100">
        <v>6</v>
      </c>
      <c r="BQ6" s="100">
        <v>3470.3999999999996</v>
      </c>
      <c r="BR6" s="100">
        <v>5.3060058868035593</v>
      </c>
      <c r="BS6" s="100">
        <v>3068.9938049271786</v>
      </c>
      <c r="BT6" s="100">
        <v>3.49867889482128E-4</v>
      </c>
      <c r="BU6" s="100">
        <v>0.20236358727646284</v>
      </c>
      <c r="BV6" s="100">
        <v>8</v>
      </c>
      <c r="BW6" s="100">
        <v>4627.2</v>
      </c>
      <c r="BX6" s="100">
        <v>9</v>
      </c>
      <c r="BY6" s="100">
        <v>5205.5999999999995</v>
      </c>
      <c r="BZ6" s="100">
        <v>9</v>
      </c>
      <c r="CA6" s="100">
        <v>5205.5999999999995</v>
      </c>
      <c r="CB6" s="100">
        <v>11</v>
      </c>
      <c r="CC6" s="100">
        <v>6362.4</v>
      </c>
      <c r="CD6" s="100">
        <v>11.097758805401353</v>
      </c>
      <c r="CE6" s="100">
        <v>6418.9436930441425</v>
      </c>
      <c r="CF6" s="100">
        <v>0.31417289265015097</v>
      </c>
      <c r="CG6" s="100">
        <v>181.7176011088473</v>
      </c>
      <c r="CH6" s="100">
        <v>8</v>
      </c>
      <c r="CI6" s="100">
        <v>4627.2</v>
      </c>
      <c r="CJ6" s="100">
        <v>10</v>
      </c>
      <c r="CK6" s="100">
        <v>5784</v>
      </c>
      <c r="CL6" s="100">
        <v>11.213027138402964</v>
      </c>
      <c r="CM6" s="100">
        <v>6485.6148968522739</v>
      </c>
      <c r="CN6" s="100">
        <v>6.1864743648875322</v>
      </c>
      <c r="CO6" s="100">
        <v>3578.2567726509483</v>
      </c>
      <c r="CP6" s="100">
        <v>8</v>
      </c>
      <c r="CQ6" s="100">
        <v>4627.2</v>
      </c>
      <c r="CR6" s="100">
        <v>7</v>
      </c>
      <c r="CS6" s="100">
        <v>4048.7999999999997</v>
      </c>
      <c r="CT6" s="100">
        <v>10.301848565322436</v>
      </c>
      <c r="CU6" s="100">
        <v>5958.5892101824966</v>
      </c>
    </row>
    <row r="7" spans="1:99">
      <c r="C7" s="99" t="s">
        <v>173</v>
      </c>
      <c r="D7" s="100">
        <v>6</v>
      </c>
      <c r="E7" s="100">
        <v>4730.3999999999996</v>
      </c>
      <c r="F7" s="100">
        <v>8</v>
      </c>
      <c r="G7" s="100">
        <v>6307.2</v>
      </c>
      <c r="H7" s="100">
        <v>9</v>
      </c>
      <c r="I7" s="100">
        <v>7095.5999999999995</v>
      </c>
      <c r="J7" s="100">
        <v>8.3269158932032656</v>
      </c>
      <c r="K7" s="100">
        <v>6564.9404902014548</v>
      </c>
      <c r="L7" s="100">
        <v>3.1969424293506346</v>
      </c>
      <c r="M7" s="100">
        <v>2520.4694113000401</v>
      </c>
      <c r="N7" s="100">
        <v>5</v>
      </c>
      <c r="O7" s="100">
        <v>3942</v>
      </c>
      <c r="P7" s="100">
        <v>8</v>
      </c>
      <c r="Q7" s="100">
        <v>6307.2</v>
      </c>
      <c r="R7" s="100">
        <v>5</v>
      </c>
      <c r="S7" s="100">
        <v>3942</v>
      </c>
      <c r="T7" s="100">
        <v>4</v>
      </c>
      <c r="U7" s="100">
        <v>3153.6</v>
      </c>
      <c r="V7" s="100">
        <v>5.2132384669406395</v>
      </c>
      <c r="W7" s="100">
        <v>4110.1172073360003</v>
      </c>
      <c r="X7" s="100">
        <v>4.7931691687541838</v>
      </c>
      <c r="Y7" s="100">
        <v>3778.9345726457982</v>
      </c>
      <c r="Z7" s="100">
        <v>6.1172753211947724</v>
      </c>
      <c r="AA7" s="100">
        <v>4822.8598632299581</v>
      </c>
      <c r="AB7" s="100">
        <v>5.8945541092274283</v>
      </c>
      <c r="AC7" s="100">
        <v>4647.2664597149042</v>
      </c>
      <c r="AD7" s="100">
        <v>8</v>
      </c>
      <c r="AE7" s="100">
        <v>6307.2</v>
      </c>
      <c r="AF7" s="100">
        <v>6.2279863190454927</v>
      </c>
      <c r="AG7" s="100">
        <v>4910.1444139354662</v>
      </c>
      <c r="AH7" s="100">
        <v>6</v>
      </c>
      <c r="AI7" s="100">
        <v>4730.3999999999996</v>
      </c>
      <c r="AJ7" s="100">
        <v>8.3880947927001923</v>
      </c>
      <c r="AK7" s="100">
        <v>6613.1739345648311</v>
      </c>
      <c r="AL7" s="100">
        <v>5.2638521396249649</v>
      </c>
      <c r="AM7" s="100">
        <v>4150.0210268803221</v>
      </c>
      <c r="AN7" s="100">
        <v>9</v>
      </c>
      <c r="AO7" s="100">
        <v>7095.5999999999995</v>
      </c>
      <c r="AP7" s="100">
        <v>9.4156776545800653</v>
      </c>
      <c r="AQ7" s="100">
        <v>7423.3202628709232</v>
      </c>
      <c r="AR7" s="100">
        <v>1.6352369532229674</v>
      </c>
      <c r="AS7" s="100">
        <v>1289.2208139209874</v>
      </c>
      <c r="AT7" s="100">
        <v>5.422564006256958</v>
      </c>
      <c r="AU7" s="100">
        <v>4275.1494625329851</v>
      </c>
      <c r="AV7" s="100">
        <v>6</v>
      </c>
      <c r="AW7" s="100">
        <v>4730.3999999999996</v>
      </c>
      <c r="AX7" s="100">
        <v>10.39573449374862</v>
      </c>
      <c r="AY7" s="100">
        <v>8195.9970748714113</v>
      </c>
      <c r="AZ7" s="100">
        <v>1.0642898217666756</v>
      </c>
      <c r="BA7" s="100">
        <v>839.08609548084701</v>
      </c>
      <c r="BB7" s="100">
        <v>7.6151937901817375</v>
      </c>
      <c r="BC7" s="100">
        <v>6003.8187841792815</v>
      </c>
      <c r="BD7" s="100">
        <v>1.7249388225022733</v>
      </c>
      <c r="BE7" s="100">
        <v>1359.9417676607923</v>
      </c>
      <c r="BF7" s="100">
        <v>6.1080748796433388</v>
      </c>
      <c r="BG7" s="100">
        <v>4815.6062351108085</v>
      </c>
      <c r="BH7" s="100">
        <v>4.2956147287856385</v>
      </c>
      <c r="BI7" s="100">
        <v>3386.6626521745975</v>
      </c>
      <c r="BJ7" s="100">
        <v>7.2268131560790874</v>
      </c>
      <c r="BK7" s="100">
        <v>5697.619492252752</v>
      </c>
      <c r="BL7" s="100">
        <v>6</v>
      </c>
      <c r="BM7" s="100">
        <v>4730.3999999999996</v>
      </c>
      <c r="BN7" s="100">
        <v>9</v>
      </c>
      <c r="BO7" s="100">
        <v>7095.5999999999995</v>
      </c>
      <c r="BP7" s="100">
        <v>5</v>
      </c>
      <c r="BQ7" s="100">
        <v>3942</v>
      </c>
      <c r="BR7" s="100">
        <v>6.3233279835674248</v>
      </c>
      <c r="BS7" s="100">
        <v>4985.3117822445574</v>
      </c>
      <c r="BT7" s="100">
        <v>3.49867889482128E-4</v>
      </c>
      <c r="BU7" s="100">
        <v>0.27583584406770972</v>
      </c>
      <c r="BV7" s="100">
        <v>8</v>
      </c>
      <c r="BW7" s="100">
        <v>6307.2</v>
      </c>
      <c r="BX7" s="100">
        <v>9</v>
      </c>
      <c r="BY7" s="100">
        <v>7095.5999999999995</v>
      </c>
      <c r="BZ7" s="100">
        <v>8</v>
      </c>
      <c r="CA7" s="100">
        <v>6307.2</v>
      </c>
      <c r="CB7" s="100">
        <v>9</v>
      </c>
      <c r="CC7" s="100">
        <v>7095.5999999999995</v>
      </c>
      <c r="CD7" s="100">
        <v>11.097758805401353</v>
      </c>
      <c r="CE7" s="100">
        <v>8749.4730421784261</v>
      </c>
      <c r="CF7" s="100">
        <v>0.31417289265015097</v>
      </c>
      <c r="CG7" s="100">
        <v>247.69390856537902</v>
      </c>
      <c r="CH7" s="100">
        <v>9</v>
      </c>
      <c r="CI7" s="100">
        <v>7095.5999999999995</v>
      </c>
      <c r="CJ7" s="100">
        <v>8</v>
      </c>
      <c r="CK7" s="100">
        <v>6307.2</v>
      </c>
      <c r="CL7" s="100">
        <v>9.2130271384029641</v>
      </c>
      <c r="CM7" s="100">
        <v>7263.5505959168968</v>
      </c>
      <c r="CN7" s="100">
        <v>6.1864743648875322</v>
      </c>
      <c r="CO7" s="100">
        <v>4877.4163892773304</v>
      </c>
      <c r="CP7" s="100">
        <v>8</v>
      </c>
      <c r="CQ7" s="100">
        <v>6307.2</v>
      </c>
      <c r="CR7" s="100">
        <v>7</v>
      </c>
      <c r="CS7" s="100">
        <v>5518.8</v>
      </c>
      <c r="CT7" s="100">
        <v>11.255410324503599</v>
      </c>
      <c r="CU7" s="100">
        <v>8873.765499838637</v>
      </c>
    </row>
    <row r="8" spans="1:99">
      <c r="C8" s="99" t="s">
        <v>174</v>
      </c>
      <c r="D8" s="100">
        <v>6</v>
      </c>
      <c r="E8" s="100">
        <v>1857.6</v>
      </c>
      <c r="F8" s="100">
        <v>9</v>
      </c>
      <c r="G8" s="100">
        <v>2786.3999999999996</v>
      </c>
      <c r="H8" s="100">
        <v>8</v>
      </c>
      <c r="I8" s="100">
        <v>2476.7999999999997</v>
      </c>
      <c r="J8" s="100">
        <v>9.2802136227456558</v>
      </c>
      <c r="K8" s="100">
        <v>2873.1541376020546</v>
      </c>
      <c r="L8" s="100">
        <v>3.5965602330194635</v>
      </c>
      <c r="M8" s="100">
        <v>1113.4950481428257</v>
      </c>
      <c r="N8" s="100">
        <v>5</v>
      </c>
      <c r="O8" s="100">
        <v>1547.9999999999998</v>
      </c>
      <c r="P8" s="100">
        <v>7</v>
      </c>
      <c r="Q8" s="100">
        <v>2167.1999999999998</v>
      </c>
      <c r="R8" s="100">
        <v>5</v>
      </c>
      <c r="S8" s="100">
        <v>1547.9999999999998</v>
      </c>
      <c r="T8" s="100">
        <v>5</v>
      </c>
      <c r="U8" s="100">
        <v>1547.9999999999998</v>
      </c>
      <c r="V8" s="100">
        <v>5.2132384669406395</v>
      </c>
      <c r="W8" s="100">
        <v>1614.0186293648219</v>
      </c>
      <c r="X8" s="100">
        <v>4.2605948166703858</v>
      </c>
      <c r="Y8" s="100">
        <v>1319.0801552411513</v>
      </c>
      <c r="Z8" s="100">
        <v>6.1005217038812338</v>
      </c>
      <c r="AA8" s="100">
        <v>1888.7215195216297</v>
      </c>
      <c r="AB8" s="100">
        <v>5.8945541092274283</v>
      </c>
      <c r="AC8" s="100">
        <v>1824.9539522168116</v>
      </c>
      <c r="AD8" s="100">
        <v>9</v>
      </c>
      <c r="AE8" s="100">
        <v>2786.3999999999996</v>
      </c>
      <c r="AF8" s="100">
        <v>7.2279863190454927</v>
      </c>
      <c r="AG8" s="100">
        <v>2237.7845643764845</v>
      </c>
      <c r="AH8" s="100">
        <v>6</v>
      </c>
      <c r="AI8" s="100">
        <v>1857.6</v>
      </c>
      <c r="AJ8" s="100">
        <v>7.4233761374911182</v>
      </c>
      <c r="AK8" s="100">
        <v>2298.27725216725</v>
      </c>
      <c r="AL8" s="100">
        <v>5.2638521396249649</v>
      </c>
      <c r="AM8" s="100">
        <v>1629.688622427889</v>
      </c>
      <c r="AN8" s="100">
        <v>8</v>
      </c>
      <c r="AO8" s="100">
        <v>2476.7999999999997</v>
      </c>
      <c r="AP8" s="100">
        <v>8.4156776545800653</v>
      </c>
      <c r="AQ8" s="100">
        <v>2605.4938018579878</v>
      </c>
      <c r="AR8" s="100">
        <v>1.6352369532229674</v>
      </c>
      <c r="AS8" s="100">
        <v>506.26936071783064</v>
      </c>
      <c r="AT8" s="100">
        <v>6.1003845070390774</v>
      </c>
      <c r="AU8" s="100">
        <v>1888.6790433792983</v>
      </c>
      <c r="AV8" s="100">
        <v>5</v>
      </c>
      <c r="AW8" s="100">
        <v>1547.9999999999998</v>
      </c>
      <c r="AX8" s="100">
        <v>10.39573449374862</v>
      </c>
      <c r="AY8" s="100">
        <v>3218.5193992645723</v>
      </c>
      <c r="AZ8" s="100">
        <v>1.0642898217666756</v>
      </c>
      <c r="BA8" s="100">
        <v>329.50412881896273</v>
      </c>
      <c r="BB8" s="100">
        <v>6.8608638143365503</v>
      </c>
      <c r="BC8" s="100">
        <v>2124.1234369185959</v>
      </c>
      <c r="BD8" s="100">
        <v>2.0604008721768805</v>
      </c>
      <c r="BE8" s="100">
        <v>637.90011002596214</v>
      </c>
      <c r="BF8" s="100">
        <v>6.1080748796433388</v>
      </c>
      <c r="BG8" s="100">
        <v>1891.0599827375775</v>
      </c>
      <c r="BH8" s="100">
        <v>4.2956147287856385</v>
      </c>
      <c r="BI8" s="100">
        <v>1329.9223200320334</v>
      </c>
      <c r="BJ8" s="100">
        <v>7.2268131560790874</v>
      </c>
      <c r="BK8" s="100">
        <v>2237.4213531220853</v>
      </c>
      <c r="BL8" s="100">
        <v>5</v>
      </c>
      <c r="BM8" s="100">
        <v>1547.9999999999998</v>
      </c>
      <c r="BN8" s="100">
        <v>9</v>
      </c>
      <c r="BO8" s="100">
        <v>2786.3999999999996</v>
      </c>
      <c r="BP8" s="100">
        <v>5</v>
      </c>
      <c r="BQ8" s="100">
        <v>1547.9999999999998</v>
      </c>
      <c r="BR8" s="100">
        <v>6.3964597845621665</v>
      </c>
      <c r="BS8" s="100">
        <v>1980.3439493004464</v>
      </c>
      <c r="BT8" s="100">
        <v>3.49867889482128E-4</v>
      </c>
      <c r="BU8" s="100">
        <v>0.10831909858366681</v>
      </c>
      <c r="BV8" s="100">
        <v>8</v>
      </c>
      <c r="BW8" s="100">
        <v>2476.7999999999997</v>
      </c>
      <c r="BX8" s="100">
        <v>9</v>
      </c>
      <c r="BY8" s="100">
        <v>2786.3999999999996</v>
      </c>
      <c r="BZ8" s="100">
        <v>9</v>
      </c>
      <c r="CA8" s="100">
        <v>2786.3999999999996</v>
      </c>
      <c r="CB8" s="100">
        <v>11</v>
      </c>
      <c r="CC8" s="100">
        <v>3405.5999999999995</v>
      </c>
      <c r="CD8" s="100">
        <v>11.097758805401353</v>
      </c>
      <c r="CE8" s="100">
        <v>3435.8661261522589</v>
      </c>
      <c r="CF8" s="100">
        <v>0.31417289265015097</v>
      </c>
      <c r="CG8" s="100">
        <v>97.267927564486726</v>
      </c>
      <c r="CH8" s="100">
        <v>9</v>
      </c>
      <c r="CI8" s="100">
        <v>2786.3999999999996</v>
      </c>
      <c r="CJ8" s="100">
        <v>9</v>
      </c>
      <c r="CK8" s="100">
        <v>2786.3999999999996</v>
      </c>
      <c r="CL8" s="100">
        <v>11.239655530703335</v>
      </c>
      <c r="CM8" s="100">
        <v>3479.7973523057522</v>
      </c>
      <c r="CN8" s="100">
        <v>6.9597836604984744</v>
      </c>
      <c r="CO8" s="100">
        <v>2154.7490212903276</v>
      </c>
      <c r="CP8" s="100">
        <v>7</v>
      </c>
      <c r="CQ8" s="100">
        <v>2167.1999999999998</v>
      </c>
      <c r="CR8" s="100">
        <v>7</v>
      </c>
      <c r="CS8" s="100">
        <v>2167.1999999999998</v>
      </c>
      <c r="CT8" s="100">
        <v>10.278629444913017</v>
      </c>
      <c r="CU8" s="100">
        <v>3182.2636761450699</v>
      </c>
    </row>
    <row r="9" spans="1:99">
      <c r="C9" s="99" t="s">
        <v>175</v>
      </c>
      <c r="D9" s="100">
        <v>6</v>
      </c>
      <c r="E9" s="100">
        <v>4212</v>
      </c>
      <c r="F9" s="100">
        <v>7</v>
      </c>
      <c r="G9" s="100">
        <v>4914</v>
      </c>
      <c r="H9" s="100">
        <v>8</v>
      </c>
      <c r="I9" s="100">
        <v>5616</v>
      </c>
      <c r="J9" s="100">
        <v>9.3269158932032656</v>
      </c>
      <c r="K9" s="100">
        <v>6547.4949570286926</v>
      </c>
      <c r="L9" s="100">
        <v>3.1969424293506346</v>
      </c>
      <c r="M9" s="100">
        <v>2244.2535854041453</v>
      </c>
      <c r="N9" s="100">
        <v>5</v>
      </c>
      <c r="O9" s="100">
        <v>3510</v>
      </c>
      <c r="P9" s="100">
        <v>8</v>
      </c>
      <c r="Q9" s="100">
        <v>5616</v>
      </c>
      <c r="R9" s="100">
        <v>6</v>
      </c>
      <c r="S9" s="100">
        <v>4212</v>
      </c>
      <c r="T9" s="100">
        <v>4</v>
      </c>
      <c r="U9" s="100">
        <v>2808</v>
      </c>
      <c r="V9" s="100">
        <v>5.1852135012169445</v>
      </c>
      <c r="W9" s="100">
        <v>3640.0198778542949</v>
      </c>
      <c r="X9" s="100">
        <v>4.2605948166703858</v>
      </c>
      <c r="Y9" s="100">
        <v>2990.9375613026109</v>
      </c>
      <c r="Z9" s="100">
        <v>5.1172753211947724</v>
      </c>
      <c r="AA9" s="100">
        <v>3592.3272754787304</v>
      </c>
      <c r="AB9" s="100">
        <v>5.8945541092274283</v>
      </c>
      <c r="AC9" s="100">
        <v>4137.9769846776544</v>
      </c>
      <c r="AD9" s="100">
        <v>8</v>
      </c>
      <c r="AE9" s="100">
        <v>5616</v>
      </c>
      <c r="AF9" s="100">
        <v>7.2279863190454927</v>
      </c>
      <c r="AG9" s="100">
        <v>5074.0463959699355</v>
      </c>
      <c r="AH9" s="100">
        <v>5</v>
      </c>
      <c r="AI9" s="100">
        <v>3510</v>
      </c>
      <c r="AJ9" s="100">
        <v>8.4233761374911182</v>
      </c>
      <c r="AK9" s="100">
        <v>5913.2100485187648</v>
      </c>
      <c r="AL9" s="100">
        <v>4.6058706221718442</v>
      </c>
      <c r="AM9" s="100">
        <v>3233.3211767646344</v>
      </c>
      <c r="AN9" s="100">
        <v>8</v>
      </c>
      <c r="AO9" s="100">
        <v>5616</v>
      </c>
      <c r="AP9" s="100">
        <v>8.4572454200380722</v>
      </c>
      <c r="AQ9" s="100">
        <v>5936.9862848667271</v>
      </c>
      <c r="AR9" s="100">
        <v>1.3626974610191396</v>
      </c>
      <c r="AS9" s="100">
        <v>956.61361763543596</v>
      </c>
      <c r="AT9" s="100">
        <v>6.1003845070390774</v>
      </c>
      <c r="AU9" s="100">
        <v>4282.4699239414322</v>
      </c>
      <c r="AV9" s="100">
        <v>6</v>
      </c>
      <c r="AW9" s="100">
        <v>4212</v>
      </c>
      <c r="AX9" s="100">
        <v>10.39573449374862</v>
      </c>
      <c r="AY9" s="100">
        <v>7297.8056146115314</v>
      </c>
      <c r="AZ9" s="100">
        <v>1.2163312248762006</v>
      </c>
      <c r="BA9" s="100">
        <v>853.86451986309282</v>
      </c>
      <c r="BB9" s="100">
        <v>7.6151937901817375</v>
      </c>
      <c r="BC9" s="100">
        <v>5345.8660407075795</v>
      </c>
      <c r="BD9" s="100">
        <v>1.7308923942684273</v>
      </c>
      <c r="BE9" s="100">
        <v>1215.0864607764361</v>
      </c>
      <c r="BF9" s="100">
        <v>6.8569175145798944</v>
      </c>
      <c r="BG9" s="100">
        <v>4813.5560952350861</v>
      </c>
      <c r="BH9" s="100">
        <v>3.681955481816261</v>
      </c>
      <c r="BI9" s="100">
        <v>2584.7327482350152</v>
      </c>
      <c r="BJ9" s="100">
        <v>8.0297923956434296</v>
      </c>
      <c r="BK9" s="100">
        <v>5636.9142617416874</v>
      </c>
      <c r="BL9" s="100">
        <v>6</v>
      </c>
      <c r="BM9" s="100">
        <v>4212</v>
      </c>
      <c r="BN9" s="100">
        <v>9</v>
      </c>
      <c r="BO9" s="100">
        <v>6318</v>
      </c>
      <c r="BP9" s="100">
        <v>5</v>
      </c>
      <c r="BQ9" s="100">
        <v>3510</v>
      </c>
      <c r="BR9" s="100">
        <v>6.2867620830700544</v>
      </c>
      <c r="BS9" s="100">
        <v>4413.3069823151782</v>
      </c>
      <c r="BT9" s="100">
        <v>3.49867889482128E-4</v>
      </c>
      <c r="BU9" s="100">
        <v>0.24560725841645387</v>
      </c>
      <c r="BV9" s="100">
        <v>8</v>
      </c>
      <c r="BW9" s="100">
        <v>5616</v>
      </c>
      <c r="BX9" s="100">
        <v>9</v>
      </c>
      <c r="BY9" s="100">
        <v>6318</v>
      </c>
      <c r="BZ9" s="100">
        <v>8</v>
      </c>
      <c r="CA9" s="100">
        <v>5616</v>
      </c>
      <c r="CB9" s="100">
        <v>10</v>
      </c>
      <c r="CC9" s="100">
        <v>7020</v>
      </c>
      <c r="CD9" s="100">
        <v>10.097758805401353</v>
      </c>
      <c r="CE9" s="100">
        <v>7088.62668139175</v>
      </c>
      <c r="CF9" s="100">
        <v>0.31417289265015097</v>
      </c>
      <c r="CG9" s="100">
        <v>220.54937064040598</v>
      </c>
      <c r="CH9" s="100">
        <v>7</v>
      </c>
      <c r="CI9" s="100">
        <v>4914</v>
      </c>
      <c r="CJ9" s="100">
        <v>9</v>
      </c>
      <c r="CK9" s="100">
        <v>6318</v>
      </c>
      <c r="CL9" s="100">
        <v>10.186398746102594</v>
      </c>
      <c r="CM9" s="100">
        <v>7150.8519197640207</v>
      </c>
      <c r="CN9" s="100">
        <v>6.1864743648875322</v>
      </c>
      <c r="CO9" s="100">
        <v>4342.9050041510473</v>
      </c>
      <c r="CP9" s="100">
        <v>8</v>
      </c>
      <c r="CQ9" s="100">
        <v>5616</v>
      </c>
      <c r="CR9" s="100">
        <v>8</v>
      </c>
      <c r="CS9" s="100">
        <v>5616</v>
      </c>
      <c r="CT9" s="100">
        <v>10.278629444913017</v>
      </c>
      <c r="CU9" s="100">
        <v>7215.5978703289384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9</v>
      </c>
      <c r="G10" s="100">
        <v>4903.2</v>
      </c>
      <c r="H10" s="100">
        <v>8</v>
      </c>
      <c r="I10" s="100">
        <v>4358.3999999999996</v>
      </c>
      <c r="J10" s="100">
        <v>9.3269158932032656</v>
      </c>
      <c r="K10" s="100">
        <v>5081.303778617139</v>
      </c>
      <c r="L10" s="100">
        <v>3.1969424293506346</v>
      </c>
      <c r="M10" s="100">
        <v>1741.6942355102256</v>
      </c>
      <c r="N10" s="100">
        <v>5</v>
      </c>
      <c r="O10" s="100">
        <v>2724</v>
      </c>
      <c r="P10" s="100">
        <v>7</v>
      </c>
      <c r="Q10" s="100">
        <v>3813.5999999999995</v>
      </c>
      <c r="R10" s="100">
        <v>5</v>
      </c>
      <c r="S10" s="100">
        <v>2724</v>
      </c>
      <c r="T10" s="100">
        <v>5</v>
      </c>
      <c r="U10" s="100">
        <v>2724</v>
      </c>
      <c r="V10" s="100">
        <v>5.2132384669406395</v>
      </c>
      <c r="W10" s="100">
        <v>2840.1723167892601</v>
      </c>
      <c r="X10" s="100">
        <v>4.7931691687541838</v>
      </c>
      <c r="Y10" s="100">
        <v>2611.3185631372789</v>
      </c>
      <c r="Z10" s="100">
        <v>6.1005217038812338</v>
      </c>
      <c r="AA10" s="100">
        <v>3323.5642242744957</v>
      </c>
      <c r="AB10" s="100">
        <v>4.9121284243561902</v>
      </c>
      <c r="AC10" s="100">
        <v>2676.1275655892523</v>
      </c>
      <c r="AD10" s="100">
        <v>9</v>
      </c>
      <c r="AE10" s="100">
        <v>4903.2</v>
      </c>
      <c r="AF10" s="100">
        <v>7.2072602900413569</v>
      </c>
      <c r="AG10" s="100">
        <v>3926.515406014531</v>
      </c>
      <c r="AH10" s="100">
        <v>5</v>
      </c>
      <c r="AI10" s="100">
        <v>2724</v>
      </c>
      <c r="AJ10" s="100">
        <v>8.4233761374911182</v>
      </c>
      <c r="AK10" s="100">
        <v>4589.0553197051604</v>
      </c>
      <c r="AL10" s="100">
        <v>5.2638521396249649</v>
      </c>
      <c r="AM10" s="100">
        <v>2867.7466456676807</v>
      </c>
      <c r="AN10" s="100">
        <v>8</v>
      </c>
      <c r="AO10" s="100">
        <v>4358.3999999999996</v>
      </c>
      <c r="AP10" s="100">
        <v>9.4572454200380722</v>
      </c>
      <c r="AQ10" s="100">
        <v>5152.3073048367414</v>
      </c>
      <c r="AR10" s="100">
        <v>1.3626974610191396</v>
      </c>
      <c r="AS10" s="100">
        <v>742.39757676322722</v>
      </c>
      <c r="AT10" s="100">
        <v>5.422564006256958</v>
      </c>
      <c r="AU10" s="100">
        <v>2954.2128706087906</v>
      </c>
      <c r="AV10" s="100">
        <v>5</v>
      </c>
      <c r="AW10" s="100">
        <v>2724</v>
      </c>
      <c r="AX10" s="100">
        <v>9.3462676820300423</v>
      </c>
      <c r="AY10" s="100">
        <v>5091.8466331699665</v>
      </c>
      <c r="AZ10" s="100">
        <v>1.0642898217666756</v>
      </c>
      <c r="BA10" s="100">
        <v>579.82509489848485</v>
      </c>
      <c r="BB10" s="100">
        <v>7.5758497898210191</v>
      </c>
      <c r="BC10" s="100">
        <v>4127.3229654944907</v>
      </c>
      <c r="BD10" s="100">
        <v>1.7368459660345819</v>
      </c>
      <c r="BE10" s="100">
        <v>946.23368229564016</v>
      </c>
      <c r="BF10" s="100">
        <v>6.1080748796433388</v>
      </c>
      <c r="BG10" s="100">
        <v>3327.6791944296906</v>
      </c>
      <c r="BH10" s="100">
        <v>3.681955481816261</v>
      </c>
      <c r="BI10" s="100">
        <v>2005.9293464934988</v>
      </c>
      <c r="BJ10" s="100">
        <v>7.2268131560790874</v>
      </c>
      <c r="BK10" s="100">
        <v>3937.1678074318866</v>
      </c>
      <c r="BL10" s="100">
        <v>6</v>
      </c>
      <c r="BM10" s="100">
        <v>3268.7999999999997</v>
      </c>
      <c r="BN10" s="100">
        <v>10</v>
      </c>
      <c r="BO10" s="100">
        <v>5448</v>
      </c>
      <c r="BP10" s="100">
        <v>5</v>
      </c>
      <c r="BQ10" s="100">
        <v>2724</v>
      </c>
      <c r="BR10" s="100">
        <v>6.2867620830700544</v>
      </c>
      <c r="BS10" s="100">
        <v>3425.0279828565654</v>
      </c>
      <c r="BT10" s="100">
        <v>4.1984146737855356E-4</v>
      </c>
      <c r="BU10" s="100">
        <v>0.22872963142783595</v>
      </c>
      <c r="BV10" s="100">
        <v>7</v>
      </c>
      <c r="BW10" s="100">
        <v>3813.5999999999995</v>
      </c>
      <c r="BX10" s="100">
        <v>9</v>
      </c>
      <c r="BY10" s="100">
        <v>4903.2</v>
      </c>
      <c r="BZ10" s="100">
        <v>8</v>
      </c>
      <c r="CA10" s="100">
        <v>4358.3999999999996</v>
      </c>
      <c r="CB10" s="100">
        <v>10</v>
      </c>
      <c r="CC10" s="100">
        <v>5448</v>
      </c>
      <c r="CD10" s="100">
        <v>10.086896715912314</v>
      </c>
      <c r="CE10" s="100">
        <v>5495.3413308290283</v>
      </c>
      <c r="CF10" s="100">
        <v>0.27490128106888206</v>
      </c>
      <c r="CG10" s="100">
        <v>149.76621792632693</v>
      </c>
      <c r="CH10" s="100">
        <v>8</v>
      </c>
      <c r="CI10" s="100">
        <v>4358.3999999999996</v>
      </c>
      <c r="CJ10" s="100">
        <v>9</v>
      </c>
      <c r="CK10" s="100">
        <v>4903.2</v>
      </c>
      <c r="CL10" s="100">
        <v>9.2396555307033346</v>
      </c>
      <c r="CM10" s="100">
        <v>5033.7643331271765</v>
      </c>
      <c r="CN10" s="100">
        <v>6.1864743648875322</v>
      </c>
      <c r="CO10" s="100">
        <v>3370.3912339907274</v>
      </c>
      <c r="CP10" s="100">
        <v>7</v>
      </c>
      <c r="CQ10" s="100">
        <v>3813.5999999999995</v>
      </c>
      <c r="CR10" s="100">
        <v>7</v>
      </c>
      <c r="CS10" s="100">
        <v>3813.5999999999995</v>
      </c>
      <c r="CT10" s="100">
        <v>9.2786294449130171</v>
      </c>
      <c r="CU10" s="100">
        <v>5054.9973215886112</v>
      </c>
    </row>
    <row r="11" spans="1:99">
      <c r="C11" s="99" t="s">
        <v>177</v>
      </c>
      <c r="D11" s="100">
        <v>6</v>
      </c>
      <c r="E11" s="100">
        <v>3196.7999999999997</v>
      </c>
      <c r="F11" s="100">
        <v>8</v>
      </c>
      <c r="G11" s="100">
        <v>4262.3999999999996</v>
      </c>
      <c r="H11" s="100">
        <v>9</v>
      </c>
      <c r="I11" s="100">
        <v>4795.2</v>
      </c>
      <c r="J11" s="100">
        <v>8.2802136227456558</v>
      </c>
      <c r="K11" s="100">
        <v>4411.6978181988852</v>
      </c>
      <c r="L11" s="100">
        <v>3.1969424293506346</v>
      </c>
      <c r="M11" s="100">
        <v>1703.3309263580179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5</v>
      </c>
      <c r="S11" s="100">
        <v>2664</v>
      </c>
      <c r="T11" s="100">
        <v>5</v>
      </c>
      <c r="U11" s="100">
        <v>2664</v>
      </c>
      <c r="V11" s="100">
        <v>4.3490362167378152</v>
      </c>
      <c r="W11" s="100">
        <v>2317.1664962779078</v>
      </c>
      <c r="X11" s="100">
        <v>4.2605948166703858</v>
      </c>
      <c r="Y11" s="100">
        <v>2270.0449183219812</v>
      </c>
      <c r="Z11" s="100">
        <v>5.1172753211947724</v>
      </c>
      <c r="AA11" s="100">
        <v>2726.4842911325745</v>
      </c>
      <c r="AB11" s="100">
        <v>5.8945541092274283</v>
      </c>
      <c r="AC11" s="100">
        <v>3140.6184293963734</v>
      </c>
      <c r="AD11" s="100">
        <v>8</v>
      </c>
      <c r="AE11" s="100">
        <v>4262.3999999999996</v>
      </c>
      <c r="AF11" s="100">
        <v>7.2072602900413569</v>
      </c>
      <c r="AG11" s="100">
        <v>3840.0282825340346</v>
      </c>
      <c r="AH11" s="100">
        <v>5</v>
      </c>
      <c r="AI11" s="100">
        <v>2664</v>
      </c>
      <c r="AJ11" s="100">
        <v>8.4233761374911182</v>
      </c>
      <c r="AK11" s="100">
        <v>4487.9748060552674</v>
      </c>
      <c r="AL11" s="100">
        <v>5.2638521396249649</v>
      </c>
      <c r="AM11" s="100">
        <v>2804.5804199921809</v>
      </c>
      <c r="AN11" s="100">
        <v>8</v>
      </c>
      <c r="AO11" s="100">
        <v>4262.3999999999996</v>
      </c>
      <c r="AP11" s="100">
        <v>8.4988131854960773</v>
      </c>
      <c r="AQ11" s="100">
        <v>4528.1676652323094</v>
      </c>
      <c r="AR11" s="100">
        <v>1.3626974610191396</v>
      </c>
      <c r="AS11" s="100">
        <v>726.04520723099745</v>
      </c>
      <c r="AT11" s="100">
        <v>6.1003845070390774</v>
      </c>
      <c r="AU11" s="100">
        <v>3250.2848653504202</v>
      </c>
      <c r="AV11" s="100">
        <v>5</v>
      </c>
      <c r="AW11" s="100">
        <v>2664</v>
      </c>
      <c r="AX11" s="100">
        <v>10.39573449374862</v>
      </c>
      <c r="AY11" s="100">
        <v>5538.8473382692646</v>
      </c>
      <c r="AZ11" s="100">
        <v>1.0642898217666756</v>
      </c>
      <c r="BA11" s="100">
        <v>567.05361703728477</v>
      </c>
      <c r="BB11" s="100">
        <v>7.6151937901817375</v>
      </c>
      <c r="BC11" s="100">
        <v>4057.3752514088292</v>
      </c>
      <c r="BD11" s="100">
        <v>1.7308923942684273</v>
      </c>
      <c r="BE11" s="100">
        <v>922.21946766621795</v>
      </c>
      <c r="BF11" s="100">
        <v>6.8569175145798944</v>
      </c>
      <c r="BG11" s="100">
        <v>3653.3656517681675</v>
      </c>
      <c r="BH11" s="100">
        <v>4.2956147287856385</v>
      </c>
      <c r="BI11" s="100">
        <v>2288.703527496988</v>
      </c>
      <c r="BJ11" s="100">
        <v>7.2268131560790874</v>
      </c>
      <c r="BK11" s="100">
        <v>3850.4460495589374</v>
      </c>
      <c r="BL11" s="100">
        <v>6</v>
      </c>
      <c r="BM11" s="100">
        <v>3196.7999999999997</v>
      </c>
      <c r="BN11" s="100">
        <v>9</v>
      </c>
      <c r="BO11" s="100">
        <v>4795.2</v>
      </c>
      <c r="BP11" s="100">
        <v>5</v>
      </c>
      <c r="BQ11" s="100">
        <v>2664</v>
      </c>
      <c r="BR11" s="100">
        <v>6.3233279835674248</v>
      </c>
      <c r="BS11" s="100">
        <v>3369.0691496447234</v>
      </c>
      <c r="BT11" s="100">
        <v>3.49867889482128E-4</v>
      </c>
      <c r="BU11" s="100">
        <v>0.18640961151607779</v>
      </c>
      <c r="BV11" s="100">
        <v>8</v>
      </c>
      <c r="BW11" s="100">
        <v>4262.3999999999996</v>
      </c>
      <c r="BX11" s="100">
        <v>9</v>
      </c>
      <c r="BY11" s="100">
        <v>4795.2</v>
      </c>
      <c r="BZ11" s="100">
        <v>9</v>
      </c>
      <c r="CA11" s="100">
        <v>4795.2</v>
      </c>
      <c r="CB11" s="100">
        <v>11</v>
      </c>
      <c r="CC11" s="100">
        <v>5860.7999999999993</v>
      </c>
      <c r="CD11" s="100">
        <v>11.086896715912314</v>
      </c>
      <c r="CE11" s="100">
        <v>5907.0985702380804</v>
      </c>
      <c r="CF11" s="100">
        <v>0.31417289265015097</v>
      </c>
      <c r="CG11" s="100">
        <v>167.39131720400042</v>
      </c>
      <c r="CH11" s="100">
        <v>8</v>
      </c>
      <c r="CI11" s="100">
        <v>4262.3999999999996</v>
      </c>
      <c r="CJ11" s="100">
        <v>10</v>
      </c>
      <c r="CK11" s="100">
        <v>5328</v>
      </c>
      <c r="CL11" s="100">
        <v>10.213027138402964</v>
      </c>
      <c r="CM11" s="100">
        <v>5441.5008593410985</v>
      </c>
      <c r="CN11" s="100">
        <v>6.9597836604984744</v>
      </c>
      <c r="CO11" s="100">
        <v>3708.1727343135867</v>
      </c>
      <c r="CP11" s="100">
        <v>7</v>
      </c>
      <c r="CQ11" s="100">
        <v>3729.5999999999995</v>
      </c>
      <c r="CR11" s="100">
        <v>7</v>
      </c>
      <c r="CS11" s="100">
        <v>3729.5999999999995</v>
      </c>
      <c r="CT11" s="100">
        <v>10.255410324503599</v>
      </c>
      <c r="CU11" s="100">
        <v>5464.0826208955168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9</v>
      </c>
      <c r="G12" s="100">
        <v>5065.2</v>
      </c>
      <c r="H12" s="100">
        <v>8</v>
      </c>
      <c r="I12" s="100">
        <v>4502.3999999999996</v>
      </c>
      <c r="J12" s="100">
        <v>8.2802136227456558</v>
      </c>
      <c r="K12" s="100">
        <v>4660.1042268812544</v>
      </c>
      <c r="L12" s="100">
        <v>3.5965602330194635</v>
      </c>
      <c r="M12" s="100">
        <v>2024.144099143354</v>
      </c>
      <c r="N12" s="100">
        <v>5</v>
      </c>
      <c r="O12" s="100">
        <v>2814</v>
      </c>
      <c r="P12" s="100">
        <v>7</v>
      </c>
      <c r="Q12" s="100">
        <v>3939.5999999999995</v>
      </c>
      <c r="R12" s="100">
        <v>5</v>
      </c>
      <c r="S12" s="100">
        <v>2814</v>
      </c>
      <c r="T12" s="100">
        <v>5</v>
      </c>
      <c r="U12" s="100">
        <v>2814</v>
      </c>
      <c r="V12" s="100">
        <v>5.1852135012169445</v>
      </c>
      <c r="W12" s="100">
        <v>2918.2381584848963</v>
      </c>
      <c r="X12" s="100">
        <v>4.7931691687541838</v>
      </c>
      <c r="Y12" s="100">
        <v>2697.5956081748545</v>
      </c>
      <c r="Z12" s="100">
        <v>5.1172753211947724</v>
      </c>
      <c r="AA12" s="100">
        <v>2880.0025507684177</v>
      </c>
      <c r="AB12" s="100">
        <v>5.8945541092274283</v>
      </c>
      <c r="AC12" s="100">
        <v>3317.4550526731964</v>
      </c>
      <c r="AD12" s="100">
        <v>9</v>
      </c>
      <c r="AE12" s="100">
        <v>5065.2</v>
      </c>
      <c r="AF12" s="100">
        <v>7.2072602900413569</v>
      </c>
      <c r="AG12" s="100">
        <v>4056.2460912352753</v>
      </c>
      <c r="AH12" s="100">
        <v>6</v>
      </c>
      <c r="AI12" s="100">
        <v>3376.7999999999997</v>
      </c>
      <c r="AJ12" s="100">
        <v>8.4233761374911182</v>
      </c>
      <c r="AK12" s="100">
        <v>4740.6760901800008</v>
      </c>
      <c r="AL12" s="100">
        <v>5.9218336570780856</v>
      </c>
      <c r="AM12" s="100">
        <v>3332.8079822035465</v>
      </c>
      <c r="AN12" s="100">
        <v>8</v>
      </c>
      <c r="AO12" s="100">
        <v>4502.3999999999996</v>
      </c>
      <c r="AP12" s="100">
        <v>8.4572454200380722</v>
      </c>
      <c r="AQ12" s="100">
        <v>4759.7377223974263</v>
      </c>
      <c r="AR12" s="100">
        <v>1.6352369532229674</v>
      </c>
      <c r="AS12" s="100">
        <v>920.31135727388596</v>
      </c>
      <c r="AT12" s="100">
        <v>5.422564006256958</v>
      </c>
      <c r="AU12" s="100">
        <v>3051.8190227214159</v>
      </c>
      <c r="AV12" s="100">
        <v>6</v>
      </c>
      <c r="AW12" s="100">
        <v>3376.7999999999997</v>
      </c>
      <c r="AX12" s="100">
        <v>9.3957344937486198</v>
      </c>
      <c r="AY12" s="100">
        <v>5287.9193730817224</v>
      </c>
      <c r="AZ12" s="100">
        <v>1.2163312248762006</v>
      </c>
      <c r="BA12" s="100">
        <v>684.55121336032562</v>
      </c>
      <c r="BB12" s="100">
        <v>7.5365057894603025</v>
      </c>
      <c r="BC12" s="100">
        <v>4241.5454583082583</v>
      </c>
      <c r="BD12" s="100">
        <v>2.0663544439430352</v>
      </c>
      <c r="BE12" s="100">
        <v>1162.9442810511403</v>
      </c>
      <c r="BF12" s="100">
        <v>6.1080748796433388</v>
      </c>
      <c r="BG12" s="100">
        <v>3437.624542263271</v>
      </c>
      <c r="BH12" s="100">
        <v>3.681955481816261</v>
      </c>
      <c r="BI12" s="100">
        <v>2072.2045451661916</v>
      </c>
      <c r="BJ12" s="100">
        <v>8.0297923956434296</v>
      </c>
      <c r="BK12" s="100">
        <v>4519.1671602681217</v>
      </c>
      <c r="BL12" s="100">
        <v>5</v>
      </c>
      <c r="BM12" s="100">
        <v>2814</v>
      </c>
      <c r="BN12" s="100">
        <v>10</v>
      </c>
      <c r="BO12" s="100">
        <v>5628</v>
      </c>
      <c r="BP12" s="100">
        <v>5</v>
      </c>
      <c r="BQ12" s="100">
        <v>2814</v>
      </c>
      <c r="BR12" s="100">
        <v>6.3598938840647952</v>
      </c>
      <c r="BS12" s="100">
        <v>3579.3482779516662</v>
      </c>
      <c r="BT12" s="100">
        <v>3.49867889482128E-4</v>
      </c>
      <c r="BU12" s="100">
        <v>0.19690564820054163</v>
      </c>
      <c r="BV12" s="100">
        <v>7</v>
      </c>
      <c r="BW12" s="100">
        <v>3939.5999999999995</v>
      </c>
      <c r="BX12" s="100">
        <v>9</v>
      </c>
      <c r="BY12" s="100">
        <v>5065.2</v>
      </c>
      <c r="BZ12" s="100">
        <v>9</v>
      </c>
      <c r="CA12" s="100">
        <v>5065.2</v>
      </c>
      <c r="CB12" s="100">
        <v>11</v>
      </c>
      <c r="CC12" s="100">
        <v>6190.7999999999993</v>
      </c>
      <c r="CD12" s="100">
        <v>11.086896715912314</v>
      </c>
      <c r="CE12" s="100">
        <v>6239.7054717154497</v>
      </c>
      <c r="CF12" s="100">
        <v>0.27490128106888206</v>
      </c>
      <c r="CG12" s="100">
        <v>154.71444098556682</v>
      </c>
      <c r="CH12" s="100">
        <v>9</v>
      </c>
      <c r="CI12" s="100">
        <v>5065.2</v>
      </c>
      <c r="CJ12" s="100">
        <v>8</v>
      </c>
      <c r="CK12" s="100">
        <v>4502.3999999999996</v>
      </c>
      <c r="CL12" s="100">
        <v>9.2130271384029641</v>
      </c>
      <c r="CM12" s="100">
        <v>5185.091673493188</v>
      </c>
      <c r="CN12" s="100">
        <v>6.9597836604984744</v>
      </c>
      <c r="CO12" s="100">
        <v>3916.9662441285409</v>
      </c>
      <c r="CP12" s="100">
        <v>7</v>
      </c>
      <c r="CQ12" s="100">
        <v>3939.5999999999995</v>
      </c>
      <c r="CR12" s="100">
        <v>7</v>
      </c>
      <c r="CS12" s="100">
        <v>3939.5999999999995</v>
      </c>
      <c r="CT12" s="100">
        <v>10.301848565322436</v>
      </c>
      <c r="CU12" s="100">
        <v>5797.8803725634662</v>
      </c>
    </row>
    <row r="13" spans="1:99">
      <c r="C13" s="99" t="s">
        <v>179</v>
      </c>
      <c r="D13" s="100">
        <v>7</v>
      </c>
      <c r="E13" s="100">
        <v>596.4</v>
      </c>
      <c r="F13" s="100">
        <v>8</v>
      </c>
      <c r="G13" s="100">
        <v>681.6</v>
      </c>
      <c r="H13" s="100">
        <v>8</v>
      </c>
      <c r="I13" s="100">
        <v>681.6</v>
      </c>
      <c r="J13" s="100">
        <v>9.3269158932032656</v>
      </c>
      <c r="K13" s="100">
        <v>794.65323410091821</v>
      </c>
      <c r="L13" s="100">
        <v>3.5965602330194635</v>
      </c>
      <c r="M13" s="100">
        <v>306.42693185325828</v>
      </c>
      <c r="N13" s="100">
        <v>5</v>
      </c>
      <c r="O13" s="100">
        <v>426</v>
      </c>
      <c r="P13" s="100">
        <v>7</v>
      </c>
      <c r="Q13" s="100">
        <v>596.4</v>
      </c>
      <c r="R13" s="100">
        <v>6</v>
      </c>
      <c r="S13" s="100">
        <v>511.20000000000005</v>
      </c>
      <c r="T13" s="100">
        <v>5</v>
      </c>
      <c r="U13" s="100">
        <v>426</v>
      </c>
      <c r="V13" s="100">
        <v>5.2132384669406395</v>
      </c>
      <c r="W13" s="100">
        <v>444.16791738334251</v>
      </c>
      <c r="X13" s="100">
        <v>4.7931691687541838</v>
      </c>
      <c r="Y13" s="100">
        <v>408.37801317785647</v>
      </c>
      <c r="Z13" s="100">
        <v>5.1005217038812338</v>
      </c>
      <c r="AA13" s="100">
        <v>434.56444917068114</v>
      </c>
      <c r="AB13" s="100">
        <v>5.8945541092274283</v>
      </c>
      <c r="AC13" s="100">
        <v>502.2160101061769</v>
      </c>
      <c r="AD13" s="100">
        <v>8</v>
      </c>
      <c r="AE13" s="100">
        <v>681.6</v>
      </c>
      <c r="AF13" s="100">
        <v>7.2487123480496285</v>
      </c>
      <c r="AG13" s="100">
        <v>617.59029205382842</v>
      </c>
      <c r="AH13" s="100">
        <v>6</v>
      </c>
      <c r="AI13" s="100">
        <v>511.20000000000005</v>
      </c>
      <c r="AJ13" s="100">
        <v>8.4233761374911182</v>
      </c>
      <c r="AK13" s="100">
        <v>717.6716469142433</v>
      </c>
      <c r="AL13" s="100">
        <v>4.6058706221718442</v>
      </c>
      <c r="AM13" s="100">
        <v>392.42017700904114</v>
      </c>
      <c r="AN13" s="100">
        <v>8</v>
      </c>
      <c r="AO13" s="100">
        <v>681.6</v>
      </c>
      <c r="AP13" s="100">
        <v>9.4572454200380722</v>
      </c>
      <c r="AQ13" s="100">
        <v>805.7573097872438</v>
      </c>
      <c r="AR13" s="100">
        <v>1.3626974610191396</v>
      </c>
      <c r="AS13" s="100">
        <v>116.1018236788307</v>
      </c>
      <c r="AT13" s="100">
        <v>6.1003845070390774</v>
      </c>
      <c r="AU13" s="100">
        <v>519.75275999972939</v>
      </c>
      <c r="AV13" s="100">
        <v>6</v>
      </c>
      <c r="AW13" s="100">
        <v>511.20000000000005</v>
      </c>
      <c r="AX13" s="100">
        <v>9.3462676820300423</v>
      </c>
      <c r="AY13" s="100">
        <v>796.30200650895961</v>
      </c>
      <c r="AZ13" s="100">
        <v>1.0642898217666756</v>
      </c>
      <c r="BA13" s="100">
        <v>90.677492814520761</v>
      </c>
      <c r="BB13" s="100">
        <v>8.3695237660269211</v>
      </c>
      <c r="BC13" s="100">
        <v>713.08342486549373</v>
      </c>
      <c r="BD13" s="100">
        <v>2.0663544439430352</v>
      </c>
      <c r="BE13" s="100">
        <v>176.05339862394661</v>
      </c>
      <c r="BF13" s="100">
        <v>6.1248368510934679</v>
      </c>
      <c r="BG13" s="100">
        <v>521.83609971316343</v>
      </c>
      <c r="BH13" s="100">
        <v>4.2956147287856385</v>
      </c>
      <c r="BI13" s="100">
        <v>365.98637489253639</v>
      </c>
      <c r="BJ13" s="100">
        <v>7.2268131560790874</v>
      </c>
      <c r="BK13" s="100">
        <v>615.72448089793829</v>
      </c>
      <c r="BL13" s="100">
        <v>5</v>
      </c>
      <c r="BM13" s="100">
        <v>426</v>
      </c>
      <c r="BN13" s="100">
        <v>9</v>
      </c>
      <c r="BO13" s="100">
        <v>766.80000000000007</v>
      </c>
      <c r="BP13" s="100">
        <v>6</v>
      </c>
      <c r="BQ13" s="100">
        <v>511.20000000000005</v>
      </c>
      <c r="BR13" s="100">
        <v>7.3040841798339207</v>
      </c>
      <c r="BS13" s="100">
        <v>622.30797212185007</v>
      </c>
      <c r="BT13" s="100">
        <v>3.49867889482128E-4</v>
      </c>
      <c r="BU13" s="100">
        <v>2.9808744183877307E-2</v>
      </c>
      <c r="BV13" s="100">
        <v>7</v>
      </c>
      <c r="BW13" s="100">
        <v>596.4</v>
      </c>
      <c r="BX13" s="100">
        <v>10</v>
      </c>
      <c r="BY13" s="100">
        <v>852</v>
      </c>
      <c r="BZ13" s="100">
        <v>8</v>
      </c>
      <c r="CA13" s="100">
        <v>681.6</v>
      </c>
      <c r="CB13" s="100">
        <v>10</v>
      </c>
      <c r="CC13" s="100">
        <v>852</v>
      </c>
      <c r="CD13" s="100">
        <v>10.097758805401353</v>
      </c>
      <c r="CE13" s="100">
        <v>860.32905022019531</v>
      </c>
      <c r="CF13" s="100">
        <v>0.31417289265015097</v>
      </c>
      <c r="CG13" s="100">
        <v>26.767530453792862</v>
      </c>
      <c r="CH13" s="100">
        <v>8</v>
      </c>
      <c r="CI13" s="100">
        <v>681.6</v>
      </c>
      <c r="CJ13" s="100">
        <v>9</v>
      </c>
      <c r="CK13" s="100">
        <v>766.80000000000007</v>
      </c>
      <c r="CL13" s="100">
        <v>10.213027138402964</v>
      </c>
      <c r="CM13" s="100">
        <v>870.14991219193257</v>
      </c>
      <c r="CN13" s="100">
        <v>6.1864743648875322</v>
      </c>
      <c r="CO13" s="100">
        <v>527.08761588841776</v>
      </c>
      <c r="CP13" s="100">
        <v>8</v>
      </c>
      <c r="CQ13" s="100">
        <v>681.6</v>
      </c>
      <c r="CR13" s="100">
        <v>7</v>
      </c>
      <c r="CS13" s="100">
        <v>596.4</v>
      </c>
      <c r="CT13" s="100">
        <v>10.325067685731852</v>
      </c>
      <c r="CU13" s="100">
        <v>879.69576682435388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7</v>
      </c>
      <c r="G14" s="100">
        <v>3418.7999999999997</v>
      </c>
      <c r="H14" s="100">
        <v>7</v>
      </c>
      <c r="I14" s="100">
        <v>3418.7999999999997</v>
      </c>
      <c r="J14" s="100">
        <v>10.326915893203266</v>
      </c>
      <c r="K14" s="100">
        <v>5043.6657222404747</v>
      </c>
      <c r="L14" s="100">
        <v>3.1969424293506346</v>
      </c>
      <c r="M14" s="100">
        <v>1561.3866824948498</v>
      </c>
      <c r="N14" s="100">
        <v>5</v>
      </c>
      <c r="O14" s="100">
        <v>2442</v>
      </c>
      <c r="P14" s="100">
        <v>8</v>
      </c>
      <c r="Q14" s="100">
        <v>3907.2</v>
      </c>
      <c r="R14" s="100">
        <v>5</v>
      </c>
      <c r="S14" s="100">
        <v>2442</v>
      </c>
      <c r="T14" s="100">
        <v>5</v>
      </c>
      <c r="U14" s="100">
        <v>2442</v>
      </c>
      <c r="V14" s="100">
        <v>5.1852135012169445</v>
      </c>
      <c r="W14" s="100">
        <v>2532.4582739943557</v>
      </c>
      <c r="X14" s="100">
        <v>4.7931691687541838</v>
      </c>
      <c r="Y14" s="100">
        <v>2340.9838220195434</v>
      </c>
      <c r="Z14" s="100">
        <v>6.1172753211947724</v>
      </c>
      <c r="AA14" s="100">
        <v>2987.6772668715266</v>
      </c>
      <c r="AB14" s="100">
        <v>5.8945541092274283</v>
      </c>
      <c r="AC14" s="100">
        <v>2878.900226946676</v>
      </c>
      <c r="AD14" s="100">
        <v>8</v>
      </c>
      <c r="AE14" s="100">
        <v>3907.2</v>
      </c>
      <c r="AF14" s="100">
        <v>8.2072602900413578</v>
      </c>
      <c r="AG14" s="100">
        <v>4008.4259256561991</v>
      </c>
      <c r="AH14" s="100">
        <v>6</v>
      </c>
      <c r="AI14" s="100">
        <v>2930.3999999999996</v>
      </c>
      <c r="AJ14" s="100">
        <v>7.3880947927001923</v>
      </c>
      <c r="AK14" s="100">
        <v>3608.3454967547736</v>
      </c>
      <c r="AL14" s="100">
        <v>5.2638521396249649</v>
      </c>
      <c r="AM14" s="100">
        <v>2570.8653849928328</v>
      </c>
      <c r="AN14" s="100">
        <v>9</v>
      </c>
      <c r="AO14" s="100">
        <v>4395.5999999999995</v>
      </c>
      <c r="AP14" s="100">
        <v>8.4156776545800653</v>
      </c>
      <c r="AQ14" s="100">
        <v>4110.2169664969033</v>
      </c>
      <c r="AR14" s="100">
        <v>1.6352369532229674</v>
      </c>
      <c r="AS14" s="100">
        <v>798.64972795409722</v>
      </c>
      <c r="AT14" s="100">
        <v>6.1003845070390774</v>
      </c>
      <c r="AU14" s="100">
        <v>2979.4277932378855</v>
      </c>
      <c r="AV14" s="100">
        <v>5</v>
      </c>
      <c r="AW14" s="100">
        <v>2442</v>
      </c>
      <c r="AX14" s="100">
        <v>9.3462676820300423</v>
      </c>
      <c r="AY14" s="100">
        <v>4564.7171359034728</v>
      </c>
      <c r="AZ14" s="100">
        <v>1.2163312248762006</v>
      </c>
      <c r="BA14" s="100">
        <v>594.05617022953629</v>
      </c>
      <c r="BB14" s="100">
        <v>6.7821758136151162</v>
      </c>
      <c r="BC14" s="100">
        <v>3312.4146673696227</v>
      </c>
      <c r="BD14" s="100">
        <v>1.7368459660345819</v>
      </c>
      <c r="BE14" s="100">
        <v>848.27556981128976</v>
      </c>
      <c r="BF14" s="100">
        <v>6.1248368510934679</v>
      </c>
      <c r="BG14" s="100">
        <v>2991.3703180740495</v>
      </c>
      <c r="BH14" s="100">
        <v>4.2956147287856385</v>
      </c>
      <c r="BI14" s="100">
        <v>2097.9782335389059</v>
      </c>
      <c r="BJ14" s="100">
        <v>7.2268131560790874</v>
      </c>
      <c r="BK14" s="100">
        <v>3529.5755454290261</v>
      </c>
      <c r="BL14" s="100">
        <v>5</v>
      </c>
      <c r="BM14" s="100">
        <v>2442</v>
      </c>
      <c r="BN14" s="100">
        <v>10</v>
      </c>
      <c r="BO14" s="100">
        <v>4884</v>
      </c>
      <c r="BP14" s="100">
        <v>5</v>
      </c>
      <c r="BQ14" s="100">
        <v>2442</v>
      </c>
      <c r="BR14" s="100">
        <v>6.3598938840647952</v>
      </c>
      <c r="BS14" s="100">
        <v>3106.1721729772457</v>
      </c>
      <c r="BT14" s="100">
        <v>4.1984146737855356E-4</v>
      </c>
      <c r="BU14" s="100">
        <v>0.20505057266768556</v>
      </c>
      <c r="BV14" s="100">
        <v>7</v>
      </c>
      <c r="BW14" s="100">
        <v>3418.7999999999997</v>
      </c>
      <c r="BX14" s="100">
        <v>9</v>
      </c>
      <c r="BY14" s="100">
        <v>4395.5999999999995</v>
      </c>
      <c r="BZ14" s="100">
        <v>9</v>
      </c>
      <c r="CA14" s="100">
        <v>4395.5999999999995</v>
      </c>
      <c r="CB14" s="100">
        <v>11</v>
      </c>
      <c r="CC14" s="100">
        <v>5372.4</v>
      </c>
      <c r="CD14" s="100">
        <v>11.076034626423274</v>
      </c>
      <c r="CE14" s="100">
        <v>5409.5353115451271</v>
      </c>
      <c r="CF14" s="100">
        <v>0.31417289265015097</v>
      </c>
      <c r="CG14" s="100">
        <v>153.44204077033373</v>
      </c>
      <c r="CH14" s="100">
        <v>8</v>
      </c>
      <c r="CI14" s="100">
        <v>3907.2</v>
      </c>
      <c r="CJ14" s="100">
        <v>10</v>
      </c>
      <c r="CK14" s="100">
        <v>4884</v>
      </c>
      <c r="CL14" s="100">
        <v>10.239655530703335</v>
      </c>
      <c r="CM14" s="100">
        <v>5001.0477611955084</v>
      </c>
      <c r="CN14" s="100">
        <v>6.9597836604984744</v>
      </c>
      <c r="CO14" s="100">
        <v>3399.1583397874547</v>
      </c>
      <c r="CP14" s="100">
        <v>7</v>
      </c>
      <c r="CQ14" s="100">
        <v>3418.7999999999997</v>
      </c>
      <c r="CR14" s="100">
        <v>7</v>
      </c>
      <c r="CS14" s="100">
        <v>3418.7999999999997</v>
      </c>
      <c r="CT14" s="100">
        <v>10.301848565322436</v>
      </c>
      <c r="CU14" s="100">
        <v>5031.4228393034773</v>
      </c>
    </row>
    <row r="15" spans="1:99">
      <c r="C15" s="99" t="s">
        <v>181</v>
      </c>
      <c r="D15" s="100">
        <v>6</v>
      </c>
      <c r="E15" s="100">
        <v>4579.2</v>
      </c>
      <c r="F15" s="100">
        <v>9</v>
      </c>
      <c r="G15" s="100">
        <v>6868.7999999999993</v>
      </c>
      <c r="H15" s="100">
        <v>8</v>
      </c>
      <c r="I15" s="100">
        <v>6105.5999999999995</v>
      </c>
      <c r="J15" s="100">
        <v>9.2802136227456558</v>
      </c>
      <c r="K15" s="100">
        <v>7082.6590368794841</v>
      </c>
      <c r="L15" s="100">
        <v>3.1969424293506346</v>
      </c>
      <c r="M15" s="100">
        <v>2439.9064620804043</v>
      </c>
      <c r="N15" s="100">
        <v>5</v>
      </c>
      <c r="O15" s="100">
        <v>3815.9999999999995</v>
      </c>
      <c r="P15" s="100">
        <v>7</v>
      </c>
      <c r="Q15" s="100">
        <v>5342.4</v>
      </c>
      <c r="R15" s="100">
        <v>5</v>
      </c>
      <c r="S15" s="100">
        <v>3815.9999999999995</v>
      </c>
      <c r="T15" s="100">
        <v>4</v>
      </c>
      <c r="U15" s="100">
        <v>3052.7999999999997</v>
      </c>
      <c r="V15" s="100">
        <v>5.1852135012169445</v>
      </c>
      <c r="W15" s="100">
        <v>3957.3549441287719</v>
      </c>
      <c r="X15" s="100">
        <v>4.2605948166703858</v>
      </c>
      <c r="Y15" s="100">
        <v>3251.6859640828379</v>
      </c>
      <c r="Z15" s="100">
        <v>6.1005217038812338</v>
      </c>
      <c r="AA15" s="100">
        <v>4655.9181644021573</v>
      </c>
      <c r="AB15" s="100">
        <v>5.8945541092274283</v>
      </c>
      <c r="AC15" s="100">
        <v>4498.723696162373</v>
      </c>
      <c r="AD15" s="100">
        <v>9</v>
      </c>
      <c r="AE15" s="100">
        <v>6868.7999999999993</v>
      </c>
      <c r="AF15" s="100">
        <v>8.2279863190454936</v>
      </c>
      <c r="AG15" s="100">
        <v>6279.5991586955206</v>
      </c>
      <c r="AH15" s="100">
        <v>5</v>
      </c>
      <c r="AI15" s="100">
        <v>3815.9999999999995</v>
      </c>
      <c r="AJ15" s="100">
        <v>7.4233761374911182</v>
      </c>
      <c r="AK15" s="100">
        <v>5665.5206681332211</v>
      </c>
      <c r="AL15" s="100">
        <v>5.2638521396249649</v>
      </c>
      <c r="AM15" s="100">
        <v>4017.3719529617729</v>
      </c>
      <c r="AN15" s="100">
        <v>8</v>
      </c>
      <c r="AO15" s="100">
        <v>6105.5999999999995</v>
      </c>
      <c r="AP15" s="100">
        <v>9.4572454200380722</v>
      </c>
      <c r="AQ15" s="100">
        <v>7217.7697045730565</v>
      </c>
      <c r="AR15" s="100">
        <v>1.3626974610191396</v>
      </c>
      <c r="AS15" s="100">
        <v>1040.0107022498073</v>
      </c>
      <c r="AT15" s="100">
        <v>6.1003845070390774</v>
      </c>
      <c r="AU15" s="100">
        <v>4655.8134557722233</v>
      </c>
      <c r="AV15" s="100">
        <v>6</v>
      </c>
      <c r="AW15" s="100">
        <v>4579.2</v>
      </c>
      <c r="AX15" s="100">
        <v>9.3462676820300423</v>
      </c>
      <c r="AY15" s="100">
        <v>7133.0714949253279</v>
      </c>
      <c r="AZ15" s="100">
        <v>1.0642898217666756</v>
      </c>
      <c r="BA15" s="100">
        <v>812.26599197232679</v>
      </c>
      <c r="BB15" s="100">
        <v>6.8215198139758337</v>
      </c>
      <c r="BC15" s="100">
        <v>5206.1839220263555</v>
      </c>
      <c r="BD15" s="100">
        <v>2.0723080157091891</v>
      </c>
      <c r="BE15" s="100">
        <v>1581.5854775892531</v>
      </c>
      <c r="BF15" s="100">
        <v>6.8401555431297645</v>
      </c>
      <c r="BG15" s="100">
        <v>5220.4067105166359</v>
      </c>
      <c r="BH15" s="100">
        <v>4.2956147287856385</v>
      </c>
      <c r="BI15" s="100">
        <v>3278.413161009199</v>
      </c>
      <c r="BJ15" s="100">
        <v>8.0297923956434296</v>
      </c>
      <c r="BK15" s="100">
        <v>6128.3375563550653</v>
      </c>
      <c r="BL15" s="100">
        <v>5</v>
      </c>
      <c r="BM15" s="100">
        <v>3815.9999999999995</v>
      </c>
      <c r="BN15" s="100">
        <v>9</v>
      </c>
      <c r="BO15" s="100">
        <v>6868.7999999999993</v>
      </c>
      <c r="BP15" s="100">
        <v>5</v>
      </c>
      <c r="BQ15" s="100">
        <v>3815.9999999999995</v>
      </c>
      <c r="BR15" s="100">
        <v>6.3598938840647952</v>
      </c>
      <c r="BS15" s="100">
        <v>4853.8710123182509</v>
      </c>
      <c r="BT15" s="100">
        <v>3.49867889482128E-4</v>
      </c>
      <c r="BU15" s="100">
        <v>0.26701917325276009</v>
      </c>
      <c r="BV15" s="100">
        <v>8</v>
      </c>
      <c r="BW15" s="100">
        <v>6105.5999999999995</v>
      </c>
      <c r="BX15" s="100">
        <v>8</v>
      </c>
      <c r="BY15" s="100">
        <v>6105.5999999999995</v>
      </c>
      <c r="BZ15" s="100">
        <v>8</v>
      </c>
      <c r="CA15" s="100">
        <v>6105.5999999999995</v>
      </c>
      <c r="CB15" s="100">
        <v>10</v>
      </c>
      <c r="CC15" s="100">
        <v>7631.9999999999991</v>
      </c>
      <c r="CD15" s="100">
        <v>10.086896715912314</v>
      </c>
      <c r="CE15" s="100">
        <v>7698.3195735842774</v>
      </c>
      <c r="CF15" s="100">
        <v>0.27490128106888206</v>
      </c>
      <c r="CG15" s="100">
        <v>209.80465771177077</v>
      </c>
      <c r="CH15" s="100">
        <v>7</v>
      </c>
      <c r="CI15" s="100">
        <v>5342.4</v>
      </c>
      <c r="CJ15" s="100">
        <v>10</v>
      </c>
      <c r="CK15" s="100">
        <v>7631.9999999999991</v>
      </c>
      <c r="CL15" s="100">
        <v>9.2130271384029641</v>
      </c>
      <c r="CM15" s="100">
        <v>7031.3823120291418</v>
      </c>
      <c r="CN15" s="100">
        <v>6.9597836604984744</v>
      </c>
      <c r="CO15" s="100">
        <v>5311.7068896924347</v>
      </c>
      <c r="CP15" s="100">
        <v>8</v>
      </c>
      <c r="CQ15" s="100">
        <v>6105.5999999999995</v>
      </c>
      <c r="CR15" s="100">
        <v>7</v>
      </c>
      <c r="CS15" s="100">
        <v>5342.4</v>
      </c>
      <c r="CT15" s="100">
        <v>10.278629444913017</v>
      </c>
      <c r="CU15" s="100">
        <v>7844.6499923576139</v>
      </c>
    </row>
    <row r="16" spans="1:99">
      <c r="C16" s="99" t="s">
        <v>182</v>
      </c>
      <c r="D16" s="100">
        <v>7</v>
      </c>
      <c r="E16" s="100">
        <v>2385.6</v>
      </c>
      <c r="F16" s="100">
        <v>9</v>
      </c>
      <c r="G16" s="100">
        <v>3067.2000000000003</v>
      </c>
      <c r="H16" s="100">
        <v>8</v>
      </c>
      <c r="I16" s="100">
        <v>2726.4</v>
      </c>
      <c r="J16" s="100">
        <v>9.2802136227456558</v>
      </c>
      <c r="K16" s="100">
        <v>3162.6968026317195</v>
      </c>
      <c r="L16" s="100">
        <v>3.5965602330194635</v>
      </c>
      <c r="M16" s="100">
        <v>1225.7077274130331</v>
      </c>
      <c r="N16" s="100">
        <v>4</v>
      </c>
      <c r="O16" s="100">
        <v>1363.2</v>
      </c>
      <c r="P16" s="100">
        <v>7</v>
      </c>
      <c r="Q16" s="100">
        <v>2385.6</v>
      </c>
      <c r="R16" s="100">
        <v>6</v>
      </c>
      <c r="S16" s="100">
        <v>2044.8000000000002</v>
      </c>
      <c r="T16" s="100">
        <v>4</v>
      </c>
      <c r="U16" s="100">
        <v>1363.2</v>
      </c>
      <c r="V16" s="100">
        <v>5.2132384669406395</v>
      </c>
      <c r="W16" s="100">
        <v>1776.67166953337</v>
      </c>
      <c r="X16" s="100">
        <v>4.2605948166703858</v>
      </c>
      <c r="Y16" s="100">
        <v>1452.0107135212675</v>
      </c>
      <c r="Z16" s="100">
        <v>5.1172753211947724</v>
      </c>
      <c r="AA16" s="100">
        <v>1743.9674294631784</v>
      </c>
      <c r="AB16" s="100">
        <v>5.8945541092274283</v>
      </c>
      <c r="AC16" s="100">
        <v>2008.8640404247076</v>
      </c>
      <c r="AD16" s="100">
        <v>9</v>
      </c>
      <c r="AE16" s="100">
        <v>3067.2000000000003</v>
      </c>
      <c r="AF16" s="100">
        <v>7.2279863190454927</v>
      </c>
      <c r="AG16" s="100">
        <v>2463.2977375307041</v>
      </c>
      <c r="AH16" s="100">
        <v>6</v>
      </c>
      <c r="AI16" s="100">
        <v>2044.8000000000002</v>
      </c>
      <c r="AJ16" s="100">
        <v>8.3880947927001923</v>
      </c>
      <c r="AK16" s="100">
        <v>2858.6627053522257</v>
      </c>
      <c r="AL16" s="100">
        <v>5.2638521396249649</v>
      </c>
      <c r="AM16" s="100">
        <v>1793.9208091841881</v>
      </c>
      <c r="AN16" s="100">
        <v>8</v>
      </c>
      <c r="AO16" s="100">
        <v>2726.4</v>
      </c>
      <c r="AP16" s="100">
        <v>9.4572454200380722</v>
      </c>
      <c r="AQ16" s="100">
        <v>3223.0292391489752</v>
      </c>
      <c r="AR16" s="100">
        <v>1.3626974610191396</v>
      </c>
      <c r="AS16" s="100">
        <v>464.40729471532279</v>
      </c>
      <c r="AT16" s="100">
        <v>6.1003845070390774</v>
      </c>
      <c r="AU16" s="100">
        <v>2079.0110399989176</v>
      </c>
      <c r="AV16" s="100">
        <v>5</v>
      </c>
      <c r="AW16" s="100">
        <v>1704</v>
      </c>
      <c r="AX16" s="100">
        <v>10.346267682030042</v>
      </c>
      <c r="AY16" s="100">
        <v>3526.0080260358386</v>
      </c>
      <c r="AZ16" s="100">
        <v>1.2163312248762006</v>
      </c>
      <c r="BA16" s="100">
        <v>414.52568143780917</v>
      </c>
      <c r="BB16" s="100">
        <v>6.8215198139758337</v>
      </c>
      <c r="BC16" s="100">
        <v>2324.7739526029641</v>
      </c>
      <c r="BD16" s="100">
        <v>1.7308923942684273</v>
      </c>
      <c r="BE16" s="100">
        <v>589.88812796668003</v>
      </c>
      <c r="BF16" s="100">
        <v>6.1248368510934679</v>
      </c>
      <c r="BG16" s="100">
        <v>2087.3443988526537</v>
      </c>
      <c r="BH16" s="100">
        <v>4.2956147287856385</v>
      </c>
      <c r="BI16" s="100">
        <v>1463.9454995701456</v>
      </c>
      <c r="BJ16" s="100">
        <v>8.0297923956434296</v>
      </c>
      <c r="BK16" s="100">
        <v>2736.5532484352807</v>
      </c>
      <c r="BL16" s="100">
        <v>6</v>
      </c>
      <c r="BM16" s="100">
        <v>2044.8000000000002</v>
      </c>
      <c r="BN16" s="100">
        <v>10</v>
      </c>
      <c r="BO16" s="100">
        <v>3408</v>
      </c>
      <c r="BP16" s="100">
        <v>5</v>
      </c>
      <c r="BQ16" s="100">
        <v>1704</v>
      </c>
      <c r="BR16" s="100">
        <v>6.3598938840647952</v>
      </c>
      <c r="BS16" s="100">
        <v>2167.4518356892822</v>
      </c>
      <c r="BT16" s="100">
        <v>4.1984146737855356E-4</v>
      </c>
      <c r="BU16" s="100">
        <v>0.14308197208261106</v>
      </c>
      <c r="BV16" s="100">
        <v>8</v>
      </c>
      <c r="BW16" s="100">
        <v>2726.4</v>
      </c>
      <c r="BX16" s="100">
        <v>9</v>
      </c>
      <c r="BY16" s="100">
        <v>3067.2000000000003</v>
      </c>
      <c r="BZ16" s="100">
        <v>9</v>
      </c>
      <c r="CA16" s="100">
        <v>3067.2000000000003</v>
      </c>
      <c r="CB16" s="100">
        <v>11</v>
      </c>
      <c r="CC16" s="100">
        <v>3748.8</v>
      </c>
      <c r="CD16" s="100">
        <v>11.086896715912314</v>
      </c>
      <c r="CE16" s="100">
        <v>3778.4144007829168</v>
      </c>
      <c r="CF16" s="100">
        <v>0.31417289265015097</v>
      </c>
      <c r="CG16" s="100">
        <v>107.07012181517145</v>
      </c>
      <c r="CH16" s="100">
        <v>8</v>
      </c>
      <c r="CI16" s="100">
        <v>2726.4</v>
      </c>
      <c r="CJ16" s="100">
        <v>9</v>
      </c>
      <c r="CK16" s="100">
        <v>3067.2000000000003</v>
      </c>
      <c r="CL16" s="100">
        <v>10.239655530703335</v>
      </c>
      <c r="CM16" s="100">
        <v>3489.6746048636965</v>
      </c>
      <c r="CN16" s="100">
        <v>6.9597836604984744</v>
      </c>
      <c r="CO16" s="100">
        <v>2371.8942714978803</v>
      </c>
      <c r="CP16" s="100">
        <v>8</v>
      </c>
      <c r="CQ16" s="100">
        <v>2726.4</v>
      </c>
      <c r="CR16" s="100">
        <v>7</v>
      </c>
      <c r="CS16" s="100">
        <v>2385.6</v>
      </c>
      <c r="CT16" s="100">
        <v>10.278629444913017</v>
      </c>
      <c r="CU16" s="100">
        <v>3502.9569148263563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8</v>
      </c>
      <c r="G17" s="100">
        <v>3379.2</v>
      </c>
      <c r="H17" s="100">
        <v>9</v>
      </c>
      <c r="I17" s="100">
        <v>3801.6</v>
      </c>
      <c r="J17" s="100">
        <v>8.2802136227456558</v>
      </c>
      <c r="K17" s="100">
        <v>3497.562234247765</v>
      </c>
      <c r="L17" s="100">
        <v>3.5965602330194635</v>
      </c>
      <c r="M17" s="100">
        <v>1519.1870424274214</v>
      </c>
      <c r="N17" s="100">
        <v>5</v>
      </c>
      <c r="O17" s="100">
        <v>2112</v>
      </c>
      <c r="P17" s="100">
        <v>7</v>
      </c>
      <c r="Q17" s="100">
        <v>2956.7999999999997</v>
      </c>
      <c r="R17" s="100">
        <v>5</v>
      </c>
      <c r="S17" s="100">
        <v>2112</v>
      </c>
      <c r="T17" s="100">
        <v>5</v>
      </c>
      <c r="U17" s="100">
        <v>2112</v>
      </c>
      <c r="V17" s="100">
        <v>6.049415751419768</v>
      </c>
      <c r="W17" s="100">
        <v>2555.2732133997097</v>
      </c>
      <c r="X17" s="100">
        <v>4.2605948166703858</v>
      </c>
      <c r="Y17" s="100">
        <v>1799.6752505615709</v>
      </c>
      <c r="Z17" s="100">
        <v>6.1005217038812338</v>
      </c>
      <c r="AA17" s="100">
        <v>2576.8603677194328</v>
      </c>
      <c r="AB17" s="100">
        <v>5.8945541092274283</v>
      </c>
      <c r="AC17" s="100">
        <v>2489.8596557376654</v>
      </c>
      <c r="AD17" s="100">
        <v>8</v>
      </c>
      <c r="AE17" s="100">
        <v>3379.2</v>
      </c>
      <c r="AF17" s="100">
        <v>7.2487123480496285</v>
      </c>
      <c r="AG17" s="100">
        <v>3061.8560958161629</v>
      </c>
      <c r="AH17" s="100">
        <v>5</v>
      </c>
      <c r="AI17" s="100">
        <v>2112</v>
      </c>
      <c r="AJ17" s="100">
        <v>7.3528134479092655</v>
      </c>
      <c r="AK17" s="100">
        <v>3105.8284003968738</v>
      </c>
      <c r="AL17" s="100">
        <v>5.2638521396249649</v>
      </c>
      <c r="AM17" s="100">
        <v>2223.451143777585</v>
      </c>
      <c r="AN17" s="100">
        <v>9</v>
      </c>
      <c r="AO17" s="100">
        <v>3801.6</v>
      </c>
      <c r="AP17" s="100">
        <v>9.4156776545800653</v>
      </c>
      <c r="AQ17" s="100">
        <v>3977.1822412946194</v>
      </c>
      <c r="AR17" s="100">
        <v>1.3626974610191396</v>
      </c>
      <c r="AS17" s="100">
        <v>575.60340753448452</v>
      </c>
      <c r="AT17" s="100">
        <v>6.1003845070390774</v>
      </c>
      <c r="AU17" s="100">
        <v>2576.8024157733062</v>
      </c>
      <c r="AV17" s="100">
        <v>6</v>
      </c>
      <c r="AW17" s="100">
        <v>2534.3999999999996</v>
      </c>
      <c r="AX17" s="100">
        <v>10.346267682030042</v>
      </c>
      <c r="AY17" s="100">
        <v>4370.2634688894896</v>
      </c>
      <c r="AZ17" s="100">
        <v>1.2163312248762006</v>
      </c>
      <c r="BA17" s="100">
        <v>513.77830938770705</v>
      </c>
      <c r="BB17" s="100">
        <v>8.3695237660269211</v>
      </c>
      <c r="BC17" s="100">
        <v>3535.2868387697713</v>
      </c>
      <c r="BD17" s="100">
        <v>1.7308923942684273</v>
      </c>
      <c r="BE17" s="100">
        <v>731.12894733898372</v>
      </c>
      <c r="BF17" s="100">
        <v>6.8736794860300225</v>
      </c>
      <c r="BG17" s="100">
        <v>2903.4422148990816</v>
      </c>
      <c r="BH17" s="100">
        <v>4.2956147287856385</v>
      </c>
      <c r="BI17" s="100">
        <v>1814.4676614390537</v>
      </c>
      <c r="BJ17" s="100">
        <v>8.0297923956434296</v>
      </c>
      <c r="BK17" s="100">
        <v>3391.7843079197846</v>
      </c>
      <c r="BL17" s="100">
        <v>5</v>
      </c>
      <c r="BM17" s="100">
        <v>2112</v>
      </c>
      <c r="BN17" s="100">
        <v>10</v>
      </c>
      <c r="BO17" s="100">
        <v>4224</v>
      </c>
      <c r="BP17" s="100">
        <v>6</v>
      </c>
      <c r="BQ17" s="100">
        <v>2534.3999999999996</v>
      </c>
      <c r="BR17" s="100">
        <v>5.3425717873009289</v>
      </c>
      <c r="BS17" s="100">
        <v>2256.7023229559122</v>
      </c>
      <c r="BT17" s="100">
        <v>4.1984146737855356E-4</v>
      </c>
      <c r="BU17" s="100">
        <v>0.17734103582070102</v>
      </c>
      <c r="BV17" s="100">
        <v>8</v>
      </c>
      <c r="BW17" s="100">
        <v>3379.2</v>
      </c>
      <c r="BX17" s="100">
        <v>8</v>
      </c>
      <c r="BY17" s="100">
        <v>3379.2</v>
      </c>
      <c r="BZ17" s="100">
        <v>8</v>
      </c>
      <c r="CA17" s="100">
        <v>3379.2</v>
      </c>
      <c r="CB17" s="100">
        <v>11</v>
      </c>
      <c r="CC17" s="100">
        <v>4646.3999999999996</v>
      </c>
      <c r="CD17" s="100">
        <v>10.086896715912314</v>
      </c>
      <c r="CE17" s="100">
        <v>4260.7051728013612</v>
      </c>
      <c r="CF17" s="100">
        <v>0.31417289265015097</v>
      </c>
      <c r="CG17" s="100">
        <v>132.70662985542376</v>
      </c>
      <c r="CH17" s="100">
        <v>8</v>
      </c>
      <c r="CI17" s="100">
        <v>3379.2</v>
      </c>
      <c r="CJ17" s="100">
        <v>9</v>
      </c>
      <c r="CK17" s="100">
        <v>3801.6</v>
      </c>
      <c r="CL17" s="100">
        <v>11.213027138402964</v>
      </c>
      <c r="CM17" s="100">
        <v>4736.3826632614118</v>
      </c>
      <c r="CN17" s="100">
        <v>6.9597836604984744</v>
      </c>
      <c r="CO17" s="100">
        <v>2939.8126181945554</v>
      </c>
      <c r="CP17" s="100">
        <v>8</v>
      </c>
      <c r="CQ17" s="100">
        <v>3379.2</v>
      </c>
      <c r="CR17" s="100">
        <v>8</v>
      </c>
      <c r="CS17" s="100">
        <v>3379.2</v>
      </c>
      <c r="CT17" s="100">
        <v>10.278629444913017</v>
      </c>
      <c r="CU17" s="100">
        <v>4341.6930775312585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8</v>
      </c>
      <c r="G18" s="100">
        <v>5222.3999999999996</v>
      </c>
      <c r="H18" s="100">
        <v>8</v>
      </c>
      <c r="I18" s="100">
        <v>5222.3999999999996</v>
      </c>
      <c r="J18" s="100">
        <v>9.3269158932032656</v>
      </c>
      <c r="K18" s="100">
        <v>6088.6106950830917</v>
      </c>
      <c r="L18" s="100">
        <v>3.5965602330194635</v>
      </c>
      <c r="M18" s="100">
        <v>2347.8345201151055</v>
      </c>
      <c r="N18" s="100">
        <v>5</v>
      </c>
      <c r="O18" s="100">
        <v>3264</v>
      </c>
      <c r="P18" s="100">
        <v>7</v>
      </c>
      <c r="Q18" s="100">
        <v>4569.5999999999995</v>
      </c>
      <c r="R18" s="100">
        <v>5</v>
      </c>
      <c r="S18" s="100">
        <v>3264</v>
      </c>
      <c r="T18" s="100">
        <v>5</v>
      </c>
      <c r="U18" s="100">
        <v>3264</v>
      </c>
      <c r="V18" s="100">
        <v>5.2132384669406395</v>
      </c>
      <c r="W18" s="100">
        <v>3403.2020712188491</v>
      </c>
      <c r="X18" s="100">
        <v>4.7931691687541838</v>
      </c>
      <c r="Y18" s="100">
        <v>3128.9808333627311</v>
      </c>
      <c r="Z18" s="100">
        <v>6.1172753211947724</v>
      </c>
      <c r="AA18" s="100">
        <v>3993.3573296759473</v>
      </c>
      <c r="AB18" s="100">
        <v>5.8945541092274283</v>
      </c>
      <c r="AC18" s="100">
        <v>3847.9649225036651</v>
      </c>
      <c r="AD18" s="100">
        <v>8</v>
      </c>
      <c r="AE18" s="100">
        <v>5222.3999999999996</v>
      </c>
      <c r="AF18" s="100">
        <v>7.2279863190454927</v>
      </c>
      <c r="AG18" s="100">
        <v>4718.4294690728975</v>
      </c>
      <c r="AH18" s="100">
        <v>5</v>
      </c>
      <c r="AI18" s="100">
        <v>3264</v>
      </c>
      <c r="AJ18" s="100">
        <v>7.3880947927001923</v>
      </c>
      <c r="AK18" s="100">
        <v>4822.9482806746855</v>
      </c>
      <c r="AL18" s="100">
        <v>5.2638521396249649</v>
      </c>
      <c r="AM18" s="100">
        <v>3436.242676747177</v>
      </c>
      <c r="AN18" s="100">
        <v>8</v>
      </c>
      <c r="AO18" s="100">
        <v>5222.3999999999996</v>
      </c>
      <c r="AP18" s="100">
        <v>8.4156776545800653</v>
      </c>
      <c r="AQ18" s="100">
        <v>5493.7543729098661</v>
      </c>
      <c r="AR18" s="100">
        <v>1.3626974610191396</v>
      </c>
      <c r="AS18" s="100">
        <v>889.56890255329427</v>
      </c>
      <c r="AT18" s="100">
        <v>5.422564006256958</v>
      </c>
      <c r="AU18" s="100">
        <v>3539.8497832845419</v>
      </c>
      <c r="AV18" s="100">
        <v>6</v>
      </c>
      <c r="AW18" s="100">
        <v>3916.7999999999997</v>
      </c>
      <c r="AX18" s="100">
        <v>9.3462676820300423</v>
      </c>
      <c r="AY18" s="100">
        <v>6101.243542829211</v>
      </c>
      <c r="AZ18" s="100">
        <v>1.0642898217666756</v>
      </c>
      <c r="BA18" s="100">
        <v>694.76839564928582</v>
      </c>
      <c r="BB18" s="100">
        <v>8.4482117667483561</v>
      </c>
      <c r="BC18" s="100">
        <v>5514.9926413333269</v>
      </c>
      <c r="BD18" s="100">
        <v>2.0723080157091891</v>
      </c>
      <c r="BE18" s="100">
        <v>1352.8026726549585</v>
      </c>
      <c r="BF18" s="100">
        <v>6.1080748796433388</v>
      </c>
      <c r="BG18" s="100">
        <v>3987.3512814311712</v>
      </c>
      <c r="BH18" s="100">
        <v>3.681955481816261</v>
      </c>
      <c r="BI18" s="100">
        <v>2403.5805385296549</v>
      </c>
      <c r="BJ18" s="100">
        <v>8.0297923956434296</v>
      </c>
      <c r="BK18" s="100">
        <v>5241.8484758760305</v>
      </c>
      <c r="BL18" s="100">
        <v>6</v>
      </c>
      <c r="BM18" s="100">
        <v>3916.7999999999997</v>
      </c>
      <c r="BN18" s="100">
        <v>10</v>
      </c>
      <c r="BO18" s="100">
        <v>6528</v>
      </c>
      <c r="BP18" s="100">
        <v>5</v>
      </c>
      <c r="BQ18" s="100">
        <v>3264</v>
      </c>
      <c r="BR18" s="100">
        <v>5.3425717873009289</v>
      </c>
      <c r="BS18" s="100">
        <v>3487.6308627500462</v>
      </c>
      <c r="BT18" s="100">
        <v>3.49867889482128E-4</v>
      </c>
      <c r="BU18" s="100">
        <v>0.22839375825393315</v>
      </c>
      <c r="BV18" s="100">
        <v>7</v>
      </c>
      <c r="BW18" s="100">
        <v>4569.5999999999995</v>
      </c>
      <c r="BX18" s="100">
        <v>8</v>
      </c>
      <c r="BY18" s="100">
        <v>5222.3999999999996</v>
      </c>
      <c r="BZ18" s="100">
        <v>8</v>
      </c>
      <c r="CA18" s="100">
        <v>5222.3999999999996</v>
      </c>
      <c r="CB18" s="100">
        <v>11</v>
      </c>
      <c r="CC18" s="100">
        <v>7180.7999999999993</v>
      </c>
      <c r="CD18" s="100">
        <v>11.086896715912314</v>
      </c>
      <c r="CE18" s="100">
        <v>7237.5261761475576</v>
      </c>
      <c r="CF18" s="100">
        <v>0.31417289265015097</v>
      </c>
      <c r="CG18" s="100">
        <v>205.09206432201853</v>
      </c>
      <c r="CH18" s="100">
        <v>8</v>
      </c>
      <c r="CI18" s="100">
        <v>5222.3999999999996</v>
      </c>
      <c r="CJ18" s="100">
        <v>10</v>
      </c>
      <c r="CK18" s="100">
        <v>6528</v>
      </c>
      <c r="CL18" s="100">
        <v>11.213027138402964</v>
      </c>
      <c r="CM18" s="100">
        <v>7319.8641159494546</v>
      </c>
      <c r="CN18" s="100">
        <v>6.1864743648875322</v>
      </c>
      <c r="CO18" s="100">
        <v>4038.5304653985809</v>
      </c>
      <c r="CP18" s="100">
        <v>7</v>
      </c>
      <c r="CQ18" s="100">
        <v>4569.5999999999995</v>
      </c>
      <c r="CR18" s="100">
        <v>7</v>
      </c>
      <c r="CS18" s="100">
        <v>4569.5999999999995</v>
      </c>
      <c r="CT18" s="100">
        <v>10.301848565322436</v>
      </c>
      <c r="CU18" s="100">
        <v>6725.0467434424854</v>
      </c>
    </row>
    <row r="19" spans="2:99">
      <c r="C19" s="99" t="s">
        <v>185</v>
      </c>
      <c r="D19" s="100">
        <v>7</v>
      </c>
      <c r="E19" s="100">
        <v>2310</v>
      </c>
      <c r="F19" s="100">
        <v>8</v>
      </c>
      <c r="G19" s="100">
        <v>2640</v>
      </c>
      <c r="H19" s="100">
        <v>7</v>
      </c>
      <c r="I19" s="100">
        <v>2310</v>
      </c>
      <c r="J19" s="100">
        <v>9.3269158932032656</v>
      </c>
      <c r="K19" s="100">
        <v>3077.8822447570778</v>
      </c>
      <c r="L19" s="100">
        <v>3.5965602330194635</v>
      </c>
      <c r="M19" s="100">
        <v>1186.8648768964229</v>
      </c>
      <c r="N19" s="100">
        <v>4</v>
      </c>
      <c r="O19" s="100">
        <v>1320</v>
      </c>
      <c r="P19" s="100">
        <v>7</v>
      </c>
      <c r="Q19" s="100">
        <v>2310</v>
      </c>
      <c r="R19" s="100">
        <v>6</v>
      </c>
      <c r="S19" s="100">
        <v>1980</v>
      </c>
      <c r="T19" s="100">
        <v>5</v>
      </c>
      <c r="U19" s="100">
        <v>1650</v>
      </c>
      <c r="V19" s="100">
        <v>5.2132384669406395</v>
      </c>
      <c r="W19" s="100">
        <v>1720.3686940904111</v>
      </c>
      <c r="X19" s="100">
        <v>4.7931691687541838</v>
      </c>
      <c r="Y19" s="100">
        <v>1581.7458256888806</v>
      </c>
      <c r="Z19" s="100">
        <v>6.1005217038812338</v>
      </c>
      <c r="AA19" s="100">
        <v>2013.1721622808072</v>
      </c>
      <c r="AB19" s="100">
        <v>5.8945541092274283</v>
      </c>
      <c r="AC19" s="100">
        <v>1945.2028560450512</v>
      </c>
      <c r="AD19" s="100">
        <v>8</v>
      </c>
      <c r="AE19" s="100">
        <v>2640</v>
      </c>
      <c r="AF19" s="100">
        <v>8.2072602900413578</v>
      </c>
      <c r="AG19" s="100">
        <v>2708.3958957136479</v>
      </c>
      <c r="AH19" s="100">
        <v>6</v>
      </c>
      <c r="AI19" s="100">
        <v>1980</v>
      </c>
      <c r="AJ19" s="100">
        <v>8.4233761374911182</v>
      </c>
      <c r="AK19" s="100">
        <v>2779.7141253720692</v>
      </c>
      <c r="AL19" s="100">
        <v>5.2638521396249649</v>
      </c>
      <c r="AM19" s="100">
        <v>1737.0712060762385</v>
      </c>
      <c r="AN19" s="100">
        <v>9</v>
      </c>
      <c r="AO19" s="100">
        <v>2970</v>
      </c>
      <c r="AP19" s="100">
        <v>9.4572454200380722</v>
      </c>
      <c r="AQ19" s="100">
        <v>3120.8909886125639</v>
      </c>
      <c r="AR19" s="100">
        <v>1.6352369532229674</v>
      </c>
      <c r="AS19" s="100">
        <v>539.6281945635792</v>
      </c>
      <c r="AT19" s="100">
        <v>5.422564006256958</v>
      </c>
      <c r="AU19" s="100">
        <v>1789.4461220647961</v>
      </c>
      <c r="AV19" s="100">
        <v>5</v>
      </c>
      <c r="AW19" s="100">
        <v>1650</v>
      </c>
      <c r="AX19" s="100">
        <v>10.39573449374862</v>
      </c>
      <c r="AY19" s="100">
        <v>3430.5923829370445</v>
      </c>
      <c r="AZ19" s="100">
        <v>1.0642898217666756</v>
      </c>
      <c r="BA19" s="100">
        <v>351.21564118300296</v>
      </c>
      <c r="BB19" s="100">
        <v>8.3695237660269211</v>
      </c>
      <c r="BC19" s="100">
        <v>2761.9428427888838</v>
      </c>
      <c r="BD19" s="100">
        <v>1.7308923942684273</v>
      </c>
      <c r="BE19" s="100">
        <v>571.19449010858102</v>
      </c>
      <c r="BF19" s="100">
        <v>6.8736794860300225</v>
      </c>
      <c r="BG19" s="100">
        <v>2268.3142303899076</v>
      </c>
      <c r="BH19" s="100">
        <v>4.2956147287856385</v>
      </c>
      <c r="BI19" s="100">
        <v>1417.5528604992608</v>
      </c>
      <c r="BJ19" s="100">
        <v>8.0297923956434296</v>
      </c>
      <c r="BK19" s="100">
        <v>2649.831490562332</v>
      </c>
      <c r="BL19" s="100">
        <v>6</v>
      </c>
      <c r="BM19" s="100">
        <v>1980</v>
      </c>
      <c r="BN19" s="100">
        <v>10</v>
      </c>
      <c r="BO19" s="100">
        <v>3300</v>
      </c>
      <c r="BP19" s="100">
        <v>6</v>
      </c>
      <c r="BQ19" s="100">
        <v>1980</v>
      </c>
      <c r="BR19" s="100">
        <v>6.3598938840647952</v>
      </c>
      <c r="BS19" s="100">
        <v>2098.7649817413826</v>
      </c>
      <c r="BT19" s="100">
        <v>4.1984146737855356E-4</v>
      </c>
      <c r="BU19" s="100">
        <v>0.13854768423492267</v>
      </c>
      <c r="BV19" s="100">
        <v>8</v>
      </c>
      <c r="BW19" s="100">
        <v>2640</v>
      </c>
      <c r="BX19" s="100">
        <v>9</v>
      </c>
      <c r="BY19" s="100">
        <v>2970</v>
      </c>
      <c r="BZ19" s="100">
        <v>9</v>
      </c>
      <c r="CA19" s="100">
        <v>2970</v>
      </c>
      <c r="CB19" s="100">
        <v>10</v>
      </c>
      <c r="CC19" s="100">
        <v>3300</v>
      </c>
      <c r="CD19" s="100">
        <v>12.086896715912314</v>
      </c>
      <c r="CE19" s="100">
        <v>3988.6759162510634</v>
      </c>
      <c r="CF19" s="100">
        <v>0.27490128106888206</v>
      </c>
      <c r="CG19" s="100">
        <v>90.717422752731082</v>
      </c>
      <c r="CH19" s="100">
        <v>8</v>
      </c>
      <c r="CI19" s="100">
        <v>2640</v>
      </c>
      <c r="CJ19" s="100">
        <v>9</v>
      </c>
      <c r="CK19" s="100">
        <v>2970</v>
      </c>
      <c r="CL19" s="100">
        <v>11.239655530703335</v>
      </c>
      <c r="CM19" s="100">
        <v>3709.0863251321002</v>
      </c>
      <c r="CN19" s="100">
        <v>6.1864743648875322</v>
      </c>
      <c r="CO19" s="100">
        <v>2041.5365404128856</v>
      </c>
      <c r="CP19" s="100">
        <v>7</v>
      </c>
      <c r="CQ19" s="100">
        <v>2310</v>
      </c>
      <c r="CR19" s="100">
        <v>7</v>
      </c>
      <c r="CS19" s="100">
        <v>2310</v>
      </c>
      <c r="CT19" s="100">
        <v>9.2554103245035986</v>
      </c>
      <c r="CU19" s="100">
        <v>3054.2854070861877</v>
      </c>
    </row>
    <row r="20" spans="2:99">
      <c r="B20" s="99" t="s">
        <v>127</v>
      </c>
      <c r="C20" s="99" t="s">
        <v>186</v>
      </c>
      <c r="D20" s="100">
        <v>8</v>
      </c>
      <c r="E20" s="100">
        <v>2294.4</v>
      </c>
      <c r="F20" s="100">
        <v>10</v>
      </c>
      <c r="G20" s="100">
        <v>2868</v>
      </c>
      <c r="H20" s="100">
        <v>8</v>
      </c>
      <c r="I20" s="100">
        <v>2294.4</v>
      </c>
      <c r="J20" s="100">
        <v>11.840640868236969</v>
      </c>
      <c r="K20" s="100">
        <v>3395.8958010103629</v>
      </c>
      <c r="L20" s="100">
        <v>4.3957958403571222</v>
      </c>
      <c r="M20" s="100">
        <v>1260.7142470144227</v>
      </c>
      <c r="N20" s="100">
        <v>9</v>
      </c>
      <c r="O20" s="100">
        <v>2581.2000000000003</v>
      </c>
      <c r="P20" s="100">
        <v>8</v>
      </c>
      <c r="Q20" s="100">
        <v>2294.4</v>
      </c>
      <c r="R20" s="100">
        <v>12</v>
      </c>
      <c r="S20" s="100">
        <v>3441.6000000000004</v>
      </c>
      <c r="T20" s="100">
        <v>16</v>
      </c>
      <c r="U20" s="100">
        <v>4588.8</v>
      </c>
      <c r="V20" s="100">
        <v>12.210931365734316</v>
      </c>
      <c r="W20" s="100">
        <v>3502.0951156926021</v>
      </c>
      <c r="X20" s="100">
        <v>5.8583178729217806</v>
      </c>
      <c r="Y20" s="100">
        <v>1680.1655659539667</v>
      </c>
      <c r="Z20" s="100">
        <v>12.201043407762468</v>
      </c>
      <c r="AA20" s="100">
        <v>3499.2592493462757</v>
      </c>
      <c r="AB20" s="100">
        <v>9.8242568487123805</v>
      </c>
      <c r="AC20" s="100">
        <v>2817.5968642107109</v>
      </c>
      <c r="AD20" s="100">
        <v>13</v>
      </c>
      <c r="AE20" s="100">
        <v>3728.4</v>
      </c>
      <c r="AF20" s="100">
        <v>12.269438377053765</v>
      </c>
      <c r="AG20" s="100">
        <v>3518.8749265390202</v>
      </c>
      <c r="AH20" s="100">
        <v>10</v>
      </c>
      <c r="AI20" s="100">
        <v>2868</v>
      </c>
      <c r="AJ20" s="100">
        <v>15.705626895818531</v>
      </c>
      <c r="AK20" s="100">
        <v>4504.3737937207552</v>
      </c>
      <c r="AL20" s="100">
        <v>9.86972276179681</v>
      </c>
      <c r="AM20" s="100">
        <v>2830.6364880833253</v>
      </c>
      <c r="AN20" s="100">
        <v>13</v>
      </c>
      <c r="AO20" s="100">
        <v>3728.4</v>
      </c>
      <c r="AP20" s="100">
        <v>9.8313553091601307</v>
      </c>
      <c r="AQ20" s="100">
        <v>2819.6327026671256</v>
      </c>
      <c r="AR20" s="100">
        <v>2.7253949220382792</v>
      </c>
      <c r="AS20" s="100">
        <v>781.64326364057854</v>
      </c>
      <c r="AT20" s="100">
        <v>9.4894870109496772</v>
      </c>
      <c r="AU20" s="100">
        <v>2721.5848747403675</v>
      </c>
      <c r="AV20" s="100">
        <v>10</v>
      </c>
      <c r="AW20" s="100">
        <v>2868</v>
      </c>
      <c r="AX20" s="100">
        <v>15.593601740622928</v>
      </c>
      <c r="AY20" s="100">
        <v>4472.2449792106563</v>
      </c>
      <c r="AZ20" s="100">
        <v>1.6724554342047762</v>
      </c>
      <c r="BA20" s="100">
        <v>479.66021852992981</v>
      </c>
      <c r="BB20" s="100">
        <v>8.6842757689126611</v>
      </c>
      <c r="BC20" s="100">
        <v>2490.6502905241514</v>
      </c>
      <c r="BD20" s="100">
        <v>4.4741245093268311</v>
      </c>
      <c r="BE20" s="100">
        <v>1283.1789092749352</v>
      </c>
      <c r="BF20" s="100">
        <v>9.98638382592714</v>
      </c>
      <c r="BG20" s="100">
        <v>2864.0948812759038</v>
      </c>
      <c r="BH20" s="100">
        <v>9.2048887045406538</v>
      </c>
      <c r="BI20" s="100">
        <v>2639.9620804622596</v>
      </c>
      <c r="BJ20" s="100">
        <v>11.241709353900802</v>
      </c>
      <c r="BK20" s="100">
        <v>3224.1222426987501</v>
      </c>
      <c r="BL20" s="100">
        <v>16</v>
      </c>
      <c r="BM20" s="100">
        <v>4588.8</v>
      </c>
      <c r="BN20" s="100">
        <v>14</v>
      </c>
      <c r="BO20" s="100">
        <v>4015.2000000000003</v>
      </c>
      <c r="BP20" s="100">
        <v>10</v>
      </c>
      <c r="BQ20" s="100">
        <v>2868</v>
      </c>
      <c r="BR20" s="100">
        <v>12.463826464647996</v>
      </c>
      <c r="BS20" s="100">
        <v>3574.6254300610453</v>
      </c>
      <c r="BT20" s="100">
        <v>8.3968293475710713E-4</v>
      </c>
      <c r="BU20" s="100">
        <v>0.24082106568833833</v>
      </c>
      <c r="BV20" s="100">
        <v>14</v>
      </c>
      <c r="BW20" s="100">
        <v>4015.2000000000003</v>
      </c>
      <c r="BX20" s="100">
        <v>11</v>
      </c>
      <c r="BY20" s="100">
        <v>3154.8</v>
      </c>
      <c r="BZ20" s="100">
        <v>9</v>
      </c>
      <c r="CA20" s="100">
        <v>2581.2000000000003</v>
      </c>
      <c r="CB20" s="100">
        <v>14</v>
      </c>
      <c r="CC20" s="100">
        <v>4015.2000000000003</v>
      </c>
      <c r="CD20" s="100">
        <v>8.2498280582479016</v>
      </c>
      <c r="CE20" s="100">
        <v>2366.0506871054981</v>
      </c>
      <c r="CF20" s="100">
        <v>0.47125933897522637</v>
      </c>
      <c r="CG20" s="100">
        <v>135.15717841809493</v>
      </c>
      <c r="CH20" s="100">
        <v>8</v>
      </c>
      <c r="CI20" s="100">
        <v>2294.4</v>
      </c>
      <c r="CJ20" s="100">
        <v>10</v>
      </c>
      <c r="CK20" s="100">
        <v>2868</v>
      </c>
      <c r="CL20" s="100">
        <v>16.639081415208892</v>
      </c>
      <c r="CM20" s="100">
        <v>4772.0885498819107</v>
      </c>
      <c r="CN20" s="100">
        <v>11.599639434164123</v>
      </c>
      <c r="CO20" s="100">
        <v>3326.7765897182708</v>
      </c>
      <c r="CP20" s="100">
        <v>14</v>
      </c>
      <c r="CQ20" s="100">
        <v>4015.2000000000003</v>
      </c>
      <c r="CR20" s="100">
        <v>9</v>
      </c>
      <c r="CS20" s="100">
        <v>2581.2000000000003</v>
      </c>
      <c r="CT20" s="100">
        <v>10.464382408188362</v>
      </c>
      <c r="CU20" s="100">
        <v>3001.1848746684223</v>
      </c>
    </row>
    <row r="21" spans="2:99">
      <c r="C21" s="99" t="s">
        <v>187</v>
      </c>
      <c r="D21" s="100">
        <v>10</v>
      </c>
      <c r="E21" s="100">
        <v>624</v>
      </c>
      <c r="F21" s="100">
        <v>10</v>
      </c>
      <c r="G21" s="100">
        <v>624</v>
      </c>
      <c r="H21" s="100">
        <v>9</v>
      </c>
      <c r="I21" s="100">
        <v>561.6</v>
      </c>
      <c r="J21" s="100">
        <v>11.840640868236969</v>
      </c>
      <c r="K21" s="100">
        <v>738.85599017798688</v>
      </c>
      <c r="L21" s="100">
        <v>4.7954136440259507</v>
      </c>
      <c r="M21" s="100">
        <v>299.2338113872193</v>
      </c>
      <c r="N21" s="100">
        <v>8</v>
      </c>
      <c r="O21" s="100">
        <v>499.2</v>
      </c>
      <c r="P21" s="100">
        <v>8</v>
      </c>
      <c r="Q21" s="100">
        <v>499.2</v>
      </c>
      <c r="R21" s="100">
        <v>11</v>
      </c>
      <c r="S21" s="100">
        <v>686.4</v>
      </c>
      <c r="T21" s="100">
        <v>16</v>
      </c>
      <c r="U21" s="100">
        <v>998.4</v>
      </c>
      <c r="V21" s="100">
        <v>13.103158581660837</v>
      </c>
      <c r="W21" s="100">
        <v>817.63709549563623</v>
      </c>
      <c r="X21" s="100">
        <v>6.3908922250055786</v>
      </c>
      <c r="Y21" s="100">
        <v>398.79167484034809</v>
      </c>
      <c r="Z21" s="100">
        <v>12.234550642389545</v>
      </c>
      <c r="AA21" s="100">
        <v>763.43596008510758</v>
      </c>
      <c r="AB21" s="100">
        <v>8.8418311638411424</v>
      </c>
      <c r="AC21" s="100">
        <v>551.73026462368728</v>
      </c>
      <c r="AD21" s="100">
        <v>13</v>
      </c>
      <c r="AE21" s="100">
        <v>811.19999999999993</v>
      </c>
      <c r="AF21" s="100">
        <v>11.269438377053765</v>
      </c>
      <c r="AG21" s="100">
        <v>703.21295472815495</v>
      </c>
      <c r="AH21" s="100">
        <v>9</v>
      </c>
      <c r="AI21" s="100">
        <v>561.6</v>
      </c>
      <c r="AJ21" s="100">
        <v>15.635064206236677</v>
      </c>
      <c r="AK21" s="100">
        <v>975.62800646916867</v>
      </c>
      <c r="AL21" s="100">
        <v>9.2117412443436884</v>
      </c>
      <c r="AM21" s="100">
        <v>574.81265364704609</v>
      </c>
      <c r="AN21" s="100">
        <v>14</v>
      </c>
      <c r="AO21" s="100">
        <v>873.6</v>
      </c>
      <c r="AP21" s="100">
        <v>9.8729230746181358</v>
      </c>
      <c r="AQ21" s="100">
        <v>616.07039985617166</v>
      </c>
      <c r="AR21" s="100">
        <v>2.9979344142421067</v>
      </c>
      <c r="AS21" s="100">
        <v>187.07110744870747</v>
      </c>
      <c r="AT21" s="100">
        <v>9.4894870109496772</v>
      </c>
      <c r="AU21" s="100">
        <v>592.14398948325982</v>
      </c>
      <c r="AV21" s="100">
        <v>10</v>
      </c>
      <c r="AW21" s="100">
        <v>624</v>
      </c>
      <c r="AX21" s="100">
        <v>14.643068552341505</v>
      </c>
      <c r="AY21" s="100">
        <v>913.72747766610996</v>
      </c>
      <c r="AZ21" s="100">
        <v>1.6724554342047762</v>
      </c>
      <c r="BA21" s="100">
        <v>104.36121909437803</v>
      </c>
      <c r="BB21" s="100">
        <v>8.6055877681912261</v>
      </c>
      <c r="BC21" s="100">
        <v>536.98867673513246</v>
      </c>
      <c r="BD21" s="100">
        <v>4.4622173657945226</v>
      </c>
      <c r="BE21" s="100">
        <v>278.4423636255782</v>
      </c>
      <c r="BF21" s="100">
        <v>9.9528598830268855</v>
      </c>
      <c r="BG21" s="100">
        <v>621.05845670087763</v>
      </c>
      <c r="BH21" s="100">
        <v>9.8185479515100305</v>
      </c>
      <c r="BI21" s="100">
        <v>612.67739217422593</v>
      </c>
      <c r="BJ21" s="100">
        <v>12.847667833029488</v>
      </c>
      <c r="BK21" s="100">
        <v>801.69447278104008</v>
      </c>
      <c r="BL21" s="100">
        <v>16</v>
      </c>
      <c r="BM21" s="100">
        <v>998.4</v>
      </c>
      <c r="BN21" s="100">
        <v>16</v>
      </c>
      <c r="BO21" s="100">
        <v>998.4</v>
      </c>
      <c r="BP21" s="100">
        <v>11</v>
      </c>
      <c r="BQ21" s="100">
        <v>686.4</v>
      </c>
      <c r="BR21" s="100">
        <v>13.481148561411864</v>
      </c>
      <c r="BS21" s="100">
        <v>841.22367023210029</v>
      </c>
      <c r="BT21" s="100">
        <v>7.6970935686068156E-4</v>
      </c>
      <c r="BU21" s="100">
        <v>4.802986386810653E-2</v>
      </c>
      <c r="BV21" s="100">
        <v>16</v>
      </c>
      <c r="BW21" s="100">
        <v>998.4</v>
      </c>
      <c r="BX21" s="100">
        <v>13</v>
      </c>
      <c r="BY21" s="100">
        <v>811.19999999999993</v>
      </c>
      <c r="BZ21" s="100">
        <v>11</v>
      </c>
      <c r="CA21" s="100">
        <v>686.4</v>
      </c>
      <c r="CB21" s="100">
        <v>14</v>
      </c>
      <c r="CC21" s="100">
        <v>873.6</v>
      </c>
      <c r="CD21" s="100">
        <v>9.2389659687588619</v>
      </c>
      <c r="CE21" s="100">
        <v>576.511476450553</v>
      </c>
      <c r="CF21" s="100">
        <v>0.51053095055649522</v>
      </c>
      <c r="CG21" s="100">
        <v>31.857131314725301</v>
      </c>
      <c r="CH21" s="100">
        <v>8</v>
      </c>
      <c r="CI21" s="100">
        <v>499.2</v>
      </c>
      <c r="CJ21" s="100">
        <v>10</v>
      </c>
      <c r="CK21" s="100">
        <v>624</v>
      </c>
      <c r="CL21" s="100">
        <v>17.639081415208892</v>
      </c>
      <c r="CM21" s="100">
        <v>1100.6786803090349</v>
      </c>
      <c r="CN21" s="100">
        <v>10.826330138553182</v>
      </c>
      <c r="CO21" s="100">
        <v>675.56300064571849</v>
      </c>
      <c r="CP21" s="100">
        <v>14</v>
      </c>
      <c r="CQ21" s="100">
        <v>873.6</v>
      </c>
      <c r="CR21" s="100">
        <v>9</v>
      </c>
      <c r="CS21" s="100">
        <v>561.6</v>
      </c>
      <c r="CT21" s="100">
        <v>10.510820649007197</v>
      </c>
      <c r="CU21" s="100">
        <v>655.87520849804912</v>
      </c>
    </row>
    <row r="22" spans="2:99">
      <c r="C22" s="99" t="s">
        <v>188</v>
      </c>
      <c r="D22" s="100">
        <v>10</v>
      </c>
      <c r="E22" s="100">
        <v>1872</v>
      </c>
      <c r="F22" s="100">
        <v>11</v>
      </c>
      <c r="G22" s="100">
        <v>2059.1999999999998</v>
      </c>
      <c r="H22" s="100">
        <v>8</v>
      </c>
      <c r="I22" s="100">
        <v>1497.6</v>
      </c>
      <c r="J22" s="100">
        <v>11.840640868236969</v>
      </c>
      <c r="K22" s="100">
        <v>2216.5679705339603</v>
      </c>
      <c r="L22" s="100">
        <v>4.7954136440259507</v>
      </c>
      <c r="M22" s="100">
        <v>897.70143416165797</v>
      </c>
      <c r="N22" s="100">
        <v>9</v>
      </c>
      <c r="O22" s="100">
        <v>1684.8</v>
      </c>
      <c r="P22" s="100">
        <v>7</v>
      </c>
      <c r="Q22" s="100">
        <v>1310.3999999999999</v>
      </c>
      <c r="R22" s="100">
        <v>13</v>
      </c>
      <c r="S22" s="100">
        <v>2433.6</v>
      </c>
      <c r="T22" s="100">
        <v>14</v>
      </c>
      <c r="U22" s="100">
        <v>2620.7999999999997</v>
      </c>
      <c r="V22" s="100">
        <v>12.238956331458013</v>
      </c>
      <c r="W22" s="100">
        <v>2291.1326252489398</v>
      </c>
      <c r="X22" s="100">
        <v>6.3908922250055786</v>
      </c>
      <c r="Y22" s="100">
        <v>1196.3750245210442</v>
      </c>
      <c r="Z22" s="100">
        <v>13.217797025076006</v>
      </c>
      <c r="AA22" s="100">
        <v>2474.3716030942282</v>
      </c>
      <c r="AB22" s="100">
        <v>8.8418311638411424</v>
      </c>
      <c r="AC22" s="100">
        <v>1655.1907938710617</v>
      </c>
      <c r="AD22" s="100">
        <v>13</v>
      </c>
      <c r="AE22" s="100">
        <v>2433.6</v>
      </c>
      <c r="AF22" s="100">
        <v>11.269438377053765</v>
      </c>
      <c r="AG22" s="100">
        <v>2109.6388641844646</v>
      </c>
      <c r="AH22" s="100">
        <v>9</v>
      </c>
      <c r="AI22" s="100">
        <v>1684.8</v>
      </c>
      <c r="AJ22" s="100">
        <v>13.599782861445751</v>
      </c>
      <c r="AK22" s="100">
        <v>2545.8793516626447</v>
      </c>
      <c r="AL22" s="100">
        <v>9.86972276179681</v>
      </c>
      <c r="AM22" s="100">
        <v>1847.6121010083627</v>
      </c>
      <c r="AN22" s="100">
        <v>12</v>
      </c>
      <c r="AO22" s="100">
        <v>2246.3999999999996</v>
      </c>
      <c r="AP22" s="100">
        <v>9.8729230746181358</v>
      </c>
      <c r="AQ22" s="100">
        <v>1848.211199568515</v>
      </c>
      <c r="AR22" s="100">
        <v>2.7253949220382792</v>
      </c>
      <c r="AS22" s="100">
        <v>510.19392940556583</v>
      </c>
      <c r="AT22" s="100">
        <v>8.8116665101675569</v>
      </c>
      <c r="AU22" s="100">
        <v>1649.5439707033665</v>
      </c>
      <c r="AV22" s="100">
        <v>12</v>
      </c>
      <c r="AW22" s="100">
        <v>2246.3999999999996</v>
      </c>
      <c r="AX22" s="100">
        <v>15.692535364060083</v>
      </c>
      <c r="AY22" s="100">
        <v>2937.6426201520471</v>
      </c>
      <c r="AZ22" s="100">
        <v>1.8244968373143011</v>
      </c>
      <c r="BA22" s="100">
        <v>341.54580794523713</v>
      </c>
      <c r="BB22" s="100">
        <v>8.6055877681912261</v>
      </c>
      <c r="BC22" s="100">
        <v>1610.9660302053974</v>
      </c>
      <c r="BD22" s="100">
        <v>4.803632987235285</v>
      </c>
      <c r="BE22" s="100">
        <v>899.24009521044525</v>
      </c>
      <c r="BF22" s="100">
        <v>10.718464489413568</v>
      </c>
      <c r="BG22" s="100">
        <v>2006.4965524182198</v>
      </c>
      <c r="BH22" s="100">
        <v>8.5912294575712771</v>
      </c>
      <c r="BI22" s="100">
        <v>1608.2781544573429</v>
      </c>
      <c r="BJ22" s="100">
        <v>12.847667833029488</v>
      </c>
      <c r="BK22" s="100">
        <v>2405.0834183431202</v>
      </c>
      <c r="BL22" s="100">
        <v>14</v>
      </c>
      <c r="BM22" s="100">
        <v>2620.7999999999997</v>
      </c>
      <c r="BN22" s="100">
        <v>14</v>
      </c>
      <c r="BO22" s="100">
        <v>2620.7999999999997</v>
      </c>
      <c r="BP22" s="100">
        <v>11</v>
      </c>
      <c r="BQ22" s="100">
        <v>2059.1999999999998</v>
      </c>
      <c r="BR22" s="100">
        <v>11.556202069376242</v>
      </c>
      <c r="BS22" s="100">
        <v>2163.3210273872323</v>
      </c>
      <c r="BT22" s="100">
        <v>7.6970935686068156E-4</v>
      </c>
      <c r="BU22" s="100">
        <v>0.14408959160431958</v>
      </c>
      <c r="BV22" s="100">
        <v>15</v>
      </c>
      <c r="BW22" s="100">
        <v>2808</v>
      </c>
      <c r="BX22" s="100">
        <v>11</v>
      </c>
      <c r="BY22" s="100">
        <v>2059.1999999999998</v>
      </c>
      <c r="BZ22" s="100">
        <v>11</v>
      </c>
      <c r="CA22" s="100">
        <v>2059.1999999999998</v>
      </c>
      <c r="CB22" s="100">
        <v>15</v>
      </c>
      <c r="CC22" s="100">
        <v>2808</v>
      </c>
      <c r="CD22" s="100">
        <v>9.2715522372259791</v>
      </c>
      <c r="CE22" s="100">
        <v>1735.6345788087033</v>
      </c>
      <c r="CF22" s="100">
        <v>0.47125933897522637</v>
      </c>
      <c r="CG22" s="100">
        <v>88.219748256162376</v>
      </c>
      <c r="CH22" s="100">
        <v>10</v>
      </c>
      <c r="CI22" s="100">
        <v>1872</v>
      </c>
      <c r="CJ22" s="100">
        <v>9</v>
      </c>
      <c r="CK22" s="100">
        <v>1684.8</v>
      </c>
      <c r="CL22" s="100">
        <v>15.665709807509263</v>
      </c>
      <c r="CM22" s="100">
        <v>2932.6208759657338</v>
      </c>
      <c r="CN22" s="100">
        <v>11.599639434164123</v>
      </c>
      <c r="CO22" s="100">
        <v>2171.4525020755236</v>
      </c>
      <c r="CP22" s="100">
        <v>16</v>
      </c>
      <c r="CQ22" s="100">
        <v>2995.2</v>
      </c>
      <c r="CR22" s="100">
        <v>10</v>
      </c>
      <c r="CS22" s="100">
        <v>1872</v>
      </c>
      <c r="CT22" s="100">
        <v>10.441163287778943</v>
      </c>
      <c r="CU22" s="100">
        <v>1954.5857674722181</v>
      </c>
    </row>
    <row r="23" spans="2:99">
      <c r="C23" s="99" t="s">
        <v>189</v>
      </c>
      <c r="D23" s="100">
        <v>9</v>
      </c>
      <c r="E23" s="100">
        <v>2646</v>
      </c>
      <c r="F23" s="100">
        <v>11</v>
      </c>
      <c r="G23" s="100">
        <v>3234</v>
      </c>
      <c r="H23" s="100">
        <v>8</v>
      </c>
      <c r="I23" s="100">
        <v>2352</v>
      </c>
      <c r="J23" s="100">
        <v>11.840640868236969</v>
      </c>
      <c r="K23" s="100">
        <v>3481.148415261669</v>
      </c>
      <c r="L23" s="100">
        <v>4.3957958403571222</v>
      </c>
      <c r="M23" s="100">
        <v>1292.3639770649938</v>
      </c>
      <c r="N23" s="100">
        <v>9</v>
      </c>
      <c r="O23" s="100">
        <v>2646</v>
      </c>
      <c r="P23" s="100">
        <v>7</v>
      </c>
      <c r="Q23" s="100">
        <v>2058</v>
      </c>
      <c r="R23" s="100">
        <v>11</v>
      </c>
      <c r="S23" s="100">
        <v>3234</v>
      </c>
      <c r="T23" s="100">
        <v>14</v>
      </c>
      <c r="U23" s="100">
        <v>4116</v>
      </c>
      <c r="V23" s="100">
        <v>12.266981297181708</v>
      </c>
      <c r="W23" s="100">
        <v>3606.4925013714223</v>
      </c>
      <c r="X23" s="100">
        <v>5.8583178729217806</v>
      </c>
      <c r="Y23" s="100">
        <v>1722.3454546390035</v>
      </c>
      <c r="Z23" s="100">
        <v>12.201043407762468</v>
      </c>
      <c r="AA23" s="100">
        <v>3587.1067618821653</v>
      </c>
      <c r="AB23" s="100">
        <v>8.8418311638411424</v>
      </c>
      <c r="AC23" s="100">
        <v>2599.4983621692959</v>
      </c>
      <c r="AD23" s="100">
        <v>13</v>
      </c>
      <c r="AE23" s="100">
        <v>3822</v>
      </c>
      <c r="AF23" s="100">
        <v>12.248712348049629</v>
      </c>
      <c r="AG23" s="100">
        <v>3601.1214303265911</v>
      </c>
      <c r="AH23" s="100">
        <v>10</v>
      </c>
      <c r="AI23" s="100">
        <v>2940</v>
      </c>
      <c r="AJ23" s="100">
        <v>14.635064206236677</v>
      </c>
      <c r="AK23" s="100">
        <v>4302.7088766335828</v>
      </c>
      <c r="AL23" s="100">
        <v>10.52770427924993</v>
      </c>
      <c r="AM23" s="100">
        <v>3095.1450580994792</v>
      </c>
      <c r="AN23" s="100">
        <v>12</v>
      </c>
      <c r="AO23" s="100">
        <v>3528</v>
      </c>
      <c r="AP23" s="100">
        <v>9.9976263709921565</v>
      </c>
      <c r="AQ23" s="100">
        <v>2939.3021530716942</v>
      </c>
      <c r="AR23" s="100">
        <v>2.7253949220382792</v>
      </c>
      <c r="AS23" s="100">
        <v>801.26610707925408</v>
      </c>
      <c r="AT23" s="100">
        <v>10.167307511731797</v>
      </c>
      <c r="AU23" s="100">
        <v>2989.1884084491485</v>
      </c>
      <c r="AV23" s="100">
        <v>11</v>
      </c>
      <c r="AW23" s="100">
        <v>3234</v>
      </c>
      <c r="AX23" s="100">
        <v>15.692535364060083</v>
      </c>
      <c r="AY23" s="100">
        <v>4613.6053970336643</v>
      </c>
      <c r="AZ23" s="100">
        <v>1.6724554342047762</v>
      </c>
      <c r="BA23" s="100">
        <v>491.70189765620421</v>
      </c>
      <c r="BB23" s="100">
        <v>9.4386057447578455</v>
      </c>
      <c r="BC23" s="100">
        <v>2774.9500889588066</v>
      </c>
      <c r="BD23" s="100">
        <v>4.8095865590014393</v>
      </c>
      <c r="BE23" s="100">
        <v>1414.0184483464232</v>
      </c>
      <c r="BF23" s="100">
        <v>9.9696218544770119</v>
      </c>
      <c r="BG23" s="100">
        <v>2931.0688252162413</v>
      </c>
      <c r="BH23" s="100">
        <v>8.5912294575712771</v>
      </c>
      <c r="BI23" s="100">
        <v>2525.8214605259554</v>
      </c>
      <c r="BJ23" s="100">
        <v>12.044688593465146</v>
      </c>
      <c r="BK23" s="100">
        <v>3541.1384464787529</v>
      </c>
      <c r="BL23" s="100">
        <v>14</v>
      </c>
      <c r="BM23" s="100">
        <v>4116</v>
      </c>
      <c r="BN23" s="100">
        <v>16</v>
      </c>
      <c r="BO23" s="100">
        <v>4704</v>
      </c>
      <c r="BP23" s="100">
        <v>10</v>
      </c>
      <c r="BQ23" s="100">
        <v>2940</v>
      </c>
      <c r="BR23" s="100">
        <v>12.536958265642737</v>
      </c>
      <c r="BS23" s="100">
        <v>3685.8657300989644</v>
      </c>
      <c r="BT23" s="100">
        <v>8.3968293475710713E-4</v>
      </c>
      <c r="BU23" s="100">
        <v>0.24686678281858951</v>
      </c>
      <c r="BV23" s="100">
        <v>15</v>
      </c>
      <c r="BW23" s="100">
        <v>4410</v>
      </c>
      <c r="BX23" s="100">
        <v>11</v>
      </c>
      <c r="BY23" s="100">
        <v>3234</v>
      </c>
      <c r="BZ23" s="100">
        <v>10</v>
      </c>
      <c r="CA23" s="100">
        <v>2940</v>
      </c>
      <c r="CB23" s="100">
        <v>15</v>
      </c>
      <c r="CC23" s="100">
        <v>4410</v>
      </c>
      <c r="CD23" s="100">
        <v>9.2172417897807843</v>
      </c>
      <c r="CE23" s="100">
        <v>2709.8690861955506</v>
      </c>
      <c r="CF23" s="100">
        <v>0.47125933897522637</v>
      </c>
      <c r="CG23" s="100">
        <v>138.55024565871656</v>
      </c>
      <c r="CH23" s="100">
        <v>9</v>
      </c>
      <c r="CI23" s="100">
        <v>2646</v>
      </c>
      <c r="CJ23" s="100">
        <v>11</v>
      </c>
      <c r="CK23" s="100">
        <v>3234</v>
      </c>
      <c r="CL23" s="100">
        <v>16.585824630608151</v>
      </c>
      <c r="CM23" s="100">
        <v>4876.2324413987963</v>
      </c>
      <c r="CN23" s="100">
        <v>11.599639434164123</v>
      </c>
      <c r="CO23" s="100">
        <v>3410.2939936442522</v>
      </c>
      <c r="CP23" s="100">
        <v>14</v>
      </c>
      <c r="CQ23" s="100">
        <v>4116</v>
      </c>
      <c r="CR23" s="100">
        <v>10</v>
      </c>
      <c r="CS23" s="100">
        <v>2940</v>
      </c>
      <c r="CT23" s="100">
        <v>9.4643824081883619</v>
      </c>
      <c r="CU23" s="100">
        <v>2782.5284280073784</v>
      </c>
    </row>
    <row r="24" spans="2:99">
      <c r="C24" s="99" t="s">
        <v>190</v>
      </c>
      <c r="D24" s="100">
        <v>10</v>
      </c>
      <c r="E24" s="100">
        <v>3672</v>
      </c>
      <c r="F24" s="100">
        <v>11</v>
      </c>
      <c r="G24" s="100">
        <v>4039.2</v>
      </c>
      <c r="H24" s="100">
        <v>8</v>
      </c>
      <c r="I24" s="100">
        <v>2937.6</v>
      </c>
      <c r="J24" s="100">
        <v>12.840640868236969</v>
      </c>
      <c r="K24" s="100">
        <v>4715.0833268166152</v>
      </c>
      <c r="L24" s="100">
        <v>4.7954136440259507</v>
      </c>
      <c r="M24" s="100">
        <v>1760.875890086329</v>
      </c>
      <c r="N24" s="100">
        <v>8</v>
      </c>
      <c r="O24" s="100">
        <v>2937.6</v>
      </c>
      <c r="P24" s="100">
        <v>8</v>
      </c>
      <c r="Q24" s="100">
        <v>2937.6</v>
      </c>
      <c r="R24" s="100">
        <v>11</v>
      </c>
      <c r="S24" s="100">
        <v>4039.2</v>
      </c>
      <c r="T24" s="100">
        <v>16</v>
      </c>
      <c r="U24" s="100">
        <v>5875.2</v>
      </c>
      <c r="V24" s="100">
        <v>13.103158581660837</v>
      </c>
      <c r="W24" s="100">
        <v>4811.4798311858594</v>
      </c>
      <c r="X24" s="100">
        <v>6.3908922250055786</v>
      </c>
      <c r="Y24" s="100">
        <v>2346.7356250220482</v>
      </c>
      <c r="Z24" s="100">
        <v>13.217797025076006</v>
      </c>
      <c r="AA24" s="100">
        <v>4853.5750676079097</v>
      </c>
      <c r="AB24" s="100">
        <v>8.8418311638411424</v>
      </c>
      <c r="AC24" s="100">
        <v>3246.7204033624676</v>
      </c>
      <c r="AD24" s="100">
        <v>13</v>
      </c>
      <c r="AE24" s="100">
        <v>4773.5999999999995</v>
      </c>
      <c r="AF24" s="100">
        <v>12.248712348049629</v>
      </c>
      <c r="AG24" s="100">
        <v>4497.7271742038238</v>
      </c>
      <c r="AH24" s="100">
        <v>9</v>
      </c>
      <c r="AI24" s="100">
        <v>3304.7999999999997</v>
      </c>
      <c r="AJ24" s="100">
        <v>15.564501516654826</v>
      </c>
      <c r="AK24" s="100">
        <v>5715.2849569156515</v>
      </c>
      <c r="AL24" s="100">
        <v>9.86972276179681</v>
      </c>
      <c r="AM24" s="100">
        <v>3624.1621981317885</v>
      </c>
      <c r="AN24" s="100">
        <v>14</v>
      </c>
      <c r="AO24" s="100">
        <v>5140.8</v>
      </c>
      <c r="AP24" s="100">
        <v>8.9976263709921565</v>
      </c>
      <c r="AQ24" s="100">
        <v>3303.9284034283196</v>
      </c>
      <c r="AR24" s="100">
        <v>2.9979344142421067</v>
      </c>
      <c r="AS24" s="100">
        <v>1100.8415169097016</v>
      </c>
      <c r="AT24" s="100">
        <v>10.167307511731797</v>
      </c>
      <c r="AU24" s="100">
        <v>3733.4353183079161</v>
      </c>
      <c r="AV24" s="100">
        <v>10</v>
      </c>
      <c r="AW24" s="100">
        <v>3672</v>
      </c>
      <c r="AX24" s="100">
        <v>13.643068552341505</v>
      </c>
      <c r="AY24" s="100">
        <v>5009.7347724198007</v>
      </c>
      <c r="AZ24" s="100">
        <v>1.520414031095251</v>
      </c>
      <c r="BA24" s="100">
        <v>558.29603221817615</v>
      </c>
      <c r="BB24" s="100">
        <v>8.6842757689126611</v>
      </c>
      <c r="BC24" s="100">
        <v>3188.866062344729</v>
      </c>
      <c r="BD24" s="100">
        <v>4.4741245093268311</v>
      </c>
      <c r="BE24" s="100">
        <v>1642.8985198248124</v>
      </c>
      <c r="BF24" s="100">
        <v>9.98638382592714</v>
      </c>
      <c r="BG24" s="100">
        <v>3667.0001408804455</v>
      </c>
      <c r="BH24" s="100">
        <v>9.2048887045406538</v>
      </c>
      <c r="BI24" s="100">
        <v>3380.0351323073278</v>
      </c>
      <c r="BJ24" s="100">
        <v>11.241709353900802</v>
      </c>
      <c r="BK24" s="100">
        <v>4127.9556747523748</v>
      </c>
      <c r="BL24" s="100">
        <v>14</v>
      </c>
      <c r="BM24" s="100">
        <v>5140.8</v>
      </c>
      <c r="BN24" s="100">
        <v>15</v>
      </c>
      <c r="BO24" s="100">
        <v>5508</v>
      </c>
      <c r="BP24" s="100">
        <v>11</v>
      </c>
      <c r="BQ24" s="100">
        <v>4039.2</v>
      </c>
      <c r="BR24" s="100">
        <v>11.446504367884131</v>
      </c>
      <c r="BS24" s="100">
        <v>4203.1564038870529</v>
      </c>
      <c r="BT24" s="100">
        <v>8.3968293475710713E-4</v>
      </c>
      <c r="BU24" s="100">
        <v>0.30833157364280972</v>
      </c>
      <c r="BV24" s="100">
        <v>14</v>
      </c>
      <c r="BW24" s="100">
        <v>5140.8</v>
      </c>
      <c r="BX24" s="100">
        <v>12</v>
      </c>
      <c r="BY24" s="100">
        <v>4406.3999999999996</v>
      </c>
      <c r="BZ24" s="100">
        <v>11</v>
      </c>
      <c r="CA24" s="100">
        <v>4039.2</v>
      </c>
      <c r="CB24" s="100">
        <v>14</v>
      </c>
      <c r="CC24" s="100">
        <v>5140.8</v>
      </c>
      <c r="CD24" s="100">
        <v>9.2606901477369394</v>
      </c>
      <c r="CE24" s="100">
        <v>3400.5254222490039</v>
      </c>
      <c r="CF24" s="100">
        <v>0.43198772739395752</v>
      </c>
      <c r="CG24" s="100">
        <v>158.62589349906119</v>
      </c>
      <c r="CH24" s="100">
        <v>10</v>
      </c>
      <c r="CI24" s="100">
        <v>3672</v>
      </c>
      <c r="CJ24" s="100">
        <v>10</v>
      </c>
      <c r="CK24" s="100">
        <v>3672</v>
      </c>
      <c r="CL24" s="100">
        <v>16.612453022908522</v>
      </c>
      <c r="CM24" s="100">
        <v>6100.0927500120088</v>
      </c>
      <c r="CN24" s="100">
        <v>12.372948729775064</v>
      </c>
      <c r="CO24" s="100">
        <v>4543.3467735734039</v>
      </c>
      <c r="CP24" s="100">
        <v>16</v>
      </c>
      <c r="CQ24" s="100">
        <v>5875.2</v>
      </c>
      <c r="CR24" s="100">
        <v>10</v>
      </c>
      <c r="CS24" s="100">
        <v>3672</v>
      </c>
      <c r="CT24" s="100">
        <v>11.464382408188362</v>
      </c>
      <c r="CU24" s="100">
        <v>4209.7212202867668</v>
      </c>
    </row>
    <row r="25" spans="2:99">
      <c r="C25" s="99" t="s">
        <v>191</v>
      </c>
      <c r="D25" s="100">
        <v>9</v>
      </c>
      <c r="E25" s="100">
        <v>4773.5999999999995</v>
      </c>
      <c r="F25" s="100">
        <v>9</v>
      </c>
      <c r="G25" s="100">
        <v>4773.5999999999995</v>
      </c>
      <c r="H25" s="100">
        <v>9</v>
      </c>
      <c r="I25" s="100">
        <v>4773.5999999999995</v>
      </c>
      <c r="J25" s="100">
        <v>12.747236327321751</v>
      </c>
      <c r="K25" s="100">
        <v>6761.1341480114561</v>
      </c>
      <c r="L25" s="100">
        <v>4.7954136440259507</v>
      </c>
      <c r="M25" s="100">
        <v>2543.4873967913641</v>
      </c>
      <c r="N25" s="100">
        <v>8</v>
      </c>
      <c r="O25" s="100">
        <v>4243.2</v>
      </c>
      <c r="P25" s="100">
        <v>8</v>
      </c>
      <c r="Q25" s="100">
        <v>4243.2</v>
      </c>
      <c r="R25" s="100">
        <v>12</v>
      </c>
      <c r="S25" s="100">
        <v>6364.7999999999993</v>
      </c>
      <c r="T25" s="100">
        <v>16</v>
      </c>
      <c r="U25" s="100">
        <v>8486.4</v>
      </c>
      <c r="V25" s="100">
        <v>12.210931365734316</v>
      </c>
      <c r="W25" s="100">
        <v>6476.6779963854806</v>
      </c>
      <c r="X25" s="100">
        <v>5.8583178729217806</v>
      </c>
      <c r="Y25" s="100">
        <v>3107.2517997977125</v>
      </c>
      <c r="Z25" s="100">
        <v>11.217797025076006</v>
      </c>
      <c r="AA25" s="100">
        <v>5949.9195421003133</v>
      </c>
      <c r="AB25" s="100">
        <v>8.8418311638411424</v>
      </c>
      <c r="AC25" s="100">
        <v>4689.707249301342</v>
      </c>
      <c r="AD25" s="100">
        <v>13</v>
      </c>
      <c r="AE25" s="100">
        <v>6895.2</v>
      </c>
      <c r="AF25" s="100">
        <v>11.310890435062037</v>
      </c>
      <c r="AG25" s="100">
        <v>5999.296286756904</v>
      </c>
      <c r="AH25" s="100">
        <v>9</v>
      </c>
      <c r="AI25" s="100">
        <v>4773.5999999999995</v>
      </c>
      <c r="AJ25" s="100">
        <v>13.599782861445751</v>
      </c>
      <c r="AK25" s="100">
        <v>7213.3248297108266</v>
      </c>
      <c r="AL25" s="100">
        <v>9.86972276179681</v>
      </c>
      <c r="AM25" s="100">
        <v>5234.9009528570277</v>
      </c>
      <c r="AN25" s="100">
        <v>12</v>
      </c>
      <c r="AO25" s="100">
        <v>6364.7999999999993</v>
      </c>
      <c r="AP25" s="100">
        <v>9.8729230746181358</v>
      </c>
      <c r="AQ25" s="100">
        <v>5236.5983987774589</v>
      </c>
      <c r="AR25" s="100">
        <v>2.4528554298344512</v>
      </c>
      <c r="AS25" s="100">
        <v>1300.9945199841929</v>
      </c>
      <c r="AT25" s="100">
        <v>10.167307511731797</v>
      </c>
      <c r="AU25" s="100">
        <v>5392.7399042225452</v>
      </c>
      <c r="AV25" s="100">
        <v>10</v>
      </c>
      <c r="AW25" s="100">
        <v>5304</v>
      </c>
      <c r="AX25" s="100">
        <v>14.643068552341505</v>
      </c>
      <c r="AY25" s="100">
        <v>7766.6835601619341</v>
      </c>
      <c r="AZ25" s="100">
        <v>1.6724554342047762</v>
      </c>
      <c r="BA25" s="100">
        <v>887.0703623022132</v>
      </c>
      <c r="BB25" s="100">
        <v>8.6055877681912261</v>
      </c>
      <c r="BC25" s="100">
        <v>4564.403752248626</v>
      </c>
      <c r="BD25" s="100">
        <v>4.4681709375606777</v>
      </c>
      <c r="BE25" s="100">
        <v>2369.9178652821834</v>
      </c>
      <c r="BF25" s="100">
        <v>10.70170251796344</v>
      </c>
      <c r="BG25" s="100">
        <v>5676.1830155278085</v>
      </c>
      <c r="BH25" s="100">
        <v>8.5912294575712771</v>
      </c>
      <c r="BI25" s="100">
        <v>4556.7881042958052</v>
      </c>
      <c r="BJ25" s="100">
        <v>10.438730114336458</v>
      </c>
      <c r="BK25" s="100">
        <v>5536.7024526440573</v>
      </c>
      <c r="BL25" s="100">
        <v>16</v>
      </c>
      <c r="BM25" s="100">
        <v>8486.4</v>
      </c>
      <c r="BN25" s="100">
        <v>16</v>
      </c>
      <c r="BO25" s="100">
        <v>8486.4</v>
      </c>
      <c r="BP25" s="100">
        <v>10</v>
      </c>
      <c r="BQ25" s="100">
        <v>5304</v>
      </c>
      <c r="BR25" s="100">
        <v>13.554280362406605</v>
      </c>
      <c r="BS25" s="100">
        <v>7189.1903042204631</v>
      </c>
      <c r="BT25" s="100">
        <v>7.6970935686068156E-4</v>
      </c>
      <c r="BU25" s="100">
        <v>0.40825384287890548</v>
      </c>
      <c r="BV25" s="100">
        <v>15</v>
      </c>
      <c r="BW25" s="100">
        <v>7956</v>
      </c>
      <c r="BX25" s="100">
        <v>11</v>
      </c>
      <c r="BY25" s="100">
        <v>5834.4</v>
      </c>
      <c r="BZ25" s="100">
        <v>11</v>
      </c>
      <c r="CA25" s="100">
        <v>5834.4</v>
      </c>
      <c r="CB25" s="100">
        <v>14</v>
      </c>
      <c r="CC25" s="100">
        <v>7425.5999999999995</v>
      </c>
      <c r="CD25" s="100">
        <v>8.2389659687588619</v>
      </c>
      <c r="CE25" s="100">
        <v>4369.9475498296997</v>
      </c>
      <c r="CF25" s="100">
        <v>0.51053095055649522</v>
      </c>
      <c r="CG25" s="100">
        <v>270.78561617516505</v>
      </c>
      <c r="CH25" s="100">
        <v>9</v>
      </c>
      <c r="CI25" s="100">
        <v>4773.5999999999995</v>
      </c>
      <c r="CJ25" s="100">
        <v>11</v>
      </c>
      <c r="CK25" s="100">
        <v>5834.4</v>
      </c>
      <c r="CL25" s="100">
        <v>16.639081415208892</v>
      </c>
      <c r="CM25" s="100">
        <v>8825.368782626796</v>
      </c>
      <c r="CN25" s="100">
        <v>11.599639434164123</v>
      </c>
      <c r="CO25" s="100">
        <v>6152.4487558806504</v>
      </c>
      <c r="CP25" s="100">
        <v>14</v>
      </c>
      <c r="CQ25" s="100">
        <v>7425.5999999999995</v>
      </c>
      <c r="CR25" s="100">
        <v>10</v>
      </c>
      <c r="CS25" s="100">
        <v>5304</v>
      </c>
      <c r="CT25" s="100">
        <v>10.417944167369525</v>
      </c>
      <c r="CU25" s="100">
        <v>5525.6775863727953</v>
      </c>
    </row>
    <row r="26" spans="2:99">
      <c r="C26" s="99" t="s">
        <v>192</v>
      </c>
      <c r="D26" s="100">
        <v>10</v>
      </c>
      <c r="E26" s="100">
        <v>4860</v>
      </c>
      <c r="F26" s="100">
        <v>10</v>
      </c>
      <c r="G26" s="100">
        <v>4860</v>
      </c>
      <c r="H26" s="100">
        <v>9</v>
      </c>
      <c r="I26" s="100">
        <v>4374</v>
      </c>
      <c r="J26" s="100">
        <v>11.747236327321751</v>
      </c>
      <c r="K26" s="100">
        <v>5709.1568550783713</v>
      </c>
      <c r="L26" s="100">
        <v>4.3957958403571222</v>
      </c>
      <c r="M26" s="100">
        <v>2136.3567784135612</v>
      </c>
      <c r="N26" s="100">
        <v>9</v>
      </c>
      <c r="O26" s="100">
        <v>4374</v>
      </c>
      <c r="P26" s="100">
        <v>8</v>
      </c>
      <c r="Q26" s="100">
        <v>3888</v>
      </c>
      <c r="R26" s="100">
        <v>11</v>
      </c>
      <c r="S26" s="100">
        <v>5346</v>
      </c>
      <c r="T26" s="100">
        <v>15</v>
      </c>
      <c r="U26" s="100">
        <v>7290</v>
      </c>
      <c r="V26" s="100">
        <v>13.103158581660837</v>
      </c>
      <c r="W26" s="100">
        <v>6368.1350706871672</v>
      </c>
      <c r="X26" s="100">
        <v>6.3908922250055786</v>
      </c>
      <c r="Y26" s="100">
        <v>3105.9736213527112</v>
      </c>
      <c r="Z26" s="100">
        <v>12.184289790448929</v>
      </c>
      <c r="AA26" s="100">
        <v>5921.5648381581796</v>
      </c>
      <c r="AB26" s="100">
        <v>8.8418311638411424</v>
      </c>
      <c r="AC26" s="100">
        <v>4297.1299456267952</v>
      </c>
      <c r="AD26" s="100">
        <v>11</v>
      </c>
      <c r="AE26" s="100">
        <v>5346</v>
      </c>
      <c r="AF26" s="100">
        <v>13.269438377053765</v>
      </c>
      <c r="AG26" s="100">
        <v>6448.9470512481303</v>
      </c>
      <c r="AH26" s="100">
        <v>9</v>
      </c>
      <c r="AI26" s="100">
        <v>4374</v>
      </c>
      <c r="AJ26" s="100">
        <v>14.564501516654826</v>
      </c>
      <c r="AK26" s="100">
        <v>7078.3477370942455</v>
      </c>
      <c r="AL26" s="100">
        <v>9.86972276179681</v>
      </c>
      <c r="AM26" s="100">
        <v>4796.6852622332499</v>
      </c>
      <c r="AN26" s="100">
        <v>13</v>
      </c>
      <c r="AO26" s="100">
        <v>6318</v>
      </c>
      <c r="AP26" s="100">
        <v>10.914490840076143</v>
      </c>
      <c r="AQ26" s="100">
        <v>5304.4425482770057</v>
      </c>
      <c r="AR26" s="100">
        <v>2.7253949220382792</v>
      </c>
      <c r="AS26" s="100">
        <v>1324.5419321106037</v>
      </c>
      <c r="AT26" s="100">
        <v>10.167307511731797</v>
      </c>
      <c r="AU26" s="100">
        <v>4941.3114507016535</v>
      </c>
      <c r="AV26" s="100">
        <v>11</v>
      </c>
      <c r="AW26" s="100">
        <v>5346</v>
      </c>
      <c r="AX26" s="100">
        <v>14.643068552341505</v>
      </c>
      <c r="AY26" s="100">
        <v>7116.5313164379713</v>
      </c>
      <c r="AZ26" s="100">
        <v>1.520414031095251</v>
      </c>
      <c r="BA26" s="100">
        <v>738.92121911229196</v>
      </c>
      <c r="BB26" s="100">
        <v>9.477949745118563</v>
      </c>
      <c r="BC26" s="100">
        <v>4606.2835761276219</v>
      </c>
      <c r="BD26" s="100">
        <v>4.7976794154691298</v>
      </c>
      <c r="BE26" s="100">
        <v>2331.6721959179972</v>
      </c>
      <c r="BF26" s="100">
        <v>10.735226460863696</v>
      </c>
      <c r="BG26" s="100">
        <v>5217.3200599797565</v>
      </c>
      <c r="BH26" s="100">
        <v>9.2048887045406538</v>
      </c>
      <c r="BI26" s="100">
        <v>4473.5759104067574</v>
      </c>
      <c r="BJ26" s="100">
        <v>11.241709353900802</v>
      </c>
      <c r="BK26" s="100">
        <v>5463.4707459957899</v>
      </c>
      <c r="BL26" s="100">
        <v>15</v>
      </c>
      <c r="BM26" s="100">
        <v>7290</v>
      </c>
      <c r="BN26" s="100">
        <v>16</v>
      </c>
      <c r="BO26" s="100">
        <v>7776</v>
      </c>
      <c r="BP26" s="100">
        <v>10</v>
      </c>
      <c r="BQ26" s="100">
        <v>4860</v>
      </c>
      <c r="BR26" s="100">
        <v>12.463826464647996</v>
      </c>
      <c r="BS26" s="100">
        <v>6057.4196618189262</v>
      </c>
      <c r="BT26" s="100">
        <v>7.6970935686068156E-4</v>
      </c>
      <c r="BU26" s="100">
        <v>0.37407874743429126</v>
      </c>
      <c r="BV26" s="100">
        <v>13</v>
      </c>
      <c r="BW26" s="100">
        <v>6318</v>
      </c>
      <c r="BX26" s="100">
        <v>11</v>
      </c>
      <c r="BY26" s="100">
        <v>5346</v>
      </c>
      <c r="BZ26" s="100">
        <v>9</v>
      </c>
      <c r="CA26" s="100">
        <v>4374</v>
      </c>
      <c r="CB26" s="100">
        <v>13</v>
      </c>
      <c r="CC26" s="100">
        <v>6318</v>
      </c>
      <c r="CD26" s="100">
        <v>8.2389659687588619</v>
      </c>
      <c r="CE26" s="100">
        <v>4004.1374608168071</v>
      </c>
      <c r="CF26" s="100">
        <v>0.47125933897522637</v>
      </c>
      <c r="CG26" s="100">
        <v>229.03203874196001</v>
      </c>
      <c r="CH26" s="100">
        <v>8</v>
      </c>
      <c r="CI26" s="100">
        <v>3888</v>
      </c>
      <c r="CJ26" s="100">
        <v>11</v>
      </c>
      <c r="CK26" s="100">
        <v>5346</v>
      </c>
      <c r="CL26" s="100">
        <v>16.639081415208892</v>
      </c>
      <c r="CM26" s="100">
        <v>8086.5935677915213</v>
      </c>
      <c r="CN26" s="100">
        <v>12.372948729775064</v>
      </c>
      <c r="CO26" s="100">
        <v>6013.2530826706816</v>
      </c>
      <c r="CP26" s="100">
        <v>16</v>
      </c>
      <c r="CQ26" s="100">
        <v>7776</v>
      </c>
      <c r="CR26" s="100">
        <v>10</v>
      </c>
      <c r="CS26" s="100">
        <v>4860</v>
      </c>
      <c r="CT26" s="100">
        <v>9.4876015285977804</v>
      </c>
      <c r="CU26" s="100">
        <v>4610.9743428985212</v>
      </c>
    </row>
    <row r="27" spans="2:99">
      <c r="C27" s="99" t="s">
        <v>193</v>
      </c>
      <c r="D27" s="100">
        <v>9</v>
      </c>
      <c r="E27" s="100">
        <v>3844.7999999999997</v>
      </c>
      <c r="F27" s="100">
        <v>11</v>
      </c>
      <c r="G27" s="100">
        <v>4699.2</v>
      </c>
      <c r="H27" s="100">
        <v>8</v>
      </c>
      <c r="I27" s="100">
        <v>3417.6</v>
      </c>
      <c r="J27" s="100">
        <v>11.887343138694579</v>
      </c>
      <c r="K27" s="100">
        <v>5078.2729888503236</v>
      </c>
      <c r="L27" s="100">
        <v>4.7954136440259507</v>
      </c>
      <c r="M27" s="100">
        <v>2048.6007087278863</v>
      </c>
      <c r="N27" s="100">
        <v>8</v>
      </c>
      <c r="O27" s="100">
        <v>3417.6</v>
      </c>
      <c r="P27" s="100">
        <v>7</v>
      </c>
      <c r="Q27" s="100">
        <v>2990.4</v>
      </c>
      <c r="R27" s="100">
        <v>11</v>
      </c>
      <c r="S27" s="100">
        <v>4699.2</v>
      </c>
      <c r="T27" s="100">
        <v>14</v>
      </c>
      <c r="U27" s="100">
        <v>5980.8</v>
      </c>
      <c r="V27" s="100">
        <v>11.430804012702579</v>
      </c>
      <c r="W27" s="100">
        <v>4883.2394742265415</v>
      </c>
      <c r="X27" s="100">
        <v>5.3257435208379826</v>
      </c>
      <c r="Y27" s="100">
        <v>2275.1576321019861</v>
      </c>
      <c r="Z27" s="100">
        <v>12.217797025076006</v>
      </c>
      <c r="AA27" s="100">
        <v>5219.4428891124699</v>
      </c>
      <c r="AB27" s="100">
        <v>9.8242568487123805</v>
      </c>
      <c r="AC27" s="100">
        <v>4196.9225257699291</v>
      </c>
      <c r="AD27" s="100">
        <v>12</v>
      </c>
      <c r="AE27" s="100">
        <v>5126.3999999999996</v>
      </c>
      <c r="AF27" s="100">
        <v>11.290164406057901</v>
      </c>
      <c r="AG27" s="100">
        <v>4823.1582342679349</v>
      </c>
      <c r="AH27" s="100">
        <v>9</v>
      </c>
      <c r="AI27" s="100">
        <v>3844.7999999999997</v>
      </c>
      <c r="AJ27" s="100">
        <v>12.564501516654826</v>
      </c>
      <c r="AK27" s="100">
        <v>5367.5550479149415</v>
      </c>
      <c r="AL27" s="100">
        <v>10.52770427924993</v>
      </c>
      <c r="AM27" s="100">
        <v>4497.4352680955699</v>
      </c>
      <c r="AN27" s="100">
        <v>14</v>
      </c>
      <c r="AO27" s="100">
        <v>5980.8</v>
      </c>
      <c r="AP27" s="100">
        <v>10.914490840076143</v>
      </c>
      <c r="AQ27" s="100">
        <v>4662.6704868805282</v>
      </c>
      <c r="AR27" s="100">
        <v>2.4528554298344512</v>
      </c>
      <c r="AS27" s="100">
        <v>1047.8598396252776</v>
      </c>
      <c r="AT27" s="100">
        <v>10.167307511731797</v>
      </c>
      <c r="AU27" s="100">
        <v>4343.4737690118236</v>
      </c>
      <c r="AV27" s="100">
        <v>11</v>
      </c>
      <c r="AW27" s="100">
        <v>4699.2</v>
      </c>
      <c r="AX27" s="100">
        <v>13.692535364060083</v>
      </c>
      <c r="AY27" s="100">
        <v>5849.4511075264672</v>
      </c>
      <c r="AZ27" s="100">
        <v>1.6724554342047762</v>
      </c>
      <c r="BA27" s="100">
        <v>714.47296149228032</v>
      </c>
      <c r="BB27" s="100">
        <v>9.3599177440364123</v>
      </c>
      <c r="BC27" s="100">
        <v>3998.5568602523554</v>
      </c>
      <c r="BD27" s="100">
        <v>4.8155401307675927</v>
      </c>
      <c r="BE27" s="100">
        <v>2057.1987438639158</v>
      </c>
      <c r="BF27" s="100">
        <v>10.70170251796344</v>
      </c>
      <c r="BG27" s="100">
        <v>4571.7673156739811</v>
      </c>
      <c r="BH27" s="100">
        <v>7.9775702106019004</v>
      </c>
      <c r="BI27" s="100">
        <v>3408.0179939691316</v>
      </c>
      <c r="BJ27" s="100">
        <v>10.438730114336458</v>
      </c>
      <c r="BK27" s="100">
        <v>4459.4255048445348</v>
      </c>
      <c r="BL27" s="100">
        <v>13</v>
      </c>
      <c r="BM27" s="100">
        <v>5553.5999999999995</v>
      </c>
      <c r="BN27" s="100">
        <v>15</v>
      </c>
      <c r="BO27" s="100">
        <v>6408</v>
      </c>
      <c r="BP27" s="100">
        <v>11</v>
      </c>
      <c r="BQ27" s="100">
        <v>4699.2</v>
      </c>
      <c r="BR27" s="100">
        <v>12.573524166140109</v>
      </c>
      <c r="BS27" s="100">
        <v>5371.4095237750544</v>
      </c>
      <c r="BT27" s="100">
        <v>8.3968293475710713E-4</v>
      </c>
      <c r="BU27" s="100">
        <v>0.35871254972823613</v>
      </c>
      <c r="BV27" s="100">
        <v>14</v>
      </c>
      <c r="BW27" s="100">
        <v>5980.8</v>
      </c>
      <c r="BX27" s="100">
        <v>13</v>
      </c>
      <c r="BY27" s="100">
        <v>5553.5999999999995</v>
      </c>
      <c r="BZ27" s="100">
        <v>9</v>
      </c>
      <c r="CA27" s="100">
        <v>3844.7999999999997</v>
      </c>
      <c r="CB27" s="100">
        <v>14</v>
      </c>
      <c r="CC27" s="100">
        <v>5980.8</v>
      </c>
      <c r="CD27" s="100">
        <v>8.2389659687588619</v>
      </c>
      <c r="CE27" s="100">
        <v>3519.6862618537857</v>
      </c>
      <c r="CF27" s="100">
        <v>0.51053095055649522</v>
      </c>
      <c r="CG27" s="100">
        <v>218.09882207773475</v>
      </c>
      <c r="CH27" s="100">
        <v>9</v>
      </c>
      <c r="CI27" s="100">
        <v>3844.7999999999997</v>
      </c>
      <c r="CJ27" s="100">
        <v>10</v>
      </c>
      <c r="CK27" s="100">
        <v>4272</v>
      </c>
      <c r="CL27" s="100">
        <v>15.692338199809633</v>
      </c>
      <c r="CM27" s="100">
        <v>6703.7668789586751</v>
      </c>
      <c r="CN27" s="100">
        <v>12.372948729775064</v>
      </c>
      <c r="CO27" s="100">
        <v>5285.7236973599074</v>
      </c>
      <c r="CP27" s="100">
        <v>16</v>
      </c>
      <c r="CQ27" s="100">
        <v>6835.2</v>
      </c>
      <c r="CR27" s="100">
        <v>10</v>
      </c>
      <c r="CS27" s="100">
        <v>4272</v>
      </c>
      <c r="CT27" s="100">
        <v>10.464382408188362</v>
      </c>
      <c r="CU27" s="100">
        <v>4470.3841647780682</v>
      </c>
    </row>
    <row r="28" spans="2:99">
      <c r="C28" s="99" t="s">
        <v>194</v>
      </c>
      <c r="D28" s="100">
        <v>9</v>
      </c>
      <c r="E28" s="100">
        <v>6642</v>
      </c>
      <c r="F28" s="100">
        <v>10</v>
      </c>
      <c r="G28" s="100">
        <v>7380</v>
      </c>
      <c r="H28" s="100">
        <v>8</v>
      </c>
      <c r="I28" s="100">
        <v>5904</v>
      </c>
      <c r="J28" s="100">
        <v>11.747236327321751</v>
      </c>
      <c r="K28" s="100">
        <v>8669.4604095634531</v>
      </c>
      <c r="L28" s="100">
        <v>4.7954136440259507</v>
      </c>
      <c r="M28" s="100">
        <v>3539.0152692911515</v>
      </c>
      <c r="N28" s="100">
        <v>9</v>
      </c>
      <c r="O28" s="100">
        <v>6642</v>
      </c>
      <c r="P28" s="100">
        <v>7</v>
      </c>
      <c r="Q28" s="100">
        <v>5166</v>
      </c>
      <c r="R28" s="100">
        <v>11</v>
      </c>
      <c r="S28" s="100">
        <v>8118</v>
      </c>
      <c r="T28" s="100">
        <v>16</v>
      </c>
      <c r="U28" s="100">
        <v>11808</v>
      </c>
      <c r="V28" s="100">
        <v>13.047108650213445</v>
      </c>
      <c r="W28" s="100">
        <v>9628.7661838575223</v>
      </c>
      <c r="X28" s="100">
        <v>6.3908922250055786</v>
      </c>
      <c r="Y28" s="100">
        <v>4716.4784620541168</v>
      </c>
      <c r="Z28" s="100">
        <v>13.201043407762468</v>
      </c>
      <c r="AA28" s="100">
        <v>9742.370034928701</v>
      </c>
      <c r="AB28" s="100">
        <v>7.8594054789699044</v>
      </c>
      <c r="AC28" s="100">
        <v>5800.2412434797898</v>
      </c>
      <c r="AD28" s="100">
        <v>11</v>
      </c>
      <c r="AE28" s="100">
        <v>8118</v>
      </c>
      <c r="AF28" s="100">
        <v>12.290164406057901</v>
      </c>
      <c r="AG28" s="100">
        <v>9070.1413316707312</v>
      </c>
      <c r="AH28" s="100">
        <v>10</v>
      </c>
      <c r="AI28" s="100">
        <v>7380</v>
      </c>
      <c r="AJ28" s="100">
        <v>15.599782861445751</v>
      </c>
      <c r="AK28" s="100">
        <v>11512.639751746965</v>
      </c>
      <c r="AL28" s="100">
        <v>9.2117412443436884</v>
      </c>
      <c r="AM28" s="100">
        <v>6798.2650383256423</v>
      </c>
      <c r="AN28" s="100">
        <v>14</v>
      </c>
      <c r="AO28" s="100">
        <v>10332</v>
      </c>
      <c r="AP28" s="100">
        <v>9.9560586055341496</v>
      </c>
      <c r="AQ28" s="100">
        <v>7347.5712508842025</v>
      </c>
      <c r="AR28" s="100">
        <v>2.7253949220382792</v>
      </c>
      <c r="AS28" s="100">
        <v>2011.3414524642501</v>
      </c>
      <c r="AT28" s="100">
        <v>8.8116665101675569</v>
      </c>
      <c r="AU28" s="100">
        <v>6503.0098845036573</v>
      </c>
      <c r="AV28" s="100">
        <v>10</v>
      </c>
      <c r="AW28" s="100">
        <v>7380</v>
      </c>
      <c r="AX28" s="100">
        <v>14.643068552341505</v>
      </c>
      <c r="AY28" s="100">
        <v>10806.58459162803</v>
      </c>
      <c r="AZ28" s="100">
        <v>1.6724554342047762</v>
      </c>
      <c r="BA28" s="100">
        <v>1234.2721104431248</v>
      </c>
      <c r="BB28" s="100">
        <v>9.4386057447578455</v>
      </c>
      <c r="BC28" s="100">
        <v>6965.6910396312896</v>
      </c>
      <c r="BD28" s="100">
        <v>4.4622173657945226</v>
      </c>
      <c r="BE28" s="100">
        <v>3293.1164159563577</v>
      </c>
      <c r="BF28" s="100">
        <v>9.9528598830268855</v>
      </c>
      <c r="BG28" s="100">
        <v>7345.2105936738417</v>
      </c>
      <c r="BH28" s="100">
        <v>7.9775702106019004</v>
      </c>
      <c r="BI28" s="100">
        <v>5887.4468154242022</v>
      </c>
      <c r="BJ28" s="100">
        <v>12.044688593465146</v>
      </c>
      <c r="BK28" s="100">
        <v>8888.9801819772783</v>
      </c>
      <c r="BL28" s="100">
        <v>13</v>
      </c>
      <c r="BM28" s="100">
        <v>9594</v>
      </c>
      <c r="BN28" s="100">
        <v>14</v>
      </c>
      <c r="BO28" s="100">
        <v>10332</v>
      </c>
      <c r="BP28" s="100">
        <v>11</v>
      </c>
      <c r="BQ28" s="100">
        <v>8118</v>
      </c>
      <c r="BR28" s="100">
        <v>12.427260564150625</v>
      </c>
      <c r="BS28" s="100">
        <v>9171.3182963431609</v>
      </c>
      <c r="BT28" s="100">
        <v>7.6970935686068156E-4</v>
      </c>
      <c r="BU28" s="100">
        <v>0.56804550536318299</v>
      </c>
      <c r="BV28" s="100">
        <v>15</v>
      </c>
      <c r="BW28" s="100">
        <v>11070</v>
      </c>
      <c r="BX28" s="100">
        <v>12</v>
      </c>
      <c r="BY28" s="100">
        <v>8856</v>
      </c>
      <c r="BZ28" s="100">
        <v>10</v>
      </c>
      <c r="CA28" s="100">
        <v>7380</v>
      </c>
      <c r="CB28" s="100">
        <v>15</v>
      </c>
      <c r="CC28" s="100">
        <v>11070</v>
      </c>
      <c r="CD28" s="100">
        <v>9.2281038792698222</v>
      </c>
      <c r="CE28" s="100">
        <v>6810.3406629011288</v>
      </c>
      <c r="CF28" s="100">
        <v>0.47125933897522637</v>
      </c>
      <c r="CG28" s="100">
        <v>347.78939216371708</v>
      </c>
      <c r="CH28" s="100">
        <v>9</v>
      </c>
      <c r="CI28" s="100">
        <v>6642</v>
      </c>
      <c r="CJ28" s="100">
        <v>10</v>
      </c>
      <c r="CK28" s="100">
        <v>7380</v>
      </c>
      <c r="CL28" s="100">
        <v>14.559196238307781</v>
      </c>
      <c r="CM28" s="100">
        <v>10744.686823871141</v>
      </c>
      <c r="CN28" s="100">
        <v>11.599639434164123</v>
      </c>
      <c r="CO28" s="100">
        <v>8560.5339024131226</v>
      </c>
      <c r="CP28" s="100">
        <v>15</v>
      </c>
      <c r="CQ28" s="100">
        <v>11070</v>
      </c>
      <c r="CR28" s="100">
        <v>11</v>
      </c>
      <c r="CS28" s="100">
        <v>8118</v>
      </c>
      <c r="CT28" s="100">
        <v>9.4411632877789433</v>
      </c>
      <c r="CU28" s="100">
        <v>6967.5785063808598</v>
      </c>
    </row>
    <row r="29" spans="2:99">
      <c r="C29" s="99" t="s">
        <v>195</v>
      </c>
      <c r="D29" s="100">
        <v>9</v>
      </c>
      <c r="E29" s="100">
        <v>3045.6</v>
      </c>
      <c r="F29" s="100">
        <v>10</v>
      </c>
      <c r="G29" s="100">
        <v>3384</v>
      </c>
      <c r="H29" s="100">
        <v>8</v>
      </c>
      <c r="I29" s="100">
        <v>2707.2</v>
      </c>
      <c r="J29" s="100">
        <v>11.793938597779361</v>
      </c>
      <c r="K29" s="100">
        <v>3991.0688214885354</v>
      </c>
      <c r="L29" s="100">
        <v>5.195031447694781</v>
      </c>
      <c r="M29" s="100">
        <v>1757.9986418999138</v>
      </c>
      <c r="N29" s="100">
        <v>8</v>
      </c>
      <c r="O29" s="100">
        <v>2707.2</v>
      </c>
      <c r="P29" s="100">
        <v>8</v>
      </c>
      <c r="Q29" s="100">
        <v>2707.2</v>
      </c>
      <c r="R29" s="100">
        <v>12</v>
      </c>
      <c r="S29" s="100">
        <v>4060.7999999999997</v>
      </c>
      <c r="T29" s="100">
        <v>16</v>
      </c>
      <c r="U29" s="100">
        <v>5414.4</v>
      </c>
      <c r="V29" s="100">
        <v>12.238956331458013</v>
      </c>
      <c r="W29" s="100">
        <v>4141.6628225653913</v>
      </c>
      <c r="X29" s="100">
        <v>5.8583178729217806</v>
      </c>
      <c r="Y29" s="100">
        <v>1982.4547681967304</v>
      </c>
      <c r="Z29" s="100">
        <v>12.234550642389545</v>
      </c>
      <c r="AA29" s="100">
        <v>4140.1719373846217</v>
      </c>
      <c r="AB29" s="100">
        <v>8.8418311638411424</v>
      </c>
      <c r="AC29" s="100">
        <v>2992.0756658438422</v>
      </c>
      <c r="AD29" s="100">
        <v>13</v>
      </c>
      <c r="AE29" s="100">
        <v>4399.2</v>
      </c>
      <c r="AF29" s="100">
        <v>12.269438377053765</v>
      </c>
      <c r="AG29" s="100">
        <v>4151.9779467949938</v>
      </c>
      <c r="AH29" s="100">
        <v>9</v>
      </c>
      <c r="AI29" s="100">
        <v>3045.6</v>
      </c>
      <c r="AJ29" s="100">
        <v>15.670345551027605</v>
      </c>
      <c r="AK29" s="100">
        <v>5302.844934467741</v>
      </c>
      <c r="AL29" s="100">
        <v>11.185685796703051</v>
      </c>
      <c r="AM29" s="100">
        <v>3785.2360736043124</v>
      </c>
      <c r="AN29" s="100">
        <v>14</v>
      </c>
      <c r="AO29" s="100">
        <v>4737.5999999999995</v>
      </c>
      <c r="AP29" s="100">
        <v>8.8729230746181358</v>
      </c>
      <c r="AQ29" s="100">
        <v>3002.5971684507767</v>
      </c>
      <c r="AR29" s="100">
        <v>2.9979344142421067</v>
      </c>
      <c r="AS29" s="100">
        <v>1014.5010057795289</v>
      </c>
      <c r="AT29" s="100">
        <v>8.8116665101675569</v>
      </c>
      <c r="AU29" s="100">
        <v>2981.867947040701</v>
      </c>
      <c r="AV29" s="100">
        <v>11</v>
      </c>
      <c r="AW29" s="100">
        <v>3722.3999999999996</v>
      </c>
      <c r="AX29" s="100">
        <v>15.692535364060083</v>
      </c>
      <c r="AY29" s="100">
        <v>5310.3539671979315</v>
      </c>
      <c r="AZ29" s="100">
        <v>1.6724554342047762</v>
      </c>
      <c r="BA29" s="100">
        <v>565.95891893489625</v>
      </c>
      <c r="BB29" s="100">
        <v>8.6842757689126611</v>
      </c>
      <c r="BC29" s="100">
        <v>2938.7589202000445</v>
      </c>
      <c r="BD29" s="100">
        <v>4.1327088878860705</v>
      </c>
      <c r="BE29" s="100">
        <v>1398.5086876606463</v>
      </c>
      <c r="BF29" s="100">
        <v>10.735226460863696</v>
      </c>
      <c r="BG29" s="100">
        <v>3632.8006343562747</v>
      </c>
      <c r="BH29" s="100">
        <v>7.9775702106019004</v>
      </c>
      <c r="BI29" s="100">
        <v>2699.6097592676829</v>
      </c>
      <c r="BJ29" s="100">
        <v>10.438730114336458</v>
      </c>
      <c r="BK29" s="100">
        <v>3532.4662706914573</v>
      </c>
      <c r="BL29" s="100">
        <v>14</v>
      </c>
      <c r="BM29" s="100">
        <v>4737.5999999999995</v>
      </c>
      <c r="BN29" s="100">
        <v>15</v>
      </c>
      <c r="BO29" s="100">
        <v>5076</v>
      </c>
      <c r="BP29" s="100">
        <v>10</v>
      </c>
      <c r="BQ29" s="100">
        <v>3384</v>
      </c>
      <c r="BR29" s="100">
        <v>11.592767969873613</v>
      </c>
      <c r="BS29" s="100">
        <v>3922.9926810052302</v>
      </c>
      <c r="BT29" s="100">
        <v>9.096565126535328E-4</v>
      </c>
      <c r="BU29" s="100">
        <v>0.30782776388195549</v>
      </c>
      <c r="BV29" s="100">
        <v>15</v>
      </c>
      <c r="BW29" s="100">
        <v>5076</v>
      </c>
      <c r="BX29" s="100">
        <v>11</v>
      </c>
      <c r="BY29" s="100">
        <v>3722.3999999999996</v>
      </c>
      <c r="BZ29" s="100">
        <v>10</v>
      </c>
      <c r="CA29" s="100">
        <v>3384</v>
      </c>
      <c r="CB29" s="100">
        <v>13</v>
      </c>
      <c r="CC29" s="100">
        <v>4399.2</v>
      </c>
      <c r="CD29" s="100">
        <v>9.2389659687588619</v>
      </c>
      <c r="CE29" s="100">
        <v>3126.4660838279988</v>
      </c>
      <c r="CF29" s="100">
        <v>0.47125933897522637</v>
      </c>
      <c r="CG29" s="100">
        <v>159.47416030921659</v>
      </c>
      <c r="CH29" s="100">
        <v>9</v>
      </c>
      <c r="CI29" s="100">
        <v>3045.6</v>
      </c>
      <c r="CJ29" s="100">
        <v>10</v>
      </c>
      <c r="CK29" s="100">
        <v>3384</v>
      </c>
      <c r="CL29" s="100">
        <v>15.639081415208892</v>
      </c>
      <c r="CM29" s="100">
        <v>5292.2651509066891</v>
      </c>
      <c r="CN29" s="100">
        <v>13.146258025386008</v>
      </c>
      <c r="CO29" s="100">
        <v>4448.693715790625</v>
      </c>
      <c r="CP29" s="100">
        <v>15</v>
      </c>
      <c r="CQ29" s="100">
        <v>5076</v>
      </c>
      <c r="CR29" s="100">
        <v>11</v>
      </c>
      <c r="CS29" s="100">
        <v>3722.3999999999996</v>
      </c>
      <c r="CT29" s="100">
        <v>10.441163287778943</v>
      </c>
      <c r="CU29" s="100">
        <v>3533.2896565843944</v>
      </c>
    </row>
    <row r="30" spans="2:99">
      <c r="C30" s="99" t="s">
        <v>196</v>
      </c>
      <c r="D30" s="100">
        <v>9</v>
      </c>
      <c r="E30" s="100">
        <v>1252.8</v>
      </c>
      <c r="F30" s="100">
        <v>10</v>
      </c>
      <c r="G30" s="100">
        <v>1392</v>
      </c>
      <c r="H30" s="100">
        <v>9</v>
      </c>
      <c r="I30" s="100">
        <v>1252.8</v>
      </c>
      <c r="J30" s="100">
        <v>11.840640868236969</v>
      </c>
      <c r="K30" s="100">
        <v>1648.217208858586</v>
      </c>
      <c r="L30" s="100">
        <v>5.195031447694781</v>
      </c>
      <c r="M30" s="100">
        <v>723.14837751911341</v>
      </c>
      <c r="N30" s="100">
        <v>9</v>
      </c>
      <c r="O30" s="100">
        <v>1252.8</v>
      </c>
      <c r="P30" s="100">
        <v>8</v>
      </c>
      <c r="Q30" s="100">
        <v>1113.5999999999999</v>
      </c>
      <c r="R30" s="100">
        <v>11</v>
      </c>
      <c r="S30" s="100">
        <v>1531.1999999999998</v>
      </c>
      <c r="T30" s="100">
        <v>16</v>
      </c>
      <c r="U30" s="100">
        <v>2227.1999999999998</v>
      </c>
      <c r="V30" s="100">
        <v>12.266981297181708</v>
      </c>
      <c r="W30" s="100">
        <v>1707.5637965676935</v>
      </c>
      <c r="X30" s="100">
        <v>6.3908922250055786</v>
      </c>
      <c r="Y30" s="100">
        <v>889.61219772077652</v>
      </c>
      <c r="Z30" s="100">
        <v>12.234550642389545</v>
      </c>
      <c r="AA30" s="100">
        <v>1703.0494494206246</v>
      </c>
      <c r="AB30" s="100">
        <v>7.8594054789699044</v>
      </c>
      <c r="AC30" s="100">
        <v>1094.0292426726105</v>
      </c>
      <c r="AD30" s="100">
        <v>12</v>
      </c>
      <c r="AE30" s="100">
        <v>1670.3999999999999</v>
      </c>
      <c r="AF30" s="100">
        <v>11.269438377053765</v>
      </c>
      <c r="AG30" s="100">
        <v>1568.7058220858839</v>
      </c>
      <c r="AH30" s="100">
        <v>9</v>
      </c>
      <c r="AI30" s="100">
        <v>1252.8</v>
      </c>
      <c r="AJ30" s="100">
        <v>14.635064206236677</v>
      </c>
      <c r="AK30" s="100">
        <v>2037.2009375081452</v>
      </c>
      <c r="AL30" s="100">
        <v>9.86972276179681</v>
      </c>
      <c r="AM30" s="100">
        <v>1373.8654084421157</v>
      </c>
      <c r="AN30" s="100">
        <v>13</v>
      </c>
      <c r="AO30" s="100">
        <v>1809.6</v>
      </c>
      <c r="AP30" s="100">
        <v>9.8729230746181358</v>
      </c>
      <c r="AQ30" s="100">
        <v>1374.3108919868444</v>
      </c>
      <c r="AR30" s="100">
        <v>2.9979344142421067</v>
      </c>
      <c r="AS30" s="100">
        <v>417.31247046250121</v>
      </c>
      <c r="AT30" s="100">
        <v>9.4894870109496772</v>
      </c>
      <c r="AU30" s="100">
        <v>1320.936591924195</v>
      </c>
      <c r="AV30" s="100">
        <v>11</v>
      </c>
      <c r="AW30" s="100">
        <v>1531.1999999999998</v>
      </c>
      <c r="AX30" s="100">
        <v>15.643068552341505</v>
      </c>
      <c r="AY30" s="100">
        <v>2177.5151424859373</v>
      </c>
      <c r="AZ30" s="100">
        <v>1.8244968373143011</v>
      </c>
      <c r="BA30" s="100">
        <v>253.96995975415069</v>
      </c>
      <c r="BB30" s="100">
        <v>10.153591720242316</v>
      </c>
      <c r="BC30" s="100">
        <v>1413.3799674577303</v>
      </c>
      <c r="BD30" s="100">
        <v>4.4800780810929854</v>
      </c>
      <c r="BE30" s="100">
        <v>623.62686888814358</v>
      </c>
      <c r="BF30" s="100">
        <v>9.2207792195404572</v>
      </c>
      <c r="BG30" s="100">
        <v>1283.5324673600314</v>
      </c>
      <c r="BH30" s="100">
        <v>8.5912294575712771</v>
      </c>
      <c r="BI30" s="100">
        <v>1195.8991404939218</v>
      </c>
      <c r="BJ30" s="100">
        <v>12.044688593465146</v>
      </c>
      <c r="BK30" s="100">
        <v>1676.6206522103482</v>
      </c>
      <c r="BL30" s="100">
        <v>15</v>
      </c>
      <c r="BM30" s="100">
        <v>2088</v>
      </c>
      <c r="BN30" s="100">
        <v>15</v>
      </c>
      <c r="BO30" s="100">
        <v>2088</v>
      </c>
      <c r="BP30" s="100">
        <v>10</v>
      </c>
      <c r="BQ30" s="100">
        <v>1392</v>
      </c>
      <c r="BR30" s="100">
        <v>12.536958265642737</v>
      </c>
      <c r="BS30" s="100">
        <v>1745.1445905774688</v>
      </c>
      <c r="BT30" s="100">
        <v>7.6970935686068156E-4</v>
      </c>
      <c r="BU30" s="100">
        <v>0.10714354247500686</v>
      </c>
      <c r="BV30" s="100">
        <v>15</v>
      </c>
      <c r="BW30" s="100">
        <v>2088</v>
      </c>
      <c r="BX30" s="100">
        <v>13</v>
      </c>
      <c r="BY30" s="100">
        <v>1809.6</v>
      </c>
      <c r="BZ30" s="100">
        <v>10</v>
      </c>
      <c r="CA30" s="100">
        <v>1392</v>
      </c>
      <c r="CB30" s="100">
        <v>15</v>
      </c>
      <c r="CC30" s="100">
        <v>2088</v>
      </c>
      <c r="CD30" s="100">
        <v>8.2715522372259791</v>
      </c>
      <c r="CE30" s="100">
        <v>1151.4000714218562</v>
      </c>
      <c r="CF30" s="100">
        <v>0.47125933897522637</v>
      </c>
      <c r="CG30" s="100">
        <v>65.599299985351507</v>
      </c>
      <c r="CH30" s="100">
        <v>9</v>
      </c>
      <c r="CI30" s="100">
        <v>1252.8</v>
      </c>
      <c r="CJ30" s="100">
        <v>11</v>
      </c>
      <c r="CK30" s="100">
        <v>1531.1999999999998</v>
      </c>
      <c r="CL30" s="100">
        <v>15.585824630608151</v>
      </c>
      <c r="CM30" s="100">
        <v>2169.5467885806543</v>
      </c>
      <c r="CN30" s="100">
        <v>11.599639434164123</v>
      </c>
      <c r="CO30" s="100">
        <v>1614.6698092356457</v>
      </c>
      <c r="CP30" s="100">
        <v>16</v>
      </c>
      <c r="CQ30" s="100">
        <v>2227.1999999999998</v>
      </c>
      <c r="CR30" s="100">
        <v>10</v>
      </c>
      <c r="CS30" s="100">
        <v>1392</v>
      </c>
      <c r="CT30" s="100">
        <v>10.48760152859778</v>
      </c>
      <c r="CU30" s="100">
        <v>1459.8741327808109</v>
      </c>
    </row>
    <row r="31" spans="2:99">
      <c r="C31" s="99" t="s">
        <v>197</v>
      </c>
      <c r="D31" s="100">
        <v>9</v>
      </c>
      <c r="E31" s="100">
        <v>3067.2000000000003</v>
      </c>
      <c r="F31" s="100">
        <v>11</v>
      </c>
      <c r="G31" s="100">
        <v>3748.8</v>
      </c>
      <c r="H31" s="100">
        <v>8</v>
      </c>
      <c r="I31" s="100">
        <v>2726.4</v>
      </c>
      <c r="J31" s="100">
        <v>11.887343138694579</v>
      </c>
      <c r="K31" s="100">
        <v>4051.2065416671126</v>
      </c>
      <c r="L31" s="100">
        <v>4.7954136440259507</v>
      </c>
      <c r="M31" s="100">
        <v>1634.2769698840441</v>
      </c>
      <c r="N31" s="100">
        <v>9</v>
      </c>
      <c r="O31" s="100">
        <v>3067.2000000000003</v>
      </c>
      <c r="P31" s="100">
        <v>8</v>
      </c>
      <c r="Q31" s="100">
        <v>2726.4</v>
      </c>
      <c r="R31" s="100">
        <v>13</v>
      </c>
      <c r="S31" s="100">
        <v>4430.4000000000005</v>
      </c>
      <c r="T31" s="100">
        <v>13</v>
      </c>
      <c r="U31" s="100">
        <v>4430.4000000000005</v>
      </c>
      <c r="V31" s="100">
        <v>12.266981297181708</v>
      </c>
      <c r="W31" s="100">
        <v>4180.5872260795259</v>
      </c>
      <c r="X31" s="100">
        <v>5.8583178729217806</v>
      </c>
      <c r="Y31" s="100">
        <v>1996.514731091743</v>
      </c>
      <c r="Z31" s="100">
        <v>12.217797025076006</v>
      </c>
      <c r="AA31" s="100">
        <v>4163.8252261459029</v>
      </c>
      <c r="AB31" s="100">
        <v>9.8242568487123805</v>
      </c>
      <c r="AC31" s="100">
        <v>3348.1067340411792</v>
      </c>
      <c r="AD31" s="100">
        <v>13</v>
      </c>
      <c r="AE31" s="100">
        <v>4430.4000000000005</v>
      </c>
      <c r="AF31" s="100">
        <v>11.290164406057901</v>
      </c>
      <c r="AG31" s="100">
        <v>3847.6880295845326</v>
      </c>
      <c r="AH31" s="100">
        <v>9</v>
      </c>
      <c r="AI31" s="100">
        <v>3067.2000000000003</v>
      </c>
      <c r="AJ31" s="100">
        <v>15.599782861445751</v>
      </c>
      <c r="AK31" s="100">
        <v>5316.4059991807126</v>
      </c>
      <c r="AL31" s="100">
        <v>9.2117412443436884</v>
      </c>
      <c r="AM31" s="100">
        <v>3139.3614160723291</v>
      </c>
      <c r="AN31" s="100">
        <v>12</v>
      </c>
      <c r="AO31" s="100">
        <v>4089.6000000000004</v>
      </c>
      <c r="AP31" s="100">
        <v>8.8313553091601307</v>
      </c>
      <c r="AQ31" s="100">
        <v>3009.7258893617727</v>
      </c>
      <c r="AR31" s="100">
        <v>2.7253949220382792</v>
      </c>
      <c r="AS31" s="100">
        <v>928.81458943064558</v>
      </c>
      <c r="AT31" s="100">
        <v>9.4894870109496772</v>
      </c>
      <c r="AU31" s="100">
        <v>3234.0171733316502</v>
      </c>
      <c r="AV31" s="100">
        <v>10</v>
      </c>
      <c r="AW31" s="100">
        <v>3408</v>
      </c>
      <c r="AX31" s="100">
        <v>14.593601740622928</v>
      </c>
      <c r="AY31" s="100">
        <v>4973.4994732042942</v>
      </c>
      <c r="AZ31" s="100">
        <v>1.6724554342047762</v>
      </c>
      <c r="BA31" s="100">
        <v>569.97281197698771</v>
      </c>
      <c r="BB31" s="100">
        <v>9.4386057447578455</v>
      </c>
      <c r="BC31" s="100">
        <v>3216.6768378134739</v>
      </c>
      <c r="BD31" s="100">
        <v>4.8095865590014393</v>
      </c>
      <c r="BE31" s="100">
        <v>1639.1070993076905</v>
      </c>
      <c r="BF31" s="100">
        <v>10.718464489413568</v>
      </c>
      <c r="BG31" s="100">
        <v>3652.8526979921444</v>
      </c>
      <c r="BH31" s="100">
        <v>7.9775702106019004</v>
      </c>
      <c r="BI31" s="100">
        <v>2718.755927773128</v>
      </c>
      <c r="BJ31" s="100">
        <v>11.241709353900802</v>
      </c>
      <c r="BK31" s="100">
        <v>3831.1745478093935</v>
      </c>
      <c r="BL31" s="100">
        <v>13</v>
      </c>
      <c r="BM31" s="100">
        <v>4430.4000000000005</v>
      </c>
      <c r="BN31" s="100">
        <v>14</v>
      </c>
      <c r="BO31" s="100">
        <v>4771.2</v>
      </c>
      <c r="BP31" s="100">
        <v>9</v>
      </c>
      <c r="BQ31" s="100">
        <v>3067.2000000000003</v>
      </c>
      <c r="BR31" s="100">
        <v>13.554280362406605</v>
      </c>
      <c r="BS31" s="100">
        <v>4619.2987475081709</v>
      </c>
      <c r="BT31" s="100">
        <v>8.3968293475710713E-4</v>
      </c>
      <c r="BU31" s="100">
        <v>0.28616394416522212</v>
      </c>
      <c r="BV31" s="100">
        <v>13</v>
      </c>
      <c r="BW31" s="100">
        <v>4430.4000000000005</v>
      </c>
      <c r="BX31" s="100">
        <v>11</v>
      </c>
      <c r="BY31" s="100">
        <v>3748.8</v>
      </c>
      <c r="BZ31" s="100">
        <v>11</v>
      </c>
      <c r="CA31" s="100">
        <v>3748.8</v>
      </c>
      <c r="CB31" s="100">
        <v>14</v>
      </c>
      <c r="CC31" s="100">
        <v>4771.2</v>
      </c>
      <c r="CD31" s="100">
        <v>9.2498280582479016</v>
      </c>
      <c r="CE31" s="100">
        <v>3152.341402250885</v>
      </c>
      <c r="CF31" s="100">
        <v>0.47125933897522637</v>
      </c>
      <c r="CG31" s="100">
        <v>160.60518272275715</v>
      </c>
      <c r="CH31" s="100">
        <v>9</v>
      </c>
      <c r="CI31" s="100">
        <v>3067.2000000000003</v>
      </c>
      <c r="CJ31" s="100">
        <v>11</v>
      </c>
      <c r="CK31" s="100">
        <v>3748.8</v>
      </c>
      <c r="CL31" s="100">
        <v>14.612453022908522</v>
      </c>
      <c r="CM31" s="100">
        <v>4979.9239902072241</v>
      </c>
      <c r="CN31" s="100">
        <v>12.372948729775064</v>
      </c>
      <c r="CO31" s="100">
        <v>4216.7009271073421</v>
      </c>
      <c r="CP31" s="100">
        <v>14</v>
      </c>
      <c r="CQ31" s="100">
        <v>4771.2</v>
      </c>
      <c r="CR31" s="100">
        <v>9</v>
      </c>
      <c r="CS31" s="100">
        <v>3067.2000000000003</v>
      </c>
      <c r="CT31" s="100">
        <v>10.48760152859778</v>
      </c>
      <c r="CU31" s="100">
        <v>3574.1746009461235</v>
      </c>
    </row>
    <row r="32" spans="2:99">
      <c r="C32" s="99" t="s">
        <v>198</v>
      </c>
      <c r="D32" s="100">
        <v>9</v>
      </c>
      <c r="E32" s="100">
        <v>7560</v>
      </c>
      <c r="F32" s="100">
        <v>11</v>
      </c>
      <c r="G32" s="100">
        <v>9240</v>
      </c>
      <c r="H32" s="100">
        <v>8</v>
      </c>
      <c r="I32" s="100">
        <v>6720</v>
      </c>
      <c r="J32" s="100">
        <v>11.793938597779361</v>
      </c>
      <c r="K32" s="100">
        <v>9906.9084221346639</v>
      </c>
      <c r="L32" s="100">
        <v>4.3957958403571222</v>
      </c>
      <c r="M32" s="100">
        <v>3692.4685058999826</v>
      </c>
      <c r="N32" s="100">
        <v>9</v>
      </c>
      <c r="O32" s="100">
        <v>7560</v>
      </c>
      <c r="P32" s="100">
        <v>8</v>
      </c>
      <c r="Q32" s="100">
        <v>6720</v>
      </c>
      <c r="R32" s="100">
        <v>12</v>
      </c>
      <c r="S32" s="100">
        <v>10080</v>
      </c>
      <c r="T32" s="100">
        <v>13</v>
      </c>
      <c r="U32" s="100">
        <v>10920</v>
      </c>
      <c r="V32" s="100">
        <v>13.103158581660837</v>
      </c>
      <c r="W32" s="100">
        <v>11006.653208595104</v>
      </c>
      <c r="X32" s="100">
        <v>5.3257435208379826</v>
      </c>
      <c r="Y32" s="100">
        <v>4473.6245575039056</v>
      </c>
      <c r="Z32" s="100">
        <v>11.201043407762468</v>
      </c>
      <c r="AA32" s="100">
        <v>9408.8764625204731</v>
      </c>
      <c r="AB32" s="100">
        <v>8.8418311638411424</v>
      </c>
      <c r="AC32" s="100">
        <v>7427.1381776265598</v>
      </c>
      <c r="AD32" s="100">
        <v>13</v>
      </c>
      <c r="AE32" s="100">
        <v>10920</v>
      </c>
      <c r="AF32" s="100">
        <v>12.290164406057901</v>
      </c>
      <c r="AG32" s="100">
        <v>10323.738101088637</v>
      </c>
      <c r="AH32" s="100">
        <v>9</v>
      </c>
      <c r="AI32" s="100">
        <v>7560</v>
      </c>
      <c r="AJ32" s="100">
        <v>13.599782861445751</v>
      </c>
      <c r="AK32" s="100">
        <v>11423.81760361443</v>
      </c>
      <c r="AL32" s="100">
        <v>9.2117412443436884</v>
      </c>
      <c r="AM32" s="100">
        <v>7737.8626452486978</v>
      </c>
      <c r="AN32" s="100">
        <v>13</v>
      </c>
      <c r="AO32" s="100">
        <v>10920</v>
      </c>
      <c r="AP32" s="100">
        <v>9.8313553091601307</v>
      </c>
      <c r="AQ32" s="100">
        <v>8258.3384596945107</v>
      </c>
      <c r="AR32" s="100">
        <v>2.4528554298344512</v>
      </c>
      <c r="AS32" s="100">
        <v>2060.3985610609388</v>
      </c>
      <c r="AT32" s="100">
        <v>10.167307511731797</v>
      </c>
      <c r="AU32" s="100">
        <v>8540.53830985471</v>
      </c>
      <c r="AV32" s="100">
        <v>11</v>
      </c>
      <c r="AW32" s="100">
        <v>9240</v>
      </c>
      <c r="AX32" s="100">
        <v>13.593601740622928</v>
      </c>
      <c r="AY32" s="100">
        <v>11418.62546212326</v>
      </c>
      <c r="AZ32" s="100">
        <v>1.6724554342047762</v>
      </c>
      <c r="BA32" s="100">
        <v>1404.8625647320121</v>
      </c>
      <c r="BB32" s="100">
        <v>9.4386057447578455</v>
      </c>
      <c r="BC32" s="100">
        <v>7928.4288255965903</v>
      </c>
      <c r="BD32" s="100">
        <v>4.7917258437029755</v>
      </c>
      <c r="BE32" s="100">
        <v>4025.0497087104995</v>
      </c>
      <c r="BF32" s="100">
        <v>9.9528598830268855</v>
      </c>
      <c r="BG32" s="100">
        <v>8360.4023017425843</v>
      </c>
      <c r="BH32" s="100">
        <v>7.9775702106019004</v>
      </c>
      <c r="BI32" s="100">
        <v>6701.1589769055963</v>
      </c>
      <c r="BJ32" s="100">
        <v>10.438730114336458</v>
      </c>
      <c r="BK32" s="100">
        <v>8768.533296042624</v>
      </c>
      <c r="BL32" s="100">
        <v>14</v>
      </c>
      <c r="BM32" s="100">
        <v>11760</v>
      </c>
      <c r="BN32" s="100">
        <v>15</v>
      </c>
      <c r="BO32" s="100">
        <v>12600</v>
      </c>
      <c r="BP32" s="100">
        <v>9</v>
      </c>
      <c r="BQ32" s="100">
        <v>7560</v>
      </c>
      <c r="BR32" s="100">
        <v>11.519636168878872</v>
      </c>
      <c r="BS32" s="100">
        <v>9676.4943818582524</v>
      </c>
      <c r="BT32" s="100">
        <v>7.6970935686068156E-4</v>
      </c>
      <c r="BU32" s="100">
        <v>0.64655585976297247</v>
      </c>
      <c r="BV32" s="100">
        <v>15</v>
      </c>
      <c r="BW32" s="100">
        <v>12600</v>
      </c>
      <c r="BX32" s="100">
        <v>11</v>
      </c>
      <c r="BY32" s="100">
        <v>9240</v>
      </c>
      <c r="BZ32" s="100">
        <v>10</v>
      </c>
      <c r="CA32" s="100">
        <v>8400</v>
      </c>
      <c r="CB32" s="100">
        <v>15</v>
      </c>
      <c r="CC32" s="100">
        <v>12600</v>
      </c>
      <c r="CD32" s="100">
        <v>9.2172417897807843</v>
      </c>
      <c r="CE32" s="100">
        <v>7742.4831034158587</v>
      </c>
      <c r="CF32" s="100">
        <v>0.43198772739395752</v>
      </c>
      <c r="CG32" s="100">
        <v>362.86969101092433</v>
      </c>
      <c r="CH32" s="100">
        <v>9</v>
      </c>
      <c r="CI32" s="100">
        <v>7560</v>
      </c>
      <c r="CJ32" s="100">
        <v>9</v>
      </c>
      <c r="CK32" s="100">
        <v>7560</v>
      </c>
      <c r="CL32" s="100">
        <v>16.612453022908522</v>
      </c>
      <c r="CM32" s="100">
        <v>13954.460539243159</v>
      </c>
      <c r="CN32" s="100">
        <v>13.146258025386008</v>
      </c>
      <c r="CO32" s="100">
        <v>11042.856741324247</v>
      </c>
      <c r="CP32" s="100">
        <v>15</v>
      </c>
      <c r="CQ32" s="100">
        <v>12600</v>
      </c>
      <c r="CR32" s="100">
        <v>9</v>
      </c>
      <c r="CS32" s="100">
        <v>7560</v>
      </c>
      <c r="CT32" s="100">
        <v>10.48760152859778</v>
      </c>
      <c r="CU32" s="100">
        <v>8809.585284022136</v>
      </c>
    </row>
    <row r="33" spans="2:99">
      <c r="C33" s="99" t="s">
        <v>199</v>
      </c>
      <c r="D33" s="100">
        <v>10</v>
      </c>
      <c r="E33" s="100">
        <v>4740</v>
      </c>
      <c r="F33" s="100">
        <v>11</v>
      </c>
      <c r="G33" s="100">
        <v>5214</v>
      </c>
      <c r="H33" s="100">
        <v>8</v>
      </c>
      <c r="I33" s="100">
        <v>3792</v>
      </c>
      <c r="J33" s="100">
        <v>11.840640868236969</v>
      </c>
      <c r="K33" s="100">
        <v>5612.4637715443232</v>
      </c>
      <c r="L33" s="100">
        <v>4.7954136440259507</v>
      </c>
      <c r="M33" s="100">
        <v>2273.0260672683007</v>
      </c>
      <c r="N33" s="100">
        <v>9</v>
      </c>
      <c r="O33" s="100">
        <v>4266</v>
      </c>
      <c r="P33" s="100">
        <v>7</v>
      </c>
      <c r="Q33" s="100">
        <v>3318</v>
      </c>
      <c r="R33" s="100">
        <v>12</v>
      </c>
      <c r="S33" s="100">
        <v>5688</v>
      </c>
      <c r="T33" s="100">
        <v>16</v>
      </c>
      <c r="U33" s="100">
        <v>7584</v>
      </c>
      <c r="V33" s="100">
        <v>11.402779046978884</v>
      </c>
      <c r="W33" s="100">
        <v>5404.9172682679909</v>
      </c>
      <c r="X33" s="100">
        <v>5.8583178729217806</v>
      </c>
      <c r="Y33" s="100">
        <v>2776.842671764924</v>
      </c>
      <c r="Z33" s="100">
        <v>11.184289790448929</v>
      </c>
      <c r="AA33" s="100">
        <v>5301.3533606727924</v>
      </c>
      <c r="AB33" s="100">
        <v>9.8242568487123805</v>
      </c>
      <c r="AC33" s="100">
        <v>4656.6977462896684</v>
      </c>
      <c r="AD33" s="100">
        <v>12</v>
      </c>
      <c r="AE33" s="100">
        <v>5688</v>
      </c>
      <c r="AF33" s="100">
        <v>12.248712348049629</v>
      </c>
      <c r="AG33" s="100">
        <v>5805.8896529755248</v>
      </c>
      <c r="AH33" s="100">
        <v>10</v>
      </c>
      <c r="AI33" s="100">
        <v>4740</v>
      </c>
      <c r="AJ33" s="100">
        <v>15.670345551027605</v>
      </c>
      <c r="AK33" s="100">
        <v>7427.7437911870848</v>
      </c>
      <c r="AL33" s="100">
        <v>9.86972276179681</v>
      </c>
      <c r="AM33" s="100">
        <v>4678.2485890916878</v>
      </c>
      <c r="AN33" s="100">
        <v>12</v>
      </c>
      <c r="AO33" s="100">
        <v>5688</v>
      </c>
      <c r="AP33" s="100">
        <v>10.95605860553415</v>
      </c>
      <c r="AQ33" s="100">
        <v>5193.1717790231869</v>
      </c>
      <c r="AR33" s="100">
        <v>2.7253949220382792</v>
      </c>
      <c r="AS33" s="100">
        <v>1291.8371930461444</v>
      </c>
      <c r="AT33" s="100">
        <v>9.4894870109496772</v>
      </c>
      <c r="AU33" s="100">
        <v>4498.0168431901466</v>
      </c>
      <c r="AV33" s="100">
        <v>12</v>
      </c>
      <c r="AW33" s="100">
        <v>5688</v>
      </c>
      <c r="AX33" s="100">
        <v>13.593601740622928</v>
      </c>
      <c r="AY33" s="100">
        <v>6443.3672250552681</v>
      </c>
      <c r="AZ33" s="100">
        <v>1.6724554342047762</v>
      </c>
      <c r="BA33" s="100">
        <v>792.74387581306394</v>
      </c>
      <c r="BB33" s="100">
        <v>9.4386057447578455</v>
      </c>
      <c r="BC33" s="100">
        <v>4473.8991230152187</v>
      </c>
      <c r="BD33" s="100">
        <v>4.4681709375606777</v>
      </c>
      <c r="BE33" s="100">
        <v>2117.913024403761</v>
      </c>
      <c r="BF33" s="100">
        <v>9.2040172480903291</v>
      </c>
      <c r="BG33" s="100">
        <v>4362.7041755948158</v>
      </c>
      <c r="BH33" s="100">
        <v>9.2048887045406538</v>
      </c>
      <c r="BI33" s="100">
        <v>4363.1172459522695</v>
      </c>
      <c r="BJ33" s="100">
        <v>10.438730114336458</v>
      </c>
      <c r="BK33" s="100">
        <v>4947.9580741954815</v>
      </c>
      <c r="BL33" s="100">
        <v>13</v>
      </c>
      <c r="BM33" s="100">
        <v>6162</v>
      </c>
      <c r="BN33" s="100">
        <v>16</v>
      </c>
      <c r="BO33" s="100">
        <v>7584</v>
      </c>
      <c r="BP33" s="100">
        <v>11</v>
      </c>
      <c r="BQ33" s="100">
        <v>5214</v>
      </c>
      <c r="BR33" s="100">
        <v>13.517714461909232</v>
      </c>
      <c r="BS33" s="100">
        <v>6407.396654944976</v>
      </c>
      <c r="BT33" s="100">
        <v>8.3968293475710713E-4</v>
      </c>
      <c r="BU33" s="100">
        <v>0.39800971107486877</v>
      </c>
      <c r="BV33" s="100">
        <v>13</v>
      </c>
      <c r="BW33" s="100">
        <v>6162</v>
      </c>
      <c r="BX33" s="100">
        <v>12</v>
      </c>
      <c r="BY33" s="100">
        <v>5688</v>
      </c>
      <c r="BZ33" s="100">
        <v>11</v>
      </c>
      <c r="CA33" s="100">
        <v>5214</v>
      </c>
      <c r="CB33" s="100">
        <v>15</v>
      </c>
      <c r="CC33" s="100">
        <v>7110</v>
      </c>
      <c r="CD33" s="100">
        <v>9.2498280582479016</v>
      </c>
      <c r="CE33" s="100">
        <v>4384.4184996095055</v>
      </c>
      <c r="CF33" s="100">
        <v>0.47125933897522637</v>
      </c>
      <c r="CG33" s="100">
        <v>223.37692667425731</v>
      </c>
      <c r="CH33" s="100">
        <v>9</v>
      </c>
      <c r="CI33" s="100">
        <v>4266</v>
      </c>
      <c r="CJ33" s="100">
        <v>9</v>
      </c>
      <c r="CK33" s="100">
        <v>4266</v>
      </c>
      <c r="CL33" s="100">
        <v>16.639081415208892</v>
      </c>
      <c r="CM33" s="100">
        <v>7886.9245908090152</v>
      </c>
      <c r="CN33" s="100">
        <v>11.599639434164123</v>
      </c>
      <c r="CO33" s="100">
        <v>5498.2290917937944</v>
      </c>
      <c r="CP33" s="100">
        <v>14</v>
      </c>
      <c r="CQ33" s="100">
        <v>6636</v>
      </c>
      <c r="CR33" s="100">
        <v>11</v>
      </c>
      <c r="CS33" s="100">
        <v>5214</v>
      </c>
      <c r="CT33" s="100">
        <v>10.464382408188362</v>
      </c>
      <c r="CU33" s="100">
        <v>4960.1172614812831</v>
      </c>
    </row>
    <row r="34" spans="2:99">
      <c r="C34" s="99" t="s">
        <v>200</v>
      </c>
      <c r="D34" s="100">
        <v>8</v>
      </c>
      <c r="E34" s="100">
        <v>4387.2</v>
      </c>
      <c r="F34" s="100">
        <v>10</v>
      </c>
      <c r="G34" s="100">
        <v>5484</v>
      </c>
      <c r="H34" s="100">
        <v>8</v>
      </c>
      <c r="I34" s="100">
        <v>4387.2</v>
      </c>
      <c r="J34" s="100">
        <v>12.747236327321751</v>
      </c>
      <c r="K34" s="100">
        <v>6990.5844019032484</v>
      </c>
      <c r="L34" s="100">
        <v>4.7954136440259507</v>
      </c>
      <c r="M34" s="100">
        <v>2629.8048423838313</v>
      </c>
      <c r="N34" s="100">
        <v>9</v>
      </c>
      <c r="O34" s="100">
        <v>4935.5999999999995</v>
      </c>
      <c r="P34" s="100">
        <v>8</v>
      </c>
      <c r="Q34" s="100">
        <v>4387.2</v>
      </c>
      <c r="R34" s="100">
        <v>11</v>
      </c>
      <c r="S34" s="100">
        <v>6032.4</v>
      </c>
      <c r="T34" s="100">
        <v>13</v>
      </c>
      <c r="U34" s="100">
        <v>7129.2</v>
      </c>
      <c r="V34" s="100">
        <v>11.346729115531494</v>
      </c>
      <c r="W34" s="100">
        <v>6222.5462469574704</v>
      </c>
      <c r="X34" s="100">
        <v>5.3257435208379826</v>
      </c>
      <c r="Y34" s="100">
        <v>2920.6377468275496</v>
      </c>
      <c r="Z34" s="100">
        <v>12.217797025076006</v>
      </c>
      <c r="AA34" s="100">
        <v>6700.2398885516814</v>
      </c>
      <c r="AB34" s="100">
        <v>7.8594054789699044</v>
      </c>
      <c r="AC34" s="100">
        <v>4310.0979646670958</v>
      </c>
      <c r="AD34" s="100">
        <v>12</v>
      </c>
      <c r="AE34" s="100">
        <v>6580.7999999999993</v>
      </c>
      <c r="AF34" s="100">
        <v>12.269438377053765</v>
      </c>
      <c r="AG34" s="100">
        <v>6728.5600059762846</v>
      </c>
      <c r="AH34" s="100">
        <v>10</v>
      </c>
      <c r="AI34" s="100">
        <v>5484</v>
      </c>
      <c r="AJ34" s="100">
        <v>13.564501516654826</v>
      </c>
      <c r="AK34" s="100">
        <v>7438.7726317335064</v>
      </c>
      <c r="AL34" s="100">
        <v>8.5537597268905685</v>
      </c>
      <c r="AM34" s="100">
        <v>4690.8818342267878</v>
      </c>
      <c r="AN34" s="100">
        <v>12</v>
      </c>
      <c r="AO34" s="100">
        <v>6580.7999999999993</v>
      </c>
      <c r="AP34" s="100">
        <v>10.914490840076143</v>
      </c>
      <c r="AQ34" s="100">
        <v>5985.5067766977563</v>
      </c>
      <c r="AR34" s="100">
        <v>2.4528554298344512</v>
      </c>
      <c r="AS34" s="100">
        <v>1345.145917721213</v>
      </c>
      <c r="AT34" s="100">
        <v>8.1338460093854366</v>
      </c>
      <c r="AU34" s="100">
        <v>4460.6011515469736</v>
      </c>
      <c r="AV34" s="100">
        <v>10</v>
      </c>
      <c r="AW34" s="100">
        <v>5484</v>
      </c>
      <c r="AX34" s="100">
        <v>13.643068552341505</v>
      </c>
      <c r="AY34" s="100">
        <v>7481.8587941040814</v>
      </c>
      <c r="AZ34" s="100">
        <v>1.520414031095251</v>
      </c>
      <c r="BA34" s="100">
        <v>833.7950546526356</v>
      </c>
      <c r="BB34" s="100">
        <v>8.5662437678305103</v>
      </c>
      <c r="BC34" s="100">
        <v>4697.7280822782513</v>
      </c>
      <c r="BD34" s="100">
        <v>4.8095865590014393</v>
      </c>
      <c r="BE34" s="100">
        <v>2637.5772689563892</v>
      </c>
      <c r="BF34" s="100">
        <v>9.9528598830268855</v>
      </c>
      <c r="BG34" s="100">
        <v>5458.1483598519435</v>
      </c>
      <c r="BH34" s="100">
        <v>7.9775702106019004</v>
      </c>
      <c r="BI34" s="100">
        <v>4374.8995034940817</v>
      </c>
      <c r="BJ34" s="100">
        <v>12.044688593465146</v>
      </c>
      <c r="BK34" s="100">
        <v>6605.3072246562861</v>
      </c>
      <c r="BL34" s="100">
        <v>13</v>
      </c>
      <c r="BM34" s="100">
        <v>7129.2</v>
      </c>
      <c r="BN34" s="100">
        <v>15</v>
      </c>
      <c r="BO34" s="100">
        <v>8226</v>
      </c>
      <c r="BP34" s="100">
        <v>10</v>
      </c>
      <c r="BQ34" s="100">
        <v>5484</v>
      </c>
      <c r="BR34" s="100">
        <v>13.481148561411864</v>
      </c>
      <c r="BS34" s="100">
        <v>7393.0618710782655</v>
      </c>
      <c r="BT34" s="100">
        <v>6.9973577896425599E-4</v>
      </c>
      <c r="BU34" s="100">
        <v>0.38373510118399795</v>
      </c>
      <c r="BV34" s="100">
        <v>13</v>
      </c>
      <c r="BW34" s="100">
        <v>7129.2</v>
      </c>
      <c r="BX34" s="100">
        <v>11</v>
      </c>
      <c r="BY34" s="100">
        <v>6032.4</v>
      </c>
      <c r="BZ34" s="100">
        <v>10</v>
      </c>
      <c r="CA34" s="100">
        <v>5484</v>
      </c>
      <c r="CB34" s="100">
        <v>15</v>
      </c>
      <c r="CC34" s="100">
        <v>8226</v>
      </c>
      <c r="CD34" s="100">
        <v>9.2498280582479016</v>
      </c>
      <c r="CE34" s="100">
        <v>5072.6057071431487</v>
      </c>
      <c r="CF34" s="100">
        <v>0.51053095055649522</v>
      </c>
      <c r="CG34" s="100">
        <v>279.975173285182</v>
      </c>
      <c r="CH34" s="100">
        <v>9</v>
      </c>
      <c r="CI34" s="100">
        <v>4935.5999999999995</v>
      </c>
      <c r="CJ34" s="100">
        <v>10</v>
      </c>
      <c r="CK34" s="100">
        <v>5484</v>
      </c>
      <c r="CL34" s="100">
        <v>16.639081415208892</v>
      </c>
      <c r="CM34" s="100">
        <v>9124.8722481005552</v>
      </c>
      <c r="CN34" s="100">
        <v>10.826330138553182</v>
      </c>
      <c r="CO34" s="100">
        <v>5937.1594479825644</v>
      </c>
      <c r="CP34" s="100">
        <v>14</v>
      </c>
      <c r="CQ34" s="100">
        <v>7677.5999999999995</v>
      </c>
      <c r="CR34" s="100">
        <v>10</v>
      </c>
      <c r="CS34" s="100">
        <v>5484</v>
      </c>
      <c r="CT34" s="100">
        <v>10.48760152859778</v>
      </c>
      <c r="CU34" s="100">
        <v>5751.4006782830229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10</v>
      </c>
      <c r="G35" s="100">
        <v>5027.9999999999991</v>
      </c>
      <c r="H35" s="100">
        <v>9</v>
      </c>
      <c r="I35" s="100">
        <v>4525.1999999999989</v>
      </c>
      <c r="J35" s="100">
        <v>12.793938597779361</v>
      </c>
      <c r="K35" s="100">
        <v>6432.7923269634612</v>
      </c>
      <c r="L35" s="100">
        <v>4.3957958403571222</v>
      </c>
      <c r="M35" s="100">
        <v>2210.2061485315608</v>
      </c>
      <c r="N35" s="100">
        <v>9</v>
      </c>
      <c r="O35" s="100">
        <v>4525.1999999999989</v>
      </c>
      <c r="P35" s="100">
        <v>8</v>
      </c>
      <c r="Q35" s="100">
        <v>4022.3999999999992</v>
      </c>
      <c r="R35" s="100">
        <v>13</v>
      </c>
      <c r="S35" s="100">
        <v>6536.3999999999987</v>
      </c>
      <c r="T35" s="100">
        <v>14</v>
      </c>
      <c r="U35" s="100">
        <v>7039.1999999999989</v>
      </c>
      <c r="V35" s="100">
        <v>12.295006262905403</v>
      </c>
      <c r="W35" s="100">
        <v>6181.9291489888355</v>
      </c>
      <c r="X35" s="100">
        <v>6.3908922250055786</v>
      </c>
      <c r="Y35" s="100">
        <v>3213.3406107328042</v>
      </c>
      <c r="Z35" s="100">
        <v>13.201043407762468</v>
      </c>
      <c r="AA35" s="100">
        <v>6637.4846254229678</v>
      </c>
      <c r="AB35" s="100">
        <v>7.8594054789699044</v>
      </c>
      <c r="AC35" s="100">
        <v>3951.7090748260671</v>
      </c>
      <c r="AD35" s="100">
        <v>12</v>
      </c>
      <c r="AE35" s="100">
        <v>6033.5999999999985</v>
      </c>
      <c r="AF35" s="100">
        <v>13.269438377053765</v>
      </c>
      <c r="AG35" s="100">
        <v>6671.8736159826321</v>
      </c>
      <c r="AH35" s="100">
        <v>9</v>
      </c>
      <c r="AI35" s="100">
        <v>4525.1999999999989</v>
      </c>
      <c r="AJ35" s="100">
        <v>14.599782861445751</v>
      </c>
      <c r="AK35" s="100">
        <v>7340.7708227349221</v>
      </c>
      <c r="AL35" s="100">
        <v>10.52770427924993</v>
      </c>
      <c r="AM35" s="100">
        <v>5293.3297116068634</v>
      </c>
      <c r="AN35" s="100">
        <v>14</v>
      </c>
      <c r="AO35" s="100">
        <v>7039.1999999999989</v>
      </c>
      <c r="AP35" s="100">
        <v>9.8313553091601307</v>
      </c>
      <c r="AQ35" s="100">
        <v>4943.2054494457125</v>
      </c>
      <c r="AR35" s="100">
        <v>2.7253949220382792</v>
      </c>
      <c r="AS35" s="100">
        <v>1370.3285668008464</v>
      </c>
      <c r="AT35" s="100">
        <v>9.4894870109496772</v>
      </c>
      <c r="AU35" s="100">
        <v>4771.3140691054969</v>
      </c>
      <c r="AV35" s="100">
        <v>11</v>
      </c>
      <c r="AW35" s="100">
        <v>5530.7999999999993</v>
      </c>
      <c r="AX35" s="100">
        <v>14.692535364060083</v>
      </c>
      <c r="AY35" s="100">
        <v>7387.406781049408</v>
      </c>
      <c r="AZ35" s="100">
        <v>1.520414031095251</v>
      </c>
      <c r="BA35" s="100">
        <v>764.46417483469202</v>
      </c>
      <c r="BB35" s="100">
        <v>9.3599177440364123</v>
      </c>
      <c r="BC35" s="100">
        <v>4706.1666417015067</v>
      </c>
      <c r="BD35" s="100">
        <v>4.1386624596522239</v>
      </c>
      <c r="BE35" s="100">
        <v>2080.9194847131375</v>
      </c>
      <c r="BF35" s="100">
        <v>10.718464489413568</v>
      </c>
      <c r="BG35" s="100">
        <v>5389.2439452771414</v>
      </c>
      <c r="BH35" s="100">
        <v>9.2048887045406538</v>
      </c>
      <c r="BI35" s="100">
        <v>4628.2180406430398</v>
      </c>
      <c r="BJ35" s="100">
        <v>11.241709353900802</v>
      </c>
      <c r="BK35" s="100">
        <v>5652.3314631413223</v>
      </c>
      <c r="BL35" s="100">
        <v>14</v>
      </c>
      <c r="BM35" s="100">
        <v>7039.1999999999989</v>
      </c>
      <c r="BN35" s="100">
        <v>15</v>
      </c>
      <c r="BO35" s="100">
        <v>7541.9999999999982</v>
      </c>
      <c r="BP35" s="100">
        <v>10</v>
      </c>
      <c r="BQ35" s="100">
        <v>5027.9999999999991</v>
      </c>
      <c r="BR35" s="100">
        <v>13.517714461909232</v>
      </c>
      <c r="BS35" s="100">
        <v>6796.7068314479611</v>
      </c>
      <c r="BT35" s="100">
        <v>8.3968293475710713E-4</v>
      </c>
      <c r="BU35" s="100">
        <v>0.42219257959587336</v>
      </c>
      <c r="BV35" s="100">
        <v>16</v>
      </c>
      <c r="BW35" s="100">
        <v>8044.7999999999984</v>
      </c>
      <c r="BX35" s="100">
        <v>11</v>
      </c>
      <c r="BY35" s="100">
        <v>5530.7999999999993</v>
      </c>
      <c r="BZ35" s="100">
        <v>9</v>
      </c>
      <c r="CA35" s="100">
        <v>4525.1999999999989</v>
      </c>
      <c r="CB35" s="100">
        <v>15</v>
      </c>
      <c r="CC35" s="100">
        <v>7541.9999999999982</v>
      </c>
      <c r="CD35" s="100">
        <v>8.2172417897807843</v>
      </c>
      <c r="CE35" s="100">
        <v>4131.6291719017772</v>
      </c>
      <c r="CF35" s="100">
        <v>0.43198772739395752</v>
      </c>
      <c r="CG35" s="100">
        <v>217.20342933368181</v>
      </c>
      <c r="CH35" s="100">
        <v>8</v>
      </c>
      <c r="CI35" s="100">
        <v>4022.3999999999992</v>
      </c>
      <c r="CJ35" s="100">
        <v>10</v>
      </c>
      <c r="CK35" s="100">
        <v>5027.9999999999991</v>
      </c>
      <c r="CL35" s="100">
        <v>16.585824630608151</v>
      </c>
      <c r="CM35" s="100">
        <v>8339.3526242697772</v>
      </c>
      <c r="CN35" s="100">
        <v>11.599639434164123</v>
      </c>
      <c r="CO35" s="100">
        <v>5832.29870749772</v>
      </c>
      <c r="CP35" s="100">
        <v>16</v>
      </c>
      <c r="CQ35" s="100">
        <v>8044.7999999999984</v>
      </c>
      <c r="CR35" s="100">
        <v>11</v>
      </c>
      <c r="CS35" s="100">
        <v>5530.7999999999993</v>
      </c>
      <c r="CT35" s="100">
        <v>10.464382408188362</v>
      </c>
      <c r="CU35" s="100">
        <v>5261.4914748371075</v>
      </c>
    </row>
    <row r="36" spans="2:99">
      <c r="C36" s="99" t="s">
        <v>202</v>
      </c>
      <c r="D36" s="100">
        <v>8</v>
      </c>
      <c r="E36" s="100">
        <v>6086.4</v>
      </c>
      <c r="F36" s="100">
        <v>10</v>
      </c>
      <c r="G36" s="100">
        <v>7608</v>
      </c>
      <c r="H36" s="100">
        <v>8</v>
      </c>
      <c r="I36" s="100">
        <v>6086.4</v>
      </c>
      <c r="J36" s="100">
        <v>10.747236327321751</v>
      </c>
      <c r="K36" s="100">
        <v>8176.4973978263879</v>
      </c>
      <c r="L36" s="100">
        <v>4.3957958403571222</v>
      </c>
      <c r="M36" s="100">
        <v>3344.3214753436982</v>
      </c>
      <c r="N36" s="100">
        <v>8</v>
      </c>
      <c r="O36" s="100">
        <v>6086.4</v>
      </c>
      <c r="P36" s="100">
        <v>8</v>
      </c>
      <c r="Q36" s="100">
        <v>6086.4</v>
      </c>
      <c r="R36" s="100">
        <v>12</v>
      </c>
      <c r="S36" s="100">
        <v>9129.5999999999985</v>
      </c>
      <c r="T36" s="100">
        <v>15</v>
      </c>
      <c r="U36" s="100">
        <v>11412</v>
      </c>
      <c r="V36" s="100">
        <v>13.047108650213445</v>
      </c>
      <c r="W36" s="100">
        <v>9926.2402610823883</v>
      </c>
      <c r="X36" s="100">
        <v>5.8583178729217806</v>
      </c>
      <c r="Y36" s="100">
        <v>4457.0082377188901</v>
      </c>
      <c r="Z36" s="100">
        <v>11.201043407762468</v>
      </c>
      <c r="AA36" s="100">
        <v>8521.7538246256845</v>
      </c>
      <c r="AB36" s="100">
        <v>7.8594054789699044</v>
      </c>
      <c r="AC36" s="100">
        <v>5979.4356884003028</v>
      </c>
      <c r="AD36" s="100">
        <v>13</v>
      </c>
      <c r="AE36" s="100">
        <v>9890.4</v>
      </c>
      <c r="AF36" s="100">
        <v>11.269438377053765</v>
      </c>
      <c r="AG36" s="100">
        <v>8573.7887172625033</v>
      </c>
      <c r="AH36" s="100">
        <v>9</v>
      </c>
      <c r="AI36" s="100">
        <v>6847.2</v>
      </c>
      <c r="AJ36" s="100">
        <v>12.599782861445751</v>
      </c>
      <c r="AK36" s="100">
        <v>9585.9148009879264</v>
      </c>
      <c r="AL36" s="100">
        <v>10.52770427924993</v>
      </c>
      <c r="AM36" s="100">
        <v>8009.4774156533458</v>
      </c>
      <c r="AN36" s="100">
        <v>12</v>
      </c>
      <c r="AO36" s="100">
        <v>9129.5999999999985</v>
      </c>
      <c r="AP36" s="100">
        <v>10.95605860553415</v>
      </c>
      <c r="AQ36" s="100">
        <v>8335.3693870903808</v>
      </c>
      <c r="AR36" s="100">
        <v>2.4528554298344512</v>
      </c>
      <c r="AS36" s="100">
        <v>1866.1324110180503</v>
      </c>
      <c r="AT36" s="100">
        <v>10.167307511731797</v>
      </c>
      <c r="AU36" s="100">
        <v>7735.2875549255514</v>
      </c>
      <c r="AV36" s="100">
        <v>10</v>
      </c>
      <c r="AW36" s="100">
        <v>7608</v>
      </c>
      <c r="AX36" s="100">
        <v>15.643068552341505</v>
      </c>
      <c r="AY36" s="100">
        <v>11901.246554621417</v>
      </c>
      <c r="AZ36" s="100">
        <v>1.520414031095251</v>
      </c>
      <c r="BA36" s="100">
        <v>1156.730994857267</v>
      </c>
      <c r="BB36" s="100">
        <v>9.3599177440364123</v>
      </c>
      <c r="BC36" s="100">
        <v>7121.0254196629021</v>
      </c>
      <c r="BD36" s="100">
        <v>4.1386624596522239</v>
      </c>
      <c r="BE36" s="100">
        <v>3148.694399303412</v>
      </c>
      <c r="BF36" s="100">
        <v>9.2207792195404572</v>
      </c>
      <c r="BG36" s="100">
        <v>7015.1688302263792</v>
      </c>
      <c r="BH36" s="100">
        <v>7.9775702106019004</v>
      </c>
      <c r="BI36" s="100">
        <v>6069.3354162259257</v>
      </c>
      <c r="BJ36" s="100">
        <v>11.241709353900802</v>
      </c>
      <c r="BK36" s="100">
        <v>8552.6924764477299</v>
      </c>
      <c r="BL36" s="100">
        <v>15</v>
      </c>
      <c r="BM36" s="100">
        <v>11412</v>
      </c>
      <c r="BN36" s="100">
        <v>14</v>
      </c>
      <c r="BO36" s="100">
        <v>10651.199999999999</v>
      </c>
      <c r="BP36" s="100">
        <v>9</v>
      </c>
      <c r="BQ36" s="100">
        <v>6847.2</v>
      </c>
      <c r="BR36" s="100">
        <v>11.4830702683815</v>
      </c>
      <c r="BS36" s="100">
        <v>8736.3198601846452</v>
      </c>
      <c r="BT36" s="100">
        <v>7.6970935686068156E-4</v>
      </c>
      <c r="BU36" s="100">
        <v>0.58559487869960647</v>
      </c>
      <c r="BV36" s="100">
        <v>14</v>
      </c>
      <c r="BW36" s="100">
        <v>10651.199999999999</v>
      </c>
      <c r="BX36" s="100">
        <v>12</v>
      </c>
      <c r="BY36" s="100">
        <v>9129.5999999999985</v>
      </c>
      <c r="BZ36" s="100">
        <v>10</v>
      </c>
      <c r="CA36" s="100">
        <v>7608</v>
      </c>
      <c r="CB36" s="100">
        <v>13</v>
      </c>
      <c r="CC36" s="100">
        <v>9890.4</v>
      </c>
      <c r="CD36" s="100">
        <v>8.2498280582479016</v>
      </c>
      <c r="CE36" s="100">
        <v>6276.4691867150032</v>
      </c>
      <c r="CF36" s="100">
        <v>0.47125933897522637</v>
      </c>
      <c r="CG36" s="100">
        <v>358.53410509235221</v>
      </c>
      <c r="CH36" s="100">
        <v>8</v>
      </c>
      <c r="CI36" s="100">
        <v>6086.4</v>
      </c>
      <c r="CJ36" s="100">
        <v>10</v>
      </c>
      <c r="CK36" s="100">
        <v>7608</v>
      </c>
      <c r="CL36" s="100">
        <v>14.665709807509263</v>
      </c>
      <c r="CM36" s="100">
        <v>11157.672021553046</v>
      </c>
      <c r="CN36" s="100">
        <v>11.599639434164123</v>
      </c>
      <c r="CO36" s="100">
        <v>8825.0056815120643</v>
      </c>
      <c r="CP36" s="100">
        <v>14</v>
      </c>
      <c r="CQ36" s="100">
        <v>10651.199999999999</v>
      </c>
      <c r="CR36" s="100">
        <v>10</v>
      </c>
      <c r="CS36" s="100">
        <v>7608</v>
      </c>
      <c r="CT36" s="100">
        <v>9.4179441673695248</v>
      </c>
      <c r="CU36" s="100">
        <v>7165.1719225347342</v>
      </c>
    </row>
    <row r="37" spans="2:99">
      <c r="B37" s="99" t="s">
        <v>128</v>
      </c>
      <c r="C37" s="99" t="s">
        <v>203</v>
      </c>
      <c r="D37" s="100">
        <v>6</v>
      </c>
      <c r="E37" s="100">
        <v>5162.3999999999996</v>
      </c>
      <c r="F37" s="100">
        <v>7</v>
      </c>
      <c r="G37" s="100">
        <v>6022.8</v>
      </c>
      <c r="H37" s="100">
        <v>6</v>
      </c>
      <c r="I37" s="100">
        <v>5162.3999999999996</v>
      </c>
      <c r="J37" s="100">
        <v>6.5604272454913133</v>
      </c>
      <c r="K37" s="100">
        <v>5644.591602020726</v>
      </c>
      <c r="L37" s="100">
        <v>3.1969424293506346</v>
      </c>
      <c r="M37" s="100">
        <v>2750.649266213286</v>
      </c>
      <c r="N37" s="100">
        <v>9</v>
      </c>
      <c r="O37" s="100">
        <v>7743.5999999999995</v>
      </c>
      <c r="P37" s="100">
        <v>5</v>
      </c>
      <c r="Q37" s="100">
        <v>4302</v>
      </c>
      <c r="R37" s="100">
        <v>8</v>
      </c>
      <c r="S37" s="100">
        <v>6883.2</v>
      </c>
      <c r="T37" s="100">
        <v>7</v>
      </c>
      <c r="U37" s="100">
        <v>6022.8</v>
      </c>
      <c r="V37" s="100">
        <v>4.4891610453562913</v>
      </c>
      <c r="W37" s="100">
        <v>3862.4741634245529</v>
      </c>
      <c r="X37" s="100">
        <v>3.1954461125027893</v>
      </c>
      <c r="Y37" s="100">
        <v>2749.3618351974001</v>
      </c>
      <c r="Z37" s="100">
        <v>8</v>
      </c>
      <c r="AA37" s="100">
        <v>6883.2</v>
      </c>
      <c r="AB37" s="100">
        <v>7.8594054789699044</v>
      </c>
      <c r="AC37" s="100">
        <v>6762.2324741057055</v>
      </c>
      <c r="AD37" s="100">
        <v>6</v>
      </c>
      <c r="AE37" s="100">
        <v>5162.3999999999996</v>
      </c>
      <c r="AF37" s="100">
        <v>7.2694383770537643</v>
      </c>
      <c r="AG37" s="100">
        <v>6254.6247796170583</v>
      </c>
      <c r="AH37" s="100">
        <v>7</v>
      </c>
      <c r="AI37" s="100">
        <v>6022.8</v>
      </c>
      <c r="AJ37" s="100">
        <v>7.3880947927001923</v>
      </c>
      <c r="AK37" s="100">
        <v>6356.7167596392455</v>
      </c>
      <c r="AL37" s="100">
        <v>3.2899075872656027</v>
      </c>
      <c r="AM37" s="100">
        <v>2830.6364880833244</v>
      </c>
      <c r="AN37" s="100">
        <v>7</v>
      </c>
      <c r="AO37" s="100">
        <v>6022.8</v>
      </c>
      <c r="AP37" s="100">
        <v>5.5819487164120911</v>
      </c>
      <c r="AQ37" s="100">
        <v>4802.708675600963</v>
      </c>
      <c r="AR37" s="100">
        <v>2.1803159376306231</v>
      </c>
      <c r="AS37" s="100">
        <v>1875.943832737388</v>
      </c>
      <c r="AT37" s="100">
        <v>4.7447435054748386</v>
      </c>
      <c r="AU37" s="100">
        <v>4082.377312110551</v>
      </c>
      <c r="AV37" s="100">
        <v>9</v>
      </c>
      <c r="AW37" s="100">
        <v>7743.5999999999995</v>
      </c>
      <c r="AX37" s="100">
        <v>9.494668117185773</v>
      </c>
      <c r="AY37" s="100">
        <v>8169.2124480266384</v>
      </c>
      <c r="AZ37" s="100">
        <v>1.2163312248762006</v>
      </c>
      <c r="BA37" s="100">
        <v>1046.5313858834829</v>
      </c>
      <c r="BB37" s="100">
        <v>6.900207814697267</v>
      </c>
      <c r="BC37" s="100">
        <v>5936.9388037655281</v>
      </c>
      <c r="BD37" s="100">
        <v>3.0965548800314751</v>
      </c>
      <c r="BE37" s="100">
        <v>2664.275818779081</v>
      </c>
      <c r="BF37" s="100">
        <v>6.141598822543596</v>
      </c>
      <c r="BG37" s="100">
        <v>5284.2316269165103</v>
      </c>
      <c r="BH37" s="100">
        <v>5.5229332227243919</v>
      </c>
      <c r="BI37" s="100">
        <v>4751.9317448320671</v>
      </c>
      <c r="BJ37" s="100">
        <v>4.8178754373860588</v>
      </c>
      <c r="BK37" s="100">
        <v>4145.3000263269651</v>
      </c>
      <c r="BL37" s="100">
        <v>6</v>
      </c>
      <c r="BM37" s="100">
        <v>5162.3999999999996</v>
      </c>
      <c r="BN37" s="100">
        <v>7</v>
      </c>
      <c r="BO37" s="100">
        <v>6022.8</v>
      </c>
      <c r="BP37" s="100">
        <v>10</v>
      </c>
      <c r="BQ37" s="100">
        <v>8604</v>
      </c>
      <c r="BR37" s="100">
        <v>8.2482744756030471</v>
      </c>
      <c r="BS37" s="100">
        <v>7096.8153588088617</v>
      </c>
      <c r="BT37" s="100">
        <v>4.1984146737855356E-4</v>
      </c>
      <c r="BU37" s="100">
        <v>0.36123159853250747</v>
      </c>
      <c r="BV37" s="100">
        <v>7</v>
      </c>
      <c r="BW37" s="100">
        <v>6022.8</v>
      </c>
      <c r="BX37" s="100">
        <v>6</v>
      </c>
      <c r="BY37" s="100">
        <v>5162.3999999999996</v>
      </c>
      <c r="BZ37" s="100">
        <v>9</v>
      </c>
      <c r="CA37" s="100">
        <v>7743.5999999999995</v>
      </c>
      <c r="CB37" s="100">
        <v>9</v>
      </c>
      <c r="CC37" s="100">
        <v>7743.5999999999995</v>
      </c>
      <c r="CD37" s="100">
        <v>7.1520692528465482</v>
      </c>
      <c r="CE37" s="100">
        <v>6153.6403851491696</v>
      </c>
      <c r="CF37" s="100">
        <v>0.31417289265015097</v>
      </c>
      <c r="CG37" s="100">
        <v>270.31435683618992</v>
      </c>
      <c r="CH37" s="100">
        <v>10</v>
      </c>
      <c r="CI37" s="100">
        <v>8604</v>
      </c>
      <c r="CJ37" s="100">
        <v>9</v>
      </c>
      <c r="CK37" s="100">
        <v>7743.5999999999995</v>
      </c>
      <c r="CL37" s="100">
        <v>5.2396555307033346</v>
      </c>
      <c r="CM37" s="100">
        <v>4508.1996186171491</v>
      </c>
      <c r="CN37" s="100">
        <v>6.9597836604984744</v>
      </c>
      <c r="CO37" s="100">
        <v>5988.1978614928876</v>
      </c>
      <c r="CP37" s="100">
        <v>10</v>
      </c>
      <c r="CQ37" s="100">
        <v>8604</v>
      </c>
      <c r="CR37" s="100">
        <v>7</v>
      </c>
      <c r="CS37" s="100">
        <v>6022.8</v>
      </c>
      <c r="CT37" s="100">
        <v>9.23219120409418</v>
      </c>
      <c r="CU37" s="100">
        <v>7943.3773120026326</v>
      </c>
    </row>
    <row r="38" spans="2:99">
      <c r="C38" s="99" t="s">
        <v>204</v>
      </c>
      <c r="D38" s="100">
        <v>6</v>
      </c>
      <c r="E38" s="100">
        <v>7452</v>
      </c>
      <c r="F38" s="100">
        <v>6</v>
      </c>
      <c r="G38" s="100">
        <v>7452</v>
      </c>
      <c r="H38" s="100">
        <v>7</v>
      </c>
      <c r="I38" s="100">
        <v>8694</v>
      </c>
      <c r="J38" s="100">
        <v>6</v>
      </c>
      <c r="K38" s="100">
        <v>7452</v>
      </c>
      <c r="L38" s="100">
        <v>2.7973246256818047</v>
      </c>
      <c r="M38" s="100">
        <v>3474.2771850968015</v>
      </c>
      <c r="N38" s="100">
        <v>8</v>
      </c>
      <c r="O38" s="100">
        <v>9936</v>
      </c>
      <c r="P38" s="100">
        <v>4</v>
      </c>
      <c r="Q38" s="100">
        <v>4968</v>
      </c>
      <c r="R38" s="100">
        <v>7</v>
      </c>
      <c r="S38" s="100">
        <v>8694</v>
      </c>
      <c r="T38" s="100">
        <v>8</v>
      </c>
      <c r="U38" s="100">
        <v>9936</v>
      </c>
      <c r="V38" s="100">
        <v>5.2973133641117247</v>
      </c>
      <c r="W38" s="100">
        <v>6579.2631982267621</v>
      </c>
      <c r="X38" s="100">
        <v>3.1954461125027893</v>
      </c>
      <c r="Y38" s="100">
        <v>3968.7440717284644</v>
      </c>
      <c r="Z38" s="100">
        <v>8</v>
      </c>
      <c r="AA38" s="100">
        <v>9936</v>
      </c>
      <c r="AB38" s="100">
        <v>8.8418311638411424</v>
      </c>
      <c r="AC38" s="100">
        <v>10981.554305490699</v>
      </c>
      <c r="AD38" s="100">
        <v>6</v>
      </c>
      <c r="AE38" s="100">
        <v>7452</v>
      </c>
      <c r="AF38" s="100">
        <v>7</v>
      </c>
      <c r="AG38" s="100">
        <v>8694</v>
      </c>
      <c r="AH38" s="100">
        <v>7</v>
      </c>
      <c r="AI38" s="100">
        <v>8694</v>
      </c>
      <c r="AJ38" s="100">
        <v>6.3880947927001923</v>
      </c>
      <c r="AK38" s="100">
        <v>7934.0137325336391</v>
      </c>
      <c r="AL38" s="100">
        <v>3.2899075872656027</v>
      </c>
      <c r="AM38" s="100">
        <v>4086.0652233838787</v>
      </c>
      <c r="AN38" s="100">
        <v>7</v>
      </c>
      <c r="AO38" s="100">
        <v>8694</v>
      </c>
      <c r="AP38" s="100">
        <v>6.5819487164120911</v>
      </c>
      <c r="AQ38" s="100">
        <v>8174.7803057838173</v>
      </c>
      <c r="AR38" s="100">
        <v>2.1803159376306231</v>
      </c>
      <c r="AS38" s="100">
        <v>2707.9523945372339</v>
      </c>
      <c r="AT38" s="100">
        <v>4.7447435054748386</v>
      </c>
      <c r="AU38" s="100">
        <v>5892.9714337997493</v>
      </c>
      <c r="AV38" s="100">
        <v>10</v>
      </c>
      <c r="AW38" s="100">
        <v>12420</v>
      </c>
      <c r="AX38" s="100">
        <v>10.445201305467197</v>
      </c>
      <c r="AY38" s="100">
        <v>12972.940021390259</v>
      </c>
      <c r="AZ38" s="100">
        <v>1.0642898217666756</v>
      </c>
      <c r="BA38" s="100">
        <v>1321.8479586342112</v>
      </c>
      <c r="BB38" s="100">
        <v>6.900207814697267</v>
      </c>
      <c r="BC38" s="100">
        <v>8570.0581058540047</v>
      </c>
      <c r="BD38" s="100">
        <v>3.0965548800314751</v>
      </c>
      <c r="BE38" s="100">
        <v>3845.9211609990921</v>
      </c>
      <c r="BF38" s="100">
        <v>6.158360793993725</v>
      </c>
      <c r="BG38" s="100">
        <v>7648.6841061402065</v>
      </c>
      <c r="BH38" s="100">
        <v>4.9092739757550152</v>
      </c>
      <c r="BI38" s="100">
        <v>6097.318277887729</v>
      </c>
      <c r="BJ38" s="100">
        <v>5.6208546769504011</v>
      </c>
      <c r="BK38" s="100">
        <v>6981.1015087723981</v>
      </c>
      <c r="BL38" s="100">
        <v>6</v>
      </c>
      <c r="BM38" s="100">
        <v>7452</v>
      </c>
      <c r="BN38" s="100">
        <v>7</v>
      </c>
      <c r="BO38" s="100">
        <v>8694</v>
      </c>
      <c r="BP38" s="100">
        <v>10</v>
      </c>
      <c r="BQ38" s="100">
        <v>12420</v>
      </c>
      <c r="BR38" s="100">
        <v>8.2848403761004175</v>
      </c>
      <c r="BS38" s="100">
        <v>10289.771747116718</v>
      </c>
      <c r="BT38" s="100">
        <v>4.1984146737855356E-4</v>
      </c>
      <c r="BU38" s="100">
        <v>0.52144310248416348</v>
      </c>
      <c r="BV38" s="100">
        <v>6</v>
      </c>
      <c r="BW38" s="100">
        <v>7452</v>
      </c>
      <c r="BX38" s="100">
        <v>5</v>
      </c>
      <c r="BY38" s="100">
        <v>6210</v>
      </c>
      <c r="BZ38" s="100">
        <v>8</v>
      </c>
      <c r="CA38" s="100">
        <v>9936</v>
      </c>
      <c r="CB38" s="100">
        <v>9</v>
      </c>
      <c r="CC38" s="100">
        <v>11178</v>
      </c>
      <c r="CD38" s="100">
        <v>7.1629313423355878</v>
      </c>
      <c r="CE38" s="100">
        <v>8896.3607271807996</v>
      </c>
      <c r="CF38" s="100">
        <v>0.31417289265015097</v>
      </c>
      <c r="CG38" s="100">
        <v>390.20273267148752</v>
      </c>
      <c r="CH38" s="100">
        <v>10</v>
      </c>
      <c r="CI38" s="100">
        <v>12420</v>
      </c>
      <c r="CJ38" s="100">
        <v>9</v>
      </c>
      <c r="CK38" s="100">
        <v>11178</v>
      </c>
      <c r="CL38" s="100">
        <v>5.2662839230037051</v>
      </c>
      <c r="CM38" s="100">
        <v>6540.7246323706013</v>
      </c>
      <c r="CN38" s="100">
        <v>7.7330929561094157</v>
      </c>
      <c r="CO38" s="100">
        <v>9604.5014514878949</v>
      </c>
      <c r="CP38" s="100">
        <v>10</v>
      </c>
      <c r="CQ38" s="100">
        <v>12420</v>
      </c>
      <c r="CR38" s="100">
        <v>7</v>
      </c>
      <c r="CS38" s="100">
        <v>8694</v>
      </c>
      <c r="CT38" s="100">
        <v>9.2554103245035986</v>
      </c>
      <c r="CU38" s="100">
        <v>11495.21962303347</v>
      </c>
    </row>
    <row r="39" spans="2:99">
      <c r="C39" s="99" t="s">
        <v>205</v>
      </c>
      <c r="D39" s="100">
        <v>6</v>
      </c>
      <c r="E39" s="100">
        <v>8539.2000000000007</v>
      </c>
      <c r="F39" s="100">
        <v>6</v>
      </c>
      <c r="G39" s="100">
        <v>8539.2000000000007</v>
      </c>
      <c r="H39" s="100">
        <v>6</v>
      </c>
      <c r="I39" s="100">
        <v>8539.2000000000007</v>
      </c>
      <c r="J39" s="100">
        <v>6.5604272454913133</v>
      </c>
      <c r="K39" s="100">
        <v>9336.8000557832365</v>
      </c>
      <c r="L39" s="100">
        <v>2.7973246256818047</v>
      </c>
      <c r="M39" s="100">
        <v>3981.1524072703446</v>
      </c>
      <c r="N39" s="100">
        <v>9</v>
      </c>
      <c r="O39" s="100">
        <v>12808.800000000001</v>
      </c>
      <c r="P39" s="100">
        <v>5</v>
      </c>
      <c r="Q39" s="100">
        <v>7116</v>
      </c>
      <c r="R39" s="100">
        <v>7</v>
      </c>
      <c r="S39" s="100">
        <v>9962.4</v>
      </c>
      <c r="T39" s="100">
        <v>7</v>
      </c>
      <c r="U39" s="100">
        <v>9962.4</v>
      </c>
      <c r="V39" s="100">
        <v>5.2973133641117247</v>
      </c>
      <c r="W39" s="100">
        <v>7539.1363798038064</v>
      </c>
      <c r="X39" s="100">
        <v>3.1954461125027893</v>
      </c>
      <c r="Y39" s="100">
        <v>4547.7589073139698</v>
      </c>
      <c r="Z39" s="100">
        <v>8</v>
      </c>
      <c r="AA39" s="100">
        <v>11385.6</v>
      </c>
      <c r="AB39" s="100">
        <v>6.8769797940986663</v>
      </c>
      <c r="AC39" s="100">
        <v>9787.3176429612231</v>
      </c>
      <c r="AD39" s="100">
        <v>6</v>
      </c>
      <c r="AE39" s="100">
        <v>8539.2000000000007</v>
      </c>
      <c r="AF39" s="100">
        <v>7.2487123480496285</v>
      </c>
      <c r="AG39" s="100">
        <v>10316.367413744232</v>
      </c>
      <c r="AH39" s="100">
        <v>6</v>
      </c>
      <c r="AI39" s="100">
        <v>8539.2000000000007</v>
      </c>
      <c r="AJ39" s="100">
        <v>6.3528134479092655</v>
      </c>
      <c r="AK39" s="100">
        <v>9041.3240990644663</v>
      </c>
      <c r="AL39" s="100">
        <v>2.6319260698124824</v>
      </c>
      <c r="AM39" s="100">
        <v>3745.7571825571254</v>
      </c>
      <c r="AN39" s="100">
        <v>7</v>
      </c>
      <c r="AO39" s="100">
        <v>9962.4</v>
      </c>
      <c r="AP39" s="100">
        <v>5.4988131854960782</v>
      </c>
      <c r="AQ39" s="100">
        <v>7825.9109255980184</v>
      </c>
      <c r="AR39" s="100">
        <v>2.1803159376306231</v>
      </c>
      <c r="AS39" s="100">
        <v>3103.0256424359031</v>
      </c>
      <c r="AT39" s="100">
        <v>4.7447435054748386</v>
      </c>
      <c r="AU39" s="100">
        <v>6752.71895699179</v>
      </c>
      <c r="AV39" s="100">
        <v>9</v>
      </c>
      <c r="AW39" s="100">
        <v>12808.800000000001</v>
      </c>
      <c r="AX39" s="100">
        <v>9.4452013054671973</v>
      </c>
      <c r="AY39" s="100">
        <v>13442.410497940915</v>
      </c>
      <c r="AZ39" s="100">
        <v>1.2163312248762006</v>
      </c>
      <c r="BA39" s="100">
        <v>1731.0825992438088</v>
      </c>
      <c r="BB39" s="100">
        <v>6.1065338384913641</v>
      </c>
      <c r="BC39" s="100">
        <v>8690.8189589409103</v>
      </c>
      <c r="BD39" s="100">
        <v>3.0965548800314751</v>
      </c>
      <c r="BE39" s="100">
        <v>4407.0169052607953</v>
      </c>
      <c r="BF39" s="100">
        <v>5.3759942161569123</v>
      </c>
      <c r="BG39" s="100">
        <v>7651.1149684345182</v>
      </c>
      <c r="BH39" s="100">
        <v>4.9092739757550152</v>
      </c>
      <c r="BI39" s="100">
        <v>6986.8787222945375</v>
      </c>
      <c r="BJ39" s="100">
        <v>4.8178754373860588</v>
      </c>
      <c r="BK39" s="100">
        <v>6856.8003224878394</v>
      </c>
      <c r="BL39" s="100">
        <v>5</v>
      </c>
      <c r="BM39" s="100">
        <v>7116</v>
      </c>
      <c r="BN39" s="100">
        <v>6</v>
      </c>
      <c r="BO39" s="100">
        <v>8539.2000000000007</v>
      </c>
      <c r="BP39" s="100">
        <v>9</v>
      </c>
      <c r="BQ39" s="100">
        <v>12808.800000000001</v>
      </c>
      <c r="BR39" s="100">
        <v>8.2848403761004175</v>
      </c>
      <c r="BS39" s="100">
        <v>11790.984823266115</v>
      </c>
      <c r="BT39" s="100">
        <v>4.1984146737855356E-4</v>
      </c>
      <c r="BU39" s="100">
        <v>0.59751837637315741</v>
      </c>
      <c r="BV39" s="100">
        <v>6</v>
      </c>
      <c r="BW39" s="100">
        <v>8539.2000000000007</v>
      </c>
      <c r="BX39" s="100">
        <v>7</v>
      </c>
      <c r="BY39" s="100">
        <v>9962.4</v>
      </c>
      <c r="BZ39" s="100">
        <v>8</v>
      </c>
      <c r="CA39" s="100">
        <v>11385.6</v>
      </c>
      <c r="CB39" s="100">
        <v>9</v>
      </c>
      <c r="CC39" s="100">
        <v>12808.800000000001</v>
      </c>
      <c r="CD39" s="100">
        <v>6.1412071633575094</v>
      </c>
      <c r="CE39" s="100">
        <v>8740.1660348904079</v>
      </c>
      <c r="CF39" s="100">
        <v>0.35344450423141976</v>
      </c>
      <c r="CG39" s="100">
        <v>503.02221842215664</v>
      </c>
      <c r="CH39" s="100">
        <v>9</v>
      </c>
      <c r="CI39" s="100">
        <v>12808.800000000001</v>
      </c>
      <c r="CJ39" s="100">
        <v>8</v>
      </c>
      <c r="CK39" s="100">
        <v>11385.6</v>
      </c>
      <c r="CL39" s="100">
        <v>6.2130271384029641</v>
      </c>
      <c r="CM39" s="100">
        <v>8842.3802233750994</v>
      </c>
      <c r="CN39" s="100">
        <v>6.9597836604984744</v>
      </c>
      <c r="CO39" s="100">
        <v>9905.1641056214285</v>
      </c>
      <c r="CP39" s="100">
        <v>10</v>
      </c>
      <c r="CQ39" s="100">
        <v>14232</v>
      </c>
      <c r="CR39" s="100">
        <v>6</v>
      </c>
      <c r="CS39" s="100">
        <v>8539.2000000000007</v>
      </c>
      <c r="CT39" s="100">
        <v>9.2786294449130171</v>
      </c>
      <c r="CU39" s="100">
        <v>13205.345426000207</v>
      </c>
    </row>
    <row r="40" spans="2:99">
      <c r="C40" s="99" t="s">
        <v>206</v>
      </c>
      <c r="D40" s="100">
        <v>6</v>
      </c>
      <c r="E40" s="100">
        <v>4348.7999999999993</v>
      </c>
      <c r="F40" s="100">
        <v>6</v>
      </c>
      <c r="G40" s="100">
        <v>4348.7999999999993</v>
      </c>
      <c r="H40" s="100">
        <v>7</v>
      </c>
      <c r="I40" s="100">
        <v>5073.5999999999995</v>
      </c>
      <c r="J40" s="100">
        <v>7</v>
      </c>
      <c r="K40" s="100">
        <v>5073.5999999999995</v>
      </c>
      <c r="L40" s="100">
        <v>2.7973246256818047</v>
      </c>
      <c r="M40" s="100">
        <v>2027.5008886941719</v>
      </c>
      <c r="N40" s="100">
        <v>9</v>
      </c>
      <c r="O40" s="100">
        <v>6523.2</v>
      </c>
      <c r="P40" s="100">
        <v>5</v>
      </c>
      <c r="Q40" s="100">
        <v>3624</v>
      </c>
      <c r="R40" s="100">
        <v>7</v>
      </c>
      <c r="S40" s="100">
        <v>5073.5999999999995</v>
      </c>
      <c r="T40" s="100">
        <v>7</v>
      </c>
      <c r="U40" s="100">
        <v>5073.5999999999995</v>
      </c>
      <c r="V40" s="100">
        <v>4.4611360796325963</v>
      </c>
      <c r="W40" s="100">
        <v>3233.4314305177054</v>
      </c>
      <c r="X40" s="100">
        <v>3.1954461125027893</v>
      </c>
      <c r="Y40" s="100">
        <v>2316.0593423420214</v>
      </c>
      <c r="Z40" s="100">
        <v>9</v>
      </c>
      <c r="AA40" s="100">
        <v>6523.2</v>
      </c>
      <c r="AB40" s="100">
        <v>6.8769797940986663</v>
      </c>
      <c r="AC40" s="100">
        <v>4984.4349547627135</v>
      </c>
      <c r="AD40" s="100">
        <v>7</v>
      </c>
      <c r="AE40" s="100">
        <v>5073.5999999999995</v>
      </c>
      <c r="AF40" s="100">
        <v>7</v>
      </c>
      <c r="AG40" s="100">
        <v>5073.5999999999995</v>
      </c>
      <c r="AH40" s="100">
        <v>7</v>
      </c>
      <c r="AI40" s="100">
        <v>5073.5999999999995</v>
      </c>
      <c r="AJ40" s="100">
        <v>7.4233761374911182</v>
      </c>
      <c r="AK40" s="100">
        <v>5380.463024453562</v>
      </c>
      <c r="AL40" s="100">
        <v>3.2899075872656027</v>
      </c>
      <c r="AM40" s="100">
        <v>2384.5250192501089</v>
      </c>
      <c r="AN40" s="100">
        <v>7</v>
      </c>
      <c r="AO40" s="100">
        <v>5073.5999999999995</v>
      </c>
      <c r="AP40" s="100">
        <v>6.5819487164120911</v>
      </c>
      <c r="AQ40" s="100">
        <v>4770.596429655483</v>
      </c>
      <c r="AR40" s="100">
        <v>2.1803159376306231</v>
      </c>
      <c r="AS40" s="100">
        <v>1580.2929915946756</v>
      </c>
      <c r="AT40" s="100">
        <v>4.7447435054748386</v>
      </c>
      <c r="AU40" s="100">
        <v>3438.9900927681629</v>
      </c>
      <c r="AV40" s="100">
        <v>9</v>
      </c>
      <c r="AW40" s="100">
        <v>6523.2</v>
      </c>
      <c r="AX40" s="100">
        <v>10.54413492890435</v>
      </c>
      <c r="AY40" s="100">
        <v>7642.3889964698728</v>
      </c>
      <c r="AZ40" s="100">
        <v>1.0642898217666756</v>
      </c>
      <c r="BA40" s="100">
        <v>771.39726281648643</v>
      </c>
      <c r="BB40" s="100">
        <v>6.900207814697267</v>
      </c>
      <c r="BC40" s="100">
        <v>5001.2706240925791</v>
      </c>
      <c r="BD40" s="100">
        <v>3.426063357939928</v>
      </c>
      <c r="BE40" s="100">
        <v>2483.2107218348597</v>
      </c>
      <c r="BF40" s="100">
        <v>6.158360793993725</v>
      </c>
      <c r="BG40" s="100">
        <v>4463.5799034866513</v>
      </c>
      <c r="BH40" s="100">
        <v>4.9092739757550152</v>
      </c>
      <c r="BI40" s="100">
        <v>3558.241777627235</v>
      </c>
      <c r="BJ40" s="100">
        <v>4.8178754373860588</v>
      </c>
      <c r="BK40" s="100">
        <v>3491.9961170174151</v>
      </c>
      <c r="BL40" s="100">
        <v>6</v>
      </c>
      <c r="BM40" s="100">
        <v>4348.7999999999993</v>
      </c>
      <c r="BN40" s="100">
        <v>6</v>
      </c>
      <c r="BO40" s="100">
        <v>4348.7999999999993</v>
      </c>
      <c r="BP40" s="100">
        <v>9</v>
      </c>
      <c r="BQ40" s="100">
        <v>6523.2</v>
      </c>
      <c r="BR40" s="100">
        <v>8.2482744756030471</v>
      </c>
      <c r="BS40" s="100">
        <v>5978.3493399170884</v>
      </c>
      <c r="BT40" s="100">
        <v>4.1984146737855356E-4</v>
      </c>
      <c r="BU40" s="100">
        <v>0.30430109555597562</v>
      </c>
      <c r="BV40" s="100">
        <v>6</v>
      </c>
      <c r="BW40" s="100">
        <v>4348.7999999999993</v>
      </c>
      <c r="BX40" s="100">
        <v>6</v>
      </c>
      <c r="BY40" s="100">
        <v>4348.7999999999993</v>
      </c>
      <c r="BZ40" s="100">
        <v>9</v>
      </c>
      <c r="CA40" s="100">
        <v>6523.2</v>
      </c>
      <c r="CB40" s="100">
        <v>8</v>
      </c>
      <c r="CC40" s="100">
        <v>5798.4</v>
      </c>
      <c r="CD40" s="100">
        <v>6.1737934318246266</v>
      </c>
      <c r="CE40" s="100">
        <v>4474.7654793864895</v>
      </c>
      <c r="CF40" s="100">
        <v>0.31417289265015097</v>
      </c>
      <c r="CG40" s="100">
        <v>227.7125125928294</v>
      </c>
      <c r="CH40" s="100">
        <v>10</v>
      </c>
      <c r="CI40" s="100">
        <v>7248</v>
      </c>
      <c r="CJ40" s="100">
        <v>9</v>
      </c>
      <c r="CK40" s="100">
        <v>6523.2</v>
      </c>
      <c r="CL40" s="100">
        <v>5.2662839230037051</v>
      </c>
      <c r="CM40" s="100">
        <v>3817.0025873930854</v>
      </c>
      <c r="CN40" s="100">
        <v>7.7330929561094157</v>
      </c>
      <c r="CO40" s="100">
        <v>5604.9457745881045</v>
      </c>
      <c r="CP40" s="100">
        <v>10</v>
      </c>
      <c r="CQ40" s="100">
        <v>7248</v>
      </c>
      <c r="CR40" s="100">
        <v>7</v>
      </c>
      <c r="CS40" s="100">
        <v>5073.5999999999995</v>
      </c>
      <c r="CT40" s="100">
        <v>9.23219120409418</v>
      </c>
      <c r="CU40" s="100">
        <v>6691.4921847274609</v>
      </c>
    </row>
    <row r="41" spans="2:99">
      <c r="C41" s="99" t="s">
        <v>207</v>
      </c>
      <c r="D41" s="100">
        <v>6</v>
      </c>
      <c r="E41" s="100">
        <v>3960</v>
      </c>
      <c r="F41" s="100">
        <v>7</v>
      </c>
      <c r="G41" s="100">
        <v>4620</v>
      </c>
      <c r="H41" s="100">
        <v>7</v>
      </c>
      <c r="I41" s="100">
        <v>4620</v>
      </c>
      <c r="J41" s="100">
        <v>6.6071295159489223</v>
      </c>
      <c r="K41" s="100">
        <v>4360.7054805262887</v>
      </c>
      <c r="L41" s="100">
        <v>2.7973246256818047</v>
      </c>
      <c r="M41" s="100">
        <v>1846.2342529499911</v>
      </c>
      <c r="N41" s="100">
        <v>8</v>
      </c>
      <c r="O41" s="100">
        <v>5280</v>
      </c>
      <c r="P41" s="100">
        <v>5</v>
      </c>
      <c r="Q41" s="100">
        <v>3300</v>
      </c>
      <c r="R41" s="100">
        <v>7</v>
      </c>
      <c r="S41" s="100">
        <v>4620</v>
      </c>
      <c r="T41" s="100">
        <v>8</v>
      </c>
      <c r="U41" s="100">
        <v>5280</v>
      </c>
      <c r="V41" s="100">
        <v>5.3253383298354198</v>
      </c>
      <c r="W41" s="100">
        <v>3514.723297691377</v>
      </c>
      <c r="X41" s="100">
        <v>3.7280204645865873</v>
      </c>
      <c r="Y41" s="100">
        <v>2460.4935066271478</v>
      </c>
      <c r="Z41" s="100">
        <v>9.1675361731353888</v>
      </c>
      <c r="AA41" s="100">
        <v>6050.5738742693566</v>
      </c>
      <c r="AB41" s="100">
        <v>6.8769797940986663</v>
      </c>
      <c r="AC41" s="100">
        <v>4538.80666410512</v>
      </c>
      <c r="AD41" s="100">
        <v>7</v>
      </c>
      <c r="AE41" s="100">
        <v>4620</v>
      </c>
      <c r="AF41" s="100">
        <v>7</v>
      </c>
      <c r="AG41" s="100">
        <v>4620</v>
      </c>
      <c r="AH41" s="100">
        <v>7</v>
      </c>
      <c r="AI41" s="100">
        <v>4620</v>
      </c>
      <c r="AJ41" s="100">
        <v>8.4233761374911182</v>
      </c>
      <c r="AK41" s="100">
        <v>5559.4282507441385</v>
      </c>
      <c r="AL41" s="100">
        <v>2.6319260698124824</v>
      </c>
      <c r="AM41" s="100">
        <v>1737.0712060762385</v>
      </c>
      <c r="AN41" s="100">
        <v>6</v>
      </c>
      <c r="AO41" s="100">
        <v>3960</v>
      </c>
      <c r="AP41" s="100">
        <v>5.5403809509540842</v>
      </c>
      <c r="AQ41" s="100">
        <v>3656.6514276296957</v>
      </c>
      <c r="AR41" s="100">
        <v>1.9077764454267951</v>
      </c>
      <c r="AS41" s="100">
        <v>1259.1324539816849</v>
      </c>
      <c r="AT41" s="100">
        <v>4.7447435054748386</v>
      </c>
      <c r="AU41" s="100">
        <v>3131.5307136133933</v>
      </c>
      <c r="AV41" s="100">
        <v>10</v>
      </c>
      <c r="AW41" s="100">
        <v>6600</v>
      </c>
      <c r="AX41" s="100">
        <v>10.494668117185773</v>
      </c>
      <c r="AY41" s="100">
        <v>6926.4809573426101</v>
      </c>
      <c r="AZ41" s="100">
        <v>1.2163312248762006</v>
      </c>
      <c r="BA41" s="100">
        <v>802.77860841829238</v>
      </c>
      <c r="BB41" s="100">
        <v>6.8608638143365503</v>
      </c>
      <c r="BC41" s="100">
        <v>4528.170117462123</v>
      </c>
      <c r="BD41" s="100">
        <v>3.0965548800314751</v>
      </c>
      <c r="BE41" s="100">
        <v>2043.7262208207735</v>
      </c>
      <c r="BF41" s="100">
        <v>5.3927561876070413</v>
      </c>
      <c r="BG41" s="100">
        <v>3559.2190838206475</v>
      </c>
      <c r="BH41" s="100">
        <v>5.5229332227243919</v>
      </c>
      <c r="BI41" s="100">
        <v>3645.1359269980985</v>
      </c>
      <c r="BJ41" s="100">
        <v>4.8178754373860588</v>
      </c>
      <c r="BK41" s="100">
        <v>3179.797788674799</v>
      </c>
      <c r="BL41" s="100">
        <v>6</v>
      </c>
      <c r="BM41" s="100">
        <v>3960</v>
      </c>
      <c r="BN41" s="100">
        <v>7</v>
      </c>
      <c r="BO41" s="100">
        <v>4620</v>
      </c>
      <c r="BP41" s="100">
        <v>9</v>
      </c>
      <c r="BQ41" s="100">
        <v>5940</v>
      </c>
      <c r="BR41" s="100">
        <v>8.2482744756030471</v>
      </c>
      <c r="BS41" s="100">
        <v>5443.8611538980113</v>
      </c>
      <c r="BT41" s="100">
        <v>4.1984146737855356E-4</v>
      </c>
      <c r="BU41" s="100">
        <v>0.27709536846984534</v>
      </c>
      <c r="BV41" s="100">
        <v>6</v>
      </c>
      <c r="BW41" s="100">
        <v>3960</v>
      </c>
      <c r="BX41" s="100">
        <v>6</v>
      </c>
      <c r="BY41" s="100">
        <v>3960</v>
      </c>
      <c r="BZ41" s="100">
        <v>9</v>
      </c>
      <c r="CA41" s="100">
        <v>5940</v>
      </c>
      <c r="CB41" s="100">
        <v>10</v>
      </c>
      <c r="CC41" s="100">
        <v>6600</v>
      </c>
      <c r="CD41" s="100">
        <v>6.1629313423355878</v>
      </c>
      <c r="CE41" s="100">
        <v>4067.5346859414881</v>
      </c>
      <c r="CF41" s="100">
        <v>0.31417289265015097</v>
      </c>
      <c r="CG41" s="100">
        <v>207.35410914909963</v>
      </c>
      <c r="CH41" s="100">
        <v>9</v>
      </c>
      <c r="CI41" s="100">
        <v>5940</v>
      </c>
      <c r="CJ41" s="100">
        <v>10</v>
      </c>
      <c r="CK41" s="100">
        <v>6600</v>
      </c>
      <c r="CL41" s="100">
        <v>6.2662839230037051</v>
      </c>
      <c r="CM41" s="100">
        <v>4135.7473891824457</v>
      </c>
      <c r="CN41" s="100">
        <v>6.9597836604984744</v>
      </c>
      <c r="CO41" s="100">
        <v>4593.4572159289928</v>
      </c>
      <c r="CP41" s="100">
        <v>10</v>
      </c>
      <c r="CQ41" s="100">
        <v>6600</v>
      </c>
      <c r="CR41" s="100">
        <v>7</v>
      </c>
      <c r="CS41" s="100">
        <v>4620</v>
      </c>
      <c r="CT41" s="100">
        <v>8.2554103245035986</v>
      </c>
      <c r="CU41" s="100">
        <v>5448.5708141723753</v>
      </c>
    </row>
    <row r="42" spans="2:99">
      <c r="C42" s="99" t="s">
        <v>208</v>
      </c>
      <c r="D42" s="100">
        <v>7</v>
      </c>
      <c r="E42" s="100">
        <v>5922</v>
      </c>
      <c r="F42" s="100">
        <v>7</v>
      </c>
      <c r="G42" s="100">
        <v>5922</v>
      </c>
      <c r="H42" s="100">
        <v>6</v>
      </c>
      <c r="I42" s="100">
        <v>5076</v>
      </c>
      <c r="J42" s="100">
        <v>5.5137249750337034</v>
      </c>
      <c r="K42" s="100">
        <v>4664.6113288785127</v>
      </c>
      <c r="L42" s="100">
        <v>2.3977068220129754</v>
      </c>
      <c r="M42" s="100">
        <v>2028.4599714229771</v>
      </c>
      <c r="N42" s="100">
        <v>8</v>
      </c>
      <c r="O42" s="100">
        <v>6768</v>
      </c>
      <c r="P42" s="100">
        <v>5</v>
      </c>
      <c r="Q42" s="100">
        <v>4230</v>
      </c>
      <c r="R42" s="100">
        <v>8</v>
      </c>
      <c r="S42" s="100">
        <v>6768</v>
      </c>
      <c r="T42" s="100">
        <v>8</v>
      </c>
      <c r="U42" s="100">
        <v>6768</v>
      </c>
      <c r="V42" s="100">
        <v>5.3253383298354198</v>
      </c>
      <c r="W42" s="100">
        <v>4505.2362270407648</v>
      </c>
      <c r="X42" s="100">
        <v>3.1954461125027893</v>
      </c>
      <c r="Y42" s="100">
        <v>2703.3474111773598</v>
      </c>
      <c r="Z42" s="100">
        <v>9</v>
      </c>
      <c r="AA42" s="100">
        <v>7614</v>
      </c>
      <c r="AB42" s="100">
        <v>6.8769797940986663</v>
      </c>
      <c r="AC42" s="100">
        <v>5817.924905807472</v>
      </c>
      <c r="AD42" s="100">
        <v>6</v>
      </c>
      <c r="AE42" s="100">
        <v>5076</v>
      </c>
      <c r="AF42" s="100">
        <v>6.2694383770537643</v>
      </c>
      <c r="AG42" s="100">
        <v>5303.9448669874846</v>
      </c>
      <c r="AH42" s="100">
        <v>6</v>
      </c>
      <c r="AI42" s="100">
        <v>5076</v>
      </c>
      <c r="AJ42" s="100">
        <v>7.3880947927001923</v>
      </c>
      <c r="AK42" s="100">
        <v>6250.3281946243624</v>
      </c>
      <c r="AL42" s="100">
        <v>3.2899075872656027</v>
      </c>
      <c r="AM42" s="100">
        <v>2783.2618188266997</v>
      </c>
      <c r="AN42" s="100">
        <v>6</v>
      </c>
      <c r="AO42" s="100">
        <v>5076</v>
      </c>
      <c r="AP42" s="100">
        <v>5.5403809509540842</v>
      </c>
      <c r="AQ42" s="100">
        <v>4687.1622845071552</v>
      </c>
      <c r="AR42" s="100">
        <v>1.9077764454267951</v>
      </c>
      <c r="AS42" s="100">
        <v>1613.9788728310687</v>
      </c>
      <c r="AT42" s="100">
        <v>5.422564006256958</v>
      </c>
      <c r="AU42" s="100">
        <v>4587.4891492933866</v>
      </c>
      <c r="AV42" s="100">
        <v>10</v>
      </c>
      <c r="AW42" s="100">
        <v>8460</v>
      </c>
      <c r="AX42" s="100">
        <v>8.5441349289043504</v>
      </c>
      <c r="AY42" s="100">
        <v>7228.3381498530807</v>
      </c>
      <c r="AZ42" s="100">
        <v>1.0642898217666756</v>
      </c>
      <c r="BA42" s="100">
        <v>900.38918921460754</v>
      </c>
      <c r="BB42" s="100">
        <v>6.0671898381306475</v>
      </c>
      <c r="BC42" s="100">
        <v>5132.8426030585279</v>
      </c>
      <c r="BD42" s="100">
        <v>3.1025084517976298</v>
      </c>
      <c r="BE42" s="100">
        <v>2624.7221502207949</v>
      </c>
      <c r="BF42" s="100">
        <v>5.3927561876070413</v>
      </c>
      <c r="BG42" s="100">
        <v>4562.2717347155567</v>
      </c>
      <c r="BH42" s="100">
        <v>4.9092739757550152</v>
      </c>
      <c r="BI42" s="100">
        <v>4153.2457834887427</v>
      </c>
      <c r="BJ42" s="100">
        <v>5.6208546769504011</v>
      </c>
      <c r="BK42" s="100">
        <v>4755.2430567000392</v>
      </c>
      <c r="BL42" s="100">
        <v>6</v>
      </c>
      <c r="BM42" s="100">
        <v>5076</v>
      </c>
      <c r="BN42" s="100">
        <v>7</v>
      </c>
      <c r="BO42" s="100">
        <v>5922</v>
      </c>
      <c r="BP42" s="100">
        <v>10</v>
      </c>
      <c r="BQ42" s="100">
        <v>8460</v>
      </c>
      <c r="BR42" s="100">
        <v>7.3040841798339207</v>
      </c>
      <c r="BS42" s="100">
        <v>6179.255216139497</v>
      </c>
      <c r="BT42" s="100">
        <v>4.1984146737855356E-4</v>
      </c>
      <c r="BU42" s="100">
        <v>0.35518588140225632</v>
      </c>
      <c r="BV42" s="100">
        <v>6</v>
      </c>
      <c r="BW42" s="100">
        <v>5076</v>
      </c>
      <c r="BX42" s="100">
        <v>7</v>
      </c>
      <c r="BY42" s="100">
        <v>5922</v>
      </c>
      <c r="BZ42" s="100">
        <v>9</v>
      </c>
      <c r="CA42" s="100">
        <v>7614</v>
      </c>
      <c r="CB42" s="100">
        <v>9</v>
      </c>
      <c r="CC42" s="100">
        <v>7614</v>
      </c>
      <c r="CD42" s="100">
        <v>6.1412071633575094</v>
      </c>
      <c r="CE42" s="100">
        <v>5195.4612602004527</v>
      </c>
      <c r="CF42" s="100">
        <v>0.35344450423141976</v>
      </c>
      <c r="CG42" s="100">
        <v>299.0140505797811</v>
      </c>
      <c r="CH42" s="100">
        <v>9</v>
      </c>
      <c r="CI42" s="100">
        <v>7614</v>
      </c>
      <c r="CJ42" s="100">
        <v>8</v>
      </c>
      <c r="CK42" s="100">
        <v>6768</v>
      </c>
      <c r="CL42" s="100">
        <v>5.2396555307033346</v>
      </c>
      <c r="CM42" s="100">
        <v>4432.7485789750208</v>
      </c>
      <c r="CN42" s="100">
        <v>7.7330929561094157</v>
      </c>
      <c r="CO42" s="100">
        <v>6542.1966408685657</v>
      </c>
      <c r="CP42" s="100">
        <v>9</v>
      </c>
      <c r="CQ42" s="100">
        <v>7614</v>
      </c>
      <c r="CR42" s="100">
        <v>7</v>
      </c>
      <c r="CS42" s="100">
        <v>5922</v>
      </c>
      <c r="CT42" s="100">
        <v>8.23219120409418</v>
      </c>
      <c r="CU42" s="100">
        <v>6964.4337586636766</v>
      </c>
    </row>
    <row r="43" spans="2:99">
      <c r="C43" s="99" t="s">
        <v>209</v>
      </c>
      <c r="D43" s="100">
        <v>6</v>
      </c>
      <c r="E43" s="100">
        <v>6134.4</v>
      </c>
      <c r="F43" s="100">
        <v>7</v>
      </c>
      <c r="G43" s="100">
        <v>7156.8</v>
      </c>
      <c r="H43" s="100">
        <v>6</v>
      </c>
      <c r="I43" s="100">
        <v>6134.4</v>
      </c>
      <c r="J43" s="100">
        <v>6.5137249750337034</v>
      </c>
      <c r="K43" s="100">
        <v>6659.6324144744585</v>
      </c>
      <c r="L43" s="100">
        <v>2.3977068220129754</v>
      </c>
      <c r="M43" s="100">
        <v>2451.4154548260658</v>
      </c>
      <c r="N43" s="100">
        <v>8</v>
      </c>
      <c r="O43" s="100">
        <v>8179.2</v>
      </c>
      <c r="P43" s="100">
        <v>4</v>
      </c>
      <c r="Q43" s="100">
        <v>4089.6</v>
      </c>
      <c r="R43" s="100">
        <v>8</v>
      </c>
      <c r="S43" s="100">
        <v>8179.2</v>
      </c>
      <c r="T43" s="100">
        <v>7</v>
      </c>
      <c r="U43" s="100">
        <v>7156.8</v>
      </c>
      <c r="V43" s="100">
        <v>4.1808864223956448</v>
      </c>
      <c r="W43" s="100">
        <v>4274.538278257307</v>
      </c>
      <c r="X43" s="100">
        <v>3.1954461125027893</v>
      </c>
      <c r="Y43" s="100">
        <v>3267.0241054228518</v>
      </c>
      <c r="Z43" s="100">
        <v>9</v>
      </c>
      <c r="AA43" s="100">
        <v>9201.6</v>
      </c>
      <c r="AB43" s="100">
        <v>7.8594054789699044</v>
      </c>
      <c r="AC43" s="100">
        <v>8035.4561616988303</v>
      </c>
      <c r="AD43" s="100">
        <v>6</v>
      </c>
      <c r="AE43" s="100">
        <v>6134.4</v>
      </c>
      <c r="AF43" s="100">
        <v>6</v>
      </c>
      <c r="AG43" s="100">
        <v>6134.4</v>
      </c>
      <c r="AH43" s="100">
        <v>6</v>
      </c>
      <c r="AI43" s="100">
        <v>6134.4</v>
      </c>
      <c r="AJ43" s="100">
        <v>6.3880947927001923</v>
      </c>
      <c r="AK43" s="100">
        <v>6531.1881160566763</v>
      </c>
      <c r="AL43" s="100">
        <v>3.2899075872656027</v>
      </c>
      <c r="AM43" s="100">
        <v>3363.601517220352</v>
      </c>
      <c r="AN43" s="100">
        <v>6</v>
      </c>
      <c r="AO43" s="100">
        <v>6134.4</v>
      </c>
      <c r="AP43" s="100">
        <v>5.5403809509540842</v>
      </c>
      <c r="AQ43" s="100">
        <v>5664.485484255456</v>
      </c>
      <c r="AR43" s="100">
        <v>1.9077764454267951</v>
      </c>
      <c r="AS43" s="100">
        <v>1950.5106378043554</v>
      </c>
      <c r="AT43" s="100">
        <v>4.7447435054748386</v>
      </c>
      <c r="AU43" s="100">
        <v>4851.0257599974748</v>
      </c>
      <c r="AV43" s="100">
        <v>9</v>
      </c>
      <c r="AW43" s="100">
        <v>9201.6</v>
      </c>
      <c r="AX43" s="100">
        <v>10.445201305467197</v>
      </c>
      <c r="AY43" s="100">
        <v>10679.173814709662</v>
      </c>
      <c r="AZ43" s="100">
        <v>1.2163312248762006</v>
      </c>
      <c r="BA43" s="100">
        <v>1243.5770443134275</v>
      </c>
      <c r="BB43" s="100">
        <v>6.9395518150579854</v>
      </c>
      <c r="BC43" s="100">
        <v>7094.9977757152838</v>
      </c>
      <c r="BD43" s="100">
        <v>2.7610928303568674</v>
      </c>
      <c r="BE43" s="100">
        <v>2822.9413097568613</v>
      </c>
      <c r="BF43" s="100">
        <v>6.141598822543596</v>
      </c>
      <c r="BG43" s="100">
        <v>6279.1706361685729</v>
      </c>
      <c r="BH43" s="100">
        <v>5.5229332227243919</v>
      </c>
      <c r="BI43" s="100">
        <v>5646.6469269134186</v>
      </c>
      <c r="BJ43" s="100">
        <v>4.8178754373860588</v>
      </c>
      <c r="BK43" s="100">
        <v>4925.7958471835063</v>
      </c>
      <c r="BL43" s="100">
        <v>5</v>
      </c>
      <c r="BM43" s="100">
        <v>5112</v>
      </c>
      <c r="BN43" s="100">
        <v>6</v>
      </c>
      <c r="BO43" s="100">
        <v>6134.4</v>
      </c>
      <c r="BP43" s="100">
        <v>10</v>
      </c>
      <c r="BQ43" s="100">
        <v>10224</v>
      </c>
      <c r="BR43" s="100">
        <v>8.2482744756030471</v>
      </c>
      <c r="BS43" s="100">
        <v>8433.035823856555</v>
      </c>
      <c r="BT43" s="100">
        <v>3.49867889482128E-4</v>
      </c>
      <c r="BU43" s="100">
        <v>0.35770493020652766</v>
      </c>
      <c r="BV43" s="100">
        <v>6</v>
      </c>
      <c r="BW43" s="100">
        <v>6134.4</v>
      </c>
      <c r="BX43" s="100">
        <v>6</v>
      </c>
      <c r="BY43" s="100">
        <v>6134.4</v>
      </c>
      <c r="BZ43" s="100">
        <v>8</v>
      </c>
      <c r="CA43" s="100">
        <v>8179.2</v>
      </c>
      <c r="CB43" s="100">
        <v>9</v>
      </c>
      <c r="CC43" s="100">
        <v>9201.6</v>
      </c>
      <c r="CD43" s="100">
        <v>7.1412071633575094</v>
      </c>
      <c r="CE43" s="100">
        <v>7301.1702038167177</v>
      </c>
      <c r="CF43" s="100">
        <v>0.35344450423141976</v>
      </c>
      <c r="CG43" s="100">
        <v>361.36166112620356</v>
      </c>
      <c r="CH43" s="100">
        <v>9</v>
      </c>
      <c r="CI43" s="100">
        <v>9201.6</v>
      </c>
      <c r="CJ43" s="100">
        <v>9</v>
      </c>
      <c r="CK43" s="100">
        <v>9201.6</v>
      </c>
      <c r="CL43" s="100">
        <v>5.2662839230037051</v>
      </c>
      <c r="CM43" s="100">
        <v>5384.2486828789879</v>
      </c>
      <c r="CN43" s="100">
        <v>6.1864743648875322</v>
      </c>
      <c r="CO43" s="100">
        <v>6325.0513906610131</v>
      </c>
      <c r="CP43" s="100">
        <v>10</v>
      </c>
      <c r="CQ43" s="100">
        <v>10224</v>
      </c>
      <c r="CR43" s="100">
        <v>6</v>
      </c>
      <c r="CS43" s="100">
        <v>6134.4</v>
      </c>
      <c r="CT43" s="100">
        <v>8.2786294449130171</v>
      </c>
      <c r="CU43" s="100">
        <v>8464.0707444790678</v>
      </c>
    </row>
    <row r="44" spans="2:99">
      <c r="C44" s="99" t="s">
        <v>210</v>
      </c>
      <c r="D44" s="100">
        <v>6</v>
      </c>
      <c r="E44" s="100">
        <v>6134.4</v>
      </c>
      <c r="F44" s="100">
        <v>7</v>
      </c>
      <c r="G44" s="100">
        <v>7156.8</v>
      </c>
      <c r="H44" s="100">
        <v>7</v>
      </c>
      <c r="I44" s="100">
        <v>7156.8</v>
      </c>
      <c r="J44" s="100">
        <v>7.5137249750337034</v>
      </c>
      <c r="K44" s="100">
        <v>7682.0324144744582</v>
      </c>
      <c r="L44" s="100">
        <v>2.7973246256818047</v>
      </c>
      <c r="M44" s="100">
        <v>2859.9846972970772</v>
      </c>
      <c r="N44" s="100">
        <v>9</v>
      </c>
      <c r="O44" s="100">
        <v>9201.6</v>
      </c>
      <c r="P44" s="100">
        <v>5</v>
      </c>
      <c r="Q44" s="100">
        <v>5112</v>
      </c>
      <c r="R44" s="100">
        <v>8</v>
      </c>
      <c r="S44" s="100">
        <v>8179.2</v>
      </c>
      <c r="T44" s="100">
        <v>7</v>
      </c>
      <c r="U44" s="100">
        <v>7156.8</v>
      </c>
      <c r="V44" s="100">
        <v>5.2973133641117247</v>
      </c>
      <c r="W44" s="100">
        <v>5415.9731834678269</v>
      </c>
      <c r="X44" s="100">
        <v>3.1954461125027893</v>
      </c>
      <c r="Y44" s="100">
        <v>3267.0241054228518</v>
      </c>
      <c r="Z44" s="100">
        <v>8</v>
      </c>
      <c r="AA44" s="100">
        <v>8179.2</v>
      </c>
      <c r="AB44" s="100">
        <v>7.8594054789699044</v>
      </c>
      <c r="AC44" s="100">
        <v>8035.4561616988303</v>
      </c>
      <c r="AD44" s="100">
        <v>7</v>
      </c>
      <c r="AE44" s="100">
        <v>7156.8</v>
      </c>
      <c r="AF44" s="100">
        <v>7.2487123480496285</v>
      </c>
      <c r="AG44" s="100">
        <v>7411.0835046459397</v>
      </c>
      <c r="AH44" s="100">
        <v>7</v>
      </c>
      <c r="AI44" s="100">
        <v>7156.8</v>
      </c>
      <c r="AJ44" s="100">
        <v>6.3528134479092655</v>
      </c>
      <c r="AK44" s="100">
        <v>6495.1164691424328</v>
      </c>
      <c r="AL44" s="100">
        <v>3.2899075872656027</v>
      </c>
      <c r="AM44" s="100">
        <v>3363.601517220352</v>
      </c>
      <c r="AN44" s="100">
        <v>7</v>
      </c>
      <c r="AO44" s="100">
        <v>7156.8</v>
      </c>
      <c r="AP44" s="100">
        <v>5.5403809509540842</v>
      </c>
      <c r="AQ44" s="100">
        <v>5664.485484255456</v>
      </c>
      <c r="AR44" s="100">
        <v>2.1803159376306231</v>
      </c>
      <c r="AS44" s="100">
        <v>2229.1550146335489</v>
      </c>
      <c r="AT44" s="100">
        <v>4.7447435054748386</v>
      </c>
      <c r="AU44" s="100">
        <v>4851.0257599974748</v>
      </c>
      <c r="AV44" s="100">
        <v>8</v>
      </c>
      <c r="AW44" s="100">
        <v>8179.2</v>
      </c>
      <c r="AX44" s="100">
        <v>8.4452013054671973</v>
      </c>
      <c r="AY44" s="100">
        <v>8634.3738147096628</v>
      </c>
      <c r="AZ44" s="100">
        <v>1.0642898217666756</v>
      </c>
      <c r="BA44" s="100">
        <v>1088.1299137742492</v>
      </c>
      <c r="BB44" s="100">
        <v>6.900207814697267</v>
      </c>
      <c r="BC44" s="100">
        <v>7054.7724697464855</v>
      </c>
      <c r="BD44" s="100">
        <v>3.0965548800314751</v>
      </c>
      <c r="BE44" s="100">
        <v>3165.9177093441799</v>
      </c>
      <c r="BF44" s="100">
        <v>6.141598822543596</v>
      </c>
      <c r="BG44" s="100">
        <v>6279.1706361685729</v>
      </c>
      <c r="BH44" s="100">
        <v>5.5229332227243919</v>
      </c>
      <c r="BI44" s="100">
        <v>5646.6469269134186</v>
      </c>
      <c r="BJ44" s="100">
        <v>5.6208546769504011</v>
      </c>
      <c r="BK44" s="100">
        <v>5746.7618217140898</v>
      </c>
      <c r="BL44" s="100">
        <v>5</v>
      </c>
      <c r="BM44" s="100">
        <v>5112</v>
      </c>
      <c r="BN44" s="100">
        <v>6</v>
      </c>
      <c r="BO44" s="100">
        <v>6134.4</v>
      </c>
      <c r="BP44" s="100">
        <v>9</v>
      </c>
      <c r="BQ44" s="100">
        <v>9201.6</v>
      </c>
      <c r="BR44" s="100">
        <v>7.3406500803312911</v>
      </c>
      <c r="BS44" s="100">
        <v>7505.0806421307116</v>
      </c>
      <c r="BT44" s="100">
        <v>4.1984146737855356E-4</v>
      </c>
      <c r="BU44" s="100">
        <v>0.42924591624783315</v>
      </c>
      <c r="BV44" s="100">
        <v>6</v>
      </c>
      <c r="BW44" s="100">
        <v>6134.4</v>
      </c>
      <c r="BX44" s="100">
        <v>6</v>
      </c>
      <c r="BY44" s="100">
        <v>6134.4</v>
      </c>
      <c r="BZ44" s="100">
        <v>8</v>
      </c>
      <c r="CA44" s="100">
        <v>8179.2</v>
      </c>
      <c r="CB44" s="100">
        <v>9</v>
      </c>
      <c r="CC44" s="100">
        <v>9201.6</v>
      </c>
      <c r="CD44" s="100">
        <v>7.1520692528465482</v>
      </c>
      <c r="CE44" s="100">
        <v>7312.2756041103103</v>
      </c>
      <c r="CF44" s="100">
        <v>0.31417289265015097</v>
      </c>
      <c r="CG44" s="100">
        <v>321.21036544551436</v>
      </c>
      <c r="CH44" s="100">
        <v>9</v>
      </c>
      <c r="CI44" s="100">
        <v>9201.6</v>
      </c>
      <c r="CJ44" s="100">
        <v>10</v>
      </c>
      <c r="CK44" s="100">
        <v>10224</v>
      </c>
      <c r="CL44" s="100">
        <v>5.2130271384029641</v>
      </c>
      <c r="CM44" s="100">
        <v>5329.79894630319</v>
      </c>
      <c r="CN44" s="100">
        <v>6.9597836604984744</v>
      </c>
      <c r="CO44" s="100">
        <v>7115.6828144936399</v>
      </c>
      <c r="CP44" s="100">
        <v>10</v>
      </c>
      <c r="CQ44" s="100">
        <v>10224</v>
      </c>
      <c r="CR44" s="100">
        <v>7</v>
      </c>
      <c r="CS44" s="100">
        <v>7156.8</v>
      </c>
      <c r="CT44" s="100">
        <v>9.23219120409418</v>
      </c>
      <c r="CU44" s="100">
        <v>9438.9922870658902</v>
      </c>
    </row>
    <row r="45" spans="2:99">
      <c r="C45" s="99" t="s">
        <v>211</v>
      </c>
      <c r="D45" s="100">
        <v>6</v>
      </c>
      <c r="E45" s="100">
        <v>7495.2000000000007</v>
      </c>
      <c r="F45" s="100">
        <v>6</v>
      </c>
      <c r="G45" s="100">
        <v>7495.2000000000007</v>
      </c>
      <c r="H45" s="100">
        <v>6</v>
      </c>
      <c r="I45" s="100">
        <v>7495.2000000000007</v>
      </c>
      <c r="J45" s="100">
        <v>7.5604272454913133</v>
      </c>
      <c r="K45" s="100">
        <v>9444.485715067749</v>
      </c>
      <c r="L45" s="100">
        <v>2.3977068220129754</v>
      </c>
      <c r="M45" s="100">
        <v>2995.2153620586091</v>
      </c>
      <c r="N45" s="100">
        <v>9</v>
      </c>
      <c r="O45" s="100">
        <v>11242.800000000001</v>
      </c>
      <c r="P45" s="100">
        <v>4</v>
      </c>
      <c r="Q45" s="100">
        <v>4996.8</v>
      </c>
      <c r="R45" s="100">
        <v>7</v>
      </c>
      <c r="S45" s="100">
        <v>8744.4</v>
      </c>
      <c r="T45" s="100">
        <v>7</v>
      </c>
      <c r="U45" s="100">
        <v>8744.4</v>
      </c>
      <c r="V45" s="100">
        <v>5.2973133641117247</v>
      </c>
      <c r="W45" s="100">
        <v>6617.4038544483665</v>
      </c>
      <c r="X45" s="100">
        <v>3.1954461125027893</v>
      </c>
      <c r="Y45" s="100">
        <v>3991.7512837384847</v>
      </c>
      <c r="Z45" s="100">
        <v>10</v>
      </c>
      <c r="AA45" s="100">
        <v>12492</v>
      </c>
      <c r="AB45" s="100">
        <v>7.8594054789699044</v>
      </c>
      <c r="AC45" s="100">
        <v>9817.969324329204</v>
      </c>
      <c r="AD45" s="100">
        <v>7</v>
      </c>
      <c r="AE45" s="100">
        <v>8744.4</v>
      </c>
      <c r="AF45" s="100">
        <v>6.2487123480496285</v>
      </c>
      <c r="AG45" s="100">
        <v>7805.8914651835958</v>
      </c>
      <c r="AH45" s="100">
        <v>7</v>
      </c>
      <c r="AI45" s="100">
        <v>8744.4</v>
      </c>
      <c r="AJ45" s="100">
        <v>7.3528134479092655</v>
      </c>
      <c r="AK45" s="100">
        <v>9185.1345591282552</v>
      </c>
      <c r="AL45" s="100">
        <v>3.2899075872656027</v>
      </c>
      <c r="AM45" s="100">
        <v>4109.752558012191</v>
      </c>
      <c r="AN45" s="100">
        <v>6</v>
      </c>
      <c r="AO45" s="100">
        <v>7495.2000000000007</v>
      </c>
      <c r="AP45" s="100">
        <v>6.4988131854960782</v>
      </c>
      <c r="AQ45" s="100">
        <v>8118.3174313217014</v>
      </c>
      <c r="AR45" s="100">
        <v>1.9077764454267951</v>
      </c>
      <c r="AS45" s="100">
        <v>2383.1943356271527</v>
      </c>
      <c r="AT45" s="100">
        <v>5.422564006256958</v>
      </c>
      <c r="AU45" s="100">
        <v>6773.8669566161925</v>
      </c>
      <c r="AV45" s="100">
        <v>9</v>
      </c>
      <c r="AW45" s="100">
        <v>11242.800000000001</v>
      </c>
      <c r="AX45" s="100">
        <v>8.494668117185773</v>
      </c>
      <c r="AY45" s="100">
        <v>10611.539411988468</v>
      </c>
      <c r="AZ45" s="100">
        <v>1.2163312248762006</v>
      </c>
      <c r="BA45" s="100">
        <v>1519.4409661153497</v>
      </c>
      <c r="BB45" s="100">
        <v>6.1458778388520816</v>
      </c>
      <c r="BC45" s="100">
        <v>7677.4305962940207</v>
      </c>
      <c r="BD45" s="100">
        <v>3.0965548800314751</v>
      </c>
      <c r="BE45" s="100">
        <v>3868.2163561353186</v>
      </c>
      <c r="BF45" s="100">
        <v>6.141598822543596</v>
      </c>
      <c r="BG45" s="100">
        <v>7672.08524912146</v>
      </c>
      <c r="BH45" s="100">
        <v>4.9092739757550152</v>
      </c>
      <c r="BI45" s="100">
        <v>6132.6650505131656</v>
      </c>
      <c r="BJ45" s="100">
        <v>4.8178754373860588</v>
      </c>
      <c r="BK45" s="100">
        <v>6018.4899963826647</v>
      </c>
      <c r="BL45" s="100">
        <v>6</v>
      </c>
      <c r="BM45" s="100">
        <v>7495.2000000000007</v>
      </c>
      <c r="BN45" s="100">
        <v>7</v>
      </c>
      <c r="BO45" s="100">
        <v>8744.4</v>
      </c>
      <c r="BP45" s="100">
        <v>9</v>
      </c>
      <c r="BQ45" s="100">
        <v>11242.800000000001</v>
      </c>
      <c r="BR45" s="100">
        <v>8.2482744756030471</v>
      </c>
      <c r="BS45" s="100">
        <v>10303.744474923327</v>
      </c>
      <c r="BT45" s="100">
        <v>4.1984146737855356E-4</v>
      </c>
      <c r="BU45" s="100">
        <v>0.52446596104928911</v>
      </c>
      <c r="BV45" s="100">
        <v>6</v>
      </c>
      <c r="BW45" s="100">
        <v>7495.2000000000007</v>
      </c>
      <c r="BX45" s="100">
        <v>7</v>
      </c>
      <c r="BY45" s="100">
        <v>8744.4</v>
      </c>
      <c r="BZ45" s="100">
        <v>8</v>
      </c>
      <c r="CA45" s="100">
        <v>9993.6</v>
      </c>
      <c r="CB45" s="100">
        <v>9</v>
      </c>
      <c r="CC45" s="100">
        <v>11242.800000000001</v>
      </c>
      <c r="CD45" s="100">
        <v>6.1629313423355878</v>
      </c>
      <c r="CE45" s="100">
        <v>7698.7338328456162</v>
      </c>
      <c r="CF45" s="100">
        <v>0.31417289265015097</v>
      </c>
      <c r="CG45" s="100">
        <v>392.46477749856859</v>
      </c>
      <c r="CH45" s="100">
        <v>9</v>
      </c>
      <c r="CI45" s="100">
        <v>11242.800000000001</v>
      </c>
      <c r="CJ45" s="100">
        <v>8</v>
      </c>
      <c r="CK45" s="100">
        <v>9993.6</v>
      </c>
      <c r="CL45" s="100">
        <v>5.2396555307033346</v>
      </c>
      <c r="CM45" s="100">
        <v>6545.3776889546061</v>
      </c>
      <c r="CN45" s="100">
        <v>6.9597836604984744</v>
      </c>
      <c r="CO45" s="100">
        <v>8694.1617486946943</v>
      </c>
      <c r="CP45" s="100">
        <v>9</v>
      </c>
      <c r="CQ45" s="100">
        <v>11242.800000000001</v>
      </c>
      <c r="CR45" s="100">
        <v>7</v>
      </c>
      <c r="CS45" s="100">
        <v>8744.4</v>
      </c>
      <c r="CT45" s="100">
        <v>8.2554103245035986</v>
      </c>
      <c r="CU45" s="100">
        <v>10312.658577369895</v>
      </c>
    </row>
    <row r="46" spans="2:99">
      <c r="C46" s="99" t="s">
        <v>212</v>
      </c>
      <c r="D46" s="100">
        <v>6</v>
      </c>
      <c r="E46" s="100">
        <v>7272</v>
      </c>
      <c r="F46" s="100">
        <v>7</v>
      </c>
      <c r="G46" s="100">
        <v>8484</v>
      </c>
      <c r="H46" s="100">
        <v>7</v>
      </c>
      <c r="I46" s="100">
        <v>8484</v>
      </c>
      <c r="J46" s="100">
        <v>6.5137249750337034</v>
      </c>
      <c r="K46" s="100">
        <v>7894.6346697408489</v>
      </c>
      <c r="L46" s="100">
        <v>2.7973246256818047</v>
      </c>
      <c r="M46" s="100">
        <v>3390.3574463263471</v>
      </c>
      <c r="N46" s="100">
        <v>9</v>
      </c>
      <c r="O46" s="100">
        <v>10908</v>
      </c>
      <c r="P46" s="100">
        <v>5</v>
      </c>
      <c r="Q46" s="100">
        <v>6060</v>
      </c>
      <c r="R46" s="100">
        <v>8</v>
      </c>
      <c r="S46" s="100">
        <v>9696</v>
      </c>
      <c r="T46" s="100">
        <v>7</v>
      </c>
      <c r="U46" s="100">
        <v>8484</v>
      </c>
      <c r="V46" s="100">
        <v>5.3253383298354198</v>
      </c>
      <c r="W46" s="100">
        <v>6454.3100557605285</v>
      </c>
      <c r="X46" s="100">
        <v>3.1954461125027893</v>
      </c>
      <c r="Y46" s="100">
        <v>3872.8806883533807</v>
      </c>
      <c r="Z46" s="100">
        <v>9</v>
      </c>
      <c r="AA46" s="100">
        <v>10908</v>
      </c>
      <c r="AB46" s="100">
        <v>6.8769797940986663</v>
      </c>
      <c r="AC46" s="100">
        <v>8334.8995104475835</v>
      </c>
      <c r="AD46" s="100">
        <v>7</v>
      </c>
      <c r="AE46" s="100">
        <v>8484</v>
      </c>
      <c r="AF46" s="100">
        <v>7</v>
      </c>
      <c r="AG46" s="100">
        <v>8484</v>
      </c>
      <c r="AH46" s="100">
        <v>7</v>
      </c>
      <c r="AI46" s="100">
        <v>8484</v>
      </c>
      <c r="AJ46" s="100">
        <v>6.4233761374911182</v>
      </c>
      <c r="AK46" s="100">
        <v>7785.1318786392349</v>
      </c>
      <c r="AL46" s="100">
        <v>3.2899075872656027</v>
      </c>
      <c r="AM46" s="100">
        <v>3987.3679957659106</v>
      </c>
      <c r="AN46" s="100">
        <v>7</v>
      </c>
      <c r="AO46" s="100">
        <v>8484</v>
      </c>
      <c r="AP46" s="100">
        <v>5.4988131854960782</v>
      </c>
      <c r="AQ46" s="100">
        <v>6664.5615808212469</v>
      </c>
      <c r="AR46" s="100">
        <v>1.9077764454267951</v>
      </c>
      <c r="AS46" s="100">
        <v>2312.2250518572755</v>
      </c>
      <c r="AT46" s="100">
        <v>4.7447435054748386</v>
      </c>
      <c r="AU46" s="100">
        <v>5750.6291286355045</v>
      </c>
      <c r="AV46" s="100">
        <v>10</v>
      </c>
      <c r="AW46" s="100">
        <v>12120</v>
      </c>
      <c r="AX46" s="100">
        <v>8.4452013054671973</v>
      </c>
      <c r="AY46" s="100">
        <v>10235.583982226242</v>
      </c>
      <c r="AZ46" s="100">
        <v>1.0642898217666756</v>
      </c>
      <c r="BA46" s="100">
        <v>1289.9192639812109</v>
      </c>
      <c r="BB46" s="100">
        <v>6.1065338384913641</v>
      </c>
      <c r="BC46" s="100">
        <v>7401.1190122515336</v>
      </c>
      <c r="BD46" s="100">
        <v>3.0965548800314751</v>
      </c>
      <c r="BE46" s="100">
        <v>3753.0245145981476</v>
      </c>
      <c r="BF46" s="100">
        <v>5.3927561876070413</v>
      </c>
      <c r="BG46" s="100">
        <v>6536.0204993797342</v>
      </c>
      <c r="BH46" s="100">
        <v>4.9092739757550152</v>
      </c>
      <c r="BI46" s="100">
        <v>5950.0400586150781</v>
      </c>
      <c r="BJ46" s="100">
        <v>4.8178754373860588</v>
      </c>
      <c r="BK46" s="100">
        <v>5839.2650301119029</v>
      </c>
      <c r="BL46" s="100">
        <v>6</v>
      </c>
      <c r="BM46" s="100">
        <v>7272</v>
      </c>
      <c r="BN46" s="100">
        <v>6</v>
      </c>
      <c r="BO46" s="100">
        <v>7272</v>
      </c>
      <c r="BP46" s="100">
        <v>10</v>
      </c>
      <c r="BQ46" s="100">
        <v>12120</v>
      </c>
      <c r="BR46" s="100">
        <v>7.3040841798339207</v>
      </c>
      <c r="BS46" s="100">
        <v>8852.5500259587116</v>
      </c>
      <c r="BT46" s="100">
        <v>3.49867889482128E-4</v>
      </c>
      <c r="BU46" s="100">
        <v>0.42403988205233911</v>
      </c>
      <c r="BV46" s="100">
        <v>5</v>
      </c>
      <c r="BW46" s="100">
        <v>6060</v>
      </c>
      <c r="BX46" s="100">
        <v>5</v>
      </c>
      <c r="BY46" s="100">
        <v>6060</v>
      </c>
      <c r="BZ46" s="100">
        <v>8</v>
      </c>
      <c r="CA46" s="100">
        <v>9696</v>
      </c>
      <c r="CB46" s="100">
        <v>8</v>
      </c>
      <c r="CC46" s="100">
        <v>9696</v>
      </c>
      <c r="CD46" s="100">
        <v>6.1520692528465482</v>
      </c>
      <c r="CE46" s="100">
        <v>7456.3079344500165</v>
      </c>
      <c r="CF46" s="100">
        <v>0.31417289265015097</v>
      </c>
      <c r="CG46" s="100">
        <v>380.77754589198298</v>
      </c>
      <c r="CH46" s="100">
        <v>9</v>
      </c>
      <c r="CI46" s="100">
        <v>10908</v>
      </c>
      <c r="CJ46" s="100">
        <v>9</v>
      </c>
      <c r="CK46" s="100">
        <v>10908</v>
      </c>
      <c r="CL46" s="100">
        <v>5.2130271384029641</v>
      </c>
      <c r="CM46" s="100">
        <v>6318.1888917443921</v>
      </c>
      <c r="CN46" s="100">
        <v>6.1864743648875322</v>
      </c>
      <c r="CO46" s="100">
        <v>7498.0069302436887</v>
      </c>
      <c r="CP46" s="100">
        <v>9</v>
      </c>
      <c r="CQ46" s="100">
        <v>10908</v>
      </c>
      <c r="CR46" s="100">
        <v>7</v>
      </c>
      <c r="CS46" s="100">
        <v>8484</v>
      </c>
      <c r="CT46" s="100">
        <v>8.23219120409418</v>
      </c>
      <c r="CU46" s="100">
        <v>9977.4157393621463</v>
      </c>
    </row>
    <row r="47" spans="2:99">
      <c r="C47" s="99" t="s">
        <v>213</v>
      </c>
      <c r="D47" s="100">
        <v>6</v>
      </c>
      <c r="E47" s="100">
        <v>9165.5999999999985</v>
      </c>
      <c r="F47" s="100">
        <v>7</v>
      </c>
      <c r="G47" s="100">
        <v>10693.199999999999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2.3977068220129754</v>
      </c>
      <c r="M47" s="100">
        <v>3662.736941307021</v>
      </c>
      <c r="N47" s="100">
        <v>9</v>
      </c>
      <c r="O47" s="100">
        <v>13748.4</v>
      </c>
      <c r="P47" s="100">
        <v>5</v>
      </c>
      <c r="Q47" s="100">
        <v>7638</v>
      </c>
      <c r="R47" s="100">
        <v>8</v>
      </c>
      <c r="S47" s="100">
        <v>12220.8</v>
      </c>
      <c r="T47" s="100">
        <v>6</v>
      </c>
      <c r="U47" s="100">
        <v>9165.5999999999985</v>
      </c>
      <c r="V47" s="100">
        <v>5.2973133641117247</v>
      </c>
      <c r="W47" s="100">
        <v>8092.1758950170706</v>
      </c>
      <c r="X47" s="100">
        <v>2.6628717604189913</v>
      </c>
      <c r="Y47" s="100">
        <v>4067.8029012160509</v>
      </c>
      <c r="Z47" s="100">
        <v>9</v>
      </c>
      <c r="AA47" s="100">
        <v>13748.4</v>
      </c>
      <c r="AB47" s="100">
        <v>6.8769797940986663</v>
      </c>
      <c r="AC47" s="100">
        <v>10505.274333465122</v>
      </c>
      <c r="AD47" s="100">
        <v>6</v>
      </c>
      <c r="AE47" s="100">
        <v>9165.5999999999985</v>
      </c>
      <c r="AF47" s="100">
        <v>7</v>
      </c>
      <c r="AG47" s="100">
        <v>10693.199999999999</v>
      </c>
      <c r="AH47" s="100">
        <v>7</v>
      </c>
      <c r="AI47" s="100">
        <v>10693.199999999999</v>
      </c>
      <c r="AJ47" s="100">
        <v>6.3528134479092655</v>
      </c>
      <c r="AK47" s="100">
        <v>9704.5578230261926</v>
      </c>
      <c r="AL47" s="100">
        <v>3.2899075872656027</v>
      </c>
      <c r="AM47" s="100">
        <v>5025.6628303069347</v>
      </c>
      <c r="AN47" s="100">
        <v>7</v>
      </c>
      <c r="AO47" s="100">
        <v>10693.199999999999</v>
      </c>
      <c r="AP47" s="100">
        <v>5.4988131854960782</v>
      </c>
      <c r="AQ47" s="100">
        <v>8399.9870221638084</v>
      </c>
      <c r="AR47" s="100">
        <v>2.1803159376306231</v>
      </c>
      <c r="AS47" s="100">
        <v>3330.6506263245396</v>
      </c>
      <c r="AT47" s="100">
        <v>4.0669230046927183</v>
      </c>
      <c r="AU47" s="100">
        <v>6212.631581968596</v>
      </c>
      <c r="AV47" s="100">
        <v>9</v>
      </c>
      <c r="AW47" s="100">
        <v>13748.4</v>
      </c>
      <c r="AX47" s="100">
        <v>9.494668117185773</v>
      </c>
      <c r="AY47" s="100">
        <v>14504.055015812986</v>
      </c>
      <c r="AZ47" s="100">
        <v>1.0642898217666756</v>
      </c>
      <c r="BA47" s="100">
        <v>1625.8091317307735</v>
      </c>
      <c r="BB47" s="100">
        <v>6.1065338384913641</v>
      </c>
      <c r="BC47" s="100">
        <v>9328.3410916794073</v>
      </c>
      <c r="BD47" s="100">
        <v>2.7551392585907131</v>
      </c>
      <c r="BE47" s="100">
        <v>4208.7507314231734</v>
      </c>
      <c r="BF47" s="100">
        <v>6.158360793993725</v>
      </c>
      <c r="BG47" s="100">
        <v>9407.5119489048138</v>
      </c>
      <c r="BH47" s="100">
        <v>4.9092739757550152</v>
      </c>
      <c r="BI47" s="100">
        <v>7499.4069253633606</v>
      </c>
      <c r="BJ47" s="100">
        <v>4.8178754373860588</v>
      </c>
      <c r="BK47" s="100">
        <v>7359.7865181509433</v>
      </c>
      <c r="BL47" s="100">
        <v>5</v>
      </c>
      <c r="BM47" s="100">
        <v>7638</v>
      </c>
      <c r="BN47" s="100">
        <v>6</v>
      </c>
      <c r="BO47" s="100">
        <v>9165.5999999999985</v>
      </c>
      <c r="BP47" s="100">
        <v>10</v>
      </c>
      <c r="BQ47" s="100">
        <v>15276</v>
      </c>
      <c r="BR47" s="100">
        <v>7.3040841798339207</v>
      </c>
      <c r="BS47" s="100">
        <v>11157.718993114297</v>
      </c>
      <c r="BT47" s="100">
        <v>4.1984146737855356E-4</v>
      </c>
      <c r="BU47" s="100">
        <v>0.64134982556747844</v>
      </c>
      <c r="BV47" s="100">
        <v>6</v>
      </c>
      <c r="BW47" s="100">
        <v>9165.5999999999985</v>
      </c>
      <c r="BX47" s="100">
        <v>6</v>
      </c>
      <c r="BY47" s="100">
        <v>9165.5999999999985</v>
      </c>
      <c r="BZ47" s="100">
        <v>8</v>
      </c>
      <c r="CA47" s="100">
        <v>12220.8</v>
      </c>
      <c r="CB47" s="100">
        <v>8</v>
      </c>
      <c r="CC47" s="100">
        <v>12220.8</v>
      </c>
      <c r="CD47" s="100">
        <v>6.1629313423355878</v>
      </c>
      <c r="CE47" s="100">
        <v>9414.4939185518433</v>
      </c>
      <c r="CF47" s="100">
        <v>0.31417289265015097</v>
      </c>
      <c r="CG47" s="100">
        <v>479.93051081237058</v>
      </c>
      <c r="CH47" s="100">
        <v>9</v>
      </c>
      <c r="CI47" s="100">
        <v>13748.4</v>
      </c>
      <c r="CJ47" s="100">
        <v>9</v>
      </c>
      <c r="CK47" s="100">
        <v>13748.4</v>
      </c>
      <c r="CL47" s="100">
        <v>5.2130271384029641</v>
      </c>
      <c r="CM47" s="100">
        <v>7963.4202566243675</v>
      </c>
      <c r="CN47" s="100">
        <v>6.9597836604984744</v>
      </c>
      <c r="CO47" s="100">
        <v>10631.765519777469</v>
      </c>
      <c r="CP47" s="100">
        <v>9</v>
      </c>
      <c r="CQ47" s="100">
        <v>13748.4</v>
      </c>
      <c r="CR47" s="100">
        <v>7</v>
      </c>
      <c r="CS47" s="100">
        <v>10693.199999999999</v>
      </c>
      <c r="CT47" s="100">
        <v>8.2554103245035986</v>
      </c>
      <c r="CU47" s="100">
        <v>12610.964811711696</v>
      </c>
    </row>
    <row r="48" spans="2:99">
      <c r="C48" s="99" t="s">
        <v>214</v>
      </c>
      <c r="D48" s="100">
        <v>6</v>
      </c>
      <c r="E48" s="100">
        <v>5205.6000000000004</v>
      </c>
      <c r="F48" s="100">
        <v>7</v>
      </c>
      <c r="G48" s="100">
        <v>6073.2</v>
      </c>
      <c r="H48" s="100">
        <v>7</v>
      </c>
      <c r="I48" s="100">
        <v>6073.2</v>
      </c>
      <c r="J48" s="100">
        <v>6</v>
      </c>
      <c r="K48" s="100">
        <v>5205.6000000000004</v>
      </c>
      <c r="L48" s="100">
        <v>2.7973246256818047</v>
      </c>
      <c r="M48" s="100">
        <v>2426.9588452415337</v>
      </c>
      <c r="N48" s="100">
        <v>10</v>
      </c>
      <c r="O48" s="100">
        <v>8676</v>
      </c>
      <c r="P48" s="100">
        <v>5</v>
      </c>
      <c r="Q48" s="100">
        <v>4338</v>
      </c>
      <c r="R48" s="100">
        <v>8</v>
      </c>
      <c r="S48" s="100">
        <v>6940.8</v>
      </c>
      <c r="T48" s="100">
        <v>7</v>
      </c>
      <c r="U48" s="100">
        <v>6073.2</v>
      </c>
      <c r="V48" s="100">
        <v>5.3253383298354198</v>
      </c>
      <c r="W48" s="100">
        <v>4620.2635349652101</v>
      </c>
      <c r="X48" s="100">
        <v>3.1954461125027893</v>
      </c>
      <c r="Y48" s="100">
        <v>2772.36904720742</v>
      </c>
      <c r="Z48" s="100">
        <v>9</v>
      </c>
      <c r="AA48" s="100">
        <v>7808.4000000000005</v>
      </c>
      <c r="AB48" s="100">
        <v>8.8418311638411424</v>
      </c>
      <c r="AC48" s="100">
        <v>7671.1727177485755</v>
      </c>
      <c r="AD48" s="100">
        <v>7</v>
      </c>
      <c r="AE48" s="100">
        <v>6073.2</v>
      </c>
      <c r="AF48" s="100">
        <v>7</v>
      </c>
      <c r="AG48" s="100">
        <v>6073.2</v>
      </c>
      <c r="AH48" s="100">
        <v>7</v>
      </c>
      <c r="AI48" s="100">
        <v>6073.2</v>
      </c>
      <c r="AJ48" s="100">
        <v>7.3880947927001923</v>
      </c>
      <c r="AK48" s="100">
        <v>6409.9110421466867</v>
      </c>
      <c r="AL48" s="100">
        <v>3.2899075872656027</v>
      </c>
      <c r="AM48" s="100">
        <v>2854.3238227116371</v>
      </c>
      <c r="AN48" s="100">
        <v>7</v>
      </c>
      <c r="AO48" s="100">
        <v>6073.2</v>
      </c>
      <c r="AP48" s="100">
        <v>6.6235164818700971</v>
      </c>
      <c r="AQ48" s="100">
        <v>5746.5628996704963</v>
      </c>
      <c r="AR48" s="100">
        <v>1.9077764454267951</v>
      </c>
      <c r="AS48" s="100">
        <v>1655.1868440522876</v>
      </c>
      <c r="AT48" s="100">
        <v>4.7447435054748386</v>
      </c>
      <c r="AU48" s="100">
        <v>4116.5394653499698</v>
      </c>
      <c r="AV48" s="100">
        <v>9</v>
      </c>
      <c r="AW48" s="100">
        <v>7808.4000000000005</v>
      </c>
      <c r="AX48" s="100">
        <v>9.5441349289043504</v>
      </c>
      <c r="AY48" s="100">
        <v>8280.4914643174143</v>
      </c>
      <c r="AZ48" s="100">
        <v>1.0642898217666756</v>
      </c>
      <c r="BA48" s="100">
        <v>923.37784936476783</v>
      </c>
      <c r="BB48" s="100">
        <v>6.8608638143365503</v>
      </c>
      <c r="BC48" s="100">
        <v>5952.4854453183916</v>
      </c>
      <c r="BD48" s="100">
        <v>3.0906013082653208</v>
      </c>
      <c r="BE48" s="100">
        <v>2681.4056950509926</v>
      </c>
      <c r="BF48" s="100">
        <v>6.158360793993725</v>
      </c>
      <c r="BG48" s="100">
        <v>5342.9938248689559</v>
      </c>
      <c r="BH48" s="100">
        <v>5.5229332227243919</v>
      </c>
      <c r="BI48" s="100">
        <v>4791.6968640356827</v>
      </c>
      <c r="BJ48" s="100">
        <v>4.8178754373860588</v>
      </c>
      <c r="BK48" s="100">
        <v>4179.9887294761447</v>
      </c>
      <c r="BL48" s="100">
        <v>6</v>
      </c>
      <c r="BM48" s="100">
        <v>5205.6000000000004</v>
      </c>
      <c r="BN48" s="100">
        <v>6</v>
      </c>
      <c r="BO48" s="100">
        <v>5205.6000000000004</v>
      </c>
      <c r="BP48" s="100">
        <v>10</v>
      </c>
      <c r="BQ48" s="100">
        <v>8676</v>
      </c>
      <c r="BR48" s="100">
        <v>7.2675182793365503</v>
      </c>
      <c r="BS48" s="100">
        <v>6305.2988591523908</v>
      </c>
      <c r="BT48" s="100">
        <v>4.1984146737855356E-4</v>
      </c>
      <c r="BU48" s="100">
        <v>0.3642544570976331</v>
      </c>
      <c r="BV48" s="100">
        <v>6</v>
      </c>
      <c r="BW48" s="100">
        <v>5205.6000000000004</v>
      </c>
      <c r="BX48" s="100">
        <v>6</v>
      </c>
      <c r="BY48" s="100">
        <v>5205.6000000000004</v>
      </c>
      <c r="BZ48" s="100">
        <v>9</v>
      </c>
      <c r="CA48" s="100">
        <v>7808.4000000000005</v>
      </c>
      <c r="CB48" s="100">
        <v>9</v>
      </c>
      <c r="CC48" s="100">
        <v>7808.4000000000005</v>
      </c>
      <c r="CD48" s="100">
        <v>7.1629313423355878</v>
      </c>
      <c r="CE48" s="100">
        <v>6214.559232610356</v>
      </c>
      <c r="CF48" s="100">
        <v>0.35344450423141976</v>
      </c>
      <c r="CG48" s="100">
        <v>306.64845187117982</v>
      </c>
      <c r="CH48" s="100">
        <v>9</v>
      </c>
      <c r="CI48" s="100">
        <v>7808.4000000000005</v>
      </c>
      <c r="CJ48" s="100">
        <v>10</v>
      </c>
      <c r="CK48" s="100">
        <v>8676</v>
      </c>
      <c r="CL48" s="100">
        <v>5.2130271384029641</v>
      </c>
      <c r="CM48" s="100">
        <v>4522.8223452784114</v>
      </c>
      <c r="CN48" s="100">
        <v>6.9597836604984744</v>
      </c>
      <c r="CO48" s="100">
        <v>6038.3083038484765</v>
      </c>
      <c r="CP48" s="100">
        <v>9</v>
      </c>
      <c r="CQ48" s="100">
        <v>7808.4000000000005</v>
      </c>
      <c r="CR48" s="100">
        <v>8</v>
      </c>
      <c r="CS48" s="100">
        <v>6940.8</v>
      </c>
      <c r="CT48" s="100">
        <v>8.23219120409418</v>
      </c>
      <c r="CU48" s="100">
        <v>7142.2490886721107</v>
      </c>
    </row>
    <row r="49" spans="2:99">
      <c r="B49" s="99" t="s">
        <v>129</v>
      </c>
      <c r="C49" s="99" t="s">
        <v>215</v>
      </c>
      <c r="D49" s="100">
        <v>4</v>
      </c>
      <c r="E49" s="100">
        <v>3940.7999999999997</v>
      </c>
      <c r="F49" s="100">
        <v>5.142331136598755</v>
      </c>
      <c r="G49" s="100">
        <v>5066.2246357770928</v>
      </c>
      <c r="H49" s="100">
        <v>0.84957219084071733</v>
      </c>
      <c r="I49" s="100">
        <v>836.99852241627468</v>
      </c>
      <c r="J49" s="100">
        <v>6</v>
      </c>
      <c r="K49" s="100">
        <v>5911.2</v>
      </c>
      <c r="L49" s="100">
        <v>3.1477032893527355</v>
      </c>
      <c r="M49" s="100">
        <v>3101.1172806703148</v>
      </c>
      <c r="N49" s="100">
        <v>6.3802198075839467</v>
      </c>
      <c r="O49" s="100">
        <v>6285.792554431704</v>
      </c>
      <c r="P49" s="100">
        <v>1.7597243594529017</v>
      </c>
      <c r="Q49" s="100">
        <v>1733.6804389329986</v>
      </c>
      <c r="R49" s="100">
        <v>6</v>
      </c>
      <c r="S49" s="100">
        <v>5911.2</v>
      </c>
      <c r="T49" s="100">
        <v>4</v>
      </c>
      <c r="U49" s="100">
        <v>3940.7999999999997</v>
      </c>
      <c r="V49" s="100">
        <v>4</v>
      </c>
      <c r="W49" s="100">
        <v>3940.7999999999997</v>
      </c>
      <c r="X49" s="100">
        <v>3.3694155480207781</v>
      </c>
      <c r="Y49" s="100">
        <v>3319.5481979100705</v>
      </c>
      <c r="Z49" s="100">
        <v>4.6802268463125767</v>
      </c>
      <c r="AA49" s="100">
        <v>4610.9594889871505</v>
      </c>
      <c r="AB49" s="100">
        <v>4</v>
      </c>
      <c r="AC49" s="100">
        <v>3940.7999999999997</v>
      </c>
      <c r="AD49" s="100">
        <v>5</v>
      </c>
      <c r="AE49" s="100">
        <v>4926</v>
      </c>
      <c r="AF49" s="100">
        <v>4</v>
      </c>
      <c r="AG49" s="100">
        <v>3940.7999999999997</v>
      </c>
      <c r="AH49" s="100">
        <v>4</v>
      </c>
      <c r="AI49" s="100">
        <v>3940.7999999999997</v>
      </c>
      <c r="AJ49" s="100">
        <v>3</v>
      </c>
      <c r="AK49" s="100">
        <v>2955.6</v>
      </c>
      <c r="AL49" s="100">
        <v>6</v>
      </c>
      <c r="AM49" s="100">
        <v>5911.2</v>
      </c>
      <c r="AN49" s="100">
        <v>4</v>
      </c>
      <c r="AO49" s="100">
        <v>3940.7999999999997</v>
      </c>
      <c r="AP49" s="100">
        <v>3.5483483614043041</v>
      </c>
      <c r="AQ49" s="100">
        <v>3495.8328056555201</v>
      </c>
      <c r="AR49" s="100">
        <v>1.128631460195288</v>
      </c>
      <c r="AS49" s="100">
        <v>1111.9277145843978</v>
      </c>
      <c r="AT49" s="100">
        <v>1.1295000854192332</v>
      </c>
      <c r="AU49" s="100">
        <v>1112.7834841550284</v>
      </c>
      <c r="AV49" s="100">
        <v>5</v>
      </c>
      <c r="AW49" s="100">
        <v>4926</v>
      </c>
      <c r="AX49" s="100">
        <v>4.4194988410651668</v>
      </c>
      <c r="AY49" s="100">
        <v>4354.0902582174022</v>
      </c>
      <c r="AZ49" s="100">
        <v>1.7842063045002736</v>
      </c>
      <c r="BA49" s="100">
        <v>1757.8000511936696</v>
      </c>
      <c r="BB49" s="100">
        <v>2.6542807241293578</v>
      </c>
      <c r="BC49" s="100">
        <v>2614.9973694122432</v>
      </c>
      <c r="BD49" s="100">
        <v>4.4258879055647542</v>
      </c>
      <c r="BE49" s="100">
        <v>4360.3847645623955</v>
      </c>
      <c r="BF49" s="100">
        <v>4.0694514149837886</v>
      </c>
      <c r="BG49" s="100">
        <v>4009.2235340420284</v>
      </c>
      <c r="BH49" s="100">
        <v>1.8974700635012245</v>
      </c>
      <c r="BI49" s="100">
        <v>1869.3875065614063</v>
      </c>
      <c r="BJ49" s="100">
        <v>5</v>
      </c>
      <c r="BK49" s="100">
        <v>4926</v>
      </c>
      <c r="BL49" s="100">
        <v>3.332942815481597</v>
      </c>
      <c r="BM49" s="100">
        <v>3283.6152618124693</v>
      </c>
      <c r="BN49" s="100">
        <v>2.4887107957156012</v>
      </c>
      <c r="BO49" s="100">
        <v>2451.8778759390102</v>
      </c>
      <c r="BP49" s="100">
        <v>4.2099897795532888</v>
      </c>
      <c r="BQ49" s="100">
        <v>4147.6819308159002</v>
      </c>
      <c r="BR49" s="100">
        <v>0.83672876368741078</v>
      </c>
      <c r="BS49" s="100">
        <v>824.34517798483705</v>
      </c>
      <c r="BT49" s="100">
        <v>5</v>
      </c>
      <c r="BU49" s="100">
        <v>4926</v>
      </c>
      <c r="BV49" s="100">
        <v>5.1546565345578417</v>
      </c>
      <c r="BW49" s="100">
        <v>5078.3676178463857</v>
      </c>
      <c r="BX49" s="100">
        <v>5</v>
      </c>
      <c r="BY49" s="100">
        <v>4926</v>
      </c>
      <c r="BZ49" s="100">
        <v>4</v>
      </c>
      <c r="CA49" s="100">
        <v>3940.7999999999997</v>
      </c>
      <c r="CB49" s="100">
        <v>4</v>
      </c>
      <c r="CC49" s="100">
        <v>3940.7999999999997</v>
      </c>
      <c r="CD49" s="100">
        <v>3.1854300855546378</v>
      </c>
      <c r="CE49" s="100">
        <v>3138.2857202884288</v>
      </c>
      <c r="CF49" s="100">
        <v>1.8556664964907246</v>
      </c>
      <c r="CG49" s="100">
        <v>1828.2026323426617</v>
      </c>
      <c r="CH49" s="100">
        <v>4</v>
      </c>
      <c r="CI49" s="100">
        <v>3940.7999999999997</v>
      </c>
      <c r="CJ49" s="100">
        <v>5</v>
      </c>
      <c r="CK49" s="100">
        <v>4926</v>
      </c>
      <c r="CL49" s="100">
        <v>6</v>
      </c>
      <c r="CM49" s="100">
        <v>5911.2</v>
      </c>
      <c r="CN49" s="100">
        <v>3.9969923877925679</v>
      </c>
      <c r="CO49" s="100">
        <v>3937.8369004532378</v>
      </c>
      <c r="CP49" s="100">
        <v>4</v>
      </c>
      <c r="CQ49" s="100">
        <v>3940.7999999999997</v>
      </c>
      <c r="CR49" s="100">
        <v>5</v>
      </c>
      <c r="CS49" s="100">
        <v>4926</v>
      </c>
      <c r="CT49" s="100">
        <v>3.784626107175638</v>
      </c>
      <c r="CU49" s="100">
        <v>3728.6136407894383</v>
      </c>
    </row>
    <row r="50" spans="2:99">
      <c r="C50" s="99" t="s">
        <v>216</v>
      </c>
      <c r="D50" s="100">
        <v>4</v>
      </c>
      <c r="E50" s="100">
        <v>1128</v>
      </c>
      <c r="F50" s="100">
        <v>5</v>
      </c>
      <c r="G50" s="100">
        <v>1410</v>
      </c>
      <c r="H50" s="100">
        <v>7</v>
      </c>
      <c r="I50" s="100">
        <v>1974</v>
      </c>
      <c r="J50" s="100">
        <v>6.2802136227456566</v>
      </c>
      <c r="K50" s="100">
        <v>1771.0202416142752</v>
      </c>
      <c r="L50" s="100">
        <v>1.9980890183441464</v>
      </c>
      <c r="M50" s="100">
        <v>563.46110317304931</v>
      </c>
      <c r="N50" s="100">
        <v>6</v>
      </c>
      <c r="O50" s="100">
        <v>1692</v>
      </c>
      <c r="P50" s="100">
        <v>5</v>
      </c>
      <c r="Q50" s="100">
        <v>1410</v>
      </c>
      <c r="R50" s="100">
        <v>5</v>
      </c>
      <c r="S50" s="100">
        <v>1410</v>
      </c>
      <c r="T50" s="100">
        <v>4</v>
      </c>
      <c r="U50" s="100">
        <v>1128</v>
      </c>
      <c r="V50" s="100">
        <v>3.5689088637060764</v>
      </c>
      <c r="W50" s="100">
        <v>1006.4322995651136</v>
      </c>
      <c r="X50" s="100">
        <v>2.6628717604189913</v>
      </c>
      <c r="Y50" s="100">
        <v>750.92983643815558</v>
      </c>
      <c r="Z50" s="100">
        <v>6.1675361731353897</v>
      </c>
      <c r="AA50" s="100">
        <v>1739.2452008241798</v>
      </c>
      <c r="AB50" s="100">
        <v>3.9297027394849522</v>
      </c>
      <c r="AC50" s="100">
        <v>1108.1761725347565</v>
      </c>
      <c r="AD50" s="100">
        <v>7</v>
      </c>
      <c r="AE50" s="100">
        <v>1974</v>
      </c>
      <c r="AF50" s="100">
        <v>4.2279863190454927</v>
      </c>
      <c r="AG50" s="100">
        <v>1192.2921419708289</v>
      </c>
      <c r="AH50" s="100">
        <v>4</v>
      </c>
      <c r="AI50" s="100">
        <v>1128</v>
      </c>
      <c r="AJ50" s="100">
        <v>4.3880947927001923</v>
      </c>
      <c r="AK50" s="100">
        <v>1237.4427315414541</v>
      </c>
      <c r="AL50" s="100">
        <v>3.9478891047187235</v>
      </c>
      <c r="AM50" s="100">
        <v>1113.3047275306801</v>
      </c>
      <c r="AN50" s="100">
        <v>4</v>
      </c>
      <c r="AO50" s="100">
        <v>1128</v>
      </c>
      <c r="AP50" s="100">
        <v>4.3741098891220584</v>
      </c>
      <c r="AQ50" s="100">
        <v>1233.4989887324205</v>
      </c>
      <c r="AR50" s="100">
        <v>1.0901579688153116</v>
      </c>
      <c r="AS50" s="100">
        <v>307.42454720591786</v>
      </c>
      <c r="AT50" s="100">
        <v>3.3891025039105993</v>
      </c>
      <c r="AU50" s="100">
        <v>955.72690610278903</v>
      </c>
      <c r="AV50" s="100">
        <v>5</v>
      </c>
      <c r="AW50" s="100">
        <v>1410</v>
      </c>
      <c r="AX50" s="100">
        <v>4.5441349289043513</v>
      </c>
      <c r="AY50" s="100">
        <v>1281.4460499510271</v>
      </c>
      <c r="AZ50" s="100">
        <v>0.91224841865715056</v>
      </c>
      <c r="BA50" s="100">
        <v>257.25405406131648</v>
      </c>
      <c r="BB50" s="100">
        <v>3.528791908070068</v>
      </c>
      <c r="BC50" s="100">
        <v>995.11931807575922</v>
      </c>
      <c r="BD50" s="100">
        <v>2.0604008721768805</v>
      </c>
      <c r="BE50" s="100">
        <v>581.03304595388033</v>
      </c>
      <c r="BF50" s="100">
        <v>4.4930558096193298</v>
      </c>
      <c r="BG50" s="100">
        <v>1267.041738312651</v>
      </c>
      <c r="BH50" s="100">
        <v>3.0682962348468843</v>
      </c>
      <c r="BI50" s="100">
        <v>865.25953822682141</v>
      </c>
      <c r="BJ50" s="100">
        <v>4.8178754373860588</v>
      </c>
      <c r="BK50" s="100">
        <v>1358.6408733428686</v>
      </c>
      <c r="BL50" s="100">
        <v>3</v>
      </c>
      <c r="BM50" s="100">
        <v>846</v>
      </c>
      <c r="BN50" s="100">
        <v>7</v>
      </c>
      <c r="BO50" s="100">
        <v>1974</v>
      </c>
      <c r="BP50" s="100">
        <v>4</v>
      </c>
      <c r="BQ50" s="100">
        <v>1128</v>
      </c>
      <c r="BR50" s="100">
        <v>5.3060058868035593</v>
      </c>
      <c r="BS50" s="100">
        <v>1496.2936600786038</v>
      </c>
      <c r="BT50" s="100">
        <v>3.49867889482128E-4</v>
      </c>
      <c r="BU50" s="100">
        <v>9.8662744833960092E-2</v>
      </c>
      <c r="BV50" s="100">
        <v>6</v>
      </c>
      <c r="BW50" s="100">
        <v>1692</v>
      </c>
      <c r="BX50" s="100">
        <v>6</v>
      </c>
      <c r="BY50" s="100">
        <v>1692</v>
      </c>
      <c r="BZ50" s="100">
        <v>4</v>
      </c>
      <c r="CA50" s="100">
        <v>1128</v>
      </c>
      <c r="CB50" s="100">
        <v>5</v>
      </c>
      <c r="CC50" s="100">
        <v>1410</v>
      </c>
      <c r="CD50" s="100">
        <v>4.0868967159123137</v>
      </c>
      <c r="CE50" s="100">
        <v>1152.5048738872724</v>
      </c>
      <c r="CF50" s="100">
        <v>0.15708644632507548</v>
      </c>
      <c r="CG50" s="100">
        <v>44.298377863671284</v>
      </c>
      <c r="CH50" s="100">
        <v>4</v>
      </c>
      <c r="CI50" s="100">
        <v>1128</v>
      </c>
      <c r="CJ50" s="100">
        <v>5</v>
      </c>
      <c r="CK50" s="100">
        <v>1410</v>
      </c>
      <c r="CL50" s="100">
        <v>7.2662839230037051</v>
      </c>
      <c r="CM50" s="100">
        <v>2049.0920662870449</v>
      </c>
      <c r="CN50" s="100">
        <v>5.4131650692765909</v>
      </c>
      <c r="CO50" s="100">
        <v>1526.5125495359987</v>
      </c>
      <c r="CP50" s="100">
        <v>4</v>
      </c>
      <c r="CQ50" s="100">
        <v>1128</v>
      </c>
      <c r="CR50" s="100">
        <v>5</v>
      </c>
      <c r="CS50" s="100">
        <v>1410</v>
      </c>
      <c r="CT50" s="100">
        <v>3.1857529632753447</v>
      </c>
      <c r="CU50" s="100">
        <v>898.38233564364725</v>
      </c>
    </row>
    <row r="51" spans="2:99">
      <c r="C51" s="99" t="s">
        <v>217</v>
      </c>
      <c r="D51" s="100">
        <v>4</v>
      </c>
      <c r="E51" s="100">
        <v>3417.6</v>
      </c>
      <c r="F51" s="100">
        <v>6</v>
      </c>
      <c r="G51" s="100">
        <v>5126.3999999999996</v>
      </c>
      <c r="H51" s="100">
        <v>7</v>
      </c>
      <c r="I51" s="100">
        <v>5980.8</v>
      </c>
      <c r="J51" s="100">
        <v>6.2802136227456566</v>
      </c>
      <c r="K51" s="100">
        <v>5365.8145192738893</v>
      </c>
      <c r="L51" s="100">
        <v>1.5984712146753173</v>
      </c>
      <c r="M51" s="100">
        <v>1365.733805818591</v>
      </c>
      <c r="N51" s="100">
        <v>7</v>
      </c>
      <c r="O51" s="100">
        <v>5980.8</v>
      </c>
      <c r="P51" s="100">
        <v>5</v>
      </c>
      <c r="Q51" s="100">
        <v>4272</v>
      </c>
      <c r="R51" s="100">
        <v>6</v>
      </c>
      <c r="S51" s="100">
        <v>5126.3999999999996</v>
      </c>
      <c r="T51" s="100">
        <v>5</v>
      </c>
      <c r="U51" s="100">
        <v>4272</v>
      </c>
      <c r="V51" s="100">
        <v>3.5408838979823818</v>
      </c>
      <c r="W51" s="100">
        <v>3025.3312024361471</v>
      </c>
      <c r="X51" s="100">
        <v>2.6628717604189913</v>
      </c>
      <c r="Y51" s="100">
        <v>2275.1576321019861</v>
      </c>
      <c r="Z51" s="100">
        <v>5.1842897904489282</v>
      </c>
      <c r="AA51" s="100">
        <v>4429.4571969595645</v>
      </c>
      <c r="AB51" s="100">
        <v>3.9297027394849522</v>
      </c>
      <c r="AC51" s="100">
        <v>3357.538020615943</v>
      </c>
      <c r="AD51" s="100">
        <v>5</v>
      </c>
      <c r="AE51" s="100">
        <v>4272</v>
      </c>
      <c r="AF51" s="100">
        <v>4.2072602900413569</v>
      </c>
      <c r="AG51" s="100">
        <v>3594.6831918113353</v>
      </c>
      <c r="AH51" s="100">
        <v>4</v>
      </c>
      <c r="AI51" s="100">
        <v>3417.6</v>
      </c>
      <c r="AJ51" s="100">
        <v>4.3880947927001923</v>
      </c>
      <c r="AK51" s="100">
        <v>3749.1881908830442</v>
      </c>
      <c r="AL51" s="100">
        <v>3.9478891047187235</v>
      </c>
      <c r="AM51" s="100">
        <v>3373.0764510716772</v>
      </c>
      <c r="AN51" s="100">
        <v>4</v>
      </c>
      <c r="AO51" s="100">
        <v>3417.6</v>
      </c>
      <c r="AP51" s="100">
        <v>4.4156776545800653</v>
      </c>
      <c r="AQ51" s="100">
        <v>3772.7549880732076</v>
      </c>
      <c r="AR51" s="100">
        <v>1.0901579688153116</v>
      </c>
      <c r="AS51" s="100">
        <v>931.43096855580222</v>
      </c>
      <c r="AT51" s="100">
        <v>3.3891025039105993</v>
      </c>
      <c r="AU51" s="100">
        <v>2895.649179341216</v>
      </c>
      <c r="AV51" s="100">
        <v>4</v>
      </c>
      <c r="AW51" s="100">
        <v>3417.6</v>
      </c>
      <c r="AX51" s="100">
        <v>4.5441349289043513</v>
      </c>
      <c r="AY51" s="100">
        <v>3882.5088832558777</v>
      </c>
      <c r="AZ51" s="100">
        <v>0.76020701554762549</v>
      </c>
      <c r="BA51" s="100">
        <v>649.52087408389116</v>
      </c>
      <c r="BB51" s="100">
        <v>3.4894479077093514</v>
      </c>
      <c r="BC51" s="100">
        <v>2981.3842923468696</v>
      </c>
      <c r="BD51" s="100">
        <v>2.0604008721768805</v>
      </c>
      <c r="BE51" s="100">
        <v>1760.4065051879268</v>
      </c>
      <c r="BF51" s="100">
        <v>3.7442131746827747</v>
      </c>
      <c r="BG51" s="100">
        <v>3199.0557364489628</v>
      </c>
      <c r="BH51" s="100">
        <v>3.681955481816261</v>
      </c>
      <c r="BI51" s="100">
        <v>3145.8627636638134</v>
      </c>
      <c r="BJ51" s="100">
        <v>4.0148961978217148</v>
      </c>
      <c r="BK51" s="100">
        <v>3430.3273114188733</v>
      </c>
      <c r="BL51" s="100">
        <v>4</v>
      </c>
      <c r="BM51" s="100">
        <v>3417.6</v>
      </c>
      <c r="BN51" s="100">
        <v>6</v>
      </c>
      <c r="BO51" s="100">
        <v>5126.3999999999996</v>
      </c>
      <c r="BP51" s="100">
        <v>4</v>
      </c>
      <c r="BQ51" s="100">
        <v>3417.6</v>
      </c>
      <c r="BR51" s="100">
        <v>5.3060058868035593</v>
      </c>
      <c r="BS51" s="100">
        <v>4533.4514296849611</v>
      </c>
      <c r="BT51" s="100">
        <v>4.1984146737855356E-4</v>
      </c>
      <c r="BU51" s="100">
        <v>0.35871254972823613</v>
      </c>
      <c r="BV51" s="100">
        <v>5</v>
      </c>
      <c r="BW51" s="100">
        <v>4272</v>
      </c>
      <c r="BX51" s="100">
        <v>5</v>
      </c>
      <c r="BY51" s="100">
        <v>4272</v>
      </c>
      <c r="BZ51" s="100">
        <v>4</v>
      </c>
      <c r="CA51" s="100">
        <v>3417.6</v>
      </c>
      <c r="CB51" s="100">
        <v>5</v>
      </c>
      <c r="CC51" s="100">
        <v>4272</v>
      </c>
      <c r="CD51" s="100">
        <v>4.0868967159123137</v>
      </c>
      <c r="CE51" s="100">
        <v>3491.8445540754806</v>
      </c>
      <c r="CF51" s="100">
        <v>0.15708644632507548</v>
      </c>
      <c r="CG51" s="100">
        <v>134.2146597401445</v>
      </c>
      <c r="CH51" s="100">
        <v>4</v>
      </c>
      <c r="CI51" s="100">
        <v>3417.6</v>
      </c>
      <c r="CJ51" s="100">
        <v>5</v>
      </c>
      <c r="CK51" s="100">
        <v>4272</v>
      </c>
      <c r="CL51" s="100">
        <v>6.2662839230037051</v>
      </c>
      <c r="CM51" s="100">
        <v>5353.9129838143654</v>
      </c>
      <c r="CN51" s="100">
        <v>4.6398557736656496</v>
      </c>
      <c r="CO51" s="100">
        <v>3964.2927730199308</v>
      </c>
      <c r="CP51" s="100">
        <v>3</v>
      </c>
      <c r="CQ51" s="100">
        <v>2563.1999999999998</v>
      </c>
      <c r="CR51" s="100">
        <v>5</v>
      </c>
      <c r="CS51" s="100">
        <v>4272</v>
      </c>
      <c r="CT51" s="100">
        <v>3.1625338428659266</v>
      </c>
      <c r="CU51" s="100">
        <v>2702.0689153446478</v>
      </c>
    </row>
    <row r="52" spans="2:99">
      <c r="C52" s="99" t="s">
        <v>218</v>
      </c>
      <c r="D52" s="100">
        <v>5</v>
      </c>
      <c r="E52" s="100">
        <v>2700</v>
      </c>
      <c r="F52" s="100">
        <v>6</v>
      </c>
      <c r="G52" s="100">
        <v>3240</v>
      </c>
      <c r="H52" s="100">
        <v>7</v>
      </c>
      <c r="I52" s="100">
        <v>3780</v>
      </c>
      <c r="J52" s="100">
        <v>6.2802136227456566</v>
      </c>
      <c r="K52" s="100">
        <v>3391.3153562826546</v>
      </c>
      <c r="L52" s="100">
        <v>1.5984712146753173</v>
      </c>
      <c r="M52" s="100">
        <v>863.17445592467129</v>
      </c>
      <c r="N52" s="100">
        <v>6</v>
      </c>
      <c r="O52" s="100">
        <v>3240</v>
      </c>
      <c r="P52" s="100">
        <v>5</v>
      </c>
      <c r="Q52" s="100">
        <v>2700</v>
      </c>
      <c r="R52" s="100">
        <v>6</v>
      </c>
      <c r="S52" s="100">
        <v>3240</v>
      </c>
      <c r="T52" s="100">
        <v>5</v>
      </c>
      <c r="U52" s="100">
        <v>2700</v>
      </c>
      <c r="V52" s="100">
        <v>3.5689088637060764</v>
      </c>
      <c r="W52" s="100">
        <v>1927.2107864012812</v>
      </c>
      <c r="X52" s="100">
        <v>2.6628717604189913</v>
      </c>
      <c r="Y52" s="100">
        <v>1437.9507506262553</v>
      </c>
      <c r="Z52" s="100">
        <v>6.1842897904489282</v>
      </c>
      <c r="AA52" s="100">
        <v>3339.5164868424213</v>
      </c>
      <c r="AB52" s="100">
        <v>3.9297027394849522</v>
      </c>
      <c r="AC52" s="100">
        <v>2122.0394793218743</v>
      </c>
      <c r="AD52" s="100">
        <v>6</v>
      </c>
      <c r="AE52" s="100">
        <v>3240</v>
      </c>
      <c r="AF52" s="100">
        <v>4</v>
      </c>
      <c r="AG52" s="100">
        <v>2160</v>
      </c>
      <c r="AH52" s="100">
        <v>4</v>
      </c>
      <c r="AI52" s="100">
        <v>2160</v>
      </c>
      <c r="AJ52" s="100">
        <v>4.3528134479092655</v>
      </c>
      <c r="AK52" s="100">
        <v>2350.5192618710034</v>
      </c>
      <c r="AL52" s="100">
        <v>3.9478891047187235</v>
      </c>
      <c r="AM52" s="100">
        <v>2131.8601165481105</v>
      </c>
      <c r="AN52" s="100">
        <v>4</v>
      </c>
      <c r="AO52" s="100">
        <v>2160</v>
      </c>
      <c r="AP52" s="100">
        <v>4.4156776545800653</v>
      </c>
      <c r="AQ52" s="100">
        <v>2384.4659334732351</v>
      </c>
      <c r="AR52" s="100">
        <v>1.3626974610191396</v>
      </c>
      <c r="AS52" s="100">
        <v>735.85662895033533</v>
      </c>
      <c r="AT52" s="100">
        <v>4.0669230046927183</v>
      </c>
      <c r="AU52" s="100">
        <v>2196.138422534068</v>
      </c>
      <c r="AV52" s="100">
        <v>4</v>
      </c>
      <c r="AW52" s="100">
        <v>2160</v>
      </c>
      <c r="AX52" s="100">
        <v>4.5441349289043513</v>
      </c>
      <c r="AY52" s="100">
        <v>2453.8328616083495</v>
      </c>
      <c r="AZ52" s="100">
        <v>0.76020701554762549</v>
      </c>
      <c r="BA52" s="100">
        <v>410.51178839571776</v>
      </c>
      <c r="BB52" s="100">
        <v>3.528791908070068</v>
      </c>
      <c r="BC52" s="100">
        <v>1905.5476303578369</v>
      </c>
      <c r="BD52" s="100">
        <v>2.0663544439430352</v>
      </c>
      <c r="BE52" s="100">
        <v>1115.8313997292391</v>
      </c>
      <c r="BF52" s="100">
        <v>4.6439135526704858</v>
      </c>
      <c r="BG52" s="100">
        <v>2507.7133184420622</v>
      </c>
      <c r="BH52" s="100">
        <v>3.0682962348468843</v>
      </c>
      <c r="BI52" s="100">
        <v>1656.8799668173176</v>
      </c>
      <c r="BJ52" s="100">
        <v>4.0148961978217148</v>
      </c>
      <c r="BK52" s="100">
        <v>2168.0439468237259</v>
      </c>
      <c r="BL52" s="100">
        <v>4</v>
      </c>
      <c r="BM52" s="100">
        <v>2160</v>
      </c>
      <c r="BN52" s="100">
        <v>6</v>
      </c>
      <c r="BO52" s="100">
        <v>3240</v>
      </c>
      <c r="BP52" s="100">
        <v>4</v>
      </c>
      <c r="BQ52" s="100">
        <v>2160</v>
      </c>
      <c r="BR52" s="100">
        <v>5.3425717873009289</v>
      </c>
      <c r="BS52" s="100">
        <v>2884.9887651425015</v>
      </c>
      <c r="BT52" s="100">
        <v>4.1984146737855356E-4</v>
      </c>
      <c r="BU52" s="100">
        <v>0.22671439238441893</v>
      </c>
      <c r="BV52" s="100">
        <v>5</v>
      </c>
      <c r="BW52" s="100">
        <v>2700</v>
      </c>
      <c r="BX52" s="100">
        <v>5</v>
      </c>
      <c r="BY52" s="100">
        <v>2700</v>
      </c>
      <c r="BZ52" s="100">
        <v>5</v>
      </c>
      <c r="CA52" s="100">
        <v>2700</v>
      </c>
      <c r="CB52" s="100">
        <v>5</v>
      </c>
      <c r="CC52" s="100">
        <v>2700</v>
      </c>
      <c r="CD52" s="100">
        <v>4.0977588054013525</v>
      </c>
      <c r="CE52" s="100">
        <v>2212.7897549167305</v>
      </c>
      <c r="CF52" s="100">
        <v>0.15708644632507548</v>
      </c>
      <c r="CG52" s="100">
        <v>84.826681015540757</v>
      </c>
      <c r="CH52" s="100">
        <v>3</v>
      </c>
      <c r="CI52" s="100">
        <v>1620</v>
      </c>
      <c r="CJ52" s="100">
        <v>5</v>
      </c>
      <c r="CK52" s="100">
        <v>2700</v>
      </c>
      <c r="CL52" s="100">
        <v>6.2662839230037051</v>
      </c>
      <c r="CM52" s="100">
        <v>3383.7933184220005</v>
      </c>
      <c r="CN52" s="100">
        <v>5.4131650692765909</v>
      </c>
      <c r="CO52" s="100">
        <v>2923.1091374093589</v>
      </c>
      <c r="CP52" s="100">
        <v>4</v>
      </c>
      <c r="CQ52" s="100">
        <v>2160</v>
      </c>
      <c r="CR52" s="100">
        <v>4</v>
      </c>
      <c r="CS52" s="100">
        <v>2160</v>
      </c>
      <c r="CT52" s="100">
        <v>4.1625338428659262</v>
      </c>
      <c r="CU52" s="100">
        <v>2247.7682751476</v>
      </c>
    </row>
    <row r="53" spans="2:99">
      <c r="C53" s="99" t="s">
        <v>219</v>
      </c>
      <c r="D53" s="100">
        <v>4</v>
      </c>
      <c r="E53" s="100">
        <v>1627.2</v>
      </c>
      <c r="F53" s="100">
        <v>6</v>
      </c>
      <c r="G53" s="100">
        <v>2440.8000000000002</v>
      </c>
      <c r="H53" s="100">
        <v>7</v>
      </c>
      <c r="I53" s="100">
        <v>2847.6</v>
      </c>
      <c r="J53" s="100">
        <v>7.2802136227456566</v>
      </c>
      <c r="K53" s="100">
        <v>2961.5909017329332</v>
      </c>
      <c r="L53" s="100">
        <v>1.9980890183441464</v>
      </c>
      <c r="M53" s="100">
        <v>812.8226126623988</v>
      </c>
      <c r="N53" s="100">
        <v>6</v>
      </c>
      <c r="O53" s="100">
        <v>2440.8000000000002</v>
      </c>
      <c r="P53" s="100">
        <v>5</v>
      </c>
      <c r="Q53" s="100">
        <v>2034</v>
      </c>
      <c r="R53" s="100">
        <v>6</v>
      </c>
      <c r="S53" s="100">
        <v>2440.8000000000002</v>
      </c>
      <c r="T53" s="100">
        <v>5</v>
      </c>
      <c r="U53" s="100">
        <v>2034</v>
      </c>
      <c r="V53" s="100">
        <v>3.5689088637060764</v>
      </c>
      <c r="W53" s="100">
        <v>1451.832125755632</v>
      </c>
      <c r="X53" s="100">
        <v>2.6628717604189913</v>
      </c>
      <c r="Y53" s="100">
        <v>1083.2562321384457</v>
      </c>
      <c r="Z53" s="100">
        <v>6.1842897904489282</v>
      </c>
      <c r="AA53" s="100">
        <v>2515.7690867546239</v>
      </c>
      <c r="AB53" s="100">
        <v>2.9472770546137141</v>
      </c>
      <c r="AC53" s="100">
        <v>1198.9523058168591</v>
      </c>
      <c r="AD53" s="100">
        <v>6</v>
      </c>
      <c r="AE53" s="100">
        <v>2440.8000000000002</v>
      </c>
      <c r="AF53" s="100">
        <v>4.2072602900413569</v>
      </c>
      <c r="AG53" s="100">
        <v>1711.513485988824</v>
      </c>
      <c r="AH53" s="100">
        <v>4</v>
      </c>
      <c r="AI53" s="100">
        <v>1627.2</v>
      </c>
      <c r="AJ53" s="100">
        <v>3.3528134479092655</v>
      </c>
      <c r="AK53" s="100">
        <v>1363.9245106094893</v>
      </c>
      <c r="AL53" s="100">
        <v>3.9478891047187235</v>
      </c>
      <c r="AM53" s="100">
        <v>1606.0012877995769</v>
      </c>
      <c r="AN53" s="100">
        <v>4</v>
      </c>
      <c r="AO53" s="100">
        <v>1627.2</v>
      </c>
      <c r="AP53" s="100">
        <v>4.4156776545800653</v>
      </c>
      <c r="AQ53" s="100">
        <v>1796.2976698831706</v>
      </c>
      <c r="AR53" s="100">
        <v>1.0901579688153116</v>
      </c>
      <c r="AS53" s="100">
        <v>443.47626171406876</v>
      </c>
      <c r="AT53" s="100">
        <v>3.3891025039105993</v>
      </c>
      <c r="AU53" s="100">
        <v>1378.6868985908318</v>
      </c>
      <c r="AV53" s="100">
        <v>4</v>
      </c>
      <c r="AW53" s="100">
        <v>1627.2</v>
      </c>
      <c r="AX53" s="100">
        <v>4.5936017406229279</v>
      </c>
      <c r="AY53" s="100">
        <v>1868.6771880854071</v>
      </c>
      <c r="AZ53" s="100">
        <v>0.91224841865715056</v>
      </c>
      <c r="BA53" s="100">
        <v>371.10265670972888</v>
      </c>
      <c r="BB53" s="100">
        <v>4.2831218839152552</v>
      </c>
      <c r="BC53" s="100">
        <v>1742.373982376726</v>
      </c>
      <c r="BD53" s="100">
        <v>2.0663544439430352</v>
      </c>
      <c r="BE53" s="100">
        <v>840.5929877960267</v>
      </c>
      <c r="BF53" s="100">
        <v>3.7442131746827747</v>
      </c>
      <c r="BG53" s="100">
        <v>1523.1459194609529</v>
      </c>
      <c r="BH53" s="100">
        <v>3.0682962348468843</v>
      </c>
      <c r="BI53" s="100">
        <v>1248.1829083357125</v>
      </c>
      <c r="BJ53" s="100">
        <v>4.8178754373860588</v>
      </c>
      <c r="BK53" s="100">
        <v>1959.9117279286488</v>
      </c>
      <c r="BL53" s="100">
        <v>3</v>
      </c>
      <c r="BM53" s="100">
        <v>1220.4000000000001</v>
      </c>
      <c r="BN53" s="100">
        <v>6</v>
      </c>
      <c r="BO53" s="100">
        <v>2440.8000000000002</v>
      </c>
      <c r="BP53" s="100">
        <v>4</v>
      </c>
      <c r="BQ53" s="100">
        <v>1627.2</v>
      </c>
      <c r="BR53" s="100">
        <v>4.3618155910344329</v>
      </c>
      <c r="BS53" s="100">
        <v>1774.3865824328075</v>
      </c>
      <c r="BT53" s="100">
        <v>3.49867889482128E-4</v>
      </c>
      <c r="BU53" s="100">
        <v>0.14232625744132968</v>
      </c>
      <c r="BV53" s="100">
        <v>6</v>
      </c>
      <c r="BW53" s="100">
        <v>2440.8000000000002</v>
      </c>
      <c r="BX53" s="100">
        <v>6</v>
      </c>
      <c r="BY53" s="100">
        <v>2440.8000000000002</v>
      </c>
      <c r="BZ53" s="100">
        <v>4</v>
      </c>
      <c r="CA53" s="100">
        <v>1627.2</v>
      </c>
      <c r="CB53" s="100">
        <v>5</v>
      </c>
      <c r="CC53" s="100">
        <v>2034</v>
      </c>
      <c r="CD53" s="100">
        <v>4.0868967159123137</v>
      </c>
      <c r="CE53" s="100">
        <v>1662.5495840331293</v>
      </c>
      <c r="CF53" s="100">
        <v>0.15708644632507548</v>
      </c>
      <c r="CG53" s="100">
        <v>63.902766365040712</v>
      </c>
      <c r="CH53" s="100">
        <v>4</v>
      </c>
      <c r="CI53" s="100">
        <v>1627.2</v>
      </c>
      <c r="CJ53" s="100">
        <v>5</v>
      </c>
      <c r="CK53" s="100">
        <v>2034</v>
      </c>
      <c r="CL53" s="100">
        <v>7.2662839230037051</v>
      </c>
      <c r="CM53" s="100">
        <v>2955.9242998779073</v>
      </c>
      <c r="CN53" s="100">
        <v>4.6398557736656496</v>
      </c>
      <c r="CO53" s="100">
        <v>1887.4933287271863</v>
      </c>
      <c r="CP53" s="100">
        <v>3</v>
      </c>
      <c r="CQ53" s="100">
        <v>1220.4000000000001</v>
      </c>
      <c r="CR53" s="100">
        <v>5</v>
      </c>
      <c r="CS53" s="100">
        <v>2034</v>
      </c>
      <c r="CT53" s="100">
        <v>3.1625338428659266</v>
      </c>
      <c r="CU53" s="100">
        <v>1286.5187672778591</v>
      </c>
    </row>
    <row r="54" spans="2:99">
      <c r="C54" s="99" t="s">
        <v>220</v>
      </c>
      <c r="D54" s="100">
        <v>4</v>
      </c>
      <c r="E54" s="100">
        <v>1339.2</v>
      </c>
      <c r="F54" s="100">
        <v>5</v>
      </c>
      <c r="G54" s="100">
        <v>1674</v>
      </c>
      <c r="H54" s="100">
        <v>7</v>
      </c>
      <c r="I54" s="100">
        <v>2343.6</v>
      </c>
      <c r="J54" s="100">
        <v>7.3269158932032656</v>
      </c>
      <c r="K54" s="100">
        <v>2453.0514410444534</v>
      </c>
      <c r="L54" s="100">
        <v>1.9980890183441464</v>
      </c>
      <c r="M54" s="100">
        <v>668.96020334162029</v>
      </c>
      <c r="N54" s="100">
        <v>6</v>
      </c>
      <c r="O54" s="100">
        <v>2008.8000000000002</v>
      </c>
      <c r="P54" s="100">
        <v>5</v>
      </c>
      <c r="Q54" s="100">
        <v>1674</v>
      </c>
      <c r="R54" s="100">
        <v>6</v>
      </c>
      <c r="S54" s="100">
        <v>2008.8000000000002</v>
      </c>
      <c r="T54" s="100">
        <v>5</v>
      </c>
      <c r="U54" s="100">
        <v>1674</v>
      </c>
      <c r="V54" s="100">
        <v>3.5689088637060764</v>
      </c>
      <c r="W54" s="100">
        <v>1194.8706875687944</v>
      </c>
      <c r="X54" s="100">
        <v>2.6628717604189913</v>
      </c>
      <c r="Y54" s="100">
        <v>891.52946538827837</v>
      </c>
      <c r="Z54" s="100">
        <v>6.1842897904489282</v>
      </c>
      <c r="AA54" s="100">
        <v>2070.5002218423015</v>
      </c>
      <c r="AB54" s="100">
        <v>3.9297027394849522</v>
      </c>
      <c r="AC54" s="100">
        <v>1315.664477179562</v>
      </c>
      <c r="AD54" s="100">
        <v>6</v>
      </c>
      <c r="AE54" s="100">
        <v>2008.8000000000002</v>
      </c>
      <c r="AF54" s="100">
        <v>4.186534261037222</v>
      </c>
      <c r="AG54" s="100">
        <v>1401.651670595262</v>
      </c>
      <c r="AH54" s="100">
        <v>4</v>
      </c>
      <c r="AI54" s="100">
        <v>1339.2</v>
      </c>
      <c r="AJ54" s="100">
        <v>4.4233761374911182</v>
      </c>
      <c r="AK54" s="100">
        <v>1480.9463308320264</v>
      </c>
      <c r="AL54" s="100">
        <v>3.9478891047187235</v>
      </c>
      <c r="AM54" s="100">
        <v>1321.7532722598287</v>
      </c>
      <c r="AN54" s="100">
        <v>4</v>
      </c>
      <c r="AO54" s="100">
        <v>1339.2</v>
      </c>
      <c r="AP54" s="100">
        <v>4.3325421236640516</v>
      </c>
      <c r="AQ54" s="100">
        <v>1450.5351030027246</v>
      </c>
      <c r="AR54" s="100">
        <v>1.0901579688153116</v>
      </c>
      <c r="AS54" s="100">
        <v>364.98488795936635</v>
      </c>
      <c r="AT54" s="100">
        <v>3.3891025039105993</v>
      </c>
      <c r="AU54" s="100">
        <v>1134.6715183092688</v>
      </c>
      <c r="AV54" s="100">
        <v>4</v>
      </c>
      <c r="AW54" s="100">
        <v>1339.2</v>
      </c>
      <c r="AX54" s="100">
        <v>4.5441349289043513</v>
      </c>
      <c r="AY54" s="100">
        <v>1521.3763741971768</v>
      </c>
      <c r="AZ54" s="100">
        <v>0.91224841865715056</v>
      </c>
      <c r="BA54" s="100">
        <v>305.42077056641403</v>
      </c>
      <c r="BB54" s="100">
        <v>4.2831218839152552</v>
      </c>
      <c r="BC54" s="100">
        <v>1433.9892067348276</v>
      </c>
      <c r="BD54" s="100">
        <v>2.4077700653837963</v>
      </c>
      <c r="BE54" s="100">
        <v>806.12141789049508</v>
      </c>
      <c r="BF54" s="100">
        <v>4.4930558096193298</v>
      </c>
      <c r="BG54" s="100">
        <v>1504.2750850605516</v>
      </c>
      <c r="BH54" s="100">
        <v>3.0682962348468843</v>
      </c>
      <c r="BI54" s="100">
        <v>1027.2655794267368</v>
      </c>
      <c r="BJ54" s="100">
        <v>4.8178754373860588</v>
      </c>
      <c r="BK54" s="100">
        <v>1613.0246964368525</v>
      </c>
      <c r="BL54" s="100">
        <v>3</v>
      </c>
      <c r="BM54" s="100">
        <v>1004.4000000000001</v>
      </c>
      <c r="BN54" s="100">
        <v>6</v>
      </c>
      <c r="BO54" s="100">
        <v>2008.8000000000002</v>
      </c>
      <c r="BP54" s="100">
        <v>4</v>
      </c>
      <c r="BQ54" s="100">
        <v>1339.2</v>
      </c>
      <c r="BR54" s="100">
        <v>5.3425717873009289</v>
      </c>
      <c r="BS54" s="100">
        <v>1788.693034388351</v>
      </c>
      <c r="BT54" s="100">
        <v>3.49867889482128E-4</v>
      </c>
      <c r="BU54" s="100">
        <v>0.11713576939861646</v>
      </c>
      <c r="BV54" s="100">
        <v>6</v>
      </c>
      <c r="BW54" s="100">
        <v>2008.8000000000002</v>
      </c>
      <c r="BX54" s="100">
        <v>6</v>
      </c>
      <c r="BY54" s="100">
        <v>2008.8000000000002</v>
      </c>
      <c r="BZ54" s="100">
        <v>5</v>
      </c>
      <c r="CA54" s="100">
        <v>1674</v>
      </c>
      <c r="CB54" s="100">
        <v>5</v>
      </c>
      <c r="CC54" s="100">
        <v>1674</v>
      </c>
      <c r="CD54" s="100">
        <v>4.0977588054013525</v>
      </c>
      <c r="CE54" s="100">
        <v>1371.9296480483729</v>
      </c>
      <c r="CF54" s="100">
        <v>0.15708644632507548</v>
      </c>
      <c r="CG54" s="100">
        <v>52.592542229635271</v>
      </c>
      <c r="CH54" s="100">
        <v>4</v>
      </c>
      <c r="CI54" s="100">
        <v>1339.2</v>
      </c>
      <c r="CJ54" s="100">
        <v>5</v>
      </c>
      <c r="CK54" s="100">
        <v>1674</v>
      </c>
      <c r="CL54" s="100">
        <v>6.2396555307033346</v>
      </c>
      <c r="CM54" s="100">
        <v>2089.0366716794765</v>
      </c>
      <c r="CN54" s="100">
        <v>4.6398557736656496</v>
      </c>
      <c r="CO54" s="100">
        <v>1553.4237130232596</v>
      </c>
      <c r="CP54" s="100">
        <v>3</v>
      </c>
      <c r="CQ54" s="100">
        <v>1004.4000000000001</v>
      </c>
      <c r="CR54" s="100">
        <v>5</v>
      </c>
      <c r="CS54" s="100">
        <v>1674</v>
      </c>
      <c r="CT54" s="100">
        <v>4.1625338428659262</v>
      </c>
      <c r="CU54" s="100">
        <v>1393.6163305915122</v>
      </c>
    </row>
    <row r="55" spans="2:99">
      <c r="C55" s="99" t="s">
        <v>221</v>
      </c>
      <c r="D55" s="100">
        <v>4</v>
      </c>
      <c r="E55" s="100">
        <v>2654.4</v>
      </c>
      <c r="F55" s="100">
        <v>6</v>
      </c>
      <c r="G55" s="100">
        <v>3981.6000000000004</v>
      </c>
      <c r="H55" s="100">
        <v>7</v>
      </c>
      <c r="I55" s="100">
        <v>4645.2</v>
      </c>
      <c r="J55" s="100">
        <v>7.3269158932032656</v>
      </c>
      <c r="K55" s="100">
        <v>4862.1413867296869</v>
      </c>
      <c r="L55" s="100">
        <v>1.9980890183441464</v>
      </c>
      <c r="M55" s="100">
        <v>1325.9318725731757</v>
      </c>
      <c r="N55" s="100">
        <v>6</v>
      </c>
      <c r="O55" s="100">
        <v>3981.6000000000004</v>
      </c>
      <c r="P55" s="100">
        <v>5</v>
      </c>
      <c r="Q55" s="100">
        <v>3318</v>
      </c>
      <c r="R55" s="100">
        <v>5</v>
      </c>
      <c r="S55" s="100">
        <v>3318</v>
      </c>
      <c r="T55" s="100">
        <v>4</v>
      </c>
      <c r="U55" s="100">
        <v>2654.4</v>
      </c>
      <c r="V55" s="100">
        <v>3.5408838979823818</v>
      </c>
      <c r="W55" s="100">
        <v>2349.7305547011088</v>
      </c>
      <c r="X55" s="100">
        <v>2.6628717604189913</v>
      </c>
      <c r="Y55" s="100">
        <v>1767.0817002140427</v>
      </c>
      <c r="Z55" s="100">
        <v>6.1507825558218503</v>
      </c>
      <c r="AA55" s="100">
        <v>4081.65930404338</v>
      </c>
      <c r="AB55" s="100">
        <v>3.9297027394849522</v>
      </c>
      <c r="AC55" s="100">
        <v>2607.7507379222143</v>
      </c>
      <c r="AD55" s="100">
        <v>5</v>
      </c>
      <c r="AE55" s="100">
        <v>3318</v>
      </c>
      <c r="AF55" s="100">
        <v>4.2072602900413569</v>
      </c>
      <c r="AG55" s="100">
        <v>2791.9379284714446</v>
      </c>
      <c r="AH55" s="100">
        <v>4</v>
      </c>
      <c r="AI55" s="100">
        <v>2654.4</v>
      </c>
      <c r="AJ55" s="100">
        <v>3.3880947927001919</v>
      </c>
      <c r="AK55" s="100">
        <v>2248.3397044358476</v>
      </c>
      <c r="AL55" s="100">
        <v>3.9478891047187235</v>
      </c>
      <c r="AM55" s="100">
        <v>2619.8192098913451</v>
      </c>
      <c r="AN55" s="100">
        <v>4</v>
      </c>
      <c r="AO55" s="100">
        <v>2654.4</v>
      </c>
      <c r="AP55" s="100">
        <v>4.3741098891220584</v>
      </c>
      <c r="AQ55" s="100">
        <v>2902.659322421398</v>
      </c>
      <c r="AR55" s="100">
        <v>1.0901579688153116</v>
      </c>
      <c r="AS55" s="100">
        <v>723.42882810584081</v>
      </c>
      <c r="AT55" s="100">
        <v>3.3891025039105993</v>
      </c>
      <c r="AU55" s="100">
        <v>2249.0084215950737</v>
      </c>
      <c r="AV55" s="100">
        <v>5</v>
      </c>
      <c r="AW55" s="100">
        <v>3318</v>
      </c>
      <c r="AX55" s="100">
        <v>4.5441349289043513</v>
      </c>
      <c r="AY55" s="100">
        <v>3015.4879388209279</v>
      </c>
      <c r="AZ55" s="100">
        <v>0.76020701554762549</v>
      </c>
      <c r="BA55" s="100">
        <v>504.47337551740429</v>
      </c>
      <c r="BB55" s="100">
        <v>3.4894479077093514</v>
      </c>
      <c r="BC55" s="100">
        <v>2315.5976315559255</v>
      </c>
      <c r="BD55" s="100">
        <v>2.0663544439430352</v>
      </c>
      <c r="BE55" s="100">
        <v>1371.2328090005983</v>
      </c>
      <c r="BF55" s="100">
        <v>3.7442131746827747</v>
      </c>
      <c r="BG55" s="100">
        <v>2484.6598627194894</v>
      </c>
      <c r="BH55" s="100">
        <v>3.681955481816261</v>
      </c>
      <c r="BI55" s="100">
        <v>2443.3456577332709</v>
      </c>
      <c r="BJ55" s="100">
        <v>4.8178754373860588</v>
      </c>
      <c r="BK55" s="100">
        <v>3197.1421402493888</v>
      </c>
      <c r="BL55" s="100">
        <v>3</v>
      </c>
      <c r="BM55" s="100">
        <v>1990.8000000000002</v>
      </c>
      <c r="BN55" s="100">
        <v>7</v>
      </c>
      <c r="BO55" s="100">
        <v>4645.2</v>
      </c>
      <c r="BP55" s="100">
        <v>4</v>
      </c>
      <c r="BQ55" s="100">
        <v>2654.4</v>
      </c>
      <c r="BR55" s="100">
        <v>5.3060058868035593</v>
      </c>
      <c r="BS55" s="100">
        <v>3521.065506482842</v>
      </c>
      <c r="BT55" s="100">
        <v>4.1984146737855356E-4</v>
      </c>
      <c r="BU55" s="100">
        <v>0.27860679775240815</v>
      </c>
      <c r="BV55" s="100">
        <v>6</v>
      </c>
      <c r="BW55" s="100">
        <v>3981.6000000000004</v>
      </c>
      <c r="BX55" s="100">
        <v>5</v>
      </c>
      <c r="BY55" s="100">
        <v>3318</v>
      </c>
      <c r="BZ55" s="100">
        <v>5</v>
      </c>
      <c r="CA55" s="100">
        <v>3318</v>
      </c>
      <c r="CB55" s="100">
        <v>5</v>
      </c>
      <c r="CC55" s="100">
        <v>3318</v>
      </c>
      <c r="CD55" s="100">
        <v>4.0868967159123137</v>
      </c>
      <c r="CE55" s="100">
        <v>2712.0646606794116</v>
      </c>
      <c r="CF55" s="100">
        <v>0.15708644632507548</v>
      </c>
      <c r="CG55" s="100">
        <v>104.2425657813201</v>
      </c>
      <c r="CH55" s="100">
        <v>3</v>
      </c>
      <c r="CI55" s="100">
        <v>1990.8000000000002</v>
      </c>
      <c r="CJ55" s="100">
        <v>5</v>
      </c>
      <c r="CK55" s="100">
        <v>3318</v>
      </c>
      <c r="CL55" s="100">
        <v>6.2396555307033346</v>
      </c>
      <c r="CM55" s="100">
        <v>4140.6354101747329</v>
      </c>
      <c r="CN55" s="100">
        <v>5.4131650692765909</v>
      </c>
      <c r="CO55" s="100">
        <v>3592.1763399719457</v>
      </c>
      <c r="CP55" s="100">
        <v>4</v>
      </c>
      <c r="CQ55" s="100">
        <v>2654.4</v>
      </c>
      <c r="CR55" s="100">
        <v>5</v>
      </c>
      <c r="CS55" s="100">
        <v>3318</v>
      </c>
      <c r="CT55" s="100">
        <v>4.1625338428659262</v>
      </c>
      <c r="CU55" s="100">
        <v>2762.2574581258286</v>
      </c>
    </row>
    <row r="56" spans="2:99">
      <c r="C56" s="99" t="s">
        <v>222</v>
      </c>
      <c r="D56" s="100">
        <v>2.6177511371711106</v>
      </c>
      <c r="E56" s="100">
        <v>2569.5845162471619</v>
      </c>
      <c r="F56" s="100">
        <v>5</v>
      </c>
      <c r="G56" s="100">
        <v>4908</v>
      </c>
      <c r="H56" s="100">
        <v>4.5109585297701944</v>
      </c>
      <c r="I56" s="100">
        <v>4427.9568928224226</v>
      </c>
      <c r="J56" s="100">
        <v>3.3324375691833921</v>
      </c>
      <c r="K56" s="100">
        <v>3271.1207179104172</v>
      </c>
      <c r="L56" s="100">
        <v>0.16913939707317316</v>
      </c>
      <c r="M56" s="100">
        <v>166.02723216702677</v>
      </c>
      <c r="N56" s="100">
        <v>6</v>
      </c>
      <c r="O56" s="100">
        <v>5889.5999999999995</v>
      </c>
      <c r="P56" s="100">
        <v>3.0795254953335998</v>
      </c>
      <c r="Q56" s="100">
        <v>3022.8622262194613</v>
      </c>
      <c r="R56" s="100">
        <v>4.5542375289535757</v>
      </c>
      <c r="S56" s="100">
        <v>4470.4395584208296</v>
      </c>
      <c r="T56" s="100">
        <v>0.20442747272153289</v>
      </c>
      <c r="U56" s="100">
        <v>200.66600722345666</v>
      </c>
      <c r="V56" s="100">
        <v>3</v>
      </c>
      <c r="W56" s="100">
        <v>2944.7999999999997</v>
      </c>
      <c r="X56" s="100">
        <v>5</v>
      </c>
      <c r="Y56" s="100">
        <v>4908</v>
      </c>
      <c r="Z56" s="100">
        <v>4.4384610208278295</v>
      </c>
      <c r="AA56" s="100">
        <v>4356.7933380445966</v>
      </c>
      <c r="AB56" s="100">
        <v>0.24709059746341802</v>
      </c>
      <c r="AC56" s="100">
        <v>242.54413047009112</v>
      </c>
      <c r="AD56" s="100">
        <v>6.3807836960405702</v>
      </c>
      <c r="AE56" s="100">
        <v>6263.3772760334232</v>
      </c>
      <c r="AF56" s="100">
        <v>1.0984164039180746</v>
      </c>
      <c r="AG56" s="100">
        <v>1078.205542085982</v>
      </c>
      <c r="AH56" s="100">
        <v>4.4499974249825893</v>
      </c>
      <c r="AI56" s="100">
        <v>4368.1174723629092</v>
      </c>
      <c r="AJ56" s="100">
        <v>2.4934257918602238</v>
      </c>
      <c r="AK56" s="100">
        <v>2447.5467572899956</v>
      </c>
      <c r="AL56" s="100">
        <v>6.4650403142264539</v>
      </c>
      <c r="AM56" s="100">
        <v>6346.083572444687</v>
      </c>
      <c r="AN56" s="100">
        <v>1.8837231213911902</v>
      </c>
      <c r="AO56" s="100">
        <v>1849.0626159575922</v>
      </c>
      <c r="AP56" s="100">
        <v>4</v>
      </c>
      <c r="AQ56" s="100">
        <v>3926.3999999999996</v>
      </c>
      <c r="AR56" s="100">
        <v>4.1818590785285856</v>
      </c>
      <c r="AS56" s="100">
        <v>4104.9128714836588</v>
      </c>
      <c r="AT56" s="100">
        <v>2.1093127213544854E-4</v>
      </c>
      <c r="AU56" s="100">
        <v>0.20705013672815625</v>
      </c>
      <c r="AV56" s="100">
        <v>2.6410670236835294</v>
      </c>
      <c r="AW56" s="100">
        <v>2592.4713904477521</v>
      </c>
      <c r="AX56" s="100">
        <v>2.1343271323762887E-4</v>
      </c>
      <c r="AY56" s="100">
        <v>0.20950555131405649</v>
      </c>
      <c r="AZ56" s="100">
        <v>3.4555772619425628E-4</v>
      </c>
      <c r="BA56" s="100">
        <v>0.33919946403228196</v>
      </c>
      <c r="BB56" s="100">
        <v>3.7996571076970014</v>
      </c>
      <c r="BC56" s="100">
        <v>3729.7434169153762</v>
      </c>
      <c r="BD56" s="100">
        <v>0.26473992585366218</v>
      </c>
      <c r="BE56" s="100">
        <v>259.8687112179548</v>
      </c>
      <c r="BF56" s="100">
        <v>5.3996949784009267</v>
      </c>
      <c r="BG56" s="100">
        <v>5300.3405907983488</v>
      </c>
      <c r="BH56" s="100">
        <v>3.1640279978718455</v>
      </c>
      <c r="BI56" s="100">
        <v>3105.8098827110034</v>
      </c>
      <c r="BJ56" s="100">
        <v>5</v>
      </c>
      <c r="BK56" s="100">
        <v>4908</v>
      </c>
      <c r="BL56" s="100">
        <v>2.3821722291147664</v>
      </c>
      <c r="BM56" s="100">
        <v>2338.3402600990544</v>
      </c>
      <c r="BN56" s="100">
        <v>3.3530000255364389E-4</v>
      </c>
      <c r="BO56" s="100">
        <v>0.32913048250665683</v>
      </c>
      <c r="BP56" s="100">
        <v>2.7671116055820928</v>
      </c>
      <c r="BQ56" s="100">
        <v>2716.1967520393819</v>
      </c>
      <c r="BR56" s="100">
        <v>2.9929222520174261</v>
      </c>
      <c r="BS56" s="100">
        <v>2937.8524825803051</v>
      </c>
      <c r="BT56" s="100">
        <v>2.7840754493133524</v>
      </c>
      <c r="BU56" s="100">
        <v>2732.8484610459864</v>
      </c>
      <c r="BV56" s="100">
        <v>0.28799410852999735</v>
      </c>
      <c r="BW56" s="100">
        <v>282.69501693304539</v>
      </c>
      <c r="BX56" s="100">
        <v>4.698351025484266</v>
      </c>
      <c r="BY56" s="100">
        <v>4611.9013666153551</v>
      </c>
      <c r="BZ56" s="100">
        <v>1.5793389860795481</v>
      </c>
      <c r="CA56" s="100">
        <v>1550.2791487356844</v>
      </c>
      <c r="CB56" s="100">
        <v>3.0389410346115695</v>
      </c>
      <c r="CC56" s="100">
        <v>2983.0245195747161</v>
      </c>
      <c r="CD56" s="100">
        <v>2.7943851083460602</v>
      </c>
      <c r="CE56" s="100">
        <v>2742.9684223524923</v>
      </c>
      <c r="CF56" s="100">
        <v>1.4665584714011015</v>
      </c>
      <c r="CG56" s="100">
        <v>1439.5737955273212</v>
      </c>
      <c r="CH56" s="100">
        <v>2.0955181289510882</v>
      </c>
      <c r="CI56" s="100">
        <v>2056.960595378388</v>
      </c>
      <c r="CJ56" s="100">
        <v>3.4225110441258457</v>
      </c>
      <c r="CK56" s="100">
        <v>3359.5368409139301</v>
      </c>
      <c r="CL56" s="100">
        <v>4.8481487700216563</v>
      </c>
      <c r="CM56" s="100">
        <v>4758.942832653257</v>
      </c>
      <c r="CN56" s="100">
        <v>5.0082300971560025</v>
      </c>
      <c r="CO56" s="100">
        <v>4916.0786633683319</v>
      </c>
      <c r="CP56" s="100">
        <v>2.2193431148153788</v>
      </c>
      <c r="CQ56" s="100">
        <v>2178.5072015027758</v>
      </c>
      <c r="CR56" s="100">
        <v>2.0035114898313551</v>
      </c>
      <c r="CS56" s="100">
        <v>1966.6468784184581</v>
      </c>
      <c r="CT56" s="100">
        <v>1.1025470879704464</v>
      </c>
      <c r="CU56" s="100">
        <v>1082.2602215517902</v>
      </c>
    </row>
    <row r="57" spans="2:99">
      <c r="C57" s="99" t="s">
        <v>223</v>
      </c>
      <c r="D57" s="100">
        <v>4</v>
      </c>
      <c r="E57" s="100">
        <v>5644.8</v>
      </c>
      <c r="F57" s="100">
        <v>6</v>
      </c>
      <c r="G57" s="100">
        <v>8467.2000000000007</v>
      </c>
      <c r="H57" s="100">
        <v>6</v>
      </c>
      <c r="I57" s="100">
        <v>8467.2000000000007</v>
      </c>
      <c r="J57" s="100">
        <v>6.2802136227456566</v>
      </c>
      <c r="K57" s="100">
        <v>8862.6374644186708</v>
      </c>
      <c r="L57" s="100">
        <v>1.5984712146753173</v>
      </c>
      <c r="M57" s="100">
        <v>2255.7625781498077</v>
      </c>
      <c r="N57" s="100">
        <v>6</v>
      </c>
      <c r="O57" s="100">
        <v>8467.2000000000007</v>
      </c>
      <c r="P57" s="100">
        <v>4</v>
      </c>
      <c r="Q57" s="100">
        <v>5644.8</v>
      </c>
      <c r="R57" s="100">
        <v>6</v>
      </c>
      <c r="S57" s="100">
        <v>8467.2000000000007</v>
      </c>
      <c r="T57" s="100">
        <v>4</v>
      </c>
      <c r="U57" s="100">
        <v>5644.8</v>
      </c>
      <c r="V57" s="100">
        <v>3.5408838979823818</v>
      </c>
      <c r="W57" s="100">
        <v>4996.895356832737</v>
      </c>
      <c r="X57" s="100">
        <v>2.6628717604189913</v>
      </c>
      <c r="Y57" s="100">
        <v>3757.8446283032808</v>
      </c>
      <c r="Z57" s="100">
        <v>5.1842897904489282</v>
      </c>
      <c r="AA57" s="100">
        <v>7316.0697522815281</v>
      </c>
      <c r="AB57" s="100">
        <v>3.9297027394849522</v>
      </c>
      <c r="AC57" s="100">
        <v>5545.5965059611644</v>
      </c>
      <c r="AD57" s="100">
        <v>6</v>
      </c>
      <c r="AE57" s="100">
        <v>8467.2000000000007</v>
      </c>
      <c r="AF57" s="100">
        <v>4.2072602900413569</v>
      </c>
      <c r="AG57" s="100">
        <v>5937.2857213063635</v>
      </c>
      <c r="AH57" s="100">
        <v>3</v>
      </c>
      <c r="AI57" s="100">
        <v>4233.6000000000004</v>
      </c>
      <c r="AJ57" s="100">
        <v>4.3175321031183387</v>
      </c>
      <c r="AK57" s="100">
        <v>6092.9013039206002</v>
      </c>
      <c r="AL57" s="100">
        <v>4.6058706221718442</v>
      </c>
      <c r="AM57" s="100">
        <v>6499.8046220089063</v>
      </c>
      <c r="AN57" s="100">
        <v>4</v>
      </c>
      <c r="AO57" s="100">
        <v>5644.8</v>
      </c>
      <c r="AP57" s="100">
        <v>3.3741098891220584</v>
      </c>
      <c r="AQ57" s="100">
        <v>4761.5438755290488</v>
      </c>
      <c r="AR57" s="100">
        <v>1.0901579688153116</v>
      </c>
      <c r="AS57" s="100">
        <v>1538.4309255921678</v>
      </c>
      <c r="AT57" s="100">
        <v>3.3891025039105993</v>
      </c>
      <c r="AU57" s="100">
        <v>4782.7014535186381</v>
      </c>
      <c r="AV57" s="100">
        <v>4</v>
      </c>
      <c r="AW57" s="100">
        <v>5644.8</v>
      </c>
      <c r="AX57" s="100">
        <v>4.5441349289043513</v>
      </c>
      <c r="AY57" s="100">
        <v>6412.6832116698206</v>
      </c>
      <c r="AZ57" s="100">
        <v>0.76020701554762549</v>
      </c>
      <c r="BA57" s="100">
        <v>1072.8041403408092</v>
      </c>
      <c r="BB57" s="100">
        <v>3.4501039073486335</v>
      </c>
      <c r="BC57" s="100">
        <v>4868.7866340503915</v>
      </c>
      <c r="BD57" s="100">
        <v>1.7308923942684273</v>
      </c>
      <c r="BE57" s="100">
        <v>2442.6353467916047</v>
      </c>
      <c r="BF57" s="100">
        <v>3.7442131746827747</v>
      </c>
      <c r="BG57" s="100">
        <v>5283.8336321123315</v>
      </c>
      <c r="BH57" s="100">
        <v>3.681955481816261</v>
      </c>
      <c r="BI57" s="100">
        <v>5195.9755759391073</v>
      </c>
      <c r="BJ57" s="100">
        <v>4.0148961978217148</v>
      </c>
      <c r="BK57" s="100">
        <v>5665.8215143660045</v>
      </c>
      <c r="BL57" s="100">
        <v>4</v>
      </c>
      <c r="BM57" s="100">
        <v>5644.8</v>
      </c>
      <c r="BN57" s="100">
        <v>6</v>
      </c>
      <c r="BO57" s="100">
        <v>8467.2000000000007</v>
      </c>
      <c r="BP57" s="100">
        <v>4</v>
      </c>
      <c r="BQ57" s="100">
        <v>5644.8</v>
      </c>
      <c r="BR57" s="100">
        <v>5.269439986306188</v>
      </c>
      <c r="BS57" s="100">
        <v>7436.2337086752932</v>
      </c>
      <c r="BT57" s="100">
        <v>3.49867889482128E-4</v>
      </c>
      <c r="BU57" s="100">
        <v>0.49373356563717907</v>
      </c>
      <c r="BV57" s="100">
        <v>5</v>
      </c>
      <c r="BW57" s="100">
        <v>7056</v>
      </c>
      <c r="BX57" s="100">
        <v>5</v>
      </c>
      <c r="BY57" s="100">
        <v>7056</v>
      </c>
      <c r="BZ57" s="100">
        <v>4</v>
      </c>
      <c r="CA57" s="100">
        <v>5644.8</v>
      </c>
      <c r="CB57" s="100">
        <v>4</v>
      </c>
      <c r="CC57" s="100">
        <v>5644.8</v>
      </c>
      <c r="CD57" s="100">
        <v>4.0760346264232741</v>
      </c>
      <c r="CE57" s="100">
        <v>5752.1000648085246</v>
      </c>
      <c r="CF57" s="100">
        <v>0.15708644632507548</v>
      </c>
      <c r="CG57" s="100">
        <v>221.68039305394655</v>
      </c>
      <c r="CH57" s="100">
        <v>3</v>
      </c>
      <c r="CI57" s="100">
        <v>4233.6000000000004</v>
      </c>
      <c r="CJ57" s="100">
        <v>5</v>
      </c>
      <c r="CK57" s="100">
        <v>7056</v>
      </c>
      <c r="CL57" s="100">
        <v>6.2662839230037051</v>
      </c>
      <c r="CM57" s="100">
        <v>8842.9798721428288</v>
      </c>
      <c r="CN57" s="100">
        <v>4.6398557736656496</v>
      </c>
      <c r="CO57" s="100">
        <v>6547.7644677969647</v>
      </c>
      <c r="CP57" s="100">
        <v>3</v>
      </c>
      <c r="CQ57" s="100">
        <v>4233.6000000000004</v>
      </c>
      <c r="CR57" s="100">
        <v>5</v>
      </c>
      <c r="CS57" s="100">
        <v>7056</v>
      </c>
      <c r="CT57" s="100">
        <v>3.1857529632753447</v>
      </c>
      <c r="CU57" s="100">
        <v>4495.7345817741671</v>
      </c>
    </row>
    <row r="58" spans="2:99">
      <c r="C58" s="99" t="s">
        <v>224</v>
      </c>
      <c r="D58" s="100">
        <v>5</v>
      </c>
      <c r="E58" s="100">
        <v>5886</v>
      </c>
      <c r="F58" s="100">
        <v>6.142331136598755</v>
      </c>
      <c r="G58" s="100">
        <v>7230.7522140040546</v>
      </c>
      <c r="H58" s="100">
        <v>0.84957219084071733</v>
      </c>
      <c r="I58" s="100">
        <v>1000.1163830576925</v>
      </c>
      <c r="J58" s="100">
        <v>6</v>
      </c>
      <c r="K58" s="100">
        <v>7063.2000000000007</v>
      </c>
      <c r="L58" s="100">
        <v>3.9346291116909184</v>
      </c>
      <c r="M58" s="100">
        <v>4631.8453902825495</v>
      </c>
      <c r="N58" s="100">
        <v>6.332692331635954</v>
      </c>
      <c r="O58" s="100">
        <v>7454.8454128018457</v>
      </c>
      <c r="P58" s="100">
        <v>1.4077794875623215</v>
      </c>
      <c r="Q58" s="100">
        <v>1657.2380127583649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4</v>
      </c>
      <c r="W58" s="100">
        <v>4708.8</v>
      </c>
      <c r="X58" s="100">
        <v>3.3694155480207781</v>
      </c>
      <c r="Y58" s="100">
        <v>3966.4759831300603</v>
      </c>
      <c r="Z58" s="100">
        <v>5.6162722155750915</v>
      </c>
      <c r="AA58" s="100">
        <v>6611.4756521749978</v>
      </c>
      <c r="AB58" s="100">
        <v>4</v>
      </c>
      <c r="AC58" s="100">
        <v>4708.8</v>
      </c>
      <c r="AD58" s="100">
        <v>6</v>
      </c>
      <c r="AE58" s="100">
        <v>7063.2000000000007</v>
      </c>
      <c r="AF58" s="100">
        <v>4</v>
      </c>
      <c r="AG58" s="100">
        <v>4708.8</v>
      </c>
      <c r="AH58" s="100">
        <v>4</v>
      </c>
      <c r="AI58" s="100">
        <v>4708.8</v>
      </c>
      <c r="AJ58" s="100">
        <v>3</v>
      </c>
      <c r="AK58" s="100">
        <v>3531.6000000000004</v>
      </c>
      <c r="AL58" s="100">
        <v>6</v>
      </c>
      <c r="AM58" s="100">
        <v>7063.2000000000007</v>
      </c>
      <c r="AN58" s="100">
        <v>4</v>
      </c>
      <c r="AO58" s="100">
        <v>4708.8</v>
      </c>
      <c r="AP58" s="100">
        <v>3.5483483614043041</v>
      </c>
      <c r="AQ58" s="100">
        <v>4177.1156910451473</v>
      </c>
      <c r="AR58" s="100">
        <v>1.3920833710303329</v>
      </c>
      <c r="AS58" s="100">
        <v>1638.760544376908</v>
      </c>
      <c r="AT58" s="100">
        <v>1.1295000854192332</v>
      </c>
      <c r="AU58" s="100">
        <v>1329.6475005555214</v>
      </c>
      <c r="AV58" s="100">
        <v>4</v>
      </c>
      <c r="AW58" s="100">
        <v>4708.8</v>
      </c>
      <c r="AX58" s="100">
        <v>4.3722850474550121</v>
      </c>
      <c r="AY58" s="100">
        <v>5147.0539578640401</v>
      </c>
      <c r="AZ58" s="100">
        <v>1.498862970683813</v>
      </c>
      <c r="BA58" s="100">
        <v>1764.4614890889848</v>
      </c>
      <c r="BB58" s="100">
        <v>2.6542807241293578</v>
      </c>
      <c r="BC58" s="100">
        <v>3124.6192684450803</v>
      </c>
      <c r="BD58" s="100">
        <v>3.7936182047697895</v>
      </c>
      <c r="BE58" s="100">
        <v>4465.8473506549963</v>
      </c>
      <c r="BF58" s="100">
        <v>4.0694514149837886</v>
      </c>
      <c r="BG58" s="100">
        <v>4790.5582057189158</v>
      </c>
      <c r="BH58" s="100">
        <v>2.2769640762014696</v>
      </c>
      <c r="BI58" s="100">
        <v>2680.4421105043702</v>
      </c>
      <c r="BJ58" s="100">
        <v>5</v>
      </c>
      <c r="BK58" s="100">
        <v>5886</v>
      </c>
      <c r="BL58" s="100">
        <v>4.3805060748361111</v>
      </c>
      <c r="BM58" s="100">
        <v>5156.7317512970703</v>
      </c>
      <c r="BN58" s="100">
        <v>2.4887107957156012</v>
      </c>
      <c r="BO58" s="100">
        <v>2929.7103487164059</v>
      </c>
      <c r="BP58" s="100">
        <v>4.1633253840970026</v>
      </c>
      <c r="BQ58" s="100">
        <v>4901.0666421589913</v>
      </c>
      <c r="BR58" s="100">
        <v>1.0459109546092635</v>
      </c>
      <c r="BS58" s="100">
        <v>1231.246375766025</v>
      </c>
      <c r="BT58" s="100">
        <v>5</v>
      </c>
      <c r="BU58" s="100">
        <v>5886</v>
      </c>
      <c r="BV58" s="100">
        <v>5.1804326236508151</v>
      </c>
      <c r="BW58" s="100">
        <v>6098.4052845617398</v>
      </c>
      <c r="BX58" s="100">
        <v>5</v>
      </c>
      <c r="BY58" s="100">
        <v>5886</v>
      </c>
      <c r="BZ58" s="100">
        <v>4</v>
      </c>
      <c r="CA58" s="100">
        <v>4708.8</v>
      </c>
      <c r="CB58" s="100">
        <v>5</v>
      </c>
      <c r="CC58" s="100">
        <v>5886</v>
      </c>
      <c r="CD58" s="100">
        <v>3.1854300855546378</v>
      </c>
      <c r="CE58" s="100">
        <v>3749.8882967149198</v>
      </c>
      <c r="CF58" s="100">
        <v>1.8556664964907246</v>
      </c>
      <c r="CG58" s="100">
        <v>2184.4905996688813</v>
      </c>
      <c r="CH58" s="100">
        <v>4</v>
      </c>
      <c r="CI58" s="100">
        <v>4708.8</v>
      </c>
      <c r="CJ58" s="100">
        <v>5</v>
      </c>
      <c r="CK58" s="100">
        <v>5886</v>
      </c>
      <c r="CL58" s="100">
        <v>6</v>
      </c>
      <c r="CM58" s="100">
        <v>7063.2000000000007</v>
      </c>
      <c r="CN58" s="100">
        <v>3.9969923877925679</v>
      </c>
      <c r="CO58" s="100">
        <v>4705.2594389094111</v>
      </c>
      <c r="CP58" s="100">
        <v>3</v>
      </c>
      <c r="CQ58" s="100">
        <v>3531.6000000000004</v>
      </c>
      <c r="CR58" s="100">
        <v>5</v>
      </c>
      <c r="CS58" s="100">
        <v>5886</v>
      </c>
      <c r="CT58" s="100">
        <v>2.8384695803817284</v>
      </c>
      <c r="CU58" s="100">
        <v>3341.4463900253709</v>
      </c>
    </row>
    <row r="59" spans="2:99">
      <c r="C59" s="99" t="s">
        <v>225</v>
      </c>
      <c r="D59" s="100">
        <v>4</v>
      </c>
      <c r="E59" s="100">
        <v>1214.3999999999999</v>
      </c>
      <c r="F59" s="100">
        <v>6</v>
      </c>
      <c r="G59" s="100">
        <v>1821.6</v>
      </c>
      <c r="H59" s="100">
        <v>7</v>
      </c>
      <c r="I59" s="100">
        <v>2125.1999999999998</v>
      </c>
      <c r="J59" s="100">
        <v>6.3269158932032656</v>
      </c>
      <c r="K59" s="100">
        <v>1920.8516651765112</v>
      </c>
      <c r="L59" s="100">
        <v>1.9980890183441464</v>
      </c>
      <c r="M59" s="100">
        <v>606.61982596928283</v>
      </c>
      <c r="N59" s="100">
        <v>7</v>
      </c>
      <c r="O59" s="100">
        <v>2125.1999999999998</v>
      </c>
      <c r="P59" s="100">
        <v>5</v>
      </c>
      <c r="Q59" s="100">
        <v>1517.9999999999998</v>
      </c>
      <c r="R59" s="100">
        <v>6</v>
      </c>
      <c r="S59" s="100">
        <v>1821.6</v>
      </c>
      <c r="T59" s="100">
        <v>4</v>
      </c>
      <c r="U59" s="100">
        <v>1214.3999999999999</v>
      </c>
      <c r="V59" s="100">
        <v>3.5689088637060764</v>
      </c>
      <c r="W59" s="100">
        <v>1083.5207310211647</v>
      </c>
      <c r="X59" s="100">
        <v>2.6628717604189913</v>
      </c>
      <c r="Y59" s="100">
        <v>808.44786646320563</v>
      </c>
      <c r="Z59" s="100">
        <v>5.1842897904489282</v>
      </c>
      <c r="AA59" s="100">
        <v>1573.9503803802945</v>
      </c>
      <c r="AB59" s="100">
        <v>3.9297027394849522</v>
      </c>
      <c r="AC59" s="100">
        <v>1193.0577517076313</v>
      </c>
      <c r="AD59" s="100">
        <v>6</v>
      </c>
      <c r="AE59" s="100">
        <v>1821.6</v>
      </c>
      <c r="AF59" s="100">
        <v>4.186534261037222</v>
      </c>
      <c r="AG59" s="100">
        <v>1271.0318016509004</v>
      </c>
      <c r="AH59" s="100">
        <v>4</v>
      </c>
      <c r="AI59" s="100">
        <v>1214.3999999999999</v>
      </c>
      <c r="AJ59" s="100">
        <v>4.3880947927001923</v>
      </c>
      <c r="AK59" s="100">
        <v>1332.2255790637782</v>
      </c>
      <c r="AL59" s="100">
        <v>3.9478891047187235</v>
      </c>
      <c r="AM59" s="100">
        <v>1198.5791321926042</v>
      </c>
      <c r="AN59" s="100">
        <v>4</v>
      </c>
      <c r="AO59" s="100">
        <v>1214.3999999999999</v>
      </c>
      <c r="AP59" s="100">
        <v>4.3325421236640516</v>
      </c>
      <c r="AQ59" s="100">
        <v>1315.3597887444059</v>
      </c>
      <c r="AR59" s="100">
        <v>1.0901579688153116</v>
      </c>
      <c r="AS59" s="100">
        <v>330.97195933232854</v>
      </c>
      <c r="AT59" s="100">
        <v>4.0669230046927183</v>
      </c>
      <c r="AU59" s="100">
        <v>1234.7178242247091</v>
      </c>
      <c r="AV59" s="100">
        <v>4</v>
      </c>
      <c r="AW59" s="100">
        <v>1214.3999999999999</v>
      </c>
      <c r="AX59" s="100">
        <v>4.5936017406229279</v>
      </c>
      <c r="AY59" s="100">
        <v>1394.6174884531208</v>
      </c>
      <c r="AZ59" s="100">
        <v>0.91224841865715056</v>
      </c>
      <c r="BA59" s="100">
        <v>276.95861990431086</v>
      </c>
      <c r="BB59" s="100">
        <v>3.4894479077093514</v>
      </c>
      <c r="BC59" s="100">
        <v>1059.3963847805589</v>
      </c>
      <c r="BD59" s="100">
        <v>2.0604008721768805</v>
      </c>
      <c r="BE59" s="100">
        <v>625.53770479290085</v>
      </c>
      <c r="BF59" s="100">
        <v>4.6439135526704858</v>
      </c>
      <c r="BG59" s="100">
        <v>1409.8921545907592</v>
      </c>
      <c r="BH59" s="100">
        <v>3.681955481816261</v>
      </c>
      <c r="BI59" s="100">
        <v>1117.8416842794168</v>
      </c>
      <c r="BJ59" s="100">
        <v>4.0148961978217148</v>
      </c>
      <c r="BK59" s="100">
        <v>1218.9224856586725</v>
      </c>
      <c r="BL59" s="100">
        <v>3</v>
      </c>
      <c r="BM59" s="100">
        <v>910.8</v>
      </c>
      <c r="BN59" s="100">
        <v>6</v>
      </c>
      <c r="BO59" s="100">
        <v>1821.6</v>
      </c>
      <c r="BP59" s="100">
        <v>4</v>
      </c>
      <c r="BQ59" s="100">
        <v>1214.3999999999999</v>
      </c>
      <c r="BR59" s="100">
        <v>5.269439986306188</v>
      </c>
      <c r="BS59" s="100">
        <v>1599.8019798425585</v>
      </c>
      <c r="BT59" s="100">
        <v>4.1984146737855356E-4</v>
      </c>
      <c r="BU59" s="100">
        <v>0.12746386949612884</v>
      </c>
      <c r="BV59" s="100">
        <v>5</v>
      </c>
      <c r="BW59" s="100">
        <v>1517.9999999999998</v>
      </c>
      <c r="BX59" s="100">
        <v>6</v>
      </c>
      <c r="BY59" s="100">
        <v>1821.6</v>
      </c>
      <c r="BZ59" s="100">
        <v>4</v>
      </c>
      <c r="CA59" s="100">
        <v>1214.3999999999999</v>
      </c>
      <c r="CB59" s="100">
        <v>5</v>
      </c>
      <c r="CC59" s="100">
        <v>1517.9999999999998</v>
      </c>
      <c r="CD59" s="100">
        <v>4.0977588054013525</v>
      </c>
      <c r="CE59" s="100">
        <v>1244.0795733198504</v>
      </c>
      <c r="CF59" s="100">
        <v>0.15708644632507548</v>
      </c>
      <c r="CG59" s="100">
        <v>47.69144510429291</v>
      </c>
      <c r="CH59" s="100">
        <v>4</v>
      </c>
      <c r="CI59" s="100">
        <v>1214.3999999999999</v>
      </c>
      <c r="CJ59" s="100">
        <v>5</v>
      </c>
      <c r="CK59" s="100">
        <v>1517.9999999999998</v>
      </c>
      <c r="CL59" s="100">
        <v>7.2396555307033346</v>
      </c>
      <c r="CM59" s="100">
        <v>2197.9594191215319</v>
      </c>
      <c r="CN59" s="100">
        <v>4.6398557736656496</v>
      </c>
      <c r="CO59" s="100">
        <v>1408.6602128848911</v>
      </c>
      <c r="CP59" s="100">
        <v>4</v>
      </c>
      <c r="CQ59" s="100">
        <v>1214.3999999999999</v>
      </c>
      <c r="CR59" s="100">
        <v>5</v>
      </c>
      <c r="CS59" s="100">
        <v>1517.9999999999998</v>
      </c>
      <c r="CT59" s="100">
        <v>3.1857529632753447</v>
      </c>
      <c r="CU59" s="100">
        <v>967.19459965039459</v>
      </c>
    </row>
    <row r="60" spans="2:99">
      <c r="C60" s="99" t="s">
        <v>226</v>
      </c>
      <c r="D60" s="100">
        <v>4</v>
      </c>
      <c r="E60" s="100">
        <v>2606.4</v>
      </c>
      <c r="F60" s="100">
        <v>6</v>
      </c>
      <c r="G60" s="100">
        <v>3909.6000000000004</v>
      </c>
      <c r="H60" s="100">
        <v>7</v>
      </c>
      <c r="I60" s="100">
        <v>4561.2</v>
      </c>
      <c r="J60" s="100">
        <v>6.2802136227456566</v>
      </c>
      <c r="K60" s="100">
        <v>4092.1871965810701</v>
      </c>
      <c r="L60" s="100">
        <v>1.5984712146753173</v>
      </c>
      <c r="M60" s="100">
        <v>1041.5638434824368</v>
      </c>
      <c r="N60" s="100">
        <v>6</v>
      </c>
      <c r="O60" s="100">
        <v>3909.6000000000004</v>
      </c>
      <c r="P60" s="100">
        <v>5</v>
      </c>
      <c r="Q60" s="100">
        <v>3258</v>
      </c>
      <c r="R60" s="100">
        <v>6</v>
      </c>
      <c r="S60" s="100">
        <v>3909.6000000000004</v>
      </c>
      <c r="T60" s="100">
        <v>4</v>
      </c>
      <c r="U60" s="100">
        <v>2606.4</v>
      </c>
      <c r="V60" s="100">
        <v>2.7047066135032529</v>
      </c>
      <c r="W60" s="100">
        <v>1762.3868293587198</v>
      </c>
      <c r="X60" s="100">
        <v>2.6628717604189913</v>
      </c>
      <c r="Y60" s="100">
        <v>1735.1272390890149</v>
      </c>
      <c r="Z60" s="100">
        <v>6.1675361731353897</v>
      </c>
      <c r="AA60" s="100">
        <v>4018.7665704150199</v>
      </c>
      <c r="AB60" s="100">
        <v>3.9297027394849522</v>
      </c>
      <c r="AC60" s="100">
        <v>2560.5943050483947</v>
      </c>
      <c r="AD60" s="100">
        <v>5</v>
      </c>
      <c r="AE60" s="100">
        <v>3258</v>
      </c>
      <c r="AF60" s="100">
        <v>4.186534261037222</v>
      </c>
      <c r="AG60" s="100">
        <v>2727.945724491854</v>
      </c>
      <c r="AH60" s="100">
        <v>4</v>
      </c>
      <c r="AI60" s="100">
        <v>2606.4</v>
      </c>
      <c r="AJ60" s="100">
        <v>4.4233761374911182</v>
      </c>
      <c r="AK60" s="100">
        <v>2882.271891189213</v>
      </c>
      <c r="AL60" s="100">
        <v>4.6058706221718442</v>
      </c>
      <c r="AM60" s="100">
        <v>3001.1852974071739</v>
      </c>
      <c r="AN60" s="100">
        <v>4</v>
      </c>
      <c r="AO60" s="100">
        <v>2606.4</v>
      </c>
      <c r="AP60" s="100">
        <v>4.4156776545800653</v>
      </c>
      <c r="AQ60" s="100">
        <v>2877.2555597243709</v>
      </c>
      <c r="AR60" s="100">
        <v>1.0901579688153116</v>
      </c>
      <c r="AS60" s="100">
        <v>710.34693248005703</v>
      </c>
      <c r="AT60" s="100">
        <v>4.0669230046927183</v>
      </c>
      <c r="AU60" s="100">
        <v>2650.0070298577753</v>
      </c>
      <c r="AV60" s="100">
        <v>4</v>
      </c>
      <c r="AW60" s="100">
        <v>2606.4</v>
      </c>
      <c r="AX60" s="100">
        <v>4.5936017406229279</v>
      </c>
      <c r="AY60" s="100">
        <v>2993.1908941899001</v>
      </c>
      <c r="AZ60" s="100">
        <v>0.76020701554762549</v>
      </c>
      <c r="BA60" s="100">
        <v>495.35089133083278</v>
      </c>
      <c r="BB60" s="100">
        <v>3.4894479077093514</v>
      </c>
      <c r="BC60" s="100">
        <v>2273.7242566634136</v>
      </c>
      <c r="BD60" s="100">
        <v>2.0604008721768805</v>
      </c>
      <c r="BE60" s="100">
        <v>1342.5572083104553</v>
      </c>
      <c r="BF60" s="100">
        <v>3.8950709177339307</v>
      </c>
      <c r="BG60" s="100">
        <v>2538.0282099954293</v>
      </c>
      <c r="BH60" s="100">
        <v>3.0682962348468843</v>
      </c>
      <c r="BI60" s="100">
        <v>1999.30182662623</v>
      </c>
      <c r="BJ60" s="100">
        <v>4.8178754373860588</v>
      </c>
      <c r="BK60" s="100">
        <v>3139.3276350007559</v>
      </c>
      <c r="BL60" s="100">
        <v>4</v>
      </c>
      <c r="BM60" s="100">
        <v>2606.4</v>
      </c>
      <c r="BN60" s="100">
        <v>6</v>
      </c>
      <c r="BO60" s="100">
        <v>3909.6000000000004</v>
      </c>
      <c r="BP60" s="100">
        <v>4</v>
      </c>
      <c r="BQ60" s="100">
        <v>2606.4</v>
      </c>
      <c r="BR60" s="100">
        <v>4.3618155910344329</v>
      </c>
      <c r="BS60" s="100">
        <v>2842.1590391180366</v>
      </c>
      <c r="BT60" s="100">
        <v>4.1984146737855356E-4</v>
      </c>
      <c r="BU60" s="100">
        <v>0.27356870014386553</v>
      </c>
      <c r="BV60" s="100">
        <v>5</v>
      </c>
      <c r="BW60" s="100">
        <v>3258</v>
      </c>
      <c r="BX60" s="100">
        <v>5</v>
      </c>
      <c r="BY60" s="100">
        <v>3258</v>
      </c>
      <c r="BZ60" s="100">
        <v>4</v>
      </c>
      <c r="CA60" s="100">
        <v>2606.4</v>
      </c>
      <c r="CB60" s="100">
        <v>5</v>
      </c>
      <c r="CC60" s="100">
        <v>3258</v>
      </c>
      <c r="CD60" s="100">
        <v>4.0760346264232741</v>
      </c>
      <c r="CE60" s="100">
        <v>2655.9441625774057</v>
      </c>
      <c r="CF60" s="100">
        <v>0.15708644632507548</v>
      </c>
      <c r="CG60" s="100">
        <v>102.35752842541919</v>
      </c>
      <c r="CH60" s="100">
        <v>3</v>
      </c>
      <c r="CI60" s="100">
        <v>1954.8000000000002</v>
      </c>
      <c r="CJ60" s="100">
        <v>5</v>
      </c>
      <c r="CK60" s="100">
        <v>3258</v>
      </c>
      <c r="CL60" s="100">
        <v>7.2662839230037051</v>
      </c>
      <c r="CM60" s="100">
        <v>4734.7106042292144</v>
      </c>
      <c r="CN60" s="100">
        <v>5.4131650692765909</v>
      </c>
      <c r="CO60" s="100">
        <v>3527.2183591406269</v>
      </c>
      <c r="CP60" s="100">
        <v>4</v>
      </c>
      <c r="CQ60" s="100">
        <v>2606.4</v>
      </c>
      <c r="CR60" s="100">
        <v>4</v>
      </c>
      <c r="CS60" s="100">
        <v>2606.4</v>
      </c>
      <c r="CT60" s="100">
        <v>3.1857529632753447</v>
      </c>
      <c r="CU60" s="100">
        <v>2075.8366308702148</v>
      </c>
    </row>
    <row r="61" spans="2:99">
      <c r="C61" s="99" t="s">
        <v>227</v>
      </c>
      <c r="D61" s="100">
        <v>4</v>
      </c>
      <c r="E61" s="100">
        <v>3806.3999999999996</v>
      </c>
      <c r="F61" s="100">
        <v>6</v>
      </c>
      <c r="G61" s="100">
        <v>5709.5999999999995</v>
      </c>
      <c r="H61" s="100">
        <v>6</v>
      </c>
      <c r="I61" s="100">
        <v>5709.5999999999995</v>
      </c>
      <c r="J61" s="100">
        <v>6.2802136227456566</v>
      </c>
      <c r="K61" s="100">
        <v>5976.2512834047666</v>
      </c>
      <c r="L61" s="100">
        <v>1.5984712146753173</v>
      </c>
      <c r="M61" s="100">
        <v>1521.1052078850319</v>
      </c>
      <c r="N61" s="100">
        <v>7</v>
      </c>
      <c r="O61" s="100">
        <v>6661.1999999999989</v>
      </c>
      <c r="P61" s="100">
        <v>5</v>
      </c>
      <c r="Q61" s="100">
        <v>4758</v>
      </c>
      <c r="R61" s="100">
        <v>6</v>
      </c>
      <c r="S61" s="100">
        <v>5709.5999999999995</v>
      </c>
      <c r="T61" s="100">
        <v>4</v>
      </c>
      <c r="U61" s="100">
        <v>3806.3999999999996</v>
      </c>
      <c r="V61" s="100">
        <v>3.5689088637060764</v>
      </c>
      <c r="W61" s="100">
        <v>3396.1736747027021</v>
      </c>
      <c r="X61" s="100">
        <v>2.6628717604189913</v>
      </c>
      <c r="Y61" s="100">
        <v>2533.988767214712</v>
      </c>
      <c r="Z61" s="100">
        <v>6.1675361731353897</v>
      </c>
      <c r="AA61" s="100">
        <v>5869.0274223556362</v>
      </c>
      <c r="AB61" s="100">
        <v>3.9297027394849522</v>
      </c>
      <c r="AC61" s="100">
        <v>3739.5051268938801</v>
      </c>
      <c r="AD61" s="100">
        <v>6</v>
      </c>
      <c r="AE61" s="100">
        <v>5709.5999999999995</v>
      </c>
      <c r="AF61" s="100">
        <v>4.186534261037222</v>
      </c>
      <c r="AG61" s="100">
        <v>3983.9060028030203</v>
      </c>
      <c r="AH61" s="100">
        <v>4</v>
      </c>
      <c r="AI61" s="100">
        <v>3806.3999999999996</v>
      </c>
      <c r="AJ61" s="100">
        <v>4.3528134479092655</v>
      </c>
      <c r="AK61" s="100">
        <v>4142.137277030457</v>
      </c>
      <c r="AL61" s="100">
        <v>4.6058706221718442</v>
      </c>
      <c r="AM61" s="100">
        <v>4382.9464840587261</v>
      </c>
      <c r="AN61" s="100">
        <v>4</v>
      </c>
      <c r="AO61" s="100">
        <v>3806.3999999999996</v>
      </c>
      <c r="AP61" s="100">
        <v>4.3325421236640516</v>
      </c>
      <c r="AQ61" s="100">
        <v>4122.847084878711</v>
      </c>
      <c r="AR61" s="100">
        <v>1.0901579688153116</v>
      </c>
      <c r="AS61" s="100">
        <v>1037.3943231246503</v>
      </c>
      <c r="AT61" s="100">
        <v>3.3891025039105993</v>
      </c>
      <c r="AU61" s="100">
        <v>3225.0699427213258</v>
      </c>
      <c r="AV61" s="100">
        <v>5</v>
      </c>
      <c r="AW61" s="100">
        <v>4758</v>
      </c>
      <c r="AX61" s="100">
        <v>4.5936017406229279</v>
      </c>
      <c r="AY61" s="100">
        <v>4371.2714163767778</v>
      </c>
      <c r="AZ61" s="100">
        <v>0.76020701554762549</v>
      </c>
      <c r="BA61" s="100">
        <v>723.41299599512035</v>
      </c>
      <c r="BB61" s="100">
        <v>4.2831218839152552</v>
      </c>
      <c r="BC61" s="100">
        <v>4075.8187847337563</v>
      </c>
      <c r="BD61" s="100">
        <v>2.0604008721768805</v>
      </c>
      <c r="BE61" s="100">
        <v>1960.6774699635193</v>
      </c>
      <c r="BF61" s="100">
        <v>3.7442131746827747</v>
      </c>
      <c r="BG61" s="100">
        <v>3562.993257028128</v>
      </c>
      <c r="BH61" s="100">
        <v>3.0682962348468843</v>
      </c>
      <c r="BI61" s="100">
        <v>2919.7906970802946</v>
      </c>
      <c r="BJ61" s="100">
        <v>4.0148961978217148</v>
      </c>
      <c r="BK61" s="100">
        <v>3820.5752218471434</v>
      </c>
      <c r="BL61" s="100">
        <v>4</v>
      </c>
      <c r="BM61" s="100">
        <v>3806.3999999999996</v>
      </c>
      <c r="BN61" s="100">
        <v>6</v>
      </c>
      <c r="BO61" s="100">
        <v>5709.5999999999995</v>
      </c>
      <c r="BP61" s="100">
        <v>3</v>
      </c>
      <c r="BQ61" s="100">
        <v>2854.7999999999997</v>
      </c>
      <c r="BR61" s="100">
        <v>4.3252496905370634</v>
      </c>
      <c r="BS61" s="100">
        <v>4115.907605515069</v>
      </c>
      <c r="BT61" s="100">
        <v>4.1984146737855356E-4</v>
      </c>
      <c r="BU61" s="100">
        <v>0.39952114035743153</v>
      </c>
      <c r="BV61" s="100">
        <v>6</v>
      </c>
      <c r="BW61" s="100">
        <v>5709.5999999999995</v>
      </c>
      <c r="BX61" s="100">
        <v>5</v>
      </c>
      <c r="BY61" s="100">
        <v>4758</v>
      </c>
      <c r="BZ61" s="100">
        <v>4</v>
      </c>
      <c r="CA61" s="100">
        <v>3806.3999999999996</v>
      </c>
      <c r="CB61" s="100">
        <v>5</v>
      </c>
      <c r="CC61" s="100">
        <v>4758</v>
      </c>
      <c r="CD61" s="100">
        <v>4.0868967159123137</v>
      </c>
      <c r="CE61" s="100">
        <v>3889.0909148621572</v>
      </c>
      <c r="CF61" s="100">
        <v>0.15708644632507548</v>
      </c>
      <c r="CG61" s="100">
        <v>149.48346232294182</v>
      </c>
      <c r="CH61" s="100">
        <v>4</v>
      </c>
      <c r="CI61" s="100">
        <v>3806.3999999999996</v>
      </c>
      <c r="CJ61" s="100">
        <v>6</v>
      </c>
      <c r="CK61" s="100">
        <v>5709.5999999999995</v>
      </c>
      <c r="CL61" s="100">
        <v>6.2396555307033346</v>
      </c>
      <c r="CM61" s="100">
        <v>5937.6562030172927</v>
      </c>
      <c r="CN61" s="100">
        <v>5.4131650692765909</v>
      </c>
      <c r="CO61" s="100">
        <v>5151.1678799236033</v>
      </c>
      <c r="CP61" s="100">
        <v>4</v>
      </c>
      <c r="CQ61" s="100">
        <v>3806.3999999999996</v>
      </c>
      <c r="CR61" s="100">
        <v>5</v>
      </c>
      <c r="CS61" s="100">
        <v>4758</v>
      </c>
      <c r="CT61" s="100">
        <v>3.1857529632753447</v>
      </c>
      <c r="CU61" s="100">
        <v>3031.5625198528178</v>
      </c>
    </row>
    <row r="62" spans="2:99">
      <c r="C62" s="99" t="s">
        <v>228</v>
      </c>
      <c r="D62" s="100">
        <v>2.0942009097368888</v>
      </c>
      <c r="E62" s="100">
        <v>3495.6401585328149</v>
      </c>
      <c r="F62" s="100">
        <v>5</v>
      </c>
      <c r="G62" s="100">
        <v>8346</v>
      </c>
      <c r="H62" s="100">
        <v>4.5109585297701944</v>
      </c>
      <c r="I62" s="100">
        <v>7529.6919778924084</v>
      </c>
      <c r="J62" s="100">
        <v>3.3242483582091835</v>
      </c>
      <c r="K62" s="100">
        <v>5548.8353595227691</v>
      </c>
      <c r="L62" s="100">
        <v>0.21142424634146645</v>
      </c>
      <c r="M62" s="100">
        <v>352.90935199317579</v>
      </c>
      <c r="N62" s="100">
        <v>6</v>
      </c>
      <c r="O62" s="100">
        <v>10015.200000000001</v>
      </c>
      <c r="P62" s="100">
        <v>3.0795254953335998</v>
      </c>
      <c r="Q62" s="100">
        <v>5140.3439568108452</v>
      </c>
      <c r="R62" s="100">
        <v>4.5542375289535757</v>
      </c>
      <c r="S62" s="100">
        <v>7601.9332833293083</v>
      </c>
      <c r="T62" s="100">
        <v>0.25553434090191612</v>
      </c>
      <c r="U62" s="100">
        <v>426.53792183347838</v>
      </c>
      <c r="V62" s="100">
        <v>4</v>
      </c>
      <c r="W62" s="100">
        <v>6676.8</v>
      </c>
      <c r="X62" s="100">
        <v>4</v>
      </c>
      <c r="Y62" s="100">
        <v>6676.8</v>
      </c>
      <c r="Z62" s="100">
        <v>4.4136656625537221</v>
      </c>
      <c r="AA62" s="100">
        <v>7367.2907239346732</v>
      </c>
      <c r="AB62" s="100">
        <v>0.1853179480975635</v>
      </c>
      <c r="AC62" s="100">
        <v>309.33271896445302</v>
      </c>
      <c r="AD62" s="100">
        <v>6</v>
      </c>
      <c r="AE62" s="100">
        <v>10015.200000000001</v>
      </c>
      <c r="AF62" s="100">
        <v>0.8238123029385559</v>
      </c>
      <c r="AG62" s="100">
        <v>1375.1074960650376</v>
      </c>
      <c r="AH62" s="100">
        <v>3.4999971388695439</v>
      </c>
      <c r="AI62" s="100">
        <v>5842.1952242010429</v>
      </c>
      <c r="AJ62" s="100">
        <v>2.4934257918602238</v>
      </c>
      <c r="AK62" s="100">
        <v>4162.026331773086</v>
      </c>
      <c r="AL62" s="100">
        <v>6.4185362828038084</v>
      </c>
      <c r="AM62" s="100">
        <v>10713.820763256117</v>
      </c>
      <c r="AN62" s="100">
        <v>1.8837231213911902</v>
      </c>
      <c r="AO62" s="100">
        <v>3144.3106342261749</v>
      </c>
      <c r="AP62" s="100">
        <v>3</v>
      </c>
      <c r="AQ62" s="100">
        <v>5007.6000000000004</v>
      </c>
      <c r="AR62" s="100">
        <v>4.1818590785285856</v>
      </c>
      <c r="AS62" s="100">
        <v>6980.359173879915</v>
      </c>
      <c r="AT62" s="100">
        <v>2.0935234773904082E-4</v>
      </c>
      <c r="AU62" s="100">
        <v>0.34945093884600692</v>
      </c>
      <c r="AV62" s="100">
        <v>2.1128536189468239</v>
      </c>
      <c r="AW62" s="100">
        <v>3526.7752607460384</v>
      </c>
      <c r="AX62" s="100">
        <v>2.1343271323762887E-4</v>
      </c>
      <c r="AY62" s="100">
        <v>0.35626188493625011</v>
      </c>
      <c r="AZ62" s="100">
        <v>3.4555772619425628E-4</v>
      </c>
      <c r="BA62" s="100">
        <v>0.57680495656345265</v>
      </c>
      <c r="BB62" s="100">
        <v>3.0604604008450265</v>
      </c>
      <c r="BC62" s="100">
        <v>5108.5205010905183</v>
      </c>
      <c r="BD62" s="100">
        <v>0.26473992585366218</v>
      </c>
      <c r="BE62" s="100">
        <v>441.90388423493295</v>
      </c>
      <c r="BF62" s="100">
        <v>5.4496568507010421</v>
      </c>
      <c r="BG62" s="100">
        <v>9096.5672151901799</v>
      </c>
      <c r="BH62" s="100">
        <v>2.6366899982265379</v>
      </c>
      <c r="BI62" s="100">
        <v>4401.1629450397377</v>
      </c>
      <c r="BJ62" s="100">
        <v>6</v>
      </c>
      <c r="BK62" s="100">
        <v>10015.200000000001</v>
      </c>
      <c r="BL62" s="100">
        <v>2.3471407800201241</v>
      </c>
      <c r="BM62" s="100">
        <v>3917.847390009591</v>
      </c>
      <c r="BN62" s="100">
        <v>2.8889859976509734E-4</v>
      </c>
      <c r="BO62" s="100">
        <v>0.48222954272790047</v>
      </c>
      <c r="BP62" s="100">
        <v>2.1103988169812373</v>
      </c>
      <c r="BQ62" s="100">
        <v>3522.6777053050814</v>
      </c>
      <c r="BR62" s="100">
        <v>3.664188468016027</v>
      </c>
      <c r="BS62" s="100">
        <v>6116.2633908123526</v>
      </c>
      <c r="BT62" s="100">
        <v>2.7840754493133524</v>
      </c>
      <c r="BU62" s="100">
        <v>4647.1787399938476</v>
      </c>
      <c r="BV62" s="100">
        <v>0.23999509044166448</v>
      </c>
      <c r="BW62" s="100">
        <v>400.59980496522638</v>
      </c>
      <c r="BX62" s="100">
        <v>3.9390877730003071</v>
      </c>
      <c r="BY62" s="100">
        <v>6575.1253106921131</v>
      </c>
      <c r="BZ62" s="100">
        <v>1.5793389860795481</v>
      </c>
      <c r="CA62" s="100">
        <v>2636.2326355639821</v>
      </c>
      <c r="CB62" s="100">
        <v>3.028410709930073</v>
      </c>
      <c r="CC62" s="100">
        <v>5055.0231570152782</v>
      </c>
      <c r="CD62" s="100">
        <v>2.7633481628987919</v>
      </c>
      <c r="CE62" s="100">
        <v>4612.5807535106633</v>
      </c>
      <c r="CF62" s="100">
        <v>1.4567956393441435</v>
      </c>
      <c r="CG62" s="100">
        <v>2431.6832811932445</v>
      </c>
      <c r="CH62" s="100">
        <v>2.7129216367052846</v>
      </c>
      <c r="CI62" s="100">
        <v>4528.408795988461</v>
      </c>
      <c r="CJ62" s="100">
        <v>3.4225110441258457</v>
      </c>
      <c r="CK62" s="100">
        <v>5712.8554348548614</v>
      </c>
      <c r="CL62" s="100">
        <v>4.1587871772097422</v>
      </c>
      <c r="CM62" s="100">
        <v>6941.8475561985015</v>
      </c>
      <c r="CN62" s="100">
        <v>4.3019337096396244</v>
      </c>
      <c r="CO62" s="100">
        <v>7180.7877481304613</v>
      </c>
      <c r="CP62" s="100">
        <v>2.187814304985976</v>
      </c>
      <c r="CQ62" s="100">
        <v>3651.8996378825914</v>
      </c>
      <c r="CR62" s="100">
        <v>1.6355915281117919</v>
      </c>
      <c r="CS62" s="100">
        <v>2730.129378724203</v>
      </c>
      <c r="CT62" s="100">
        <v>1.1025470879704464</v>
      </c>
      <c r="CU62" s="100">
        <v>1840.3715992402692</v>
      </c>
    </row>
    <row r="63" spans="2:99">
      <c r="C63" s="99" t="s">
        <v>229</v>
      </c>
      <c r="D63" s="100">
        <v>4</v>
      </c>
      <c r="E63" s="100">
        <v>3182.4</v>
      </c>
      <c r="F63" s="100">
        <v>6</v>
      </c>
      <c r="G63" s="100">
        <v>4773.6000000000004</v>
      </c>
      <c r="H63" s="100">
        <v>6</v>
      </c>
      <c r="I63" s="100">
        <v>4773.6000000000004</v>
      </c>
      <c r="J63" s="100">
        <v>7.2802136227456566</v>
      </c>
      <c r="K63" s="100">
        <v>5792.137958256445</v>
      </c>
      <c r="L63" s="100">
        <v>1.9980890183441464</v>
      </c>
      <c r="M63" s="100">
        <v>1589.6796229946031</v>
      </c>
      <c r="N63" s="100">
        <v>7</v>
      </c>
      <c r="O63" s="100">
        <v>5569.2</v>
      </c>
      <c r="P63" s="100">
        <v>4</v>
      </c>
      <c r="Q63" s="100">
        <v>3182.4</v>
      </c>
      <c r="R63" s="100">
        <v>6</v>
      </c>
      <c r="S63" s="100">
        <v>4773.6000000000004</v>
      </c>
      <c r="T63" s="100">
        <v>5</v>
      </c>
      <c r="U63" s="100">
        <v>3978</v>
      </c>
      <c r="V63" s="100">
        <v>3.5689088637060764</v>
      </c>
      <c r="W63" s="100">
        <v>2839.4238919645545</v>
      </c>
      <c r="X63" s="100">
        <v>2.6628717604189913</v>
      </c>
      <c r="Y63" s="100">
        <v>2118.5807725893496</v>
      </c>
      <c r="Z63" s="100">
        <v>6.1675361731353897</v>
      </c>
      <c r="AA63" s="100">
        <v>4906.8917793465162</v>
      </c>
      <c r="AB63" s="100">
        <v>3.9297027394849522</v>
      </c>
      <c r="AC63" s="100">
        <v>3126.4714995342279</v>
      </c>
      <c r="AD63" s="100">
        <v>6</v>
      </c>
      <c r="AE63" s="100">
        <v>4773.6000000000004</v>
      </c>
      <c r="AF63" s="100">
        <v>4.186534261037222</v>
      </c>
      <c r="AG63" s="100">
        <v>3330.8066580812138</v>
      </c>
      <c r="AH63" s="100">
        <v>4</v>
      </c>
      <c r="AI63" s="100">
        <v>3182.4</v>
      </c>
      <c r="AJ63" s="100">
        <v>4.3880947927001923</v>
      </c>
      <c r="AK63" s="100">
        <v>3491.1682170722729</v>
      </c>
      <c r="AL63" s="100">
        <v>3.9478891047187235</v>
      </c>
      <c r="AM63" s="100">
        <v>3140.9405717142163</v>
      </c>
      <c r="AN63" s="100">
        <v>4</v>
      </c>
      <c r="AO63" s="100">
        <v>3182.4</v>
      </c>
      <c r="AP63" s="100">
        <v>4.3325421236640516</v>
      </c>
      <c r="AQ63" s="100">
        <v>3446.9705135871195</v>
      </c>
      <c r="AR63" s="100">
        <v>1.3626974610191396</v>
      </c>
      <c r="AS63" s="100">
        <v>1084.1620999868276</v>
      </c>
      <c r="AT63" s="100">
        <v>4.0669230046927183</v>
      </c>
      <c r="AU63" s="100">
        <v>3235.6439425335266</v>
      </c>
      <c r="AV63" s="100">
        <v>5</v>
      </c>
      <c r="AW63" s="100">
        <v>3978</v>
      </c>
      <c r="AX63" s="100">
        <v>5.5441349289043513</v>
      </c>
      <c r="AY63" s="100">
        <v>4410.9137494363022</v>
      </c>
      <c r="AZ63" s="100">
        <v>0.91224841865715056</v>
      </c>
      <c r="BA63" s="100">
        <v>725.78484188362904</v>
      </c>
      <c r="BB63" s="100">
        <v>3.4894479077093514</v>
      </c>
      <c r="BC63" s="100">
        <v>2776.2047553735601</v>
      </c>
      <c r="BD63" s="100">
        <v>2.4018164936176425</v>
      </c>
      <c r="BE63" s="100">
        <v>1910.8852023221964</v>
      </c>
      <c r="BF63" s="100">
        <v>3.7442131746827747</v>
      </c>
      <c r="BG63" s="100">
        <v>2978.8960017776158</v>
      </c>
      <c r="BH63" s="100">
        <v>3.0682962348468843</v>
      </c>
      <c r="BI63" s="100">
        <v>2441.1364844441814</v>
      </c>
      <c r="BJ63" s="100">
        <v>4.8178754373860588</v>
      </c>
      <c r="BK63" s="100">
        <v>3833.1016979843484</v>
      </c>
      <c r="BL63" s="100">
        <v>4</v>
      </c>
      <c r="BM63" s="100">
        <v>3182.4</v>
      </c>
      <c r="BN63" s="100">
        <v>6</v>
      </c>
      <c r="BO63" s="100">
        <v>4773.6000000000004</v>
      </c>
      <c r="BP63" s="100">
        <v>4</v>
      </c>
      <c r="BQ63" s="100">
        <v>3182.4</v>
      </c>
      <c r="BR63" s="100">
        <v>4.3618155910344329</v>
      </c>
      <c r="BS63" s="100">
        <v>3470.2604842269948</v>
      </c>
      <c r="BT63" s="100">
        <v>4.1984146737855356E-4</v>
      </c>
      <c r="BU63" s="100">
        <v>0.33402587144637724</v>
      </c>
      <c r="BV63" s="100">
        <v>5</v>
      </c>
      <c r="BW63" s="100">
        <v>3978</v>
      </c>
      <c r="BX63" s="100">
        <v>6</v>
      </c>
      <c r="BY63" s="100">
        <v>4773.6000000000004</v>
      </c>
      <c r="BZ63" s="100">
        <v>4</v>
      </c>
      <c r="CA63" s="100">
        <v>3182.4</v>
      </c>
      <c r="CB63" s="100">
        <v>5</v>
      </c>
      <c r="CC63" s="100">
        <v>3978</v>
      </c>
      <c r="CD63" s="100">
        <v>4.0868967159123137</v>
      </c>
      <c r="CE63" s="100">
        <v>3251.535027179837</v>
      </c>
      <c r="CF63" s="100">
        <v>0.15708644632507548</v>
      </c>
      <c r="CG63" s="100">
        <v>124.97797669623006</v>
      </c>
      <c r="CH63" s="100">
        <v>4</v>
      </c>
      <c r="CI63" s="100">
        <v>3182.4</v>
      </c>
      <c r="CJ63" s="100">
        <v>5</v>
      </c>
      <c r="CK63" s="100">
        <v>3978</v>
      </c>
      <c r="CL63" s="100">
        <v>6.2662839230037051</v>
      </c>
      <c r="CM63" s="100">
        <v>4985.4554891417483</v>
      </c>
      <c r="CN63" s="100">
        <v>5.4131650692765909</v>
      </c>
      <c r="CO63" s="100">
        <v>4306.7141291164562</v>
      </c>
      <c r="CP63" s="100">
        <v>4</v>
      </c>
      <c r="CQ63" s="100">
        <v>3182.4</v>
      </c>
      <c r="CR63" s="100">
        <v>5</v>
      </c>
      <c r="CS63" s="100">
        <v>3978</v>
      </c>
      <c r="CT63" s="100">
        <v>4.1625338428659262</v>
      </c>
      <c r="CU63" s="100">
        <v>3311.7119253841311</v>
      </c>
    </row>
    <row r="64" spans="2:99">
      <c r="C64" s="99" t="s">
        <v>230</v>
      </c>
      <c r="D64" s="100">
        <v>5</v>
      </c>
      <c r="E64" s="100">
        <v>5045.9999999999991</v>
      </c>
      <c r="F64" s="100">
        <v>6</v>
      </c>
      <c r="G64" s="100">
        <v>6055.1999999999989</v>
      </c>
      <c r="H64" s="100">
        <v>6</v>
      </c>
      <c r="I64" s="100">
        <v>6055.1999999999989</v>
      </c>
      <c r="J64" s="100">
        <v>6.2802136227456566</v>
      </c>
      <c r="K64" s="100">
        <v>6337.9915880749159</v>
      </c>
      <c r="L64" s="100">
        <v>1.9980890183441464</v>
      </c>
      <c r="M64" s="100">
        <v>2016.4714373129123</v>
      </c>
      <c r="N64" s="100">
        <v>7</v>
      </c>
      <c r="O64" s="100">
        <v>7064.3999999999987</v>
      </c>
      <c r="P64" s="100">
        <v>5</v>
      </c>
      <c r="Q64" s="100">
        <v>5045.9999999999991</v>
      </c>
      <c r="R64" s="100">
        <v>5</v>
      </c>
      <c r="S64" s="100">
        <v>5045.9999999999991</v>
      </c>
      <c r="T64" s="100">
        <v>5</v>
      </c>
      <c r="U64" s="100">
        <v>5045.9999999999991</v>
      </c>
      <c r="V64" s="100">
        <v>3.5689088637060764</v>
      </c>
      <c r="W64" s="100">
        <v>3601.7428252521718</v>
      </c>
      <c r="X64" s="100">
        <v>2.6628717604189913</v>
      </c>
      <c r="Y64" s="100">
        <v>2687.3701806148456</v>
      </c>
      <c r="Z64" s="100">
        <v>5.1675361731353897</v>
      </c>
      <c r="AA64" s="100">
        <v>5215.0775059282341</v>
      </c>
      <c r="AB64" s="100">
        <v>3.9297027394849522</v>
      </c>
      <c r="AC64" s="100">
        <v>3965.856004688213</v>
      </c>
      <c r="AD64" s="100">
        <v>6</v>
      </c>
      <c r="AE64" s="100">
        <v>6055.1999999999989</v>
      </c>
      <c r="AF64" s="100">
        <v>4.186534261037222</v>
      </c>
      <c r="AG64" s="100">
        <v>4225.0503762387634</v>
      </c>
      <c r="AH64" s="100">
        <v>4</v>
      </c>
      <c r="AI64" s="100">
        <v>4036.7999999999993</v>
      </c>
      <c r="AJ64" s="100">
        <v>4.3880947927001923</v>
      </c>
      <c r="AK64" s="100">
        <v>4428.4652647930334</v>
      </c>
      <c r="AL64" s="100">
        <v>3.9478891047187235</v>
      </c>
      <c r="AM64" s="100">
        <v>3984.2096844821349</v>
      </c>
      <c r="AN64" s="100">
        <v>4</v>
      </c>
      <c r="AO64" s="100">
        <v>4036.7999999999993</v>
      </c>
      <c r="AP64" s="100">
        <v>4.3325421236640516</v>
      </c>
      <c r="AQ64" s="100">
        <v>4372.4015112017596</v>
      </c>
      <c r="AR64" s="100">
        <v>1.0901579688153116</v>
      </c>
      <c r="AS64" s="100">
        <v>1100.1874221284122</v>
      </c>
      <c r="AT64" s="100">
        <v>3.3891025039105993</v>
      </c>
      <c r="AU64" s="100">
        <v>3420.2822469465764</v>
      </c>
      <c r="AV64" s="100">
        <v>4</v>
      </c>
      <c r="AW64" s="100">
        <v>4036.7999999999993</v>
      </c>
      <c r="AX64" s="100">
        <v>4.5441349289043513</v>
      </c>
      <c r="AY64" s="100">
        <v>4585.9409702502708</v>
      </c>
      <c r="AZ64" s="100">
        <v>0.91224841865715056</v>
      </c>
      <c r="BA64" s="100">
        <v>920.64110410879618</v>
      </c>
      <c r="BB64" s="100">
        <v>3.4501039073486335</v>
      </c>
      <c r="BC64" s="100">
        <v>3481.8448632962404</v>
      </c>
      <c r="BD64" s="100">
        <v>2.0604008721768805</v>
      </c>
      <c r="BE64" s="100">
        <v>2079.3565602009076</v>
      </c>
      <c r="BF64" s="100">
        <v>4.4930558096193298</v>
      </c>
      <c r="BG64" s="100">
        <v>4534.3919230678266</v>
      </c>
      <c r="BH64" s="100">
        <v>3.681955481816261</v>
      </c>
      <c r="BI64" s="100">
        <v>3715.82947224897</v>
      </c>
      <c r="BJ64" s="100">
        <v>4.0148961978217148</v>
      </c>
      <c r="BK64" s="100">
        <v>4051.8332428416738</v>
      </c>
      <c r="BL64" s="100">
        <v>3</v>
      </c>
      <c r="BM64" s="100">
        <v>3027.5999999999995</v>
      </c>
      <c r="BN64" s="100">
        <v>5</v>
      </c>
      <c r="BO64" s="100">
        <v>5045.9999999999991</v>
      </c>
      <c r="BP64" s="100">
        <v>4</v>
      </c>
      <c r="BQ64" s="100">
        <v>4036.7999999999993</v>
      </c>
      <c r="BR64" s="100">
        <v>5.269439986306188</v>
      </c>
      <c r="BS64" s="100">
        <v>5317.9188341802037</v>
      </c>
      <c r="BT64" s="100">
        <v>3.49867889482128E-4</v>
      </c>
      <c r="BU64" s="100">
        <v>0.35308667406536354</v>
      </c>
      <c r="BV64" s="100">
        <v>6</v>
      </c>
      <c r="BW64" s="100">
        <v>6055.1999999999989</v>
      </c>
      <c r="BX64" s="100">
        <v>5</v>
      </c>
      <c r="BY64" s="100">
        <v>5045.9999999999991</v>
      </c>
      <c r="BZ64" s="100">
        <v>5</v>
      </c>
      <c r="CA64" s="100">
        <v>5045.9999999999991</v>
      </c>
      <c r="CB64" s="100">
        <v>4</v>
      </c>
      <c r="CC64" s="100">
        <v>4036.7999999999993</v>
      </c>
      <c r="CD64" s="100">
        <v>4.0868967159123137</v>
      </c>
      <c r="CE64" s="100">
        <v>4124.4961656987061</v>
      </c>
      <c r="CF64" s="100">
        <v>0.15708644632507548</v>
      </c>
      <c r="CG64" s="100">
        <v>158.53164163126615</v>
      </c>
      <c r="CH64" s="100">
        <v>3</v>
      </c>
      <c r="CI64" s="100">
        <v>3027.5999999999995</v>
      </c>
      <c r="CJ64" s="100">
        <v>5</v>
      </c>
      <c r="CK64" s="100">
        <v>5045.9999999999991</v>
      </c>
      <c r="CL64" s="100">
        <v>5.2396555307033346</v>
      </c>
      <c r="CM64" s="100">
        <v>5287.8603615858046</v>
      </c>
      <c r="CN64" s="100">
        <v>4.6398557736656496</v>
      </c>
      <c r="CO64" s="100">
        <v>4682.5424467833727</v>
      </c>
      <c r="CP64" s="100">
        <v>3</v>
      </c>
      <c r="CQ64" s="100">
        <v>3027.5999999999995</v>
      </c>
      <c r="CR64" s="100">
        <v>5</v>
      </c>
      <c r="CS64" s="100">
        <v>5045.9999999999991</v>
      </c>
      <c r="CT64" s="100">
        <v>4.1857529632753447</v>
      </c>
      <c r="CU64" s="100">
        <v>4224.2618905374775</v>
      </c>
    </row>
    <row r="65" spans="2:99">
      <c r="C65" s="99" t="s">
        <v>231</v>
      </c>
      <c r="D65" s="100">
        <v>4</v>
      </c>
      <c r="E65" s="100">
        <v>4104</v>
      </c>
      <c r="F65" s="100">
        <v>5</v>
      </c>
      <c r="G65" s="100">
        <v>5130</v>
      </c>
      <c r="H65" s="100">
        <v>6</v>
      </c>
      <c r="I65" s="100">
        <v>6156</v>
      </c>
      <c r="J65" s="100">
        <v>7.2802136227456566</v>
      </c>
      <c r="K65" s="100">
        <v>7469.4991769370436</v>
      </c>
      <c r="L65" s="100">
        <v>1.9980890183441464</v>
      </c>
      <c r="M65" s="100">
        <v>2050.0393328210944</v>
      </c>
      <c r="N65" s="100">
        <v>6</v>
      </c>
      <c r="O65" s="100">
        <v>6156</v>
      </c>
      <c r="P65" s="100">
        <v>4</v>
      </c>
      <c r="Q65" s="100">
        <v>4104</v>
      </c>
      <c r="R65" s="100">
        <v>5</v>
      </c>
      <c r="S65" s="100">
        <v>5130</v>
      </c>
      <c r="T65" s="100">
        <v>5</v>
      </c>
      <c r="U65" s="100">
        <v>5130</v>
      </c>
      <c r="V65" s="100">
        <v>3.5408838979823818</v>
      </c>
      <c r="W65" s="100">
        <v>3632.9468793299238</v>
      </c>
      <c r="X65" s="100">
        <v>2.6628717604189913</v>
      </c>
      <c r="Y65" s="100">
        <v>2732.106426189885</v>
      </c>
      <c r="Z65" s="100">
        <v>6.1675361731353897</v>
      </c>
      <c r="AA65" s="100">
        <v>6327.8921136369099</v>
      </c>
      <c r="AB65" s="100">
        <v>2.9472770546137141</v>
      </c>
      <c r="AC65" s="100">
        <v>3023.9062580336708</v>
      </c>
      <c r="AD65" s="100">
        <v>6</v>
      </c>
      <c r="AE65" s="100">
        <v>6156</v>
      </c>
      <c r="AF65" s="100">
        <v>4.2072602900413569</v>
      </c>
      <c r="AG65" s="100">
        <v>4316.6490575824319</v>
      </c>
      <c r="AH65" s="100">
        <v>4</v>
      </c>
      <c r="AI65" s="100">
        <v>4104</v>
      </c>
      <c r="AJ65" s="100">
        <v>4.3880947927001923</v>
      </c>
      <c r="AK65" s="100">
        <v>4502.185257310397</v>
      </c>
      <c r="AL65" s="100">
        <v>3.9478891047187235</v>
      </c>
      <c r="AM65" s="100">
        <v>4050.5342214414104</v>
      </c>
      <c r="AN65" s="100">
        <v>4</v>
      </c>
      <c r="AO65" s="100">
        <v>4104</v>
      </c>
      <c r="AP65" s="100">
        <v>4.3325421236640516</v>
      </c>
      <c r="AQ65" s="100">
        <v>4445.188218879317</v>
      </c>
      <c r="AR65" s="100">
        <v>1.0901579688153116</v>
      </c>
      <c r="AS65" s="100">
        <v>1118.5020760045097</v>
      </c>
      <c r="AT65" s="100">
        <v>3.3891025039105993</v>
      </c>
      <c r="AU65" s="100">
        <v>3477.219169012275</v>
      </c>
      <c r="AV65" s="100">
        <v>5</v>
      </c>
      <c r="AW65" s="100">
        <v>5130</v>
      </c>
      <c r="AX65" s="100">
        <v>4.5936017406229279</v>
      </c>
      <c r="AY65" s="100">
        <v>4713.0353858791241</v>
      </c>
      <c r="AZ65" s="100">
        <v>0.76020701554762549</v>
      </c>
      <c r="BA65" s="100">
        <v>779.97239795186374</v>
      </c>
      <c r="BB65" s="100">
        <v>3.4894479077093514</v>
      </c>
      <c r="BC65" s="100">
        <v>3580.1735533097944</v>
      </c>
      <c r="BD65" s="100">
        <v>2.0663544439430352</v>
      </c>
      <c r="BE65" s="100">
        <v>2120.0796594855542</v>
      </c>
      <c r="BF65" s="100">
        <v>4.4930558096193298</v>
      </c>
      <c r="BG65" s="100">
        <v>4609.8752606694325</v>
      </c>
      <c r="BH65" s="100">
        <v>3.0682962348468843</v>
      </c>
      <c r="BI65" s="100">
        <v>3148.0719369529033</v>
      </c>
      <c r="BJ65" s="100">
        <v>4.8178754373860588</v>
      </c>
      <c r="BK65" s="100">
        <v>4943.1401987580966</v>
      </c>
      <c r="BL65" s="100">
        <v>3</v>
      </c>
      <c r="BM65" s="100">
        <v>3078</v>
      </c>
      <c r="BN65" s="100">
        <v>6</v>
      </c>
      <c r="BO65" s="100">
        <v>6156</v>
      </c>
      <c r="BP65" s="100">
        <v>3</v>
      </c>
      <c r="BQ65" s="100">
        <v>3078</v>
      </c>
      <c r="BR65" s="100">
        <v>4.2886837900396921</v>
      </c>
      <c r="BS65" s="100">
        <v>4400.189568580724</v>
      </c>
      <c r="BT65" s="100">
        <v>3.49867889482128E-4</v>
      </c>
      <c r="BU65" s="100">
        <v>0.35896445460866333</v>
      </c>
      <c r="BV65" s="100">
        <v>5</v>
      </c>
      <c r="BW65" s="100">
        <v>5130</v>
      </c>
      <c r="BX65" s="100">
        <v>6</v>
      </c>
      <c r="BY65" s="100">
        <v>6156</v>
      </c>
      <c r="BZ65" s="100">
        <v>5</v>
      </c>
      <c r="CA65" s="100">
        <v>5130</v>
      </c>
      <c r="CB65" s="100">
        <v>5</v>
      </c>
      <c r="CC65" s="100">
        <v>5130</v>
      </c>
      <c r="CD65" s="100">
        <v>4.0760346264232741</v>
      </c>
      <c r="CE65" s="100">
        <v>4182.0115267102792</v>
      </c>
      <c r="CF65" s="100">
        <v>0.15708644632507548</v>
      </c>
      <c r="CG65" s="100">
        <v>161.17069392952746</v>
      </c>
      <c r="CH65" s="100">
        <v>4</v>
      </c>
      <c r="CI65" s="100">
        <v>4104</v>
      </c>
      <c r="CJ65" s="100">
        <v>5</v>
      </c>
      <c r="CK65" s="100">
        <v>5130</v>
      </c>
      <c r="CL65" s="100">
        <v>6.2396555307033346</v>
      </c>
      <c r="CM65" s="100">
        <v>6401.886574501621</v>
      </c>
      <c r="CN65" s="100">
        <v>4.6398557736656496</v>
      </c>
      <c r="CO65" s="100">
        <v>4760.4920237809565</v>
      </c>
      <c r="CP65" s="100">
        <v>3</v>
      </c>
      <c r="CQ65" s="100">
        <v>3078</v>
      </c>
      <c r="CR65" s="100">
        <v>5</v>
      </c>
      <c r="CS65" s="100">
        <v>5130</v>
      </c>
      <c r="CT65" s="100">
        <v>3.1625338428659266</v>
      </c>
      <c r="CU65" s="100">
        <v>3244.7597227804408</v>
      </c>
    </row>
    <row r="66" spans="2:99">
      <c r="C66" s="99" t="s">
        <v>232</v>
      </c>
      <c r="D66" s="100">
        <v>4</v>
      </c>
      <c r="E66" s="100">
        <v>4761.5999999999995</v>
      </c>
      <c r="F66" s="100">
        <v>6</v>
      </c>
      <c r="G66" s="100">
        <v>7142.4</v>
      </c>
      <c r="H66" s="100">
        <v>6</v>
      </c>
      <c r="I66" s="100">
        <v>7142.4</v>
      </c>
      <c r="J66" s="100">
        <v>7.3269158932032656</v>
      </c>
      <c r="K66" s="100">
        <v>8721.9606792691666</v>
      </c>
      <c r="L66" s="100">
        <v>1.5984712146753173</v>
      </c>
      <c r="M66" s="100">
        <v>1902.8201339494974</v>
      </c>
      <c r="N66" s="100">
        <v>6</v>
      </c>
      <c r="O66" s="100">
        <v>7142.4</v>
      </c>
      <c r="P66" s="100">
        <v>5</v>
      </c>
      <c r="Q66" s="100">
        <v>5951.9999999999991</v>
      </c>
      <c r="R66" s="100">
        <v>6</v>
      </c>
      <c r="S66" s="100">
        <v>7142.4</v>
      </c>
      <c r="T66" s="100">
        <v>5</v>
      </c>
      <c r="U66" s="100">
        <v>5951.9999999999991</v>
      </c>
      <c r="V66" s="100">
        <v>2.7047066135032529</v>
      </c>
      <c r="W66" s="100">
        <v>3219.6827527142718</v>
      </c>
      <c r="X66" s="100">
        <v>2.6628717604189913</v>
      </c>
      <c r="Y66" s="100">
        <v>3169.8825436027669</v>
      </c>
      <c r="Z66" s="100">
        <v>6.1842897904489282</v>
      </c>
      <c r="AA66" s="100">
        <v>7361.7785665504034</v>
      </c>
      <c r="AB66" s="100">
        <v>3.9297027394849522</v>
      </c>
      <c r="AC66" s="100">
        <v>4677.9181410828869</v>
      </c>
      <c r="AD66" s="100">
        <v>6</v>
      </c>
      <c r="AE66" s="100">
        <v>7142.4</v>
      </c>
      <c r="AF66" s="100">
        <v>4.186534261037222</v>
      </c>
      <c r="AG66" s="100">
        <v>4983.6503843387081</v>
      </c>
      <c r="AH66" s="100">
        <v>3</v>
      </c>
      <c r="AI66" s="100">
        <v>3571.2</v>
      </c>
      <c r="AJ66" s="100">
        <v>4.3880947927001923</v>
      </c>
      <c r="AK66" s="100">
        <v>5223.5880412303086</v>
      </c>
      <c r="AL66" s="100">
        <v>4.6058706221718442</v>
      </c>
      <c r="AM66" s="100">
        <v>5482.8283886333629</v>
      </c>
      <c r="AN66" s="100">
        <v>4</v>
      </c>
      <c r="AO66" s="100">
        <v>4761.5999999999995</v>
      </c>
      <c r="AP66" s="100">
        <v>4.3741098891220584</v>
      </c>
      <c r="AQ66" s="100">
        <v>5206.9404120108975</v>
      </c>
      <c r="AR66" s="100">
        <v>1.0901579688153116</v>
      </c>
      <c r="AS66" s="100">
        <v>1297.7240460777468</v>
      </c>
      <c r="AT66" s="100">
        <v>3.3891025039105993</v>
      </c>
      <c r="AU66" s="100">
        <v>4034.3876206551768</v>
      </c>
      <c r="AV66" s="100">
        <v>4</v>
      </c>
      <c r="AW66" s="100">
        <v>4761.5999999999995</v>
      </c>
      <c r="AX66" s="100">
        <v>4.5936017406229279</v>
      </c>
      <c r="AY66" s="100">
        <v>5468.2235120375326</v>
      </c>
      <c r="AZ66" s="100">
        <v>0.91224841865715056</v>
      </c>
      <c r="BA66" s="100">
        <v>1085.9405175694719</v>
      </c>
      <c r="BB66" s="100">
        <v>4.2831218839152552</v>
      </c>
      <c r="BC66" s="100">
        <v>5098.628290612719</v>
      </c>
      <c r="BD66" s="100">
        <v>2.0663544439430352</v>
      </c>
      <c r="BE66" s="100">
        <v>2459.788330069789</v>
      </c>
      <c r="BF66" s="100">
        <v>4.4930558096193298</v>
      </c>
      <c r="BG66" s="100">
        <v>5348.5336357708493</v>
      </c>
      <c r="BH66" s="100">
        <v>3.681955481816261</v>
      </c>
      <c r="BI66" s="100">
        <v>4382.9998055540764</v>
      </c>
      <c r="BJ66" s="100">
        <v>4.0148961978217148</v>
      </c>
      <c r="BK66" s="100">
        <v>4779.3324338869688</v>
      </c>
      <c r="BL66" s="100">
        <v>3</v>
      </c>
      <c r="BM66" s="100">
        <v>3571.2</v>
      </c>
      <c r="BN66" s="100">
        <v>6</v>
      </c>
      <c r="BO66" s="100">
        <v>7142.4</v>
      </c>
      <c r="BP66" s="100">
        <v>4</v>
      </c>
      <c r="BQ66" s="100">
        <v>4761.5999999999995</v>
      </c>
      <c r="BR66" s="100">
        <v>5.269439986306188</v>
      </c>
      <c r="BS66" s="100">
        <v>6272.7413596988854</v>
      </c>
      <c r="BT66" s="100">
        <v>3.49867889482128E-4</v>
      </c>
      <c r="BU66" s="100">
        <v>0.41648273563952515</v>
      </c>
      <c r="BV66" s="100">
        <v>5</v>
      </c>
      <c r="BW66" s="100">
        <v>5951.9999999999991</v>
      </c>
      <c r="BX66" s="100">
        <v>5</v>
      </c>
      <c r="BY66" s="100">
        <v>5951.9999999999991</v>
      </c>
      <c r="BZ66" s="100">
        <v>5</v>
      </c>
      <c r="CA66" s="100">
        <v>5951.9999999999991</v>
      </c>
      <c r="CB66" s="100">
        <v>4</v>
      </c>
      <c r="CC66" s="100">
        <v>4761.5999999999995</v>
      </c>
      <c r="CD66" s="100">
        <v>4.0977588054013525</v>
      </c>
      <c r="CE66" s="100">
        <v>4877.9720819497697</v>
      </c>
      <c r="CF66" s="100">
        <v>0.15708644632507548</v>
      </c>
      <c r="CG66" s="100">
        <v>186.99570570536983</v>
      </c>
      <c r="CH66" s="100">
        <v>4</v>
      </c>
      <c r="CI66" s="100">
        <v>4761.5999999999995</v>
      </c>
      <c r="CJ66" s="100">
        <v>5</v>
      </c>
      <c r="CK66" s="100">
        <v>5951.9999999999991</v>
      </c>
      <c r="CL66" s="100">
        <v>6.2130271384029641</v>
      </c>
      <c r="CM66" s="100">
        <v>7395.9875055548873</v>
      </c>
      <c r="CN66" s="100">
        <v>4.6398557736656496</v>
      </c>
      <c r="CO66" s="100">
        <v>5523.2843129715884</v>
      </c>
      <c r="CP66" s="100">
        <v>4</v>
      </c>
      <c r="CQ66" s="100">
        <v>4761.5999999999995</v>
      </c>
      <c r="CR66" s="100">
        <v>5</v>
      </c>
      <c r="CS66" s="100">
        <v>5951.9999999999991</v>
      </c>
      <c r="CT66" s="100">
        <v>3.1625338428659266</v>
      </c>
      <c r="CU66" s="100">
        <v>3764.6802865475988</v>
      </c>
    </row>
    <row r="67" spans="2:99">
      <c r="C67" s="99" t="s">
        <v>233</v>
      </c>
      <c r="D67" s="100">
        <v>4</v>
      </c>
      <c r="E67" s="100">
        <v>4492.8</v>
      </c>
      <c r="F67" s="100">
        <v>6</v>
      </c>
      <c r="G67" s="100">
        <v>6739.2000000000007</v>
      </c>
      <c r="H67" s="100">
        <v>6</v>
      </c>
      <c r="I67" s="100">
        <v>6739.2000000000007</v>
      </c>
      <c r="J67" s="100">
        <v>6.2802136227456566</v>
      </c>
      <c r="K67" s="100">
        <v>7053.9359410679217</v>
      </c>
      <c r="L67" s="100">
        <v>1.9980890183441464</v>
      </c>
      <c r="M67" s="100">
        <v>2244.2535854041453</v>
      </c>
      <c r="N67" s="100">
        <v>6</v>
      </c>
      <c r="O67" s="100">
        <v>6739.2000000000007</v>
      </c>
      <c r="P67" s="100">
        <v>5</v>
      </c>
      <c r="Q67" s="100">
        <v>5616</v>
      </c>
      <c r="R67" s="100">
        <v>6</v>
      </c>
      <c r="S67" s="100">
        <v>6739.2000000000007</v>
      </c>
      <c r="T67" s="100">
        <v>4</v>
      </c>
      <c r="U67" s="100">
        <v>4492.8</v>
      </c>
      <c r="V67" s="100">
        <v>3.5689088637060764</v>
      </c>
      <c r="W67" s="100">
        <v>4008.5984357146654</v>
      </c>
      <c r="X67" s="100">
        <v>2.6628717604189913</v>
      </c>
      <c r="Y67" s="100">
        <v>2990.9375613026114</v>
      </c>
      <c r="Z67" s="100">
        <v>6.1675361731353897</v>
      </c>
      <c r="AA67" s="100">
        <v>6927.3766296656704</v>
      </c>
      <c r="AB67" s="100">
        <v>3.9297027394849522</v>
      </c>
      <c r="AC67" s="100">
        <v>4413.8421169894982</v>
      </c>
      <c r="AD67" s="100">
        <v>6</v>
      </c>
      <c r="AE67" s="100">
        <v>6739.2000000000007</v>
      </c>
      <c r="AF67" s="100">
        <v>4.186534261037222</v>
      </c>
      <c r="AG67" s="100">
        <v>4702.3152819970082</v>
      </c>
      <c r="AH67" s="100">
        <v>4</v>
      </c>
      <c r="AI67" s="100">
        <v>4492.8</v>
      </c>
      <c r="AJ67" s="100">
        <v>4.3880947927001923</v>
      </c>
      <c r="AK67" s="100">
        <v>4928.708071160856</v>
      </c>
      <c r="AL67" s="100">
        <v>3.9478891047187235</v>
      </c>
      <c r="AM67" s="100">
        <v>4434.26904242007</v>
      </c>
      <c r="AN67" s="100">
        <v>4</v>
      </c>
      <c r="AO67" s="100">
        <v>4492.8</v>
      </c>
      <c r="AP67" s="100">
        <v>4.3741098891220584</v>
      </c>
      <c r="AQ67" s="100">
        <v>4913.0002274618964</v>
      </c>
      <c r="AR67" s="100">
        <v>1.0901579688153116</v>
      </c>
      <c r="AS67" s="100">
        <v>1224.4654305733579</v>
      </c>
      <c r="AT67" s="100">
        <v>3.3891025039105993</v>
      </c>
      <c r="AU67" s="100">
        <v>3806.6399323923852</v>
      </c>
      <c r="AV67" s="100">
        <v>5</v>
      </c>
      <c r="AW67" s="100">
        <v>5616</v>
      </c>
      <c r="AX67" s="100">
        <v>4.5441349289043513</v>
      </c>
      <c r="AY67" s="100">
        <v>5103.9723521453679</v>
      </c>
      <c r="AZ67" s="100">
        <v>0.76020701554762549</v>
      </c>
      <c r="BA67" s="100">
        <v>853.86451986309294</v>
      </c>
      <c r="BB67" s="100">
        <v>3.4894479077093514</v>
      </c>
      <c r="BC67" s="100">
        <v>3919.3478899391439</v>
      </c>
      <c r="BD67" s="100">
        <v>2.0604008721768805</v>
      </c>
      <c r="BE67" s="100">
        <v>2314.2422596290721</v>
      </c>
      <c r="BF67" s="100">
        <v>4.4930558096193298</v>
      </c>
      <c r="BG67" s="100">
        <v>5046.6002853644313</v>
      </c>
      <c r="BH67" s="100">
        <v>3.0682962348468843</v>
      </c>
      <c r="BI67" s="100">
        <v>3446.3103309800208</v>
      </c>
      <c r="BJ67" s="100">
        <v>4.8178754373860588</v>
      </c>
      <c r="BK67" s="100">
        <v>5411.4376912720218</v>
      </c>
      <c r="BL67" s="100">
        <v>3</v>
      </c>
      <c r="BM67" s="100">
        <v>3369.6000000000004</v>
      </c>
      <c r="BN67" s="100">
        <v>6</v>
      </c>
      <c r="BO67" s="100">
        <v>6739.2000000000007</v>
      </c>
      <c r="BP67" s="100">
        <v>3</v>
      </c>
      <c r="BQ67" s="100">
        <v>3369.6000000000004</v>
      </c>
      <c r="BR67" s="100">
        <v>5.269439986306188</v>
      </c>
      <c r="BS67" s="100">
        <v>5918.6349926191106</v>
      </c>
      <c r="BT67" s="100">
        <v>3.49867889482128E-4</v>
      </c>
      <c r="BU67" s="100">
        <v>0.3929716134663262</v>
      </c>
      <c r="BV67" s="100">
        <v>5</v>
      </c>
      <c r="BW67" s="100">
        <v>5616</v>
      </c>
      <c r="BX67" s="100">
        <v>5</v>
      </c>
      <c r="BY67" s="100">
        <v>5616</v>
      </c>
      <c r="BZ67" s="100">
        <v>4</v>
      </c>
      <c r="CA67" s="100">
        <v>4492.8</v>
      </c>
      <c r="CB67" s="100">
        <v>5</v>
      </c>
      <c r="CC67" s="100">
        <v>5616</v>
      </c>
      <c r="CD67" s="100">
        <v>4.0868967159123137</v>
      </c>
      <c r="CE67" s="100">
        <v>4590.4023913127112</v>
      </c>
      <c r="CF67" s="100">
        <v>0.15708644632507548</v>
      </c>
      <c r="CG67" s="100">
        <v>176.43949651232478</v>
      </c>
      <c r="CH67" s="100">
        <v>3</v>
      </c>
      <c r="CI67" s="100">
        <v>3369.6000000000004</v>
      </c>
      <c r="CJ67" s="100">
        <v>5</v>
      </c>
      <c r="CK67" s="100">
        <v>5616</v>
      </c>
      <c r="CL67" s="100">
        <v>6.2130271384029641</v>
      </c>
      <c r="CM67" s="100">
        <v>6978.4720818542091</v>
      </c>
      <c r="CN67" s="100">
        <v>4.6398557736656496</v>
      </c>
      <c r="CO67" s="100">
        <v>5211.4860049812578</v>
      </c>
      <c r="CP67" s="100">
        <v>3</v>
      </c>
      <c r="CQ67" s="100">
        <v>3369.6000000000004</v>
      </c>
      <c r="CR67" s="100">
        <v>4</v>
      </c>
      <c r="CS67" s="100">
        <v>4492.8</v>
      </c>
      <c r="CT67" s="100">
        <v>3.1625338428659266</v>
      </c>
      <c r="CU67" s="100">
        <v>3552.1580123070089</v>
      </c>
    </row>
    <row r="68" spans="2:99">
      <c r="C68" s="99" t="s">
        <v>234</v>
      </c>
      <c r="D68" s="100">
        <v>4</v>
      </c>
      <c r="E68" s="100">
        <v>4132.8</v>
      </c>
      <c r="F68" s="100">
        <v>6</v>
      </c>
      <c r="G68" s="100">
        <v>6199.2000000000007</v>
      </c>
      <c r="H68" s="100">
        <v>6</v>
      </c>
      <c r="I68" s="100">
        <v>6199.2000000000007</v>
      </c>
      <c r="J68" s="100">
        <v>6.2802136227456566</v>
      </c>
      <c r="K68" s="100">
        <v>6488.7167150208124</v>
      </c>
      <c r="L68" s="100">
        <v>1.5984712146753173</v>
      </c>
      <c r="M68" s="100">
        <v>1651.5404590025378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5</v>
      </c>
      <c r="U68" s="100">
        <v>5166</v>
      </c>
      <c r="V68" s="100">
        <v>3.5689088637060764</v>
      </c>
      <c r="W68" s="100">
        <v>3687.3966379811181</v>
      </c>
      <c r="X68" s="100">
        <v>2.6628717604189913</v>
      </c>
      <c r="Y68" s="100">
        <v>2751.2791028649021</v>
      </c>
      <c r="Z68" s="100">
        <v>6.1675361731353897</v>
      </c>
      <c r="AA68" s="100">
        <v>6372.2983740834852</v>
      </c>
      <c r="AB68" s="100">
        <v>2.9472770546137141</v>
      </c>
      <c r="AC68" s="100">
        <v>3045.1266528268898</v>
      </c>
      <c r="AD68" s="100">
        <v>6</v>
      </c>
      <c r="AE68" s="100">
        <v>6199.2000000000007</v>
      </c>
      <c r="AF68" s="100">
        <v>4.186534261037222</v>
      </c>
      <c r="AG68" s="100">
        <v>4325.5271985036579</v>
      </c>
      <c r="AH68" s="100">
        <v>4</v>
      </c>
      <c r="AI68" s="100">
        <v>4132.8</v>
      </c>
      <c r="AJ68" s="100">
        <v>4.3528134479092655</v>
      </c>
      <c r="AK68" s="100">
        <v>4497.3268543798531</v>
      </c>
      <c r="AL68" s="100">
        <v>3.9478891047187235</v>
      </c>
      <c r="AM68" s="100">
        <v>4078.9590229953851</v>
      </c>
      <c r="AN68" s="100">
        <v>4</v>
      </c>
      <c r="AO68" s="100">
        <v>4132.8</v>
      </c>
      <c r="AP68" s="100">
        <v>4.3741098891220584</v>
      </c>
      <c r="AQ68" s="100">
        <v>4519.3303374409106</v>
      </c>
      <c r="AR68" s="100">
        <v>1.0901579688153116</v>
      </c>
      <c r="AS68" s="100">
        <v>1126.35121337998</v>
      </c>
      <c r="AT68" s="100">
        <v>3.3891025039105993</v>
      </c>
      <c r="AU68" s="100">
        <v>3501.6207070404312</v>
      </c>
      <c r="AV68" s="100">
        <v>4</v>
      </c>
      <c r="AW68" s="100">
        <v>4132.8</v>
      </c>
      <c r="AX68" s="100">
        <v>4.4946681171857739</v>
      </c>
      <c r="AY68" s="100">
        <v>4643.8910986763422</v>
      </c>
      <c r="AZ68" s="100">
        <v>0.76020701554762549</v>
      </c>
      <c r="BA68" s="100">
        <v>785.44588846380668</v>
      </c>
      <c r="BB68" s="100">
        <v>4.2831218839152552</v>
      </c>
      <c r="BC68" s="100">
        <v>4425.3215304612422</v>
      </c>
      <c r="BD68" s="100">
        <v>2.0663544439430352</v>
      </c>
      <c r="BE68" s="100">
        <v>2134.9574114819443</v>
      </c>
      <c r="BF68" s="100">
        <v>3.8950709177339307</v>
      </c>
      <c r="BG68" s="100">
        <v>4024.3872722026972</v>
      </c>
      <c r="BH68" s="100">
        <v>3.0682962348468843</v>
      </c>
      <c r="BI68" s="100">
        <v>3170.163669843801</v>
      </c>
      <c r="BJ68" s="100">
        <v>4.0148961978217148</v>
      </c>
      <c r="BK68" s="100">
        <v>4148.1907515893963</v>
      </c>
      <c r="BL68" s="100">
        <v>3</v>
      </c>
      <c r="BM68" s="100">
        <v>3099.6000000000004</v>
      </c>
      <c r="BN68" s="100">
        <v>6</v>
      </c>
      <c r="BO68" s="100">
        <v>6199.2000000000007</v>
      </c>
      <c r="BP68" s="100">
        <v>3</v>
      </c>
      <c r="BQ68" s="100">
        <v>3099.6000000000004</v>
      </c>
      <c r="BR68" s="100">
        <v>5.3425717873009289</v>
      </c>
      <c r="BS68" s="100">
        <v>5519.9451706393202</v>
      </c>
      <c r="BT68" s="100">
        <v>4.1984146737855356E-4</v>
      </c>
      <c r="BU68" s="100">
        <v>0.43378020409552154</v>
      </c>
      <c r="BV68" s="100">
        <v>5</v>
      </c>
      <c r="BW68" s="100">
        <v>5166</v>
      </c>
      <c r="BX68" s="100">
        <v>5</v>
      </c>
      <c r="BY68" s="100">
        <v>5166</v>
      </c>
      <c r="BZ68" s="100">
        <v>4</v>
      </c>
      <c r="CA68" s="100">
        <v>4132.8</v>
      </c>
      <c r="CB68" s="100">
        <v>5</v>
      </c>
      <c r="CC68" s="100">
        <v>5166</v>
      </c>
      <c r="CD68" s="100">
        <v>4.0760346264232741</v>
      </c>
      <c r="CE68" s="100">
        <v>4211.3589760205268</v>
      </c>
      <c r="CF68" s="100">
        <v>0.15708644632507548</v>
      </c>
      <c r="CG68" s="100">
        <v>162.30171634306799</v>
      </c>
      <c r="CH68" s="100">
        <v>4</v>
      </c>
      <c r="CI68" s="100">
        <v>4132.8</v>
      </c>
      <c r="CJ68" s="100">
        <v>5</v>
      </c>
      <c r="CK68" s="100">
        <v>5166</v>
      </c>
      <c r="CL68" s="100">
        <v>6.2396555307033346</v>
      </c>
      <c r="CM68" s="100">
        <v>6446.8120943226859</v>
      </c>
      <c r="CN68" s="100">
        <v>5.4131650692765909</v>
      </c>
      <c r="CO68" s="100">
        <v>5592.8821495765742</v>
      </c>
      <c r="CP68" s="100">
        <v>3</v>
      </c>
      <c r="CQ68" s="100">
        <v>3099.6000000000004</v>
      </c>
      <c r="CR68" s="100">
        <v>5</v>
      </c>
      <c r="CS68" s="100">
        <v>5166</v>
      </c>
      <c r="CT68" s="100">
        <v>4.1625338428659262</v>
      </c>
      <c r="CU68" s="100">
        <v>4300.7299664490747</v>
      </c>
    </row>
    <row r="69" spans="2:99">
      <c r="C69" s="99" t="s">
        <v>235</v>
      </c>
      <c r="D69" s="100">
        <v>4</v>
      </c>
      <c r="E69" s="100">
        <v>3033.6</v>
      </c>
      <c r="F69" s="100">
        <v>5</v>
      </c>
      <c r="G69" s="100">
        <v>3792</v>
      </c>
      <c r="H69" s="100">
        <v>7</v>
      </c>
      <c r="I69" s="100">
        <v>5308.8</v>
      </c>
      <c r="J69" s="100">
        <v>6.2802136227456566</v>
      </c>
      <c r="K69" s="100">
        <v>4762.9140114903057</v>
      </c>
      <c r="L69" s="100">
        <v>1.5984712146753173</v>
      </c>
      <c r="M69" s="100">
        <v>1212.2805692097606</v>
      </c>
      <c r="N69" s="100">
        <v>6</v>
      </c>
      <c r="O69" s="100">
        <v>4550.3999999999996</v>
      </c>
      <c r="P69" s="100">
        <v>4</v>
      </c>
      <c r="Q69" s="100">
        <v>3033.6</v>
      </c>
      <c r="R69" s="100">
        <v>6</v>
      </c>
      <c r="S69" s="100">
        <v>4550.3999999999996</v>
      </c>
      <c r="T69" s="100">
        <v>5</v>
      </c>
      <c r="U69" s="100">
        <v>3792</v>
      </c>
      <c r="V69" s="100">
        <v>3.5408838979823818</v>
      </c>
      <c r="W69" s="100">
        <v>2685.4063482298384</v>
      </c>
      <c r="X69" s="100">
        <v>2.6628717604189913</v>
      </c>
      <c r="Y69" s="100">
        <v>2019.5219431017629</v>
      </c>
      <c r="Z69" s="100">
        <v>5.1842897904489282</v>
      </c>
      <c r="AA69" s="100">
        <v>3931.7653770764668</v>
      </c>
      <c r="AB69" s="100">
        <v>2.9472770546137141</v>
      </c>
      <c r="AC69" s="100">
        <v>2235.2149182190406</v>
      </c>
      <c r="AD69" s="100">
        <v>6</v>
      </c>
      <c r="AE69" s="100">
        <v>4550.3999999999996</v>
      </c>
      <c r="AF69" s="100">
        <v>4.2072602900413569</v>
      </c>
      <c r="AG69" s="100">
        <v>3190.7862039673651</v>
      </c>
      <c r="AH69" s="100">
        <v>4</v>
      </c>
      <c r="AI69" s="100">
        <v>3033.6</v>
      </c>
      <c r="AJ69" s="100">
        <v>3.3880947927001919</v>
      </c>
      <c r="AK69" s="100">
        <v>2569.5310907838252</v>
      </c>
      <c r="AL69" s="100">
        <v>3.9478891047187235</v>
      </c>
      <c r="AM69" s="100">
        <v>2994.0790970186799</v>
      </c>
      <c r="AN69" s="100">
        <v>4</v>
      </c>
      <c r="AO69" s="100">
        <v>3033.6</v>
      </c>
      <c r="AP69" s="100">
        <v>4.3325421236640516</v>
      </c>
      <c r="AQ69" s="100">
        <v>3285.7999465868165</v>
      </c>
      <c r="AR69" s="100">
        <v>1.0901579688153116</v>
      </c>
      <c r="AS69" s="100">
        <v>826.77580354953227</v>
      </c>
      <c r="AT69" s="100">
        <v>3.3891025039105993</v>
      </c>
      <c r="AU69" s="100">
        <v>2570.2953389657982</v>
      </c>
      <c r="AV69" s="100">
        <v>4</v>
      </c>
      <c r="AW69" s="100">
        <v>3033.6</v>
      </c>
      <c r="AX69" s="100">
        <v>4.5441349289043513</v>
      </c>
      <c r="AY69" s="100">
        <v>3446.27193008106</v>
      </c>
      <c r="AZ69" s="100">
        <v>0.91224841865715056</v>
      </c>
      <c r="BA69" s="100">
        <v>691.84920070958299</v>
      </c>
      <c r="BB69" s="100">
        <v>4.3224658842759718</v>
      </c>
      <c r="BC69" s="100">
        <v>3278.1581266348967</v>
      </c>
      <c r="BD69" s="100">
        <v>2.4018164936176425</v>
      </c>
      <c r="BE69" s="100">
        <v>1821.53762875962</v>
      </c>
      <c r="BF69" s="100">
        <v>3.8950709177339307</v>
      </c>
      <c r="BG69" s="100">
        <v>2954.0217840094128</v>
      </c>
      <c r="BH69" s="100">
        <v>3.0682962348468843</v>
      </c>
      <c r="BI69" s="100">
        <v>2326.9958645078768</v>
      </c>
      <c r="BJ69" s="100">
        <v>4.0148961978217148</v>
      </c>
      <c r="BK69" s="100">
        <v>3044.8972764279883</v>
      </c>
      <c r="BL69" s="100">
        <v>4</v>
      </c>
      <c r="BM69" s="100">
        <v>3033.6</v>
      </c>
      <c r="BN69" s="100">
        <v>7</v>
      </c>
      <c r="BO69" s="100">
        <v>5308.8</v>
      </c>
      <c r="BP69" s="100">
        <v>4</v>
      </c>
      <c r="BQ69" s="100">
        <v>3033.6</v>
      </c>
      <c r="BR69" s="100">
        <v>4.3618155910344329</v>
      </c>
      <c r="BS69" s="100">
        <v>3308.0009442405139</v>
      </c>
      <c r="BT69" s="100">
        <v>3.49867889482128E-4</v>
      </c>
      <c r="BU69" s="100">
        <v>0.26533980738324586</v>
      </c>
      <c r="BV69" s="100">
        <v>5</v>
      </c>
      <c r="BW69" s="100">
        <v>3792</v>
      </c>
      <c r="BX69" s="100">
        <v>5</v>
      </c>
      <c r="BY69" s="100">
        <v>3792</v>
      </c>
      <c r="BZ69" s="100">
        <v>5</v>
      </c>
      <c r="CA69" s="100">
        <v>3792</v>
      </c>
      <c r="CB69" s="100">
        <v>5</v>
      </c>
      <c r="CC69" s="100">
        <v>3792</v>
      </c>
      <c r="CD69" s="100">
        <v>4.0868967159123137</v>
      </c>
      <c r="CE69" s="100">
        <v>3099.5024693478986</v>
      </c>
      <c r="CF69" s="100">
        <v>0.19635805790634434</v>
      </c>
      <c r="CG69" s="100">
        <v>148.91795111617154</v>
      </c>
      <c r="CH69" s="100">
        <v>3</v>
      </c>
      <c r="CI69" s="100">
        <v>2275.1999999999998</v>
      </c>
      <c r="CJ69" s="100">
        <v>5</v>
      </c>
      <c r="CK69" s="100">
        <v>3792</v>
      </c>
      <c r="CL69" s="100">
        <v>6.2396555307033346</v>
      </c>
      <c r="CM69" s="100">
        <v>4732.1547544854084</v>
      </c>
      <c r="CN69" s="100">
        <v>5.4131650692765909</v>
      </c>
      <c r="CO69" s="100">
        <v>4105.3443885393663</v>
      </c>
      <c r="CP69" s="100">
        <v>4</v>
      </c>
      <c r="CQ69" s="100">
        <v>3033.6</v>
      </c>
      <c r="CR69" s="100">
        <v>5</v>
      </c>
      <c r="CS69" s="100">
        <v>3792</v>
      </c>
      <c r="CT69" s="100">
        <v>4.1857529632753447</v>
      </c>
      <c r="CU69" s="100">
        <v>3174.4750473480212</v>
      </c>
    </row>
    <row r="70" spans="2:99">
      <c r="C70" s="99" t="s">
        <v>236</v>
      </c>
      <c r="D70" s="100">
        <v>4</v>
      </c>
      <c r="E70" s="100">
        <v>2140.7999999999997</v>
      </c>
      <c r="F70" s="100">
        <v>6</v>
      </c>
      <c r="G70" s="100">
        <v>3211.2</v>
      </c>
      <c r="H70" s="100">
        <v>7</v>
      </c>
      <c r="I70" s="100">
        <v>3746.3999999999996</v>
      </c>
      <c r="J70" s="100">
        <v>6.3269158932032656</v>
      </c>
      <c r="K70" s="100">
        <v>3386.1653860423871</v>
      </c>
      <c r="L70" s="100">
        <v>1.9980890183441464</v>
      </c>
      <c r="M70" s="100">
        <v>1069.377242617787</v>
      </c>
      <c r="N70" s="100">
        <v>6</v>
      </c>
      <c r="O70" s="100">
        <v>3211.2</v>
      </c>
      <c r="P70" s="100">
        <v>5</v>
      </c>
      <c r="Q70" s="100">
        <v>2675.9999999999995</v>
      </c>
      <c r="R70" s="100">
        <v>6</v>
      </c>
      <c r="S70" s="100">
        <v>3211.2</v>
      </c>
      <c r="T70" s="100">
        <v>4</v>
      </c>
      <c r="U70" s="100">
        <v>2140.7999999999997</v>
      </c>
      <c r="V70" s="100">
        <v>3.5408838979823818</v>
      </c>
      <c r="W70" s="100">
        <v>1895.0810622001704</v>
      </c>
      <c r="X70" s="100">
        <v>2.6628717604189913</v>
      </c>
      <c r="Y70" s="100">
        <v>1425.1689661762439</v>
      </c>
      <c r="Z70" s="100">
        <v>6.1842897904489282</v>
      </c>
      <c r="AA70" s="100">
        <v>3309.831895848266</v>
      </c>
      <c r="AB70" s="100">
        <v>3.9297027394849522</v>
      </c>
      <c r="AC70" s="100">
        <v>2103.1769061723462</v>
      </c>
      <c r="AD70" s="100">
        <v>6</v>
      </c>
      <c r="AE70" s="100">
        <v>3211.2</v>
      </c>
      <c r="AF70" s="100">
        <v>4.2072602900413569</v>
      </c>
      <c r="AG70" s="100">
        <v>2251.725707230134</v>
      </c>
      <c r="AH70" s="100">
        <v>4</v>
      </c>
      <c r="AI70" s="100">
        <v>2140.7999999999997</v>
      </c>
      <c r="AJ70" s="100">
        <v>4.3528134479092655</v>
      </c>
      <c r="AK70" s="100">
        <v>2329.6257573210387</v>
      </c>
      <c r="AL70" s="100">
        <v>3.9478891047187235</v>
      </c>
      <c r="AM70" s="100">
        <v>2112.9102488454605</v>
      </c>
      <c r="AN70" s="100">
        <v>4</v>
      </c>
      <c r="AO70" s="100">
        <v>2140.7999999999997</v>
      </c>
      <c r="AP70" s="100">
        <v>4.3741098891220584</v>
      </c>
      <c r="AQ70" s="100">
        <v>2341.0236126581253</v>
      </c>
      <c r="AR70" s="100">
        <v>1.3626974610191396</v>
      </c>
      <c r="AS70" s="100">
        <v>729.31568113744345</v>
      </c>
      <c r="AT70" s="100">
        <v>4.0669230046927183</v>
      </c>
      <c r="AU70" s="100">
        <v>2176.6171921115424</v>
      </c>
      <c r="AV70" s="100">
        <v>4</v>
      </c>
      <c r="AW70" s="100">
        <v>2140.7999999999997</v>
      </c>
      <c r="AX70" s="100">
        <v>5.5441349289043513</v>
      </c>
      <c r="AY70" s="100">
        <v>2967.2210139496083</v>
      </c>
      <c r="AZ70" s="100">
        <v>0.76020701554762549</v>
      </c>
      <c r="BA70" s="100">
        <v>406.86279472108913</v>
      </c>
      <c r="BB70" s="100">
        <v>3.4894479077093514</v>
      </c>
      <c r="BC70" s="100">
        <v>1867.5525202060446</v>
      </c>
      <c r="BD70" s="100">
        <v>2.4018164936176425</v>
      </c>
      <c r="BE70" s="100">
        <v>1285.452187384162</v>
      </c>
      <c r="BF70" s="100">
        <v>4.4930558096193298</v>
      </c>
      <c r="BG70" s="100">
        <v>2404.6834693082651</v>
      </c>
      <c r="BH70" s="100">
        <v>3.681955481816261</v>
      </c>
      <c r="BI70" s="100">
        <v>1970.5825738680626</v>
      </c>
      <c r="BJ70" s="100">
        <v>4.8178754373860588</v>
      </c>
      <c r="BK70" s="100">
        <v>2578.5269340890181</v>
      </c>
      <c r="BL70" s="100">
        <v>3</v>
      </c>
      <c r="BM70" s="100">
        <v>1605.6</v>
      </c>
      <c r="BN70" s="100">
        <v>6</v>
      </c>
      <c r="BO70" s="100">
        <v>3211.2</v>
      </c>
      <c r="BP70" s="100">
        <v>4</v>
      </c>
      <c r="BQ70" s="100">
        <v>2140.7999999999997</v>
      </c>
      <c r="BR70" s="100">
        <v>5.269439986306188</v>
      </c>
      <c r="BS70" s="100">
        <v>2820.2042806710715</v>
      </c>
      <c r="BT70" s="100">
        <v>4.1984146737855356E-4</v>
      </c>
      <c r="BU70" s="100">
        <v>0.22469915334100185</v>
      </c>
      <c r="BV70" s="100">
        <v>6</v>
      </c>
      <c r="BW70" s="100">
        <v>3211.2</v>
      </c>
      <c r="BX70" s="100">
        <v>6</v>
      </c>
      <c r="BY70" s="100">
        <v>3211.2</v>
      </c>
      <c r="BZ70" s="100">
        <v>4</v>
      </c>
      <c r="CA70" s="100">
        <v>2140.7999999999997</v>
      </c>
      <c r="CB70" s="100">
        <v>4</v>
      </c>
      <c r="CC70" s="100">
        <v>2140.7999999999997</v>
      </c>
      <c r="CD70" s="100">
        <v>4.0868967159123137</v>
      </c>
      <c r="CE70" s="100">
        <v>2187.3071223562702</v>
      </c>
      <c r="CF70" s="100">
        <v>0.15708644632507548</v>
      </c>
      <c r="CG70" s="100">
        <v>84.072666073180386</v>
      </c>
      <c r="CH70" s="100">
        <v>3</v>
      </c>
      <c r="CI70" s="100">
        <v>1605.6</v>
      </c>
      <c r="CJ70" s="100">
        <v>5</v>
      </c>
      <c r="CK70" s="100">
        <v>2675.9999999999995</v>
      </c>
      <c r="CL70" s="100">
        <v>6.2396555307033346</v>
      </c>
      <c r="CM70" s="100">
        <v>3339.4636400324243</v>
      </c>
      <c r="CN70" s="100">
        <v>4.6398557736656496</v>
      </c>
      <c r="CO70" s="100">
        <v>2483.2508100658551</v>
      </c>
      <c r="CP70" s="100">
        <v>4</v>
      </c>
      <c r="CQ70" s="100">
        <v>2140.7999999999997</v>
      </c>
      <c r="CR70" s="100">
        <v>5</v>
      </c>
      <c r="CS70" s="100">
        <v>2675.9999999999995</v>
      </c>
      <c r="CT70" s="100">
        <v>4.1625338428659262</v>
      </c>
      <c r="CU70" s="100">
        <v>2227.7881127018436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4.1957053128232884</v>
      </c>
      <c r="G71" s="100">
        <v>2366.3777964323344</v>
      </c>
      <c r="H71" s="100">
        <v>0.70797682570059772</v>
      </c>
      <c r="I71" s="100">
        <v>399.29892969513713</v>
      </c>
      <c r="J71" s="100">
        <v>5</v>
      </c>
      <c r="K71" s="100">
        <v>2820</v>
      </c>
      <c r="L71" s="100">
        <v>4.7215549340291023</v>
      </c>
      <c r="M71" s="100">
        <v>2662.9569827924138</v>
      </c>
      <c r="N71" s="100">
        <v>5.5228022354279274</v>
      </c>
      <c r="O71" s="100">
        <v>3114.8604607813509</v>
      </c>
      <c r="P71" s="100">
        <v>1.7597243594529017</v>
      </c>
      <c r="Q71" s="100">
        <v>992.4845387314366</v>
      </c>
      <c r="R71" s="100">
        <v>5</v>
      </c>
      <c r="S71" s="100">
        <v>2820</v>
      </c>
      <c r="T71" s="100">
        <v>4</v>
      </c>
      <c r="U71" s="100">
        <v>2256</v>
      </c>
      <c r="V71" s="100">
        <v>5</v>
      </c>
      <c r="W71" s="100">
        <v>2820</v>
      </c>
      <c r="X71" s="100">
        <v>2.0216493288124671</v>
      </c>
      <c r="Y71" s="100">
        <v>1140.2102214502315</v>
      </c>
      <c r="Z71" s="100">
        <v>4.6802268463125767</v>
      </c>
      <c r="AA71" s="100">
        <v>2639.6479413202933</v>
      </c>
      <c r="AB71" s="100">
        <v>5</v>
      </c>
      <c r="AC71" s="100">
        <v>2820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5</v>
      </c>
      <c r="AI71" s="100">
        <v>2820</v>
      </c>
      <c r="AJ71" s="100">
        <v>3</v>
      </c>
      <c r="AK71" s="100">
        <v>1692</v>
      </c>
      <c r="AL71" s="100">
        <v>4</v>
      </c>
      <c r="AM71" s="100">
        <v>2256</v>
      </c>
      <c r="AN71" s="100">
        <v>5</v>
      </c>
      <c r="AO71" s="100">
        <v>2820</v>
      </c>
      <c r="AP71" s="100">
        <v>5.3374106760802409</v>
      </c>
      <c r="AQ71" s="100">
        <v>3010.2996213092561</v>
      </c>
      <c r="AR71" s="100">
        <v>1.4455289544982675</v>
      </c>
      <c r="AS71" s="100">
        <v>815.27833033702279</v>
      </c>
      <c r="AT71" s="100">
        <v>1.3554001025030797</v>
      </c>
      <c r="AU71" s="100">
        <v>764.44565781173696</v>
      </c>
      <c r="AV71" s="100">
        <v>5</v>
      </c>
      <c r="AW71" s="100">
        <v>2820</v>
      </c>
      <c r="AX71" s="100">
        <v>4.5139264282854752</v>
      </c>
      <c r="AY71" s="100">
        <v>2545.854505553008</v>
      </c>
      <c r="AZ71" s="100">
        <v>0.85603000144938268</v>
      </c>
      <c r="BA71" s="100">
        <v>482.80092081745181</v>
      </c>
      <c r="BB71" s="100">
        <v>3.9814210861940365</v>
      </c>
      <c r="BC71" s="100">
        <v>2245.5214926134367</v>
      </c>
      <c r="BD71" s="100">
        <v>3.7936182047697895</v>
      </c>
      <c r="BE71" s="100">
        <v>2139.6006674901614</v>
      </c>
      <c r="BF71" s="100">
        <v>4.883341697980546</v>
      </c>
      <c r="BG71" s="100">
        <v>2754.2047176610281</v>
      </c>
      <c r="BH71" s="100">
        <v>1.5179760508009796</v>
      </c>
      <c r="BI71" s="100">
        <v>856.13849265175247</v>
      </c>
      <c r="BJ71" s="100">
        <v>3</v>
      </c>
      <c r="BK71" s="100">
        <v>1692</v>
      </c>
      <c r="BL71" s="100">
        <v>5</v>
      </c>
      <c r="BM71" s="100">
        <v>2820</v>
      </c>
      <c r="BN71" s="100">
        <v>2.903495928334868</v>
      </c>
      <c r="BO71" s="100">
        <v>1637.5717035808655</v>
      </c>
      <c r="BP71" s="100">
        <v>5.3033185704658612</v>
      </c>
      <c r="BQ71" s="100">
        <v>2991.0716737427456</v>
      </c>
      <c r="BR71" s="100">
        <v>0.83672876368741078</v>
      </c>
      <c r="BS71" s="100">
        <v>471.91502271969966</v>
      </c>
      <c r="BT71" s="100">
        <v>3</v>
      </c>
      <c r="BU71" s="100">
        <v>1692</v>
      </c>
      <c r="BV71" s="100">
        <v>4</v>
      </c>
      <c r="BW71" s="100">
        <v>2256</v>
      </c>
      <c r="BX71" s="100">
        <v>4</v>
      </c>
      <c r="BY71" s="100">
        <v>2256</v>
      </c>
      <c r="BZ71" s="100">
        <v>6</v>
      </c>
      <c r="CA71" s="100">
        <v>3384</v>
      </c>
      <c r="CB71" s="100">
        <v>6</v>
      </c>
      <c r="CC71" s="100">
        <v>3384</v>
      </c>
      <c r="CD71" s="100">
        <v>4.115290546572786</v>
      </c>
      <c r="CE71" s="100">
        <v>2321.0238682670515</v>
      </c>
      <c r="CF71" s="100">
        <v>1.8556664964907246</v>
      </c>
      <c r="CG71" s="100">
        <v>1046.5959040207686</v>
      </c>
      <c r="CH71" s="100">
        <v>4</v>
      </c>
      <c r="CI71" s="100">
        <v>2256</v>
      </c>
      <c r="CJ71" s="100">
        <v>3</v>
      </c>
      <c r="CK71" s="100">
        <v>1692</v>
      </c>
      <c r="CL71" s="100">
        <v>4</v>
      </c>
      <c r="CM71" s="100">
        <v>2256</v>
      </c>
      <c r="CN71" s="100">
        <v>3.3308269898271399</v>
      </c>
      <c r="CO71" s="100">
        <v>1878.5864222625069</v>
      </c>
      <c r="CP71" s="100">
        <v>6</v>
      </c>
      <c r="CQ71" s="100">
        <v>3384</v>
      </c>
      <c r="CR71" s="100">
        <v>5</v>
      </c>
      <c r="CS71" s="100">
        <v>2820</v>
      </c>
      <c r="CT71" s="100">
        <v>5.6769391607634567</v>
      </c>
      <c r="CU71" s="100">
        <v>3201.7936866705895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4.1957053128232884</v>
      </c>
      <c r="G72" s="100">
        <v>312.1604752740526</v>
      </c>
      <c r="H72" s="100">
        <v>0.70797682570059772</v>
      </c>
      <c r="I72" s="100">
        <v>52.673475832124467</v>
      </c>
      <c r="J72" s="100">
        <v>6</v>
      </c>
      <c r="K72" s="100">
        <v>446.4</v>
      </c>
      <c r="L72" s="100">
        <v>4.7215549340291023</v>
      </c>
      <c r="M72" s="100">
        <v>351.28368709176516</v>
      </c>
      <c r="N72" s="100">
        <v>6.5228022354279274</v>
      </c>
      <c r="O72" s="100">
        <v>485.29648631583774</v>
      </c>
      <c r="P72" s="100">
        <v>1.7597243594529017</v>
      </c>
      <c r="Q72" s="100">
        <v>130.92349234329586</v>
      </c>
      <c r="R72" s="100">
        <v>5</v>
      </c>
      <c r="S72" s="100">
        <v>371.99999999999994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2.6955324384166226</v>
      </c>
      <c r="Y72" s="100">
        <v>200.5476134181967</v>
      </c>
      <c r="Z72" s="100">
        <v>5.6162722155750915</v>
      </c>
      <c r="AA72" s="100">
        <v>417.85065283878674</v>
      </c>
      <c r="AB72" s="100">
        <v>5</v>
      </c>
      <c r="AC72" s="100">
        <v>371.99999999999994</v>
      </c>
      <c r="AD72" s="100">
        <v>3</v>
      </c>
      <c r="AE72" s="100">
        <v>223.2</v>
      </c>
      <c r="AF72" s="100">
        <v>5</v>
      </c>
      <c r="AG72" s="100">
        <v>371.99999999999994</v>
      </c>
      <c r="AH72" s="100">
        <v>5</v>
      </c>
      <c r="AI72" s="100">
        <v>371.99999999999994</v>
      </c>
      <c r="AJ72" s="100">
        <v>3</v>
      </c>
      <c r="AK72" s="100">
        <v>223.2</v>
      </c>
      <c r="AL72" s="100">
        <v>3</v>
      </c>
      <c r="AM72" s="100">
        <v>223.2</v>
      </c>
      <c r="AN72" s="100">
        <v>6</v>
      </c>
      <c r="AO72" s="100">
        <v>446.4</v>
      </c>
      <c r="AP72" s="100">
        <v>4.4875439206636258</v>
      </c>
      <c r="AQ72" s="100">
        <v>333.87326769737371</v>
      </c>
      <c r="AR72" s="100">
        <v>1.4455289544982675</v>
      </c>
      <c r="AS72" s="100">
        <v>107.54735421467109</v>
      </c>
      <c r="AT72" s="100">
        <v>1.3554001025030797</v>
      </c>
      <c r="AU72" s="100">
        <v>100.84176762622913</v>
      </c>
      <c r="AV72" s="100">
        <v>5</v>
      </c>
      <c r="AW72" s="100">
        <v>371.99999999999994</v>
      </c>
      <c r="AX72" s="100">
        <v>4.5139264282854752</v>
      </c>
      <c r="AY72" s="100">
        <v>335.83612626443932</v>
      </c>
      <c r="AZ72" s="100">
        <v>1.1413733352658435</v>
      </c>
      <c r="BA72" s="100">
        <v>84.918176143778751</v>
      </c>
      <c r="BB72" s="100">
        <v>4.6449912672263762</v>
      </c>
      <c r="BC72" s="100">
        <v>345.58735028164233</v>
      </c>
      <c r="BD72" s="100">
        <v>3.7936182047697895</v>
      </c>
      <c r="BE72" s="100">
        <v>282.2451944348723</v>
      </c>
      <c r="BF72" s="100">
        <v>4.0694514149837886</v>
      </c>
      <c r="BG72" s="100">
        <v>302.76718527479386</v>
      </c>
      <c r="BH72" s="100">
        <v>1.5179760508009796</v>
      </c>
      <c r="BI72" s="100">
        <v>112.93741817959287</v>
      </c>
      <c r="BJ72" s="100">
        <v>4</v>
      </c>
      <c r="BK72" s="100">
        <v>297.59999999999997</v>
      </c>
      <c r="BL72" s="100">
        <v>6</v>
      </c>
      <c r="BM72" s="100">
        <v>446.4</v>
      </c>
      <c r="BN72" s="100">
        <v>2.4887107957156012</v>
      </c>
      <c r="BO72" s="100">
        <v>185.1600832012407</v>
      </c>
      <c r="BP72" s="100">
        <v>6.3266507681940043</v>
      </c>
      <c r="BQ72" s="100">
        <v>470.70281715363387</v>
      </c>
      <c r="BR72" s="100">
        <v>0.83672876368741078</v>
      </c>
      <c r="BS72" s="100">
        <v>62.252620018343357</v>
      </c>
      <c r="BT72" s="100">
        <v>4</v>
      </c>
      <c r="BU72" s="100">
        <v>297.59999999999997</v>
      </c>
      <c r="BV72" s="100">
        <v>4</v>
      </c>
      <c r="BW72" s="100">
        <v>297.59999999999997</v>
      </c>
      <c r="BX72" s="100">
        <v>4</v>
      </c>
      <c r="BY72" s="100">
        <v>297.59999999999997</v>
      </c>
      <c r="BZ72" s="100">
        <v>6</v>
      </c>
      <c r="CA72" s="100">
        <v>446.4</v>
      </c>
      <c r="CB72" s="100">
        <v>5</v>
      </c>
      <c r="CC72" s="100">
        <v>371.99999999999994</v>
      </c>
      <c r="CD72" s="100">
        <v>4.8448965981467014</v>
      </c>
      <c r="CE72" s="100">
        <v>360.46030690211455</v>
      </c>
      <c r="CF72" s="100">
        <v>1.8556664964907246</v>
      </c>
      <c r="CG72" s="100">
        <v>138.0615873389099</v>
      </c>
      <c r="CH72" s="100">
        <v>3</v>
      </c>
      <c r="CI72" s="100">
        <v>223.2</v>
      </c>
      <c r="CJ72" s="100">
        <v>3</v>
      </c>
      <c r="CK72" s="100">
        <v>223.2</v>
      </c>
      <c r="CL72" s="100">
        <v>4</v>
      </c>
      <c r="CM72" s="100">
        <v>297.59999999999997</v>
      </c>
      <c r="CN72" s="100">
        <v>3.9969923877925679</v>
      </c>
      <c r="CO72" s="100">
        <v>297.376233651767</v>
      </c>
      <c r="CP72" s="100">
        <v>6</v>
      </c>
      <c r="CQ72" s="100">
        <v>446.4</v>
      </c>
      <c r="CR72" s="100">
        <v>5</v>
      </c>
      <c r="CS72" s="100">
        <v>371.99999999999994</v>
      </c>
      <c r="CT72" s="100">
        <v>5.6769391607634567</v>
      </c>
      <c r="CU72" s="100">
        <v>422.36427356080111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4.2134967048981329</v>
      </c>
      <c r="G73" s="100">
        <v>2356.1873573790358</v>
      </c>
      <c r="H73" s="100">
        <v>0.70797682570059772</v>
      </c>
      <c r="I73" s="100">
        <v>395.90064093177421</v>
      </c>
      <c r="J73" s="100">
        <v>6</v>
      </c>
      <c r="K73" s="100">
        <v>3355.2</v>
      </c>
      <c r="L73" s="100">
        <v>4.7215549340291023</v>
      </c>
      <c r="M73" s="100">
        <v>2640.2935191090737</v>
      </c>
      <c r="N73" s="100">
        <v>5.5228022354279274</v>
      </c>
      <c r="O73" s="100">
        <v>3088.3510100512967</v>
      </c>
      <c r="P73" s="100">
        <v>1.7597243594529017</v>
      </c>
      <c r="Q73" s="100">
        <v>984.03786180606255</v>
      </c>
      <c r="R73" s="100">
        <v>6</v>
      </c>
      <c r="S73" s="100">
        <v>3355.2</v>
      </c>
      <c r="T73" s="100">
        <v>4</v>
      </c>
      <c r="U73" s="100">
        <v>2236.7999999999997</v>
      </c>
      <c r="V73" s="100">
        <v>4</v>
      </c>
      <c r="W73" s="100">
        <v>2236.7999999999997</v>
      </c>
      <c r="X73" s="100">
        <v>2.0216493288124671</v>
      </c>
      <c r="Y73" s="100">
        <v>1130.5063046719315</v>
      </c>
      <c r="Z73" s="100">
        <v>5.6162722155750915</v>
      </c>
      <c r="AA73" s="100">
        <v>3140.6194229495909</v>
      </c>
      <c r="AB73" s="100">
        <v>5</v>
      </c>
      <c r="AC73" s="100">
        <v>2795.9999999999995</v>
      </c>
      <c r="AD73" s="100">
        <v>4</v>
      </c>
      <c r="AE73" s="100">
        <v>2236.7999999999997</v>
      </c>
      <c r="AF73" s="100">
        <v>5</v>
      </c>
      <c r="AG73" s="100">
        <v>2795.9999999999995</v>
      </c>
      <c r="AH73" s="100">
        <v>5</v>
      </c>
      <c r="AI73" s="100">
        <v>2795.9999999999995</v>
      </c>
      <c r="AJ73" s="100">
        <v>3</v>
      </c>
      <c r="AK73" s="100">
        <v>1677.6</v>
      </c>
      <c r="AL73" s="100">
        <v>3</v>
      </c>
      <c r="AM73" s="100">
        <v>1677.6</v>
      </c>
      <c r="AN73" s="100">
        <v>6</v>
      </c>
      <c r="AO73" s="100">
        <v>3355.2</v>
      </c>
      <c r="AP73" s="100">
        <v>4.4875439206636258</v>
      </c>
      <c r="AQ73" s="100">
        <v>2509.4345604350992</v>
      </c>
      <c r="AR73" s="100">
        <v>1.1820770436632226</v>
      </c>
      <c r="AS73" s="100">
        <v>661.01748281647406</v>
      </c>
      <c r="AT73" s="100">
        <v>1.3554001025030797</v>
      </c>
      <c r="AU73" s="100">
        <v>757.9397373197221</v>
      </c>
      <c r="AV73" s="100">
        <v>4</v>
      </c>
      <c r="AW73" s="100">
        <v>2236.7999999999997</v>
      </c>
      <c r="AX73" s="100">
        <v>3.5388896504471079</v>
      </c>
      <c r="AY73" s="100">
        <v>1978.9470925300225</v>
      </c>
      <c r="AZ73" s="100">
        <v>1.1413733352658435</v>
      </c>
      <c r="BA73" s="100">
        <v>638.25596908065961</v>
      </c>
      <c r="BB73" s="100">
        <v>3.3178509051616971</v>
      </c>
      <c r="BC73" s="100">
        <v>1855.3422261664209</v>
      </c>
      <c r="BD73" s="100">
        <v>3.1613485039748248</v>
      </c>
      <c r="BE73" s="100">
        <v>1767.8260834227219</v>
      </c>
      <c r="BF73" s="100">
        <v>4.0694514149837886</v>
      </c>
      <c r="BG73" s="100">
        <v>2275.6372312589342</v>
      </c>
      <c r="BH73" s="100">
        <v>1.5179760508009796</v>
      </c>
      <c r="BI73" s="100">
        <v>848.85220760790776</v>
      </c>
      <c r="BJ73" s="100">
        <v>4</v>
      </c>
      <c r="BK73" s="100">
        <v>2236.7999999999997</v>
      </c>
      <c r="BL73" s="100">
        <v>5</v>
      </c>
      <c r="BM73" s="100">
        <v>2795.9999999999995</v>
      </c>
      <c r="BN73" s="100">
        <v>2.4887107957156012</v>
      </c>
      <c r="BO73" s="100">
        <v>1391.6870769641639</v>
      </c>
      <c r="BP73" s="100">
        <v>6.2799863727377181</v>
      </c>
      <c r="BQ73" s="100">
        <v>3511.7683796349315</v>
      </c>
      <c r="BR73" s="100">
        <v>0.83672876368741078</v>
      </c>
      <c r="BS73" s="100">
        <v>467.89872465400003</v>
      </c>
      <c r="BT73" s="100">
        <v>3</v>
      </c>
      <c r="BU73" s="100">
        <v>1677.6</v>
      </c>
      <c r="BV73" s="100">
        <v>4</v>
      </c>
      <c r="BW73" s="100">
        <v>2236.7999999999997</v>
      </c>
      <c r="BX73" s="100">
        <v>4</v>
      </c>
      <c r="BY73" s="100">
        <v>2236.7999999999997</v>
      </c>
      <c r="BZ73" s="100">
        <v>6</v>
      </c>
      <c r="CA73" s="100">
        <v>3355.2</v>
      </c>
      <c r="CB73" s="100">
        <v>5</v>
      </c>
      <c r="CC73" s="100">
        <v>2795.9999999999995</v>
      </c>
      <c r="CD73" s="100">
        <v>4.115290546572786</v>
      </c>
      <c r="CE73" s="100">
        <v>2301.2704736435016</v>
      </c>
      <c r="CF73" s="100">
        <v>2.3195831206134052</v>
      </c>
      <c r="CG73" s="100">
        <v>1297.1108810470159</v>
      </c>
      <c r="CH73" s="100">
        <v>3</v>
      </c>
      <c r="CI73" s="100">
        <v>1677.6</v>
      </c>
      <c r="CJ73" s="100">
        <v>3</v>
      </c>
      <c r="CK73" s="100">
        <v>1677.6</v>
      </c>
      <c r="CL73" s="100">
        <v>4</v>
      </c>
      <c r="CM73" s="100">
        <v>2236.7999999999997</v>
      </c>
      <c r="CN73" s="100">
        <v>3.3308269898271399</v>
      </c>
      <c r="CO73" s="100">
        <v>1862.5984527113364</v>
      </c>
      <c r="CP73" s="100">
        <v>5</v>
      </c>
      <c r="CQ73" s="100">
        <v>2795.9999999999995</v>
      </c>
      <c r="CR73" s="100">
        <v>5</v>
      </c>
      <c r="CS73" s="100">
        <v>2795.9999999999995</v>
      </c>
      <c r="CT73" s="100">
        <v>6.6230956875573659</v>
      </c>
      <c r="CU73" s="100">
        <v>3703.6351084820785</v>
      </c>
    </row>
    <row r="74" spans="2:99">
      <c r="C74" s="99" t="s">
        <v>240</v>
      </c>
      <c r="D74" s="100">
        <v>4</v>
      </c>
      <c r="E74" s="100">
        <v>1612.8</v>
      </c>
      <c r="F74" s="100">
        <v>4.1957053128232884</v>
      </c>
      <c r="G74" s="100">
        <v>1691.7083821303499</v>
      </c>
      <c r="H74" s="100">
        <v>0.70797682570059772</v>
      </c>
      <c r="I74" s="100">
        <v>285.45625612248097</v>
      </c>
      <c r="J74" s="100">
        <v>6</v>
      </c>
      <c r="K74" s="100">
        <v>2419.1999999999998</v>
      </c>
      <c r="L74" s="100">
        <v>4.7215549340291023</v>
      </c>
      <c r="M74" s="100">
        <v>1903.730949400534</v>
      </c>
      <c r="N74" s="100">
        <v>5.4752747594799338</v>
      </c>
      <c r="O74" s="100">
        <v>2207.6307830223091</v>
      </c>
      <c r="P74" s="100">
        <v>1.7597243594529017</v>
      </c>
      <c r="Q74" s="100">
        <v>709.52086173140992</v>
      </c>
      <c r="R74" s="100">
        <v>6</v>
      </c>
      <c r="S74" s="100">
        <v>2419.1999999999998</v>
      </c>
      <c r="T74" s="100">
        <v>4</v>
      </c>
      <c r="U74" s="100">
        <v>1612.8</v>
      </c>
      <c r="V74" s="100">
        <v>5</v>
      </c>
      <c r="W74" s="100">
        <v>2016</v>
      </c>
      <c r="X74" s="100">
        <v>2.6955324384166226</v>
      </c>
      <c r="Y74" s="100">
        <v>1086.8386791695823</v>
      </c>
      <c r="Z74" s="100">
        <v>4.6802268463125767</v>
      </c>
      <c r="AA74" s="100">
        <v>1887.067464433231</v>
      </c>
      <c r="AB74" s="100">
        <v>5</v>
      </c>
      <c r="AC74" s="100">
        <v>2016</v>
      </c>
      <c r="AD74" s="100">
        <v>4</v>
      </c>
      <c r="AE74" s="100">
        <v>1612.8</v>
      </c>
      <c r="AF74" s="100">
        <v>5</v>
      </c>
      <c r="AG74" s="100">
        <v>2016</v>
      </c>
      <c r="AH74" s="100">
        <v>6</v>
      </c>
      <c r="AI74" s="100">
        <v>2419.1999999999998</v>
      </c>
      <c r="AJ74" s="100">
        <v>4</v>
      </c>
      <c r="AK74" s="100">
        <v>1612.8</v>
      </c>
      <c r="AL74" s="100">
        <v>3</v>
      </c>
      <c r="AM74" s="100">
        <v>1209.5999999999999</v>
      </c>
      <c r="AN74" s="100">
        <v>5</v>
      </c>
      <c r="AO74" s="100">
        <v>2016</v>
      </c>
      <c r="AP74" s="100">
        <v>5.3374106760802409</v>
      </c>
      <c r="AQ74" s="100">
        <v>2152.043984595553</v>
      </c>
      <c r="AR74" s="100">
        <v>1.1820770436632226</v>
      </c>
      <c r="AS74" s="100">
        <v>476.61346400501134</v>
      </c>
      <c r="AT74" s="100">
        <v>1.3554001025030797</v>
      </c>
      <c r="AU74" s="100">
        <v>546.49732132924169</v>
      </c>
      <c r="AV74" s="100">
        <v>5</v>
      </c>
      <c r="AW74" s="100">
        <v>2016</v>
      </c>
      <c r="AX74" s="100">
        <v>4.5139264282854752</v>
      </c>
      <c r="AY74" s="100">
        <v>1820.0151358847036</v>
      </c>
      <c r="AZ74" s="100">
        <v>0.85603000144938268</v>
      </c>
      <c r="BA74" s="100">
        <v>345.1512965843911</v>
      </c>
      <c r="BB74" s="100">
        <v>3.3178509051616971</v>
      </c>
      <c r="BC74" s="100">
        <v>1337.7574849611963</v>
      </c>
      <c r="BD74" s="100">
        <v>3.7936182047697895</v>
      </c>
      <c r="BE74" s="100">
        <v>1529.5868601631792</v>
      </c>
      <c r="BF74" s="100">
        <v>4.0694514149837886</v>
      </c>
      <c r="BG74" s="100">
        <v>1640.8028105214635</v>
      </c>
      <c r="BH74" s="100">
        <v>1.5179760508009796</v>
      </c>
      <c r="BI74" s="100">
        <v>612.04794368295495</v>
      </c>
      <c r="BJ74" s="100">
        <v>3</v>
      </c>
      <c r="BK74" s="100">
        <v>1209.5999999999999</v>
      </c>
      <c r="BL74" s="100">
        <v>5</v>
      </c>
      <c r="BM74" s="100">
        <v>2016</v>
      </c>
      <c r="BN74" s="100">
        <v>2.4887107957156012</v>
      </c>
      <c r="BO74" s="100">
        <v>1003.4481928325304</v>
      </c>
      <c r="BP74" s="100">
        <v>6.3266507681940043</v>
      </c>
      <c r="BQ74" s="100">
        <v>2550.9055897358226</v>
      </c>
      <c r="BR74" s="100">
        <v>0.83672876368741078</v>
      </c>
      <c r="BS74" s="100">
        <v>337.369037518764</v>
      </c>
      <c r="BT74" s="100">
        <v>4</v>
      </c>
      <c r="BU74" s="100">
        <v>1612.8</v>
      </c>
      <c r="BV74" s="100">
        <v>4</v>
      </c>
      <c r="BW74" s="100">
        <v>1612.8</v>
      </c>
      <c r="BX74" s="100">
        <v>4</v>
      </c>
      <c r="BY74" s="100">
        <v>1612.8</v>
      </c>
      <c r="BZ74" s="100">
        <v>6</v>
      </c>
      <c r="CA74" s="100">
        <v>2419.1999999999998</v>
      </c>
      <c r="CB74" s="100">
        <v>6</v>
      </c>
      <c r="CC74" s="100">
        <v>2419.1999999999998</v>
      </c>
      <c r="CD74" s="100">
        <v>4.115290546572786</v>
      </c>
      <c r="CE74" s="100">
        <v>1659.2851483781474</v>
      </c>
      <c r="CF74" s="100">
        <v>2.3195831206134052</v>
      </c>
      <c r="CG74" s="100">
        <v>935.25591423132494</v>
      </c>
      <c r="CH74" s="100">
        <v>3</v>
      </c>
      <c r="CI74" s="100">
        <v>1209.5999999999999</v>
      </c>
      <c r="CJ74" s="100">
        <v>3</v>
      </c>
      <c r="CK74" s="100">
        <v>1209.5999999999999</v>
      </c>
      <c r="CL74" s="100">
        <v>4</v>
      </c>
      <c r="CM74" s="100">
        <v>1612.8</v>
      </c>
      <c r="CN74" s="100">
        <v>3.3308269898271399</v>
      </c>
      <c r="CO74" s="100">
        <v>1342.9894422983027</v>
      </c>
      <c r="CP74" s="100">
        <v>6</v>
      </c>
      <c r="CQ74" s="100">
        <v>2419.1999999999998</v>
      </c>
      <c r="CR74" s="100">
        <v>4</v>
      </c>
      <c r="CS74" s="100">
        <v>1612.8</v>
      </c>
      <c r="CT74" s="100">
        <v>6.6230956875573659</v>
      </c>
      <c r="CU74" s="100">
        <v>2670.4321812231296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4.1957053128232884</v>
      </c>
      <c r="G75" s="100">
        <v>2698.6776572079389</v>
      </c>
      <c r="H75" s="100">
        <v>0.70797682570059772</v>
      </c>
      <c r="I75" s="100">
        <v>455.37069429062439</v>
      </c>
      <c r="J75" s="100">
        <v>6</v>
      </c>
      <c r="K75" s="100">
        <v>3859.2</v>
      </c>
      <c r="L75" s="100">
        <v>4.7215549340291023</v>
      </c>
      <c r="M75" s="100">
        <v>3036.9041335675183</v>
      </c>
      <c r="N75" s="100">
        <v>6.4277472835319402</v>
      </c>
      <c r="O75" s="100">
        <v>4134.3270527677432</v>
      </c>
      <c r="P75" s="100">
        <v>1.4077794875623215</v>
      </c>
      <c r="Q75" s="100">
        <v>905.48376640008507</v>
      </c>
      <c r="R75" s="100">
        <v>5</v>
      </c>
      <c r="S75" s="100">
        <v>3215.9999999999995</v>
      </c>
      <c r="T75" s="100">
        <v>4</v>
      </c>
      <c r="U75" s="100">
        <v>2572.7999999999997</v>
      </c>
      <c r="V75" s="100">
        <v>5</v>
      </c>
      <c r="W75" s="100">
        <v>3215.9999999999995</v>
      </c>
      <c r="X75" s="100">
        <v>2.0216493288124671</v>
      </c>
      <c r="Y75" s="100">
        <v>1300.3248482921788</v>
      </c>
      <c r="Z75" s="100">
        <v>5.6162722155750915</v>
      </c>
      <c r="AA75" s="100">
        <v>3612.3862890578985</v>
      </c>
      <c r="AB75" s="100">
        <v>5</v>
      </c>
      <c r="AC75" s="100">
        <v>3215.9999999999995</v>
      </c>
      <c r="AD75" s="100">
        <v>4</v>
      </c>
      <c r="AE75" s="100">
        <v>2572.7999999999997</v>
      </c>
      <c r="AF75" s="100">
        <v>5</v>
      </c>
      <c r="AG75" s="100">
        <v>3215.9999999999995</v>
      </c>
      <c r="AH75" s="100">
        <v>5</v>
      </c>
      <c r="AI75" s="100">
        <v>3215.9999999999995</v>
      </c>
      <c r="AJ75" s="100">
        <v>3</v>
      </c>
      <c r="AK75" s="100">
        <v>1929.6</v>
      </c>
      <c r="AL75" s="100">
        <v>3</v>
      </c>
      <c r="AM75" s="100">
        <v>1929.6</v>
      </c>
      <c r="AN75" s="100">
        <v>5</v>
      </c>
      <c r="AO75" s="100">
        <v>3215.9999999999995</v>
      </c>
      <c r="AP75" s="100">
        <v>5.3671869440278099</v>
      </c>
      <c r="AQ75" s="100">
        <v>3452.174642398687</v>
      </c>
      <c r="AR75" s="100">
        <v>1.4455289544982675</v>
      </c>
      <c r="AS75" s="100">
        <v>929.76422353328553</v>
      </c>
      <c r="AT75" s="100">
        <v>1.3554001025030797</v>
      </c>
      <c r="AU75" s="100">
        <v>871.79334592998077</v>
      </c>
      <c r="AV75" s="100">
        <v>4</v>
      </c>
      <c r="AW75" s="100">
        <v>2572.7999999999997</v>
      </c>
      <c r="AX75" s="100">
        <v>3.9001471113534678</v>
      </c>
      <c r="AY75" s="100">
        <v>2508.5746220225501</v>
      </c>
      <c r="AZ75" s="100">
        <v>0.85603000144938268</v>
      </c>
      <c r="BA75" s="100">
        <v>550.59849693224294</v>
      </c>
      <c r="BB75" s="100">
        <v>3.9814210861940365</v>
      </c>
      <c r="BC75" s="100">
        <v>2560.8500426400042</v>
      </c>
      <c r="BD75" s="100">
        <v>3.7936182047697895</v>
      </c>
      <c r="BE75" s="100">
        <v>2440.0552293079281</v>
      </c>
      <c r="BF75" s="100">
        <v>4.883341697980546</v>
      </c>
      <c r="BG75" s="100">
        <v>3140.9653801410868</v>
      </c>
      <c r="BH75" s="100">
        <v>1.5179760508009796</v>
      </c>
      <c r="BI75" s="100">
        <v>976.36219587518997</v>
      </c>
      <c r="BJ75" s="100">
        <v>3</v>
      </c>
      <c r="BK75" s="100">
        <v>1929.6</v>
      </c>
      <c r="BL75" s="100">
        <v>5</v>
      </c>
      <c r="BM75" s="100">
        <v>3215.9999999999995</v>
      </c>
      <c r="BN75" s="100">
        <v>2.4887107957156012</v>
      </c>
      <c r="BO75" s="100">
        <v>1600.7387838042746</v>
      </c>
      <c r="BP75" s="100">
        <v>5.3266507681940043</v>
      </c>
      <c r="BQ75" s="100">
        <v>3426.1017741023834</v>
      </c>
      <c r="BR75" s="100">
        <v>0.83672876368741078</v>
      </c>
      <c r="BS75" s="100">
        <v>538.18394080374253</v>
      </c>
      <c r="BT75" s="100">
        <v>3</v>
      </c>
      <c r="BU75" s="100">
        <v>1929.6</v>
      </c>
      <c r="BV75" s="100">
        <v>4</v>
      </c>
      <c r="BW75" s="100">
        <v>2572.7999999999997</v>
      </c>
      <c r="BX75" s="100">
        <v>4</v>
      </c>
      <c r="BY75" s="100">
        <v>2572.7999999999997</v>
      </c>
      <c r="BZ75" s="100">
        <v>6</v>
      </c>
      <c r="CA75" s="100">
        <v>3859.2</v>
      </c>
      <c r="CB75" s="100">
        <v>5</v>
      </c>
      <c r="CC75" s="100">
        <v>3215.9999999999995</v>
      </c>
      <c r="CD75" s="100">
        <v>4.3776363094434902</v>
      </c>
      <c r="CE75" s="100">
        <v>2815.6956742340526</v>
      </c>
      <c r="CF75" s="100">
        <v>1.8556664964907246</v>
      </c>
      <c r="CG75" s="100">
        <v>1193.5646905428339</v>
      </c>
      <c r="CH75" s="100">
        <v>3</v>
      </c>
      <c r="CI75" s="100">
        <v>1929.6</v>
      </c>
      <c r="CJ75" s="100">
        <v>3</v>
      </c>
      <c r="CK75" s="100">
        <v>1929.6</v>
      </c>
      <c r="CL75" s="100">
        <v>4</v>
      </c>
      <c r="CM75" s="100">
        <v>2572.7999999999997</v>
      </c>
      <c r="CN75" s="100">
        <v>3.9969923877925679</v>
      </c>
      <c r="CO75" s="100">
        <v>2570.8655038281795</v>
      </c>
      <c r="CP75" s="100">
        <v>5</v>
      </c>
      <c r="CQ75" s="100">
        <v>3215.9999999999995</v>
      </c>
      <c r="CR75" s="100">
        <v>5</v>
      </c>
      <c r="CS75" s="100">
        <v>3215.9999999999995</v>
      </c>
      <c r="CT75" s="100">
        <v>5.6769391607634567</v>
      </c>
      <c r="CU75" s="100">
        <v>3651.4072682030551</v>
      </c>
    </row>
    <row r="76" spans="2:99">
      <c r="C76" s="99" t="s">
        <v>242</v>
      </c>
      <c r="D76" s="100">
        <v>4</v>
      </c>
      <c r="E76" s="100">
        <v>3115.2</v>
      </c>
      <c r="F76" s="100">
        <v>4.1957053128232884</v>
      </c>
      <c r="G76" s="100">
        <v>3267.6152976267767</v>
      </c>
      <c r="H76" s="100">
        <v>0.70797682570059772</v>
      </c>
      <c r="I76" s="100">
        <v>551.37235185562542</v>
      </c>
      <c r="J76" s="100">
        <v>6</v>
      </c>
      <c r="K76" s="100">
        <v>4672.7999999999993</v>
      </c>
      <c r="L76" s="100">
        <v>4.7215549340291023</v>
      </c>
      <c r="M76" s="100">
        <v>3677.1469826218645</v>
      </c>
      <c r="N76" s="100">
        <v>6.4752747594799338</v>
      </c>
      <c r="O76" s="100">
        <v>5042.9439826829721</v>
      </c>
      <c r="P76" s="100">
        <v>1.7597243594529017</v>
      </c>
      <c r="Q76" s="100">
        <v>1370.4733311419197</v>
      </c>
      <c r="R76" s="100">
        <v>5</v>
      </c>
      <c r="S76" s="100">
        <v>3894</v>
      </c>
      <c r="T76" s="100">
        <v>4</v>
      </c>
      <c r="U76" s="100">
        <v>3115.2</v>
      </c>
      <c r="V76" s="100">
        <v>5</v>
      </c>
      <c r="W76" s="100">
        <v>3894</v>
      </c>
      <c r="X76" s="100">
        <v>2.6955324384166226</v>
      </c>
      <c r="Y76" s="100">
        <v>2099.2806630388654</v>
      </c>
      <c r="Z76" s="100">
        <v>5.6162722155750915</v>
      </c>
      <c r="AA76" s="100">
        <v>4373.9528014898806</v>
      </c>
      <c r="AB76" s="100">
        <v>4</v>
      </c>
      <c r="AC76" s="100">
        <v>3115.2</v>
      </c>
      <c r="AD76" s="100">
        <v>3</v>
      </c>
      <c r="AE76" s="100">
        <v>2336.3999999999996</v>
      </c>
      <c r="AF76" s="100">
        <v>5</v>
      </c>
      <c r="AG76" s="100">
        <v>3894</v>
      </c>
      <c r="AH76" s="100">
        <v>5</v>
      </c>
      <c r="AI76" s="100">
        <v>3894</v>
      </c>
      <c r="AJ76" s="100">
        <v>3</v>
      </c>
      <c r="AK76" s="100">
        <v>2336.3999999999996</v>
      </c>
      <c r="AL76" s="100">
        <v>3</v>
      </c>
      <c r="AM76" s="100">
        <v>2336.3999999999996</v>
      </c>
      <c r="AN76" s="100">
        <v>5</v>
      </c>
      <c r="AO76" s="100">
        <v>3894</v>
      </c>
      <c r="AP76" s="100">
        <v>4.4577676527160568</v>
      </c>
      <c r="AQ76" s="100">
        <v>3471.709447935265</v>
      </c>
      <c r="AR76" s="100">
        <v>1.4241507211110938</v>
      </c>
      <c r="AS76" s="100">
        <v>1109.1285816013196</v>
      </c>
      <c r="AT76" s="100">
        <v>1.3554001025030797</v>
      </c>
      <c r="AU76" s="100">
        <v>1055.5855998293985</v>
      </c>
      <c r="AV76" s="100">
        <v>5</v>
      </c>
      <c r="AW76" s="100">
        <v>3894</v>
      </c>
      <c r="AX76" s="100">
        <v>3.5388896504471079</v>
      </c>
      <c r="AY76" s="100">
        <v>2756.0872597682073</v>
      </c>
      <c r="AZ76" s="100">
        <v>0.85603000144938268</v>
      </c>
      <c r="BA76" s="100">
        <v>666.67616512877919</v>
      </c>
      <c r="BB76" s="100">
        <v>3.9814210861940365</v>
      </c>
      <c r="BC76" s="100">
        <v>3100.7307419279155</v>
      </c>
      <c r="BD76" s="100">
        <v>3.7936182047697895</v>
      </c>
      <c r="BE76" s="100">
        <v>2954.469857874712</v>
      </c>
      <c r="BF76" s="100">
        <v>4.0694514149837886</v>
      </c>
      <c r="BG76" s="100">
        <v>3169.2887619893745</v>
      </c>
      <c r="BH76" s="100">
        <v>1.5179760508009796</v>
      </c>
      <c r="BI76" s="100">
        <v>1182.1997483638029</v>
      </c>
      <c r="BJ76" s="100">
        <v>4</v>
      </c>
      <c r="BK76" s="100">
        <v>3115.2</v>
      </c>
      <c r="BL76" s="100">
        <v>5</v>
      </c>
      <c r="BM76" s="100">
        <v>3894</v>
      </c>
      <c r="BN76" s="100">
        <v>2.4887107957156012</v>
      </c>
      <c r="BO76" s="100">
        <v>1938.20796770331</v>
      </c>
      <c r="BP76" s="100">
        <v>5.3266507681940043</v>
      </c>
      <c r="BQ76" s="100">
        <v>4148.3956182694901</v>
      </c>
      <c r="BR76" s="100">
        <v>0.83672876368741078</v>
      </c>
      <c r="BS76" s="100">
        <v>651.64436115975548</v>
      </c>
      <c r="BT76" s="100">
        <v>3</v>
      </c>
      <c r="BU76" s="100">
        <v>2336.3999999999996</v>
      </c>
      <c r="BV76" s="100">
        <v>4</v>
      </c>
      <c r="BW76" s="100">
        <v>3115.2</v>
      </c>
      <c r="BX76" s="100">
        <v>4</v>
      </c>
      <c r="BY76" s="100">
        <v>3115.2</v>
      </c>
      <c r="BZ76" s="100">
        <v>6</v>
      </c>
      <c r="CA76" s="100">
        <v>4672.7999999999993</v>
      </c>
      <c r="CB76" s="100">
        <v>5</v>
      </c>
      <c r="CC76" s="100">
        <v>3894</v>
      </c>
      <c r="CD76" s="100">
        <v>3.6480302578695749</v>
      </c>
      <c r="CE76" s="100">
        <v>2841.0859648288247</v>
      </c>
      <c r="CF76" s="100">
        <v>1.8556664964907246</v>
      </c>
      <c r="CG76" s="100">
        <v>1445.1930674669761</v>
      </c>
      <c r="CH76" s="100">
        <v>3</v>
      </c>
      <c r="CI76" s="100">
        <v>2336.3999999999996</v>
      </c>
      <c r="CJ76" s="100">
        <v>3</v>
      </c>
      <c r="CK76" s="100">
        <v>2336.3999999999996</v>
      </c>
      <c r="CL76" s="100">
        <v>4</v>
      </c>
      <c r="CM76" s="100">
        <v>3115.2</v>
      </c>
      <c r="CN76" s="100">
        <v>3.9969923877925679</v>
      </c>
      <c r="CO76" s="100">
        <v>3112.8576716128518</v>
      </c>
      <c r="CP76" s="100">
        <v>6</v>
      </c>
      <c r="CQ76" s="100">
        <v>4672.7999999999993</v>
      </c>
      <c r="CR76" s="100">
        <v>5</v>
      </c>
      <c r="CS76" s="100">
        <v>3894</v>
      </c>
      <c r="CT76" s="100">
        <v>5.6769391607634567</v>
      </c>
      <c r="CU76" s="100">
        <v>4421.2002184025796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4.1957053128232884</v>
      </c>
      <c r="G77" s="100">
        <v>1168.0843590900033</v>
      </c>
      <c r="H77" s="100">
        <v>0.70797682570059772</v>
      </c>
      <c r="I77" s="100">
        <v>197.10074827504639</v>
      </c>
      <c r="J77" s="100">
        <v>7</v>
      </c>
      <c r="K77" s="100">
        <v>1948.7999999999997</v>
      </c>
      <c r="L77" s="100">
        <v>4.7215549340291023</v>
      </c>
      <c r="M77" s="100">
        <v>1314.480893633702</v>
      </c>
      <c r="N77" s="100">
        <v>6.4752747594799338</v>
      </c>
      <c r="O77" s="100">
        <v>1802.7164930392134</v>
      </c>
      <c r="P77" s="100">
        <v>1.7597243594529017</v>
      </c>
      <c r="Q77" s="100">
        <v>489.90726167168782</v>
      </c>
      <c r="R77" s="100">
        <v>6</v>
      </c>
      <c r="S77" s="100">
        <v>1670.3999999999999</v>
      </c>
      <c r="T77" s="100">
        <v>4</v>
      </c>
      <c r="U77" s="100">
        <v>1113.5999999999999</v>
      </c>
      <c r="V77" s="100">
        <v>5</v>
      </c>
      <c r="W77" s="100">
        <v>1392</v>
      </c>
      <c r="X77" s="100">
        <v>2.6955324384166226</v>
      </c>
      <c r="Y77" s="100">
        <v>750.43623085518766</v>
      </c>
      <c r="Z77" s="100">
        <v>5.6162722155750915</v>
      </c>
      <c r="AA77" s="100">
        <v>1563.5701848161054</v>
      </c>
      <c r="AB77" s="100">
        <v>5</v>
      </c>
      <c r="AC77" s="100">
        <v>1392</v>
      </c>
      <c r="AD77" s="100">
        <v>4</v>
      </c>
      <c r="AE77" s="100">
        <v>1113.5999999999999</v>
      </c>
      <c r="AF77" s="100">
        <v>5</v>
      </c>
      <c r="AG77" s="100">
        <v>1392</v>
      </c>
      <c r="AH77" s="100">
        <v>5</v>
      </c>
      <c r="AI77" s="100">
        <v>1392</v>
      </c>
      <c r="AJ77" s="100">
        <v>3</v>
      </c>
      <c r="AK77" s="100">
        <v>835.19999999999993</v>
      </c>
      <c r="AL77" s="100">
        <v>3</v>
      </c>
      <c r="AM77" s="100">
        <v>835.19999999999993</v>
      </c>
      <c r="AN77" s="100">
        <v>6</v>
      </c>
      <c r="AO77" s="100">
        <v>1670.3999999999999</v>
      </c>
      <c r="AP77" s="100">
        <v>4.517320188611194</v>
      </c>
      <c r="AQ77" s="100">
        <v>1257.6219405093564</v>
      </c>
      <c r="AR77" s="100">
        <v>1.1820770436632226</v>
      </c>
      <c r="AS77" s="100">
        <v>329.09024895584116</v>
      </c>
      <c r="AT77" s="100">
        <v>1.3554001025030797</v>
      </c>
      <c r="AU77" s="100">
        <v>377.34338853685739</v>
      </c>
      <c r="AV77" s="100">
        <v>5</v>
      </c>
      <c r="AW77" s="100">
        <v>1392</v>
      </c>
      <c r="AX77" s="100">
        <v>4.5139264282854752</v>
      </c>
      <c r="AY77" s="100">
        <v>1256.6771176346763</v>
      </c>
      <c r="AZ77" s="100">
        <v>0.85603000144938268</v>
      </c>
      <c r="BA77" s="100">
        <v>238.31875240350811</v>
      </c>
      <c r="BB77" s="100">
        <v>3.9814210861940365</v>
      </c>
      <c r="BC77" s="100">
        <v>1108.4276303964195</v>
      </c>
      <c r="BD77" s="100">
        <v>3.7936182047697895</v>
      </c>
      <c r="BE77" s="100">
        <v>1056.1433082079093</v>
      </c>
      <c r="BF77" s="100">
        <v>4.883341697980546</v>
      </c>
      <c r="BG77" s="100">
        <v>1359.5223287177839</v>
      </c>
      <c r="BH77" s="100">
        <v>1.5179760508009796</v>
      </c>
      <c r="BI77" s="100">
        <v>422.60453254299267</v>
      </c>
      <c r="BJ77" s="100">
        <v>4</v>
      </c>
      <c r="BK77" s="100">
        <v>1113.5999999999999</v>
      </c>
      <c r="BL77" s="100">
        <v>5</v>
      </c>
      <c r="BM77" s="100">
        <v>1392</v>
      </c>
      <c r="BN77" s="100">
        <v>2.4887107957156012</v>
      </c>
      <c r="BO77" s="100">
        <v>692.85708552722326</v>
      </c>
      <c r="BP77" s="100">
        <v>5.3266507681940043</v>
      </c>
      <c r="BQ77" s="100">
        <v>1482.9395738652106</v>
      </c>
      <c r="BR77" s="100">
        <v>0.83672876368741078</v>
      </c>
      <c r="BS77" s="100">
        <v>232.94528781057514</v>
      </c>
      <c r="BT77" s="100">
        <v>3</v>
      </c>
      <c r="BU77" s="100">
        <v>835.19999999999993</v>
      </c>
      <c r="BV77" s="100">
        <v>4</v>
      </c>
      <c r="BW77" s="100">
        <v>1113.5999999999999</v>
      </c>
      <c r="BX77" s="100">
        <v>4</v>
      </c>
      <c r="BY77" s="100">
        <v>1113.5999999999999</v>
      </c>
      <c r="BZ77" s="100">
        <v>6</v>
      </c>
      <c r="CA77" s="100">
        <v>1670.3999999999999</v>
      </c>
      <c r="CB77" s="100">
        <v>5</v>
      </c>
      <c r="CC77" s="100">
        <v>1392</v>
      </c>
      <c r="CD77" s="100">
        <v>4.1486662814801578</v>
      </c>
      <c r="CE77" s="100">
        <v>1154.9886927640759</v>
      </c>
      <c r="CF77" s="100">
        <v>1.8556664964907246</v>
      </c>
      <c r="CG77" s="100">
        <v>516.61755262301767</v>
      </c>
      <c r="CH77" s="100">
        <v>4</v>
      </c>
      <c r="CI77" s="100">
        <v>1113.5999999999999</v>
      </c>
      <c r="CJ77" s="100">
        <v>3</v>
      </c>
      <c r="CK77" s="100">
        <v>835.19999999999993</v>
      </c>
      <c r="CL77" s="100">
        <v>4</v>
      </c>
      <c r="CM77" s="100">
        <v>1113.5999999999999</v>
      </c>
      <c r="CN77" s="100">
        <v>3.9969923877925679</v>
      </c>
      <c r="CO77" s="100">
        <v>1112.7626807614508</v>
      </c>
      <c r="CP77" s="100">
        <v>5</v>
      </c>
      <c r="CQ77" s="100">
        <v>1392</v>
      </c>
      <c r="CR77" s="100">
        <v>5</v>
      </c>
      <c r="CS77" s="100">
        <v>1392</v>
      </c>
      <c r="CT77" s="100">
        <v>5.6769391607634567</v>
      </c>
      <c r="CU77" s="100">
        <v>1580.4598623565462</v>
      </c>
    </row>
    <row r="78" spans="2:99">
      <c r="C78" s="99" t="s">
        <v>244</v>
      </c>
      <c r="D78" s="100">
        <v>4</v>
      </c>
      <c r="E78" s="100">
        <v>2208</v>
      </c>
      <c r="F78" s="100">
        <v>4.1957053128232884</v>
      </c>
      <c r="G78" s="100">
        <v>2316.0293326784554</v>
      </c>
      <c r="H78" s="100">
        <v>0.56638146056047822</v>
      </c>
      <c r="I78" s="100">
        <v>312.64256622938399</v>
      </c>
      <c r="J78" s="100">
        <v>6</v>
      </c>
      <c r="K78" s="100">
        <v>3312</v>
      </c>
      <c r="L78" s="100">
        <v>3.9346291116909184</v>
      </c>
      <c r="M78" s="100">
        <v>2171.915269653387</v>
      </c>
      <c r="N78" s="100">
        <v>6.5228022354279274</v>
      </c>
      <c r="O78" s="100">
        <v>3600.5868339562157</v>
      </c>
      <c r="P78" s="100">
        <v>1.7597243594529017</v>
      </c>
      <c r="Q78" s="100">
        <v>971.3678464180017</v>
      </c>
      <c r="R78" s="100">
        <v>6</v>
      </c>
      <c r="S78" s="100">
        <v>3312</v>
      </c>
      <c r="T78" s="100">
        <v>4</v>
      </c>
      <c r="U78" s="100">
        <v>2208</v>
      </c>
      <c r="V78" s="100">
        <v>5</v>
      </c>
      <c r="W78" s="100">
        <v>2760</v>
      </c>
      <c r="X78" s="100">
        <v>2.6955324384166226</v>
      </c>
      <c r="Y78" s="100">
        <v>1487.9339060059756</v>
      </c>
      <c r="Z78" s="100">
        <v>5.6162722155750915</v>
      </c>
      <c r="AA78" s="100">
        <v>3100.1822629974504</v>
      </c>
      <c r="AB78" s="100">
        <v>5</v>
      </c>
      <c r="AC78" s="100">
        <v>2760</v>
      </c>
      <c r="AD78" s="100">
        <v>4</v>
      </c>
      <c r="AE78" s="100">
        <v>2208</v>
      </c>
      <c r="AF78" s="100">
        <v>5</v>
      </c>
      <c r="AG78" s="100">
        <v>2760</v>
      </c>
      <c r="AH78" s="100">
        <v>5</v>
      </c>
      <c r="AI78" s="100">
        <v>2760</v>
      </c>
      <c r="AJ78" s="100">
        <v>3</v>
      </c>
      <c r="AK78" s="100">
        <v>1656</v>
      </c>
      <c r="AL78" s="100">
        <v>3</v>
      </c>
      <c r="AM78" s="100">
        <v>1656</v>
      </c>
      <c r="AN78" s="100">
        <v>5</v>
      </c>
      <c r="AO78" s="100">
        <v>2760</v>
      </c>
      <c r="AP78" s="100">
        <v>5.3671869440278099</v>
      </c>
      <c r="AQ78" s="100">
        <v>2962.6871931033511</v>
      </c>
      <c r="AR78" s="100">
        <v>1.4455289544982675</v>
      </c>
      <c r="AS78" s="100">
        <v>797.93198288304359</v>
      </c>
      <c r="AT78" s="100">
        <v>1.3554001025030797</v>
      </c>
      <c r="AU78" s="100">
        <v>748.18085658170003</v>
      </c>
      <c r="AV78" s="100">
        <v>5</v>
      </c>
      <c r="AW78" s="100">
        <v>2760</v>
      </c>
      <c r="AX78" s="100">
        <v>4.5139264282854752</v>
      </c>
      <c r="AY78" s="100">
        <v>2491.6873884135821</v>
      </c>
      <c r="AZ78" s="100">
        <v>1.1413733352658435</v>
      </c>
      <c r="BA78" s="100">
        <v>630.03808106674558</v>
      </c>
      <c r="BB78" s="100">
        <v>3.9814210861940365</v>
      </c>
      <c r="BC78" s="100">
        <v>2197.7444395791081</v>
      </c>
      <c r="BD78" s="100">
        <v>3.7936182047697895</v>
      </c>
      <c r="BE78" s="100">
        <v>2094.0772490329236</v>
      </c>
      <c r="BF78" s="100">
        <v>4.0694514149837886</v>
      </c>
      <c r="BG78" s="100">
        <v>2246.3371810710514</v>
      </c>
      <c r="BH78" s="100">
        <v>1.5179760508009796</v>
      </c>
      <c r="BI78" s="100">
        <v>837.92278004214074</v>
      </c>
      <c r="BJ78" s="100">
        <v>4</v>
      </c>
      <c r="BK78" s="100">
        <v>2208</v>
      </c>
      <c r="BL78" s="100">
        <v>5</v>
      </c>
      <c r="BM78" s="100">
        <v>2760</v>
      </c>
      <c r="BN78" s="100">
        <v>2.4887107957156012</v>
      </c>
      <c r="BO78" s="100">
        <v>1373.7683592350118</v>
      </c>
      <c r="BP78" s="100">
        <v>5.3033185704658612</v>
      </c>
      <c r="BQ78" s="100">
        <v>2927.4318508971555</v>
      </c>
      <c r="BR78" s="100">
        <v>0.83672876368741078</v>
      </c>
      <c r="BS78" s="100">
        <v>461.87427755545076</v>
      </c>
      <c r="BT78" s="100">
        <v>4</v>
      </c>
      <c r="BU78" s="100">
        <v>2208</v>
      </c>
      <c r="BV78" s="100">
        <v>4</v>
      </c>
      <c r="BW78" s="100">
        <v>2208</v>
      </c>
      <c r="BX78" s="100">
        <v>4</v>
      </c>
      <c r="BY78" s="100">
        <v>2208</v>
      </c>
      <c r="BZ78" s="100">
        <v>6</v>
      </c>
      <c r="CA78" s="100">
        <v>3312</v>
      </c>
      <c r="CB78" s="100">
        <v>5</v>
      </c>
      <c r="CC78" s="100">
        <v>2760</v>
      </c>
      <c r="CD78" s="100">
        <v>3.6480302578695749</v>
      </c>
      <c r="CE78" s="100">
        <v>2013.7127023440053</v>
      </c>
      <c r="CF78" s="100">
        <v>1.8556664964907246</v>
      </c>
      <c r="CG78" s="100">
        <v>1024.3279060628799</v>
      </c>
      <c r="CH78" s="100">
        <v>3</v>
      </c>
      <c r="CI78" s="100">
        <v>1656</v>
      </c>
      <c r="CJ78" s="100">
        <v>3</v>
      </c>
      <c r="CK78" s="100">
        <v>1656</v>
      </c>
      <c r="CL78" s="100">
        <v>4</v>
      </c>
      <c r="CM78" s="100">
        <v>2208</v>
      </c>
      <c r="CN78" s="100">
        <v>3.9969923877925679</v>
      </c>
      <c r="CO78" s="100">
        <v>2206.3397980614973</v>
      </c>
      <c r="CP78" s="100">
        <v>6</v>
      </c>
      <c r="CQ78" s="100">
        <v>3312</v>
      </c>
      <c r="CR78" s="100">
        <v>5</v>
      </c>
      <c r="CS78" s="100">
        <v>2760</v>
      </c>
      <c r="CT78" s="100">
        <v>5.6769391607634567</v>
      </c>
      <c r="CU78" s="100">
        <v>3133.6704167414282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4.1957053128232884</v>
      </c>
      <c r="G79" s="100">
        <v>3176.9880628697938</v>
      </c>
      <c r="H79" s="100">
        <v>0.70797682570059772</v>
      </c>
      <c r="I79" s="100">
        <v>536.08005242049251</v>
      </c>
      <c r="J79" s="100">
        <v>6</v>
      </c>
      <c r="K79" s="100">
        <v>4543.2</v>
      </c>
      <c r="L79" s="100">
        <v>4.7215549340291023</v>
      </c>
      <c r="M79" s="100">
        <v>3575.1613960468358</v>
      </c>
      <c r="N79" s="100">
        <v>5.5228022354279274</v>
      </c>
      <c r="O79" s="100">
        <v>4181.8658526660265</v>
      </c>
      <c r="P79" s="100">
        <v>1.7597243594529017</v>
      </c>
      <c r="Q79" s="100">
        <v>1332.463284977737</v>
      </c>
      <c r="R79" s="100">
        <v>5</v>
      </c>
      <c r="S79" s="100">
        <v>3785.9999999999995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2.6955324384166226</v>
      </c>
      <c r="Y79" s="100">
        <v>2041.0571623690664</v>
      </c>
      <c r="Z79" s="100">
        <v>5.6162722155750915</v>
      </c>
      <c r="AA79" s="100">
        <v>4252.6413216334586</v>
      </c>
      <c r="AB79" s="100">
        <v>4</v>
      </c>
      <c r="AC79" s="100">
        <v>3028.7999999999997</v>
      </c>
      <c r="AD79" s="100">
        <v>4</v>
      </c>
      <c r="AE79" s="100">
        <v>3028.7999999999997</v>
      </c>
      <c r="AF79" s="100">
        <v>6</v>
      </c>
      <c r="AG79" s="100">
        <v>4543.2</v>
      </c>
      <c r="AH79" s="100">
        <v>5</v>
      </c>
      <c r="AI79" s="100">
        <v>3785.9999999999995</v>
      </c>
      <c r="AJ79" s="100">
        <v>4</v>
      </c>
      <c r="AK79" s="100">
        <v>3028.7999999999997</v>
      </c>
      <c r="AL79" s="100">
        <v>3</v>
      </c>
      <c r="AM79" s="100">
        <v>2271.6</v>
      </c>
      <c r="AN79" s="100">
        <v>5</v>
      </c>
      <c r="AO79" s="100">
        <v>3785.9999999999995</v>
      </c>
      <c r="AP79" s="100">
        <v>5.3076344081326727</v>
      </c>
      <c r="AQ79" s="100">
        <v>4018.9407738380596</v>
      </c>
      <c r="AR79" s="100">
        <v>1.4348398378046807</v>
      </c>
      <c r="AS79" s="100">
        <v>1086.4607251857042</v>
      </c>
      <c r="AT79" s="100">
        <v>1.3554001025030797</v>
      </c>
      <c r="AU79" s="100">
        <v>1026.3089576153318</v>
      </c>
      <c r="AV79" s="100">
        <v>5</v>
      </c>
      <c r="AW79" s="100">
        <v>3785.9999999999995</v>
      </c>
      <c r="AX79" s="100">
        <v>4.5611402218956298</v>
      </c>
      <c r="AY79" s="100">
        <v>3453.6953760193705</v>
      </c>
      <c r="AZ79" s="100">
        <v>0.85603000144938268</v>
      </c>
      <c r="BA79" s="100">
        <v>648.1859170974725</v>
      </c>
      <c r="BB79" s="100">
        <v>3.3178509051616971</v>
      </c>
      <c r="BC79" s="100">
        <v>2512.2767053884368</v>
      </c>
      <c r="BD79" s="100">
        <v>3.7936182047697895</v>
      </c>
      <c r="BE79" s="100">
        <v>2872.5277046516844</v>
      </c>
      <c r="BF79" s="100">
        <v>4.0694514149837886</v>
      </c>
      <c r="BG79" s="100">
        <v>3081.3886114257243</v>
      </c>
      <c r="BH79" s="100">
        <v>1.5179760508009796</v>
      </c>
      <c r="BI79" s="100">
        <v>1149.4114656665017</v>
      </c>
      <c r="BJ79" s="100">
        <v>3</v>
      </c>
      <c r="BK79" s="100">
        <v>2271.6</v>
      </c>
      <c r="BL79" s="100">
        <v>5</v>
      </c>
      <c r="BM79" s="100">
        <v>3785.9999999999995</v>
      </c>
      <c r="BN79" s="100">
        <v>2.4887107957156012</v>
      </c>
      <c r="BO79" s="100">
        <v>1884.4518145158531</v>
      </c>
      <c r="BP79" s="100">
        <v>5.3033185704658612</v>
      </c>
      <c r="BQ79" s="100">
        <v>4015.6728215567496</v>
      </c>
      <c r="BR79" s="100">
        <v>0.83672876368741078</v>
      </c>
      <c r="BS79" s="100">
        <v>633.57101986410737</v>
      </c>
      <c r="BT79" s="100">
        <v>3</v>
      </c>
      <c r="BU79" s="100">
        <v>2271.6</v>
      </c>
      <c r="BV79" s="100">
        <v>4</v>
      </c>
      <c r="BW79" s="100">
        <v>3028.7999999999997</v>
      </c>
      <c r="BX79" s="100">
        <v>4</v>
      </c>
      <c r="BY79" s="100">
        <v>3028.7999999999997</v>
      </c>
      <c r="BZ79" s="100">
        <v>6</v>
      </c>
      <c r="CA79" s="100">
        <v>4543.2</v>
      </c>
      <c r="CB79" s="100">
        <v>5</v>
      </c>
      <c r="CC79" s="100">
        <v>3785.9999999999995</v>
      </c>
      <c r="CD79" s="100">
        <v>3.6480302578695749</v>
      </c>
      <c r="CE79" s="100">
        <v>2762.2885112588419</v>
      </c>
      <c r="CF79" s="100">
        <v>1.8556664964907246</v>
      </c>
      <c r="CG79" s="100">
        <v>1405.1106711427765</v>
      </c>
      <c r="CH79" s="100">
        <v>3</v>
      </c>
      <c r="CI79" s="100">
        <v>2271.6</v>
      </c>
      <c r="CJ79" s="100">
        <v>3</v>
      </c>
      <c r="CK79" s="100">
        <v>2271.6</v>
      </c>
      <c r="CL79" s="100">
        <v>4</v>
      </c>
      <c r="CM79" s="100">
        <v>3028.7999999999997</v>
      </c>
      <c r="CN79" s="100">
        <v>3.9969923877925679</v>
      </c>
      <c r="CO79" s="100">
        <v>3026.5226360365323</v>
      </c>
      <c r="CP79" s="100">
        <v>5</v>
      </c>
      <c r="CQ79" s="100">
        <v>3785.9999999999995</v>
      </c>
      <c r="CR79" s="100">
        <v>4</v>
      </c>
      <c r="CS79" s="100">
        <v>3028.7999999999997</v>
      </c>
      <c r="CT79" s="100">
        <v>5.6769391607634567</v>
      </c>
      <c r="CU79" s="100">
        <v>4298.578332530089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4.1957053128232884</v>
      </c>
      <c r="G80" s="100">
        <v>3378.3819178853114</v>
      </c>
      <c r="H80" s="100">
        <v>0.70797682570059772</v>
      </c>
      <c r="I80" s="100">
        <v>570.06294005412121</v>
      </c>
      <c r="J80" s="100">
        <v>6</v>
      </c>
      <c r="K80" s="100">
        <v>4831.2</v>
      </c>
      <c r="L80" s="100">
        <v>4.7215549340291023</v>
      </c>
      <c r="M80" s="100">
        <v>3801.7960328802328</v>
      </c>
      <c r="N80" s="100">
        <v>6.4752747594799338</v>
      </c>
      <c r="O80" s="100">
        <v>5213.891236333242</v>
      </c>
      <c r="P80" s="100">
        <v>1.7597243594529017</v>
      </c>
      <c r="Q80" s="100">
        <v>1416.9300542314763</v>
      </c>
      <c r="R80" s="100">
        <v>6</v>
      </c>
      <c r="S80" s="100">
        <v>4831.2</v>
      </c>
      <c r="T80" s="100">
        <v>4</v>
      </c>
      <c r="U80" s="100">
        <v>3220.7999999999997</v>
      </c>
      <c r="V80" s="100">
        <v>5</v>
      </c>
      <c r="W80" s="100">
        <v>4025.9999999999995</v>
      </c>
      <c r="X80" s="100">
        <v>2.0216493288124671</v>
      </c>
      <c r="Y80" s="100">
        <v>1627.8320395597984</v>
      </c>
      <c r="Z80" s="100">
        <v>4.6802268463125767</v>
      </c>
      <c r="AA80" s="100">
        <v>3768.5186566508864</v>
      </c>
      <c r="AB80" s="100">
        <v>4</v>
      </c>
      <c r="AC80" s="100">
        <v>3220.7999999999997</v>
      </c>
      <c r="AD80" s="100">
        <v>4</v>
      </c>
      <c r="AE80" s="100">
        <v>3220.7999999999997</v>
      </c>
      <c r="AF80" s="100">
        <v>6</v>
      </c>
      <c r="AG80" s="100">
        <v>4831.2</v>
      </c>
      <c r="AH80" s="100">
        <v>5</v>
      </c>
      <c r="AI80" s="100">
        <v>4025.9999999999995</v>
      </c>
      <c r="AJ80" s="100">
        <v>3</v>
      </c>
      <c r="AK80" s="100">
        <v>2415.6</v>
      </c>
      <c r="AL80" s="100">
        <v>3</v>
      </c>
      <c r="AM80" s="100">
        <v>2415.6</v>
      </c>
      <c r="AN80" s="100">
        <v>5</v>
      </c>
      <c r="AO80" s="100">
        <v>4025.9999999999995</v>
      </c>
      <c r="AP80" s="100">
        <v>4.4875439206636258</v>
      </c>
      <c r="AQ80" s="100">
        <v>3613.3703649183512</v>
      </c>
      <c r="AR80" s="100">
        <v>1.4348398378046807</v>
      </c>
      <c r="AS80" s="100">
        <v>1155.3330374003287</v>
      </c>
      <c r="AT80" s="100">
        <v>1.3554001025030797</v>
      </c>
      <c r="AU80" s="100">
        <v>1091.3681625354798</v>
      </c>
      <c r="AV80" s="100">
        <v>5</v>
      </c>
      <c r="AW80" s="100">
        <v>4025.9999999999995</v>
      </c>
      <c r="AX80" s="100">
        <v>2.9251103335151005</v>
      </c>
      <c r="AY80" s="100">
        <v>2355.2988405463589</v>
      </c>
      <c r="AZ80" s="100">
        <v>0.85603000144938268</v>
      </c>
      <c r="BA80" s="100">
        <v>689.2753571670429</v>
      </c>
      <c r="BB80" s="100">
        <v>3.3178509051616971</v>
      </c>
      <c r="BC80" s="100">
        <v>2671.5335488361984</v>
      </c>
      <c r="BD80" s="100">
        <v>3.1613485039748248</v>
      </c>
      <c r="BE80" s="100">
        <v>2545.5178154005289</v>
      </c>
      <c r="BF80" s="100">
        <v>4.0694514149837886</v>
      </c>
      <c r="BG80" s="100">
        <v>3276.7222793449464</v>
      </c>
      <c r="BH80" s="100">
        <v>1.5179760508009796</v>
      </c>
      <c r="BI80" s="100">
        <v>1222.2743161049486</v>
      </c>
      <c r="BJ80" s="100">
        <v>4</v>
      </c>
      <c r="BK80" s="100">
        <v>3220.7999999999997</v>
      </c>
      <c r="BL80" s="100">
        <v>5</v>
      </c>
      <c r="BM80" s="100">
        <v>4025.9999999999995</v>
      </c>
      <c r="BN80" s="100">
        <v>2.4887107957156012</v>
      </c>
      <c r="BO80" s="100">
        <v>2003.9099327102019</v>
      </c>
      <c r="BP80" s="100">
        <v>5.3033185704658612</v>
      </c>
      <c r="BQ80" s="100">
        <v>4270.2321129391112</v>
      </c>
      <c r="BR80" s="100">
        <v>0.83672876368741078</v>
      </c>
      <c r="BS80" s="100">
        <v>673.7340005211031</v>
      </c>
      <c r="BT80" s="100">
        <v>3</v>
      </c>
      <c r="BU80" s="100">
        <v>2415.6</v>
      </c>
      <c r="BV80" s="100">
        <v>4</v>
      </c>
      <c r="BW80" s="100">
        <v>3220.7999999999997</v>
      </c>
      <c r="BX80" s="100">
        <v>4</v>
      </c>
      <c r="BY80" s="100">
        <v>3220.7999999999997</v>
      </c>
      <c r="BZ80" s="100">
        <v>5</v>
      </c>
      <c r="CA80" s="100">
        <v>4025.9999999999995</v>
      </c>
      <c r="CB80" s="100">
        <v>5</v>
      </c>
      <c r="CC80" s="100">
        <v>4025.9999999999995</v>
      </c>
      <c r="CD80" s="100">
        <v>3.6480302578695749</v>
      </c>
      <c r="CE80" s="100">
        <v>2937.3939636365812</v>
      </c>
      <c r="CF80" s="100">
        <v>2.3195831206134052</v>
      </c>
      <c r="CG80" s="100">
        <v>1867.7283287179137</v>
      </c>
      <c r="CH80" s="100">
        <v>4</v>
      </c>
      <c r="CI80" s="100">
        <v>3220.7999999999997</v>
      </c>
      <c r="CJ80" s="100">
        <v>3</v>
      </c>
      <c r="CK80" s="100">
        <v>2415.6</v>
      </c>
      <c r="CL80" s="100">
        <v>4</v>
      </c>
      <c r="CM80" s="100">
        <v>3220.7999999999997</v>
      </c>
      <c r="CN80" s="100">
        <v>3.3308269898271399</v>
      </c>
      <c r="CO80" s="100">
        <v>2681.981892208813</v>
      </c>
      <c r="CP80" s="100">
        <v>6</v>
      </c>
      <c r="CQ80" s="100">
        <v>4831.2</v>
      </c>
      <c r="CR80" s="100">
        <v>5</v>
      </c>
      <c r="CS80" s="100">
        <v>4025.9999999999995</v>
      </c>
      <c r="CT80" s="100">
        <v>6.6230956875573659</v>
      </c>
      <c r="CU80" s="100">
        <v>5332.9166476211904</v>
      </c>
    </row>
    <row r="81" spans="2:99">
      <c r="C81" s="99" t="s">
        <v>247</v>
      </c>
      <c r="D81" s="100">
        <v>4</v>
      </c>
      <c r="E81" s="100">
        <v>3014.4</v>
      </c>
      <c r="F81" s="100">
        <v>4.2134967048981329</v>
      </c>
      <c r="G81" s="100">
        <v>3175.2911168112332</v>
      </c>
      <c r="H81" s="100">
        <v>0.56638146056047822</v>
      </c>
      <c r="I81" s="100">
        <v>426.8250686783764</v>
      </c>
      <c r="J81" s="100">
        <v>5</v>
      </c>
      <c r="K81" s="100">
        <v>3768</v>
      </c>
      <c r="L81" s="100">
        <v>4.7215549340291023</v>
      </c>
      <c r="M81" s="100">
        <v>3558.1637982843317</v>
      </c>
      <c r="N81" s="100">
        <v>5.4277472835319402</v>
      </c>
      <c r="O81" s="100">
        <v>4090.3503528696701</v>
      </c>
      <c r="P81" s="100">
        <v>1.4077794875623215</v>
      </c>
      <c r="Q81" s="100">
        <v>1060.9026218269655</v>
      </c>
      <c r="R81" s="100">
        <v>5</v>
      </c>
      <c r="S81" s="100">
        <v>3768</v>
      </c>
      <c r="T81" s="100">
        <v>4</v>
      </c>
      <c r="U81" s="100">
        <v>3014.4</v>
      </c>
      <c r="V81" s="100">
        <v>5</v>
      </c>
      <c r="W81" s="100">
        <v>3768</v>
      </c>
      <c r="X81" s="100">
        <v>2.0216493288124671</v>
      </c>
      <c r="Y81" s="100">
        <v>1523.5149341930753</v>
      </c>
      <c r="Z81" s="100">
        <v>5.6162722155750915</v>
      </c>
      <c r="AA81" s="100">
        <v>4232.4227416573895</v>
      </c>
      <c r="AB81" s="100">
        <v>5</v>
      </c>
      <c r="AC81" s="100">
        <v>3768</v>
      </c>
      <c r="AD81" s="100">
        <v>4</v>
      </c>
      <c r="AE81" s="100">
        <v>3014.4</v>
      </c>
      <c r="AF81" s="100">
        <v>5</v>
      </c>
      <c r="AG81" s="100">
        <v>3768</v>
      </c>
      <c r="AH81" s="100">
        <v>5</v>
      </c>
      <c r="AI81" s="100">
        <v>3768</v>
      </c>
      <c r="AJ81" s="100">
        <v>3</v>
      </c>
      <c r="AK81" s="100">
        <v>2260.8000000000002</v>
      </c>
      <c r="AL81" s="100">
        <v>3</v>
      </c>
      <c r="AM81" s="100">
        <v>2260.8000000000002</v>
      </c>
      <c r="AN81" s="100">
        <v>5</v>
      </c>
      <c r="AO81" s="100">
        <v>3768</v>
      </c>
      <c r="AP81" s="100">
        <v>4.4875439206636258</v>
      </c>
      <c r="AQ81" s="100">
        <v>3381.8130986121087</v>
      </c>
      <c r="AR81" s="100">
        <v>1.1820770436632226</v>
      </c>
      <c r="AS81" s="100">
        <v>890.81326010460464</v>
      </c>
      <c r="AT81" s="100">
        <v>1.3554001025030797</v>
      </c>
      <c r="AU81" s="100">
        <v>1021.4295172463209</v>
      </c>
      <c r="AV81" s="100">
        <v>5</v>
      </c>
      <c r="AW81" s="100">
        <v>3768</v>
      </c>
      <c r="AX81" s="100">
        <v>4.6083540155057836</v>
      </c>
      <c r="AY81" s="100">
        <v>3472.8555860851588</v>
      </c>
      <c r="AZ81" s="100">
        <v>1.1413733352658435</v>
      </c>
      <c r="BA81" s="100">
        <v>860.13894545633968</v>
      </c>
      <c r="BB81" s="100">
        <v>3.9814210861940365</v>
      </c>
      <c r="BC81" s="100">
        <v>3000.3989305558262</v>
      </c>
      <c r="BD81" s="100">
        <v>3.7936182047697895</v>
      </c>
      <c r="BE81" s="100">
        <v>2858.8706791145137</v>
      </c>
      <c r="BF81" s="100">
        <v>4.0694514149837886</v>
      </c>
      <c r="BG81" s="100">
        <v>3066.7385863317832</v>
      </c>
      <c r="BH81" s="100">
        <v>1.5179760508009796</v>
      </c>
      <c r="BI81" s="100">
        <v>1143.9467518836184</v>
      </c>
      <c r="BJ81" s="100">
        <v>4</v>
      </c>
      <c r="BK81" s="100">
        <v>3014.4</v>
      </c>
      <c r="BL81" s="100">
        <v>5</v>
      </c>
      <c r="BM81" s="100">
        <v>3768</v>
      </c>
      <c r="BN81" s="100">
        <v>2.4887107957156012</v>
      </c>
      <c r="BO81" s="100">
        <v>1875.4924556512772</v>
      </c>
      <c r="BP81" s="100">
        <v>5.3033185704658612</v>
      </c>
      <c r="BQ81" s="100">
        <v>3996.5808747030733</v>
      </c>
      <c r="BR81" s="100">
        <v>0.83672876368741078</v>
      </c>
      <c r="BS81" s="100">
        <v>630.55879631483276</v>
      </c>
      <c r="BT81" s="100">
        <v>3</v>
      </c>
      <c r="BU81" s="100">
        <v>2260.8000000000002</v>
      </c>
      <c r="BV81" s="100">
        <v>4</v>
      </c>
      <c r="BW81" s="100">
        <v>3014.4</v>
      </c>
      <c r="BX81" s="100">
        <v>4</v>
      </c>
      <c r="BY81" s="100">
        <v>3014.4</v>
      </c>
      <c r="BZ81" s="100">
        <v>6</v>
      </c>
      <c r="CA81" s="100">
        <v>4521.6000000000004</v>
      </c>
      <c r="CB81" s="100">
        <v>5</v>
      </c>
      <c r="CC81" s="100">
        <v>3768</v>
      </c>
      <c r="CD81" s="100">
        <v>4.115290546572786</v>
      </c>
      <c r="CE81" s="100">
        <v>3101.2829558972517</v>
      </c>
      <c r="CF81" s="100">
        <v>1.8556664964907246</v>
      </c>
      <c r="CG81" s="100">
        <v>1398.4302717554101</v>
      </c>
      <c r="CH81" s="100">
        <v>3</v>
      </c>
      <c r="CI81" s="100">
        <v>2260.8000000000002</v>
      </c>
      <c r="CJ81" s="100">
        <v>3</v>
      </c>
      <c r="CK81" s="100">
        <v>2260.8000000000002</v>
      </c>
      <c r="CL81" s="100">
        <v>4</v>
      </c>
      <c r="CM81" s="100">
        <v>3014.4</v>
      </c>
      <c r="CN81" s="100">
        <v>3.3308269898271399</v>
      </c>
      <c r="CO81" s="100">
        <v>2510.1112195337328</v>
      </c>
      <c r="CP81" s="100">
        <v>5</v>
      </c>
      <c r="CQ81" s="100">
        <v>3768</v>
      </c>
      <c r="CR81" s="100">
        <v>4</v>
      </c>
      <c r="CS81" s="100">
        <v>3014.4</v>
      </c>
      <c r="CT81" s="100">
        <v>6.6230956875573659</v>
      </c>
      <c r="CU81" s="100">
        <v>4991.1649101432313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4.2134967048981329</v>
      </c>
      <c r="G82" s="100">
        <v>2143.8271234521694</v>
      </c>
      <c r="H82" s="100">
        <v>0.56638146056047822</v>
      </c>
      <c r="I82" s="100">
        <v>288.17488713317124</v>
      </c>
      <c r="J82" s="100">
        <v>6</v>
      </c>
      <c r="K82" s="100">
        <v>3052.7999999999993</v>
      </c>
      <c r="L82" s="100">
        <v>4.7215549340291023</v>
      </c>
      <c r="M82" s="100">
        <v>2402.3271504340069</v>
      </c>
      <c r="N82" s="100">
        <v>5.5228022354279274</v>
      </c>
      <c r="O82" s="100">
        <v>2810.0017773857289</v>
      </c>
      <c r="P82" s="100">
        <v>1.7597243594529017</v>
      </c>
      <c r="Q82" s="100">
        <v>895.34775408963617</v>
      </c>
      <c r="R82" s="100">
        <v>6</v>
      </c>
      <c r="S82" s="100">
        <v>3052.7999999999993</v>
      </c>
      <c r="T82" s="100">
        <v>4</v>
      </c>
      <c r="U82" s="100">
        <v>2035.1999999999996</v>
      </c>
      <c r="V82" s="100">
        <v>5</v>
      </c>
      <c r="W82" s="100">
        <v>2543.9999999999995</v>
      </c>
      <c r="X82" s="100">
        <v>2.0216493288124671</v>
      </c>
      <c r="Y82" s="100">
        <v>1028.615178499783</v>
      </c>
      <c r="Z82" s="100">
        <v>5.6162722155750915</v>
      </c>
      <c r="AA82" s="100">
        <v>2857.5593032846059</v>
      </c>
      <c r="AB82" s="100">
        <v>5</v>
      </c>
      <c r="AC82" s="100">
        <v>2543.9999999999995</v>
      </c>
      <c r="AD82" s="100">
        <v>4</v>
      </c>
      <c r="AE82" s="100">
        <v>2035.1999999999996</v>
      </c>
      <c r="AF82" s="100">
        <v>5</v>
      </c>
      <c r="AG82" s="100">
        <v>2543.9999999999995</v>
      </c>
      <c r="AH82" s="100">
        <v>5</v>
      </c>
      <c r="AI82" s="100">
        <v>2543.9999999999995</v>
      </c>
      <c r="AJ82" s="100">
        <v>3</v>
      </c>
      <c r="AK82" s="100">
        <v>1526.3999999999996</v>
      </c>
      <c r="AL82" s="100">
        <v>3</v>
      </c>
      <c r="AM82" s="100">
        <v>1526.3999999999996</v>
      </c>
      <c r="AN82" s="100">
        <v>5</v>
      </c>
      <c r="AO82" s="100">
        <v>2543.9999999999995</v>
      </c>
      <c r="AP82" s="100">
        <v>4.517320188611194</v>
      </c>
      <c r="AQ82" s="100">
        <v>2298.412511965375</v>
      </c>
      <c r="AR82" s="100">
        <v>1.1820770436632226</v>
      </c>
      <c r="AS82" s="100">
        <v>601.44079981584753</v>
      </c>
      <c r="AT82" s="100">
        <v>1.3554001025030797</v>
      </c>
      <c r="AU82" s="100">
        <v>689.6275721535668</v>
      </c>
      <c r="AV82" s="100">
        <v>5</v>
      </c>
      <c r="AW82" s="100">
        <v>2543.9999999999995</v>
      </c>
      <c r="AX82" s="100">
        <v>4.5139264282854752</v>
      </c>
      <c r="AY82" s="100">
        <v>2296.6857667116492</v>
      </c>
      <c r="AZ82" s="100">
        <v>1.1413733352658435</v>
      </c>
      <c r="BA82" s="100">
        <v>580.73075298326103</v>
      </c>
      <c r="BB82" s="100">
        <v>3.9814210861940365</v>
      </c>
      <c r="BC82" s="100">
        <v>2025.7470486555253</v>
      </c>
      <c r="BD82" s="100">
        <v>3.7936182047697895</v>
      </c>
      <c r="BE82" s="100">
        <v>1930.1929425868684</v>
      </c>
      <c r="BF82" s="100">
        <v>4.0694514149837886</v>
      </c>
      <c r="BG82" s="100">
        <v>2070.536879943751</v>
      </c>
      <c r="BH82" s="100">
        <v>1.5179760508009796</v>
      </c>
      <c r="BI82" s="100">
        <v>772.34621464753832</v>
      </c>
      <c r="BJ82" s="100">
        <v>3</v>
      </c>
      <c r="BK82" s="100">
        <v>1526.3999999999996</v>
      </c>
      <c r="BL82" s="100">
        <v>5</v>
      </c>
      <c r="BM82" s="100">
        <v>2543.9999999999995</v>
      </c>
      <c r="BN82" s="100">
        <v>2.4887107957156012</v>
      </c>
      <c r="BO82" s="100">
        <v>1266.2560528600977</v>
      </c>
      <c r="BP82" s="100">
        <v>5.3266507681940043</v>
      </c>
      <c r="BQ82" s="100">
        <v>2710.199910857109</v>
      </c>
      <c r="BR82" s="100">
        <v>0.83672876368741078</v>
      </c>
      <c r="BS82" s="100">
        <v>425.72759496415455</v>
      </c>
      <c r="BT82" s="100">
        <v>4</v>
      </c>
      <c r="BU82" s="100">
        <v>2035.1999999999996</v>
      </c>
      <c r="BV82" s="100">
        <v>4</v>
      </c>
      <c r="BW82" s="100">
        <v>2035.1999999999996</v>
      </c>
      <c r="BX82" s="100">
        <v>4</v>
      </c>
      <c r="BY82" s="100">
        <v>2035.1999999999996</v>
      </c>
      <c r="BZ82" s="100">
        <v>6</v>
      </c>
      <c r="CA82" s="100">
        <v>3052.7999999999993</v>
      </c>
      <c r="CB82" s="100">
        <v>5</v>
      </c>
      <c r="CC82" s="100">
        <v>2543.9999999999995</v>
      </c>
      <c r="CD82" s="100">
        <v>4.8115208632393287</v>
      </c>
      <c r="CE82" s="100">
        <v>2448.1018152161701</v>
      </c>
      <c r="CF82" s="100">
        <v>1.8556664964907246</v>
      </c>
      <c r="CG82" s="100">
        <v>944.16311341448045</v>
      </c>
      <c r="CH82" s="100">
        <v>4</v>
      </c>
      <c r="CI82" s="100">
        <v>2035.1999999999996</v>
      </c>
      <c r="CJ82" s="100">
        <v>3</v>
      </c>
      <c r="CK82" s="100">
        <v>1526.3999999999996</v>
      </c>
      <c r="CL82" s="100">
        <v>4</v>
      </c>
      <c r="CM82" s="100">
        <v>2035.1999999999996</v>
      </c>
      <c r="CN82" s="100">
        <v>3.3308269898271399</v>
      </c>
      <c r="CO82" s="100">
        <v>1694.7247724240485</v>
      </c>
      <c r="CP82" s="100">
        <v>5</v>
      </c>
      <c r="CQ82" s="100">
        <v>2543.9999999999995</v>
      </c>
      <c r="CR82" s="100">
        <v>4</v>
      </c>
      <c r="CS82" s="100">
        <v>2035.1999999999996</v>
      </c>
      <c r="CT82" s="100">
        <v>5.6769391607634567</v>
      </c>
      <c r="CU82" s="100">
        <v>2888.4266449964462</v>
      </c>
    </row>
    <row r="83" spans="2:99">
      <c r="C83" s="99" t="s">
        <v>249</v>
      </c>
      <c r="D83" s="100">
        <v>4</v>
      </c>
      <c r="E83" s="100">
        <v>3441.6</v>
      </c>
      <c r="F83" s="100">
        <v>4.1779139207484439</v>
      </c>
      <c r="G83" s="100">
        <v>3594.6771374119612</v>
      </c>
      <c r="H83" s="100">
        <v>0.56638146056047822</v>
      </c>
      <c r="I83" s="100">
        <v>487.31460866623547</v>
      </c>
      <c r="J83" s="100">
        <v>6</v>
      </c>
      <c r="K83" s="100">
        <v>5162.3999999999996</v>
      </c>
      <c r="L83" s="100">
        <v>4.7215549340291023</v>
      </c>
      <c r="M83" s="100">
        <v>4062.4258652386397</v>
      </c>
      <c r="N83" s="100">
        <v>6.4752747594799338</v>
      </c>
      <c r="O83" s="100">
        <v>5571.3264030565351</v>
      </c>
      <c r="P83" s="100">
        <v>1.7597243594529017</v>
      </c>
      <c r="Q83" s="100">
        <v>1514.0668388732765</v>
      </c>
      <c r="R83" s="100">
        <v>5</v>
      </c>
      <c r="S83" s="100">
        <v>4302</v>
      </c>
      <c r="T83" s="100">
        <v>4</v>
      </c>
      <c r="U83" s="100">
        <v>3441.6</v>
      </c>
      <c r="V83" s="100">
        <v>5</v>
      </c>
      <c r="W83" s="100">
        <v>4302</v>
      </c>
      <c r="X83" s="100">
        <v>2.6955324384166226</v>
      </c>
      <c r="Y83" s="100">
        <v>2319.2361100136618</v>
      </c>
      <c r="Z83" s="100">
        <v>4.6802268463125767</v>
      </c>
      <c r="AA83" s="100">
        <v>4026.8671785673409</v>
      </c>
      <c r="AB83" s="100">
        <v>4</v>
      </c>
      <c r="AC83" s="100">
        <v>3441.6</v>
      </c>
      <c r="AD83" s="100">
        <v>4</v>
      </c>
      <c r="AE83" s="100">
        <v>3441.6</v>
      </c>
      <c r="AF83" s="100">
        <v>6</v>
      </c>
      <c r="AG83" s="100">
        <v>5162.3999999999996</v>
      </c>
      <c r="AH83" s="100">
        <v>5</v>
      </c>
      <c r="AI83" s="100">
        <v>4302</v>
      </c>
      <c r="AJ83" s="100">
        <v>3</v>
      </c>
      <c r="AK83" s="100">
        <v>2581.1999999999998</v>
      </c>
      <c r="AL83" s="100">
        <v>3</v>
      </c>
      <c r="AM83" s="100">
        <v>2581.1999999999998</v>
      </c>
      <c r="AN83" s="100">
        <v>6</v>
      </c>
      <c r="AO83" s="100">
        <v>5162.3999999999996</v>
      </c>
      <c r="AP83" s="100">
        <v>4.4875439206636258</v>
      </c>
      <c r="AQ83" s="100">
        <v>3861.0827893389837</v>
      </c>
      <c r="AR83" s="100">
        <v>1.1713879269696359</v>
      </c>
      <c r="AS83" s="100">
        <v>1007.8621723646747</v>
      </c>
      <c r="AT83" s="100">
        <v>1.3554001025030797</v>
      </c>
      <c r="AU83" s="100">
        <v>1166.1862481936498</v>
      </c>
      <c r="AV83" s="100">
        <v>5</v>
      </c>
      <c r="AW83" s="100">
        <v>4302</v>
      </c>
      <c r="AX83" s="100">
        <v>4.4667126346753205</v>
      </c>
      <c r="AY83" s="100">
        <v>3843.1595508746459</v>
      </c>
      <c r="AZ83" s="100">
        <v>0.85603000144938268</v>
      </c>
      <c r="BA83" s="100">
        <v>736.52821324704882</v>
      </c>
      <c r="BB83" s="100">
        <v>3.9814210861940365</v>
      </c>
      <c r="BC83" s="100">
        <v>3425.6147025613491</v>
      </c>
      <c r="BD83" s="100">
        <v>3.7936182047697895</v>
      </c>
      <c r="BE83" s="100">
        <v>3264.0291033839267</v>
      </c>
      <c r="BF83" s="100">
        <v>4.0694514149837886</v>
      </c>
      <c r="BG83" s="100">
        <v>3501.3559974520517</v>
      </c>
      <c r="BH83" s="100">
        <v>1.5179760508009796</v>
      </c>
      <c r="BI83" s="100">
        <v>1306.0665941091629</v>
      </c>
      <c r="BJ83" s="100">
        <v>4</v>
      </c>
      <c r="BK83" s="100">
        <v>3441.6</v>
      </c>
      <c r="BL83" s="100">
        <v>5</v>
      </c>
      <c r="BM83" s="100">
        <v>4302</v>
      </c>
      <c r="BN83" s="100">
        <v>2.4887107957156012</v>
      </c>
      <c r="BO83" s="100">
        <v>2141.2867686337031</v>
      </c>
      <c r="BP83" s="100">
        <v>6.2799863727377181</v>
      </c>
      <c r="BQ83" s="100">
        <v>5403.3002751035328</v>
      </c>
      <c r="BR83" s="100">
        <v>0.83672876368741078</v>
      </c>
      <c r="BS83" s="100">
        <v>719.92142827664827</v>
      </c>
      <c r="BT83" s="100">
        <v>3</v>
      </c>
      <c r="BU83" s="100">
        <v>2581.1999999999998</v>
      </c>
      <c r="BV83" s="100">
        <v>4</v>
      </c>
      <c r="BW83" s="100">
        <v>3441.6</v>
      </c>
      <c r="BX83" s="100">
        <v>4</v>
      </c>
      <c r="BY83" s="100">
        <v>3441.6</v>
      </c>
      <c r="BZ83" s="100">
        <v>6</v>
      </c>
      <c r="CA83" s="100">
        <v>5162.3999999999996</v>
      </c>
      <c r="CB83" s="100">
        <v>5</v>
      </c>
      <c r="CC83" s="100">
        <v>4302</v>
      </c>
      <c r="CD83" s="100">
        <v>3.6480302578695749</v>
      </c>
      <c r="CE83" s="100">
        <v>3138.7652338709822</v>
      </c>
      <c r="CF83" s="100">
        <v>1.8556664964907246</v>
      </c>
      <c r="CG83" s="100">
        <v>1596.6154535806195</v>
      </c>
      <c r="CH83" s="100">
        <v>4</v>
      </c>
      <c r="CI83" s="100">
        <v>3441.6</v>
      </c>
      <c r="CJ83" s="100">
        <v>3</v>
      </c>
      <c r="CK83" s="100">
        <v>2581.1999999999998</v>
      </c>
      <c r="CL83" s="100">
        <v>4</v>
      </c>
      <c r="CM83" s="100">
        <v>3441.6</v>
      </c>
      <c r="CN83" s="100">
        <v>3.3308269898271399</v>
      </c>
      <c r="CO83" s="100">
        <v>2865.8435420472711</v>
      </c>
      <c r="CP83" s="100">
        <v>5</v>
      </c>
      <c r="CQ83" s="100">
        <v>4302</v>
      </c>
      <c r="CR83" s="100">
        <v>4</v>
      </c>
      <c r="CS83" s="100">
        <v>3441.6</v>
      </c>
      <c r="CT83" s="100">
        <v>6.6230956875573659</v>
      </c>
      <c r="CU83" s="100">
        <v>5698.5115295743572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4.1957053128232884</v>
      </c>
      <c r="G84" s="100">
        <v>3277.6849903775528</v>
      </c>
      <c r="H84" s="100">
        <v>0.70797682570059772</v>
      </c>
      <c r="I84" s="100">
        <v>553.07149623730686</v>
      </c>
      <c r="J84" s="100">
        <v>6</v>
      </c>
      <c r="K84" s="100">
        <v>4687.2</v>
      </c>
      <c r="L84" s="100">
        <v>4.7215549340291023</v>
      </c>
      <c r="M84" s="100">
        <v>3688.4787144635343</v>
      </c>
      <c r="N84" s="100">
        <v>5.4752747594799338</v>
      </c>
      <c r="O84" s="100">
        <v>4277.2846421057238</v>
      </c>
      <c r="P84" s="100">
        <v>1.7597243594529017</v>
      </c>
      <c r="Q84" s="100">
        <v>1374.6966696046068</v>
      </c>
      <c r="R84" s="100">
        <v>5</v>
      </c>
      <c r="S84" s="100">
        <v>3905.9999999999995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2.6955324384166226</v>
      </c>
      <c r="Y84" s="100">
        <v>2105.7499408910653</v>
      </c>
      <c r="Z84" s="100">
        <v>5.6162722155750915</v>
      </c>
      <c r="AA84" s="100">
        <v>4387.4318548072615</v>
      </c>
      <c r="AB84" s="100">
        <v>5</v>
      </c>
      <c r="AC84" s="100">
        <v>3905.9999999999995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5</v>
      </c>
      <c r="AI84" s="100">
        <v>3905.9999999999995</v>
      </c>
      <c r="AJ84" s="100">
        <v>3</v>
      </c>
      <c r="AK84" s="100">
        <v>2343.6</v>
      </c>
      <c r="AL84" s="100">
        <v>3</v>
      </c>
      <c r="AM84" s="100">
        <v>2343.6</v>
      </c>
      <c r="AN84" s="100">
        <v>5</v>
      </c>
      <c r="AO84" s="100">
        <v>3905.9999999999995</v>
      </c>
      <c r="AP84" s="100">
        <v>4.4875439206636258</v>
      </c>
      <c r="AQ84" s="100">
        <v>3505.669310822424</v>
      </c>
      <c r="AR84" s="100">
        <v>1.4348398378046807</v>
      </c>
      <c r="AS84" s="100">
        <v>1120.8968812930166</v>
      </c>
      <c r="AT84" s="100">
        <v>1.1295000854192332</v>
      </c>
      <c r="AU84" s="100">
        <v>882.36546672950487</v>
      </c>
      <c r="AV84" s="100">
        <v>5</v>
      </c>
      <c r="AW84" s="100">
        <v>3905.9999999999995</v>
      </c>
      <c r="AX84" s="100">
        <v>4.4667126346753205</v>
      </c>
      <c r="AY84" s="100">
        <v>3489.39591020836</v>
      </c>
      <c r="AZ84" s="100">
        <v>1.1413733352658435</v>
      </c>
      <c r="BA84" s="100">
        <v>891.64084950967685</v>
      </c>
      <c r="BB84" s="100">
        <v>3.9814210861940365</v>
      </c>
      <c r="BC84" s="100">
        <v>3110.2861525347812</v>
      </c>
      <c r="BD84" s="100">
        <v>3.7936182047697895</v>
      </c>
      <c r="BE84" s="100">
        <v>2963.5745415661595</v>
      </c>
      <c r="BF84" s="100">
        <v>4.0694514149837886</v>
      </c>
      <c r="BG84" s="100">
        <v>3179.0554453853356</v>
      </c>
      <c r="BH84" s="100">
        <v>1.5179760508009796</v>
      </c>
      <c r="BI84" s="100">
        <v>1185.8428908857252</v>
      </c>
      <c r="BJ84" s="100">
        <v>4</v>
      </c>
      <c r="BK84" s="100">
        <v>3124.7999999999997</v>
      </c>
      <c r="BL84" s="100">
        <v>5</v>
      </c>
      <c r="BM84" s="100">
        <v>3905.9999999999995</v>
      </c>
      <c r="BN84" s="100">
        <v>2.4887107957156012</v>
      </c>
      <c r="BO84" s="100">
        <v>1944.1808736130274</v>
      </c>
      <c r="BP84" s="100">
        <v>5.3033185704658612</v>
      </c>
      <c r="BQ84" s="100">
        <v>4142.9524672479301</v>
      </c>
      <c r="BR84" s="100">
        <v>0.83672876368741078</v>
      </c>
      <c r="BS84" s="100">
        <v>653.65251019260529</v>
      </c>
      <c r="BT84" s="100">
        <v>4</v>
      </c>
      <c r="BU84" s="100">
        <v>3124.7999999999997</v>
      </c>
      <c r="BV84" s="100">
        <v>4</v>
      </c>
      <c r="BW84" s="100">
        <v>3124.7999999999997</v>
      </c>
      <c r="BX84" s="100">
        <v>4</v>
      </c>
      <c r="BY84" s="100">
        <v>3124.7999999999997</v>
      </c>
      <c r="BZ84" s="100">
        <v>6</v>
      </c>
      <c r="CA84" s="100">
        <v>4687.2</v>
      </c>
      <c r="CB84" s="100">
        <v>5</v>
      </c>
      <c r="CC84" s="100">
        <v>3905.9999999999995</v>
      </c>
      <c r="CD84" s="100">
        <v>4.115290546572786</v>
      </c>
      <c r="CE84" s="100">
        <v>3214.86497498266</v>
      </c>
      <c r="CF84" s="100">
        <v>2.3195831206134052</v>
      </c>
      <c r="CG84" s="100">
        <v>1812.058333823192</v>
      </c>
      <c r="CH84" s="100">
        <v>3</v>
      </c>
      <c r="CI84" s="100">
        <v>2343.6</v>
      </c>
      <c r="CJ84" s="100">
        <v>3</v>
      </c>
      <c r="CK84" s="100">
        <v>2343.6</v>
      </c>
      <c r="CL84" s="100">
        <v>4</v>
      </c>
      <c r="CM84" s="100">
        <v>3124.7999999999997</v>
      </c>
      <c r="CN84" s="100">
        <v>3.3308269898271399</v>
      </c>
      <c r="CO84" s="100">
        <v>2602.0420444529614</v>
      </c>
      <c r="CP84" s="100">
        <v>6</v>
      </c>
      <c r="CQ84" s="100">
        <v>4687.2</v>
      </c>
      <c r="CR84" s="100">
        <v>5</v>
      </c>
      <c r="CS84" s="100">
        <v>3905.9999999999995</v>
      </c>
      <c r="CT84" s="100">
        <v>5.6769391607634567</v>
      </c>
      <c r="CU84" s="100">
        <v>4434.8248723884117</v>
      </c>
    </row>
    <row r="85" spans="2:99">
      <c r="C85" s="99" t="s">
        <v>251</v>
      </c>
      <c r="D85" s="100">
        <v>4</v>
      </c>
      <c r="E85" s="100">
        <v>600</v>
      </c>
      <c r="F85" s="100">
        <v>4.1957053128232884</v>
      </c>
      <c r="G85" s="100">
        <v>629.35579692349324</v>
      </c>
      <c r="H85" s="100">
        <v>0.56638146056047822</v>
      </c>
      <c r="I85" s="100">
        <v>84.957219084071738</v>
      </c>
      <c r="J85" s="100">
        <v>6</v>
      </c>
      <c r="K85" s="100">
        <v>900</v>
      </c>
      <c r="L85" s="100">
        <v>4.7215549340291023</v>
      </c>
      <c r="M85" s="100">
        <v>708.23324010436534</v>
      </c>
      <c r="N85" s="100">
        <v>5.5703297113759209</v>
      </c>
      <c r="O85" s="100">
        <v>835.54945670638813</v>
      </c>
      <c r="P85" s="100">
        <v>1.7597243594529017</v>
      </c>
      <c r="Q85" s="100">
        <v>263.95865391793524</v>
      </c>
      <c r="R85" s="100">
        <v>6</v>
      </c>
      <c r="S85" s="100">
        <v>900</v>
      </c>
      <c r="T85" s="100">
        <v>4</v>
      </c>
      <c r="U85" s="100">
        <v>600</v>
      </c>
      <c r="V85" s="100">
        <v>5</v>
      </c>
      <c r="W85" s="100">
        <v>750</v>
      </c>
      <c r="X85" s="100">
        <v>2.6955324384166226</v>
      </c>
      <c r="Y85" s="100">
        <v>404.3298657624934</v>
      </c>
      <c r="Z85" s="100">
        <v>4.6802268463125767</v>
      </c>
      <c r="AA85" s="100">
        <v>702.03402694688646</v>
      </c>
      <c r="AB85" s="100">
        <v>5</v>
      </c>
      <c r="AC85" s="100">
        <v>750</v>
      </c>
      <c r="AD85" s="100">
        <v>4</v>
      </c>
      <c r="AE85" s="100">
        <v>600</v>
      </c>
      <c r="AF85" s="100">
        <v>6</v>
      </c>
      <c r="AG85" s="100">
        <v>900</v>
      </c>
      <c r="AH85" s="100">
        <v>5</v>
      </c>
      <c r="AI85" s="100">
        <v>750</v>
      </c>
      <c r="AJ85" s="100">
        <v>3</v>
      </c>
      <c r="AK85" s="100">
        <v>450</v>
      </c>
      <c r="AL85" s="100">
        <v>3</v>
      </c>
      <c r="AM85" s="100">
        <v>450</v>
      </c>
      <c r="AN85" s="100">
        <v>5</v>
      </c>
      <c r="AO85" s="100">
        <v>750</v>
      </c>
      <c r="AP85" s="100">
        <v>5.3671869440278099</v>
      </c>
      <c r="AQ85" s="100">
        <v>805.07804160417152</v>
      </c>
      <c r="AR85" s="100">
        <v>1.4348398378046807</v>
      </c>
      <c r="AS85" s="100">
        <v>215.2259756707021</v>
      </c>
      <c r="AT85" s="100">
        <v>1.3554001025030797</v>
      </c>
      <c r="AU85" s="100">
        <v>203.31001537546197</v>
      </c>
      <c r="AV85" s="100">
        <v>5</v>
      </c>
      <c r="AW85" s="100">
        <v>750</v>
      </c>
      <c r="AX85" s="100">
        <v>4.6083540155057836</v>
      </c>
      <c r="AY85" s="100">
        <v>691.25310232586753</v>
      </c>
      <c r="AZ85" s="100">
        <v>1.1413733352658435</v>
      </c>
      <c r="BA85" s="100">
        <v>171.20600028987653</v>
      </c>
      <c r="BB85" s="100">
        <v>3.9814210861940365</v>
      </c>
      <c r="BC85" s="100">
        <v>597.21316292910547</v>
      </c>
      <c r="BD85" s="100">
        <v>3.1613485039748248</v>
      </c>
      <c r="BE85" s="100">
        <v>474.20227559622373</v>
      </c>
      <c r="BF85" s="100">
        <v>4.883341697980546</v>
      </c>
      <c r="BG85" s="100">
        <v>732.50125469708189</v>
      </c>
      <c r="BH85" s="100">
        <v>1.5179760508009796</v>
      </c>
      <c r="BI85" s="100">
        <v>227.69640762014694</v>
      </c>
      <c r="BJ85" s="100">
        <v>4</v>
      </c>
      <c r="BK85" s="100">
        <v>600</v>
      </c>
      <c r="BL85" s="100">
        <v>6</v>
      </c>
      <c r="BM85" s="100">
        <v>900</v>
      </c>
      <c r="BN85" s="100">
        <v>2.4887107957156012</v>
      </c>
      <c r="BO85" s="100">
        <v>373.3066193573402</v>
      </c>
      <c r="BP85" s="100">
        <v>5.3266507681940043</v>
      </c>
      <c r="BQ85" s="100">
        <v>798.99761522910069</v>
      </c>
      <c r="BR85" s="100">
        <v>0.83672876368741078</v>
      </c>
      <c r="BS85" s="100">
        <v>125.50931455311162</v>
      </c>
      <c r="BT85" s="100">
        <v>3</v>
      </c>
      <c r="BU85" s="100">
        <v>450</v>
      </c>
      <c r="BV85" s="100">
        <v>4</v>
      </c>
      <c r="BW85" s="100">
        <v>600</v>
      </c>
      <c r="BX85" s="100">
        <v>4</v>
      </c>
      <c r="BY85" s="100">
        <v>600</v>
      </c>
      <c r="BZ85" s="100">
        <v>6</v>
      </c>
      <c r="CA85" s="100">
        <v>900</v>
      </c>
      <c r="CB85" s="100">
        <v>5</v>
      </c>
      <c r="CC85" s="100">
        <v>750</v>
      </c>
      <c r="CD85" s="100">
        <v>4.8448965981467014</v>
      </c>
      <c r="CE85" s="100">
        <v>726.73448972200515</v>
      </c>
      <c r="CF85" s="100">
        <v>2.3195831206134052</v>
      </c>
      <c r="CG85" s="100">
        <v>347.93746809201076</v>
      </c>
      <c r="CH85" s="100">
        <v>4</v>
      </c>
      <c r="CI85" s="100">
        <v>600</v>
      </c>
      <c r="CJ85" s="100">
        <v>3</v>
      </c>
      <c r="CK85" s="100">
        <v>450</v>
      </c>
      <c r="CL85" s="100">
        <v>5</v>
      </c>
      <c r="CM85" s="100">
        <v>750</v>
      </c>
      <c r="CN85" s="100">
        <v>3.9969923877925679</v>
      </c>
      <c r="CO85" s="100">
        <v>599.5488581688852</v>
      </c>
      <c r="CP85" s="100">
        <v>5</v>
      </c>
      <c r="CQ85" s="100">
        <v>750</v>
      </c>
      <c r="CR85" s="100">
        <v>5</v>
      </c>
      <c r="CS85" s="100">
        <v>750</v>
      </c>
      <c r="CT85" s="100">
        <v>5.6769391607634567</v>
      </c>
      <c r="CU85" s="100">
        <v>851.54087411451849</v>
      </c>
    </row>
    <row r="86" spans="2:99">
      <c r="C86" s="99" t="s">
        <v>252</v>
      </c>
      <c r="D86" s="100">
        <v>4</v>
      </c>
      <c r="E86" s="100">
        <v>2160</v>
      </c>
      <c r="F86" s="100">
        <v>4.2134967048981329</v>
      </c>
      <c r="G86" s="100">
        <v>2275.2882206449917</v>
      </c>
      <c r="H86" s="100">
        <v>0.70797682570059772</v>
      </c>
      <c r="I86" s="100">
        <v>382.30748587832278</v>
      </c>
      <c r="J86" s="100">
        <v>6</v>
      </c>
      <c r="K86" s="100">
        <v>3240</v>
      </c>
      <c r="L86" s="100">
        <v>5.5084807563672866</v>
      </c>
      <c r="M86" s="100">
        <v>2974.5796084383346</v>
      </c>
      <c r="N86" s="100">
        <v>5.4752747594799338</v>
      </c>
      <c r="O86" s="100">
        <v>2956.6483701191642</v>
      </c>
      <c r="P86" s="100">
        <v>1.7597243594529017</v>
      </c>
      <c r="Q86" s="100">
        <v>950.25115410456692</v>
      </c>
      <c r="R86" s="100">
        <v>6</v>
      </c>
      <c r="S86" s="100">
        <v>3240</v>
      </c>
      <c r="T86" s="100">
        <v>4</v>
      </c>
      <c r="U86" s="100">
        <v>2160</v>
      </c>
      <c r="V86" s="100">
        <v>4</v>
      </c>
      <c r="W86" s="100">
        <v>2160</v>
      </c>
      <c r="X86" s="100">
        <v>2.6955324384166226</v>
      </c>
      <c r="Y86" s="100">
        <v>1455.5875167449763</v>
      </c>
      <c r="Z86" s="100">
        <v>5.6162722155750915</v>
      </c>
      <c r="AA86" s="100">
        <v>3032.7869964105494</v>
      </c>
      <c r="AB86" s="100">
        <v>5</v>
      </c>
      <c r="AC86" s="100">
        <v>2700</v>
      </c>
      <c r="AD86" s="100">
        <v>4</v>
      </c>
      <c r="AE86" s="100">
        <v>2160</v>
      </c>
      <c r="AF86" s="100">
        <v>5</v>
      </c>
      <c r="AG86" s="100">
        <v>2700</v>
      </c>
      <c r="AH86" s="100">
        <v>5</v>
      </c>
      <c r="AI86" s="100">
        <v>2700</v>
      </c>
      <c r="AJ86" s="100">
        <v>3</v>
      </c>
      <c r="AK86" s="100">
        <v>1620</v>
      </c>
      <c r="AL86" s="100">
        <v>4</v>
      </c>
      <c r="AM86" s="100">
        <v>2160</v>
      </c>
      <c r="AN86" s="100">
        <v>6</v>
      </c>
      <c r="AO86" s="100">
        <v>3240</v>
      </c>
      <c r="AP86" s="100">
        <v>4.4875439206636258</v>
      </c>
      <c r="AQ86" s="100">
        <v>2423.2737171583581</v>
      </c>
      <c r="AR86" s="100">
        <v>1.1713879269696359</v>
      </c>
      <c r="AS86" s="100">
        <v>632.54948056360342</v>
      </c>
      <c r="AT86" s="100">
        <v>1.3554001025030797</v>
      </c>
      <c r="AU86" s="100">
        <v>731.91605535166309</v>
      </c>
      <c r="AV86" s="100">
        <v>5</v>
      </c>
      <c r="AW86" s="100">
        <v>2700</v>
      </c>
      <c r="AX86" s="100">
        <v>4.5139264282854752</v>
      </c>
      <c r="AY86" s="100">
        <v>2437.5202712741566</v>
      </c>
      <c r="AZ86" s="100">
        <v>0.85603000144938268</v>
      </c>
      <c r="BA86" s="100">
        <v>462.25620078266667</v>
      </c>
      <c r="BB86" s="100">
        <v>3.9814210861940365</v>
      </c>
      <c r="BC86" s="100">
        <v>2149.9673865447799</v>
      </c>
      <c r="BD86" s="100">
        <v>3.7936182047697895</v>
      </c>
      <c r="BE86" s="100">
        <v>2048.5538305756863</v>
      </c>
      <c r="BF86" s="100">
        <v>4.0694514149837886</v>
      </c>
      <c r="BG86" s="100">
        <v>2197.503764091246</v>
      </c>
      <c r="BH86" s="100">
        <v>1.5179760508009796</v>
      </c>
      <c r="BI86" s="100">
        <v>819.70706743252902</v>
      </c>
      <c r="BJ86" s="100">
        <v>3</v>
      </c>
      <c r="BK86" s="100">
        <v>1620</v>
      </c>
      <c r="BL86" s="100">
        <v>5</v>
      </c>
      <c r="BM86" s="100">
        <v>2700</v>
      </c>
      <c r="BN86" s="100">
        <v>2.4887107957156012</v>
      </c>
      <c r="BO86" s="100">
        <v>1343.9038296864246</v>
      </c>
      <c r="BP86" s="100">
        <v>5.3266507681940043</v>
      </c>
      <c r="BQ86" s="100">
        <v>2876.3914148247623</v>
      </c>
      <c r="BR86" s="100">
        <v>0.83672876368741078</v>
      </c>
      <c r="BS86" s="100">
        <v>451.8335323912018</v>
      </c>
      <c r="BT86" s="100">
        <v>4</v>
      </c>
      <c r="BU86" s="100">
        <v>2160</v>
      </c>
      <c r="BV86" s="100">
        <v>4</v>
      </c>
      <c r="BW86" s="100">
        <v>2160</v>
      </c>
      <c r="BX86" s="100">
        <v>4</v>
      </c>
      <c r="BY86" s="100">
        <v>2160</v>
      </c>
      <c r="BZ86" s="100">
        <v>5</v>
      </c>
      <c r="CA86" s="100">
        <v>2700</v>
      </c>
      <c r="CB86" s="100">
        <v>6</v>
      </c>
      <c r="CC86" s="100">
        <v>3240</v>
      </c>
      <c r="CD86" s="100">
        <v>4.3776363094434902</v>
      </c>
      <c r="CE86" s="100">
        <v>2363.9236070994848</v>
      </c>
      <c r="CF86" s="100">
        <v>1.8556664964907246</v>
      </c>
      <c r="CG86" s="100">
        <v>1002.0599081049912</v>
      </c>
      <c r="CH86" s="100">
        <v>4</v>
      </c>
      <c r="CI86" s="100">
        <v>2160</v>
      </c>
      <c r="CJ86" s="100">
        <v>3</v>
      </c>
      <c r="CK86" s="100">
        <v>1620</v>
      </c>
      <c r="CL86" s="100">
        <v>4</v>
      </c>
      <c r="CM86" s="100">
        <v>2160</v>
      </c>
      <c r="CN86" s="100">
        <v>3.3308269898271399</v>
      </c>
      <c r="CO86" s="100">
        <v>1798.6465745066555</v>
      </c>
      <c r="CP86" s="100">
        <v>5</v>
      </c>
      <c r="CQ86" s="100">
        <v>2700</v>
      </c>
      <c r="CR86" s="100">
        <v>5</v>
      </c>
      <c r="CS86" s="100">
        <v>2700</v>
      </c>
      <c r="CT86" s="100">
        <v>5.6769391607634567</v>
      </c>
      <c r="CU86" s="100">
        <v>3065.5471468122664</v>
      </c>
    </row>
    <row r="87" spans="2:99">
      <c r="B87" s="99" t="s">
        <v>131</v>
      </c>
      <c r="C87" s="99" t="s">
        <v>253</v>
      </c>
      <c r="D87" s="100">
        <v>3.1413013646053325</v>
      </c>
      <c r="E87" s="100">
        <v>3373.7576655861271</v>
      </c>
      <c r="F87" s="100">
        <v>5</v>
      </c>
      <c r="G87" s="100">
        <v>5370</v>
      </c>
      <c r="H87" s="100">
        <v>4.5109585297701944</v>
      </c>
      <c r="I87" s="100">
        <v>4844.7694609731889</v>
      </c>
      <c r="J87" s="100">
        <v>3.3570052021060155</v>
      </c>
      <c r="K87" s="100">
        <v>3605.4235870618604</v>
      </c>
      <c r="L87" s="100">
        <v>0.21142424634146645</v>
      </c>
      <c r="M87" s="100">
        <v>227.06964057073498</v>
      </c>
      <c r="N87" s="100">
        <v>5</v>
      </c>
      <c r="O87" s="100">
        <v>5370</v>
      </c>
      <c r="P87" s="100">
        <v>4.6192882430003994</v>
      </c>
      <c r="Q87" s="100">
        <v>4961.1155729824286</v>
      </c>
      <c r="R87" s="100">
        <v>3.1409165054758104</v>
      </c>
      <c r="S87" s="100">
        <v>3373.3443268810202</v>
      </c>
      <c r="T87" s="100">
        <v>0.25553434090191612</v>
      </c>
      <c r="U87" s="100">
        <v>274.44388212865789</v>
      </c>
      <c r="V87" s="100">
        <v>4</v>
      </c>
      <c r="W87" s="100">
        <v>4296</v>
      </c>
      <c r="X87" s="100">
        <v>5</v>
      </c>
      <c r="Y87" s="100">
        <v>5370</v>
      </c>
      <c r="Z87" s="100">
        <v>3.0002996110087299</v>
      </c>
      <c r="AA87" s="100">
        <v>3222.321782223376</v>
      </c>
      <c r="AB87" s="100">
        <v>0.30886324682927252</v>
      </c>
      <c r="AC87" s="100">
        <v>331.71912709463868</v>
      </c>
      <c r="AD87" s="100">
        <v>5</v>
      </c>
      <c r="AE87" s="100">
        <v>5370</v>
      </c>
      <c r="AF87" s="100">
        <v>1.6476246058771118</v>
      </c>
      <c r="AG87" s="100">
        <v>1769.5488267120181</v>
      </c>
      <c r="AH87" s="100">
        <v>3.3999977110956356</v>
      </c>
      <c r="AI87" s="100">
        <v>3651.5975417167128</v>
      </c>
      <c r="AJ87" s="100">
        <v>3.7401386877903358</v>
      </c>
      <c r="AK87" s="100">
        <v>4016.9089506868204</v>
      </c>
      <c r="AL87" s="100">
        <v>4.4185362828038084</v>
      </c>
      <c r="AM87" s="100">
        <v>4745.5079677312906</v>
      </c>
      <c r="AN87" s="100">
        <v>2.8255846820867854</v>
      </c>
      <c r="AO87" s="100">
        <v>3034.6779485612074</v>
      </c>
      <c r="AP87" s="100">
        <v>5</v>
      </c>
      <c r="AQ87" s="100">
        <v>5370</v>
      </c>
      <c r="AR87" s="100">
        <v>5.2365310720965503</v>
      </c>
      <c r="AS87" s="100">
        <v>5624.034371431695</v>
      </c>
      <c r="AT87" s="100">
        <v>2.5090703240756749E-4</v>
      </c>
      <c r="AU87" s="100">
        <v>0.26947415280572751</v>
      </c>
      <c r="AV87" s="100">
        <v>3.1692804284202354</v>
      </c>
      <c r="AW87" s="100">
        <v>3403.8071801233327</v>
      </c>
      <c r="AX87" s="100">
        <v>2.6679089154703611E-4</v>
      </c>
      <c r="AY87" s="100">
        <v>0.28653341752151679</v>
      </c>
      <c r="AZ87" s="100">
        <v>2.7644618095540503E-4</v>
      </c>
      <c r="BA87" s="100">
        <v>0.29690319834610501</v>
      </c>
      <c r="BB87" s="100">
        <v>3.0993379908839489</v>
      </c>
      <c r="BC87" s="100">
        <v>3328.6890022093612</v>
      </c>
      <c r="BD87" s="100">
        <v>0.17649328390244143</v>
      </c>
      <c r="BE87" s="100">
        <v>189.55378691122209</v>
      </c>
      <c r="BF87" s="100">
        <v>5.3497331061008104</v>
      </c>
      <c r="BG87" s="100">
        <v>5745.6133559522705</v>
      </c>
      <c r="BH87" s="100">
        <v>1.5820139989359228</v>
      </c>
      <c r="BI87" s="100">
        <v>1699.083034857181</v>
      </c>
      <c r="BJ87" s="100">
        <v>5</v>
      </c>
      <c r="BK87" s="100">
        <v>5370</v>
      </c>
      <c r="BL87" s="100">
        <v>3.1178438903286176</v>
      </c>
      <c r="BM87" s="100">
        <v>3348.5643382129351</v>
      </c>
      <c r="BN87" s="100">
        <v>2.903971973413572E-4</v>
      </c>
      <c r="BO87" s="100">
        <v>0.31188658994461765</v>
      </c>
      <c r="BP87" s="100">
        <v>2.127931373378571</v>
      </c>
      <c r="BQ87" s="100">
        <v>2285.3982950085851</v>
      </c>
      <c r="BR87" s="100">
        <v>3.664188468016027</v>
      </c>
      <c r="BS87" s="100">
        <v>3935.3384146492131</v>
      </c>
      <c r="BT87" s="100">
        <v>3.8842459810629157</v>
      </c>
      <c r="BU87" s="100">
        <v>4171.6801836615714</v>
      </c>
      <c r="BV87" s="100">
        <v>0.33599312661833025</v>
      </c>
      <c r="BW87" s="100">
        <v>360.85661798808667</v>
      </c>
      <c r="BX87" s="100">
        <v>3.9628830247637259</v>
      </c>
      <c r="BY87" s="100">
        <v>4256.1363685962415</v>
      </c>
      <c r="BZ87" s="100">
        <v>2.2490202240407444</v>
      </c>
      <c r="CA87" s="100">
        <v>2415.4477206197594</v>
      </c>
      <c r="CB87" s="100">
        <v>4.1218353574693403</v>
      </c>
      <c r="CC87" s="100">
        <v>4426.8511739220712</v>
      </c>
      <c r="CD87" s="100">
        <v>3.4541852036234895</v>
      </c>
      <c r="CE87" s="100">
        <v>3709.7949086916278</v>
      </c>
      <c r="CF87" s="100">
        <v>1.4860841355150181</v>
      </c>
      <c r="CG87" s="100">
        <v>1596.0543615431293</v>
      </c>
      <c r="CH87" s="100">
        <v>3.8260748493694265</v>
      </c>
      <c r="CI87" s="100">
        <v>4109.2043882227645</v>
      </c>
      <c r="CJ87" s="100">
        <v>2.620255006844503</v>
      </c>
      <c r="CK87" s="100">
        <v>2814.153877350996</v>
      </c>
      <c r="CL87" s="100">
        <v>4.1361695568714865</v>
      </c>
      <c r="CM87" s="100">
        <v>4442.2461040799762</v>
      </c>
      <c r="CN87" s="100">
        <v>4.3981667864516627</v>
      </c>
      <c r="CO87" s="100">
        <v>4723.6311286490854</v>
      </c>
      <c r="CP87" s="100">
        <v>4.0918693215073256</v>
      </c>
      <c r="CQ87" s="100">
        <v>4394.6676512988679</v>
      </c>
      <c r="CR87" s="100">
        <v>1.6173791190858433</v>
      </c>
      <c r="CS87" s="100">
        <v>1737.0651738981958</v>
      </c>
      <c r="CT87" s="100">
        <v>2.0859918600486669</v>
      </c>
      <c r="CU87" s="100">
        <v>2240.3552576922684</v>
      </c>
    </row>
    <row r="88" spans="2:99">
      <c r="C88" s="99" t="s">
        <v>254</v>
      </c>
      <c r="D88" s="100">
        <v>2.6177511371711106</v>
      </c>
      <c r="E88" s="100">
        <v>2597.8562285286102</v>
      </c>
      <c r="F88" s="100">
        <v>5</v>
      </c>
      <c r="G88" s="100">
        <v>4962</v>
      </c>
      <c r="H88" s="100">
        <v>3.7591321081418294</v>
      </c>
      <c r="I88" s="100">
        <v>3730.5627041199514</v>
      </c>
      <c r="J88" s="100">
        <v>3.3570052021060155</v>
      </c>
      <c r="K88" s="100">
        <v>3331.4919625700095</v>
      </c>
      <c r="L88" s="100">
        <v>0.25370909560975974</v>
      </c>
      <c r="M88" s="100">
        <v>251.78090648312556</v>
      </c>
      <c r="N88" s="100">
        <v>4</v>
      </c>
      <c r="O88" s="100">
        <v>3969.6</v>
      </c>
      <c r="P88" s="100">
        <v>4.6192882430003994</v>
      </c>
      <c r="Q88" s="100">
        <v>4584.1816523535963</v>
      </c>
      <c r="R88" s="100">
        <v>3.0710777369157483</v>
      </c>
      <c r="S88" s="100">
        <v>3047.7375461151887</v>
      </c>
      <c r="T88" s="100">
        <v>0.30664120908229936</v>
      </c>
      <c r="U88" s="100">
        <v>304.31073589327389</v>
      </c>
      <c r="V88" s="100">
        <v>5</v>
      </c>
      <c r="W88" s="100">
        <v>4962</v>
      </c>
      <c r="X88" s="100">
        <v>5</v>
      </c>
      <c r="Y88" s="100">
        <v>4962</v>
      </c>
      <c r="Z88" s="100">
        <v>3.0250949692828359</v>
      </c>
      <c r="AA88" s="100">
        <v>3002.1042475162863</v>
      </c>
      <c r="AB88" s="100">
        <v>0.37063589619512699</v>
      </c>
      <c r="AC88" s="100">
        <v>367.819063384044</v>
      </c>
      <c r="AD88" s="100">
        <v>5</v>
      </c>
      <c r="AE88" s="100">
        <v>4962</v>
      </c>
      <c r="AF88" s="100">
        <v>1.6476246058771118</v>
      </c>
      <c r="AG88" s="100">
        <v>1635.1026588724458</v>
      </c>
      <c r="AH88" s="100">
        <v>4.4499974249825893</v>
      </c>
      <c r="AI88" s="100">
        <v>4416.1774445527217</v>
      </c>
      <c r="AJ88" s="100">
        <v>3.1167822398252794</v>
      </c>
      <c r="AK88" s="100">
        <v>3093.0946948026071</v>
      </c>
      <c r="AL88" s="100">
        <v>4.5115443456490993</v>
      </c>
      <c r="AM88" s="100">
        <v>4477.2566086221659</v>
      </c>
      <c r="AN88" s="100">
        <v>3.2965154624345825</v>
      </c>
      <c r="AO88" s="100">
        <v>3271.4619449200795</v>
      </c>
      <c r="AP88" s="100">
        <v>5</v>
      </c>
      <c r="AQ88" s="100">
        <v>4962</v>
      </c>
      <c r="AR88" s="100">
        <v>5.2365310720965503</v>
      </c>
      <c r="AS88" s="100">
        <v>5196.7334359486167</v>
      </c>
      <c r="AT88" s="100">
        <v>2.893038682832787E-4</v>
      </c>
      <c r="AU88" s="100">
        <v>0.28710515888432575</v>
      </c>
      <c r="AV88" s="100">
        <v>3.1692804284202354</v>
      </c>
      <c r="AW88" s="100">
        <v>3145.1938971642417</v>
      </c>
      <c r="AX88" s="100">
        <v>2.6679089154703611E-4</v>
      </c>
      <c r="AY88" s="100">
        <v>0.26476328077127864</v>
      </c>
      <c r="AZ88" s="100">
        <v>2.7644618095540503E-4</v>
      </c>
      <c r="BA88" s="100">
        <v>0.27434518998014396</v>
      </c>
      <c r="BB88" s="100">
        <v>3.8255755010562829</v>
      </c>
      <c r="BC88" s="100">
        <v>3796.5011272482552</v>
      </c>
      <c r="BD88" s="100">
        <v>0.17649328390244143</v>
      </c>
      <c r="BE88" s="100">
        <v>175.15193494478288</v>
      </c>
      <c r="BF88" s="100">
        <v>4.3497331061008104</v>
      </c>
      <c r="BG88" s="100">
        <v>4316.6751344944441</v>
      </c>
      <c r="BH88" s="100">
        <v>2.1093519985812303</v>
      </c>
      <c r="BI88" s="100">
        <v>2093.3209233920129</v>
      </c>
      <c r="BJ88" s="100">
        <v>5</v>
      </c>
      <c r="BK88" s="100">
        <v>4962</v>
      </c>
      <c r="BL88" s="100">
        <v>3.7484212042585416</v>
      </c>
      <c r="BM88" s="100">
        <v>3719.9332031061767</v>
      </c>
      <c r="BN88" s="100">
        <v>2.903971973413572E-4</v>
      </c>
      <c r="BO88" s="100">
        <v>0.28819017864156288</v>
      </c>
      <c r="BP88" s="100">
        <v>2.7846441619794264</v>
      </c>
      <c r="BQ88" s="100">
        <v>2763.4808663483827</v>
      </c>
      <c r="BR88" s="100">
        <v>3.6847122938842287</v>
      </c>
      <c r="BS88" s="100">
        <v>3656.7084804507085</v>
      </c>
      <c r="BT88" s="100">
        <v>3.8842459810629157</v>
      </c>
      <c r="BU88" s="100">
        <v>3854.7257116068376</v>
      </c>
      <c r="BV88" s="100">
        <v>0.38399214470666315</v>
      </c>
      <c r="BW88" s="100">
        <v>381.07380440689252</v>
      </c>
      <c r="BX88" s="100">
        <v>3.203619772279767</v>
      </c>
      <c r="BY88" s="100">
        <v>3179.2722620104405</v>
      </c>
      <c r="BZ88" s="100">
        <v>2.2490202240407444</v>
      </c>
      <c r="CA88" s="100">
        <v>2231.9276703380347</v>
      </c>
      <c r="CB88" s="100">
        <v>4.1218353574693403</v>
      </c>
      <c r="CC88" s="100">
        <v>4090.5094087525731</v>
      </c>
      <c r="CD88" s="100">
        <v>2.8564589992405964</v>
      </c>
      <c r="CE88" s="100">
        <v>2834.749910846368</v>
      </c>
      <c r="CF88" s="100">
        <v>1.4860841355150181</v>
      </c>
      <c r="CG88" s="100">
        <v>1474.7898960851039</v>
      </c>
      <c r="CH88" s="100">
        <v>3.1883957078078553</v>
      </c>
      <c r="CI88" s="100">
        <v>3164.1639004285157</v>
      </c>
      <c r="CJ88" s="100">
        <v>2.620255006844503</v>
      </c>
      <c r="CK88" s="100">
        <v>2600.3410687924847</v>
      </c>
      <c r="CL88" s="100">
        <v>4.1361695568714865</v>
      </c>
      <c r="CM88" s="100">
        <v>4104.7346682392626</v>
      </c>
      <c r="CN88" s="100">
        <v>4.3981667864516627</v>
      </c>
      <c r="CO88" s="100">
        <v>4364.7407188746301</v>
      </c>
      <c r="CP88" s="100">
        <v>4.1233981313367289</v>
      </c>
      <c r="CQ88" s="100">
        <v>4092.0603055385695</v>
      </c>
      <c r="CR88" s="100">
        <v>1.6173791190858433</v>
      </c>
      <c r="CS88" s="100">
        <v>1605.0870377807908</v>
      </c>
      <c r="CT88" s="100">
        <v>2.0859918600486669</v>
      </c>
      <c r="CU88" s="100">
        <v>2070.1383219122968</v>
      </c>
    </row>
    <row r="89" spans="2:99">
      <c r="C89" s="99" t="s">
        <v>255</v>
      </c>
      <c r="D89" s="100">
        <v>3.1413013646053325</v>
      </c>
      <c r="E89" s="100">
        <v>3336.0620492108633</v>
      </c>
      <c r="F89" s="100">
        <v>5</v>
      </c>
      <c r="G89" s="100">
        <v>5310</v>
      </c>
      <c r="H89" s="100">
        <v>4.5109585297701944</v>
      </c>
      <c r="I89" s="100">
        <v>4790.6379586159464</v>
      </c>
      <c r="J89" s="100">
        <v>3.3651944130802236</v>
      </c>
      <c r="K89" s="100">
        <v>3573.8364666911975</v>
      </c>
      <c r="L89" s="100">
        <v>0.21142424634146645</v>
      </c>
      <c r="M89" s="100">
        <v>224.53254961463736</v>
      </c>
      <c r="N89" s="100">
        <v>4</v>
      </c>
      <c r="O89" s="100">
        <v>4248</v>
      </c>
      <c r="P89" s="100">
        <v>4.6192882430003994</v>
      </c>
      <c r="Q89" s="100">
        <v>4905.6841140664246</v>
      </c>
      <c r="R89" s="100">
        <v>2.3993366094568964</v>
      </c>
      <c r="S89" s="100">
        <v>2548.095479243224</v>
      </c>
      <c r="T89" s="100">
        <v>0.25553434090191612</v>
      </c>
      <c r="U89" s="100">
        <v>271.37747003783494</v>
      </c>
      <c r="V89" s="100">
        <v>4</v>
      </c>
      <c r="W89" s="100">
        <v>4248</v>
      </c>
      <c r="X89" s="100">
        <v>6</v>
      </c>
      <c r="Y89" s="100">
        <v>6372</v>
      </c>
      <c r="Z89" s="100">
        <v>3.0002996110087299</v>
      </c>
      <c r="AA89" s="100">
        <v>3186.3181868912711</v>
      </c>
      <c r="AB89" s="100">
        <v>0.37063589619512699</v>
      </c>
      <c r="AC89" s="100">
        <v>393.61532175922486</v>
      </c>
      <c r="AD89" s="100">
        <v>4</v>
      </c>
      <c r="AE89" s="100">
        <v>4248</v>
      </c>
      <c r="AF89" s="100">
        <v>1.6476246058771118</v>
      </c>
      <c r="AG89" s="100">
        <v>1749.7773314414928</v>
      </c>
      <c r="AH89" s="100">
        <v>4.3999977110956356</v>
      </c>
      <c r="AI89" s="100">
        <v>4672.7975691835654</v>
      </c>
      <c r="AJ89" s="100">
        <v>3.7401386877903358</v>
      </c>
      <c r="AK89" s="100">
        <v>3972.0272864333365</v>
      </c>
      <c r="AL89" s="100">
        <v>4.5115443456490993</v>
      </c>
      <c r="AM89" s="100">
        <v>4791.260095079344</v>
      </c>
      <c r="AN89" s="100">
        <v>3.2965154624345825</v>
      </c>
      <c r="AO89" s="100">
        <v>3500.8994211055265</v>
      </c>
      <c r="AP89" s="100">
        <v>5</v>
      </c>
      <c r="AQ89" s="100">
        <v>5310</v>
      </c>
      <c r="AR89" s="100">
        <v>6.2543741699212427</v>
      </c>
      <c r="AS89" s="100">
        <v>6642.1453684563594</v>
      </c>
      <c r="AT89" s="100">
        <v>2.9088279267968644E-4</v>
      </c>
      <c r="AU89" s="100">
        <v>0.30891752582582699</v>
      </c>
      <c r="AV89" s="100">
        <v>3.1692804284202354</v>
      </c>
      <c r="AW89" s="100">
        <v>3365.7758149822898</v>
      </c>
      <c r="AX89" s="100">
        <v>2.6679089154703611E-4</v>
      </c>
      <c r="AY89" s="100">
        <v>0.28333192682295233</v>
      </c>
      <c r="AZ89" s="100">
        <v>2.0733463571655377E-4</v>
      </c>
      <c r="BA89" s="100">
        <v>0.2201893831309801</v>
      </c>
      <c r="BB89" s="100">
        <v>3.0993379908839489</v>
      </c>
      <c r="BC89" s="100">
        <v>3291.4969463187535</v>
      </c>
      <c r="BD89" s="100">
        <v>0.13236996292683109</v>
      </c>
      <c r="BE89" s="100">
        <v>140.57690062829462</v>
      </c>
      <c r="BF89" s="100">
        <v>5.299771233800695</v>
      </c>
      <c r="BG89" s="100">
        <v>5628.3570502963385</v>
      </c>
      <c r="BH89" s="100">
        <v>2.1093519985812303</v>
      </c>
      <c r="BI89" s="100">
        <v>2240.1318224932666</v>
      </c>
      <c r="BJ89" s="100">
        <v>5</v>
      </c>
      <c r="BK89" s="100">
        <v>5310</v>
      </c>
      <c r="BL89" s="100">
        <v>3.7484212042585416</v>
      </c>
      <c r="BM89" s="100">
        <v>3980.8233189225712</v>
      </c>
      <c r="BN89" s="100">
        <v>3.2480981951982533E-4</v>
      </c>
      <c r="BO89" s="100">
        <v>0.3449480283300545</v>
      </c>
      <c r="BP89" s="100">
        <v>2.7846441619794264</v>
      </c>
      <c r="BQ89" s="100">
        <v>2957.2921000221509</v>
      </c>
      <c r="BR89" s="100">
        <v>3.664188468016027</v>
      </c>
      <c r="BS89" s="100">
        <v>3891.3681530330209</v>
      </c>
      <c r="BT89" s="100">
        <v>3.8842459810629157</v>
      </c>
      <c r="BU89" s="100">
        <v>4125.0692318888168</v>
      </c>
      <c r="BV89" s="100">
        <v>0.33599312661833025</v>
      </c>
      <c r="BW89" s="100">
        <v>356.82470046866672</v>
      </c>
      <c r="BX89" s="100">
        <v>3.2274150240431849</v>
      </c>
      <c r="BY89" s="100">
        <v>3427.5147555338622</v>
      </c>
      <c r="BZ89" s="100">
        <v>2.2490202240407444</v>
      </c>
      <c r="CA89" s="100">
        <v>2388.4594779312706</v>
      </c>
      <c r="CB89" s="100">
        <v>4.1218353574693403</v>
      </c>
      <c r="CC89" s="100">
        <v>4377.3891496324395</v>
      </c>
      <c r="CD89" s="100">
        <v>3.4852221490707578</v>
      </c>
      <c r="CE89" s="100">
        <v>3701.3059223131449</v>
      </c>
      <c r="CF89" s="100">
        <v>1.1462923058213776</v>
      </c>
      <c r="CG89" s="100">
        <v>1217.3624287823031</v>
      </c>
      <c r="CH89" s="100">
        <v>3.1883957078078553</v>
      </c>
      <c r="CI89" s="100">
        <v>3386.0762416919424</v>
      </c>
      <c r="CJ89" s="100">
        <v>2.620255006844503</v>
      </c>
      <c r="CK89" s="100">
        <v>2782.7108172688622</v>
      </c>
      <c r="CL89" s="100">
        <v>4.1361695568714865</v>
      </c>
      <c r="CM89" s="100">
        <v>4392.612069397519</v>
      </c>
      <c r="CN89" s="100">
        <v>4.3981667864516627</v>
      </c>
      <c r="CO89" s="100">
        <v>4670.8531272116661</v>
      </c>
      <c r="CP89" s="100">
        <v>4.1233981313367289</v>
      </c>
      <c r="CQ89" s="100">
        <v>4379.0488154796058</v>
      </c>
      <c r="CR89" s="100">
        <v>1.6173791190858433</v>
      </c>
      <c r="CS89" s="100">
        <v>1717.6566244691655</v>
      </c>
      <c r="CT89" s="100">
        <v>2.0859918600486669</v>
      </c>
      <c r="CU89" s="100">
        <v>2215.3233553716841</v>
      </c>
    </row>
    <row r="90" spans="2:99">
      <c r="C90" s="99" t="s">
        <v>256</v>
      </c>
      <c r="D90" s="100">
        <v>3.1413013646053325</v>
      </c>
      <c r="E90" s="100">
        <v>3483.0749530743924</v>
      </c>
      <c r="F90" s="100">
        <v>4</v>
      </c>
      <c r="G90" s="100">
        <v>4435.2</v>
      </c>
      <c r="H90" s="100">
        <v>4.5109585297701944</v>
      </c>
      <c r="I90" s="100">
        <v>5001.7508178091912</v>
      </c>
      <c r="J90" s="100">
        <v>2.8015989405754498</v>
      </c>
      <c r="K90" s="100">
        <v>3106.4129053100587</v>
      </c>
      <c r="L90" s="100">
        <v>0.25370909560975974</v>
      </c>
      <c r="M90" s="100">
        <v>281.31264521210159</v>
      </c>
      <c r="N90" s="100">
        <v>5</v>
      </c>
      <c r="O90" s="100">
        <v>5544</v>
      </c>
      <c r="P90" s="100">
        <v>4.6192882430003994</v>
      </c>
      <c r="Q90" s="100">
        <v>5121.8668038388423</v>
      </c>
      <c r="R90" s="100">
        <v>3.1059971211957791</v>
      </c>
      <c r="S90" s="100">
        <v>3443.9296079818796</v>
      </c>
      <c r="T90" s="100">
        <v>0.25553434090191612</v>
      </c>
      <c r="U90" s="100">
        <v>283.33647719204458</v>
      </c>
      <c r="V90" s="100">
        <v>4</v>
      </c>
      <c r="W90" s="100">
        <v>4435.2</v>
      </c>
      <c r="X90" s="100">
        <v>5</v>
      </c>
      <c r="Y90" s="100">
        <v>5544</v>
      </c>
      <c r="Z90" s="100">
        <v>3.0002996110087299</v>
      </c>
      <c r="AA90" s="100">
        <v>3326.7322086864797</v>
      </c>
      <c r="AB90" s="100">
        <v>0.30886324682927252</v>
      </c>
      <c r="AC90" s="100">
        <v>342.46756808429734</v>
      </c>
      <c r="AD90" s="100">
        <v>4</v>
      </c>
      <c r="AE90" s="100">
        <v>4435.2</v>
      </c>
      <c r="AF90" s="100">
        <v>1.6476246058771118</v>
      </c>
      <c r="AG90" s="100">
        <v>1826.8861629965415</v>
      </c>
      <c r="AH90" s="100">
        <v>3.3999977110956356</v>
      </c>
      <c r="AI90" s="100">
        <v>3769.9174620628405</v>
      </c>
      <c r="AJ90" s="100">
        <v>3.7401386877903358</v>
      </c>
      <c r="AK90" s="100">
        <v>4147.0657770219241</v>
      </c>
      <c r="AL90" s="100">
        <v>4.4650403142264539</v>
      </c>
      <c r="AM90" s="100">
        <v>4950.836700414292</v>
      </c>
      <c r="AN90" s="100">
        <v>2.8255846820867854</v>
      </c>
      <c r="AO90" s="100">
        <v>3133.0082954978275</v>
      </c>
      <c r="AP90" s="100">
        <v>5</v>
      </c>
      <c r="AQ90" s="100">
        <v>5544</v>
      </c>
      <c r="AR90" s="100">
        <v>5.2365310720965503</v>
      </c>
      <c r="AS90" s="100">
        <v>5806.2656527406543</v>
      </c>
      <c r="AT90" s="100">
        <v>2.893038682832787E-4</v>
      </c>
      <c r="AU90" s="100">
        <v>0.32078012915249943</v>
      </c>
      <c r="AV90" s="100">
        <v>3.1692804284202354</v>
      </c>
      <c r="AW90" s="100">
        <v>3514.0981390323568</v>
      </c>
      <c r="AX90" s="100">
        <v>2.6679089154703611E-4</v>
      </c>
      <c r="AY90" s="100">
        <v>0.2958177405473536</v>
      </c>
      <c r="AZ90" s="100">
        <v>2.7644618095540503E-4</v>
      </c>
      <c r="BA90" s="100">
        <v>0.3065235254433531</v>
      </c>
      <c r="BB90" s="100">
        <v>3.0993379908839489</v>
      </c>
      <c r="BC90" s="100">
        <v>3436.5459642921223</v>
      </c>
      <c r="BD90" s="100">
        <v>0.13236996292683109</v>
      </c>
      <c r="BE90" s="100">
        <v>146.77181489327032</v>
      </c>
      <c r="BF90" s="100">
        <v>5.3497331061008104</v>
      </c>
      <c r="BG90" s="100">
        <v>5931.7840680445788</v>
      </c>
      <c r="BH90" s="100">
        <v>2.1093519985812303</v>
      </c>
      <c r="BI90" s="100">
        <v>2338.8494960268681</v>
      </c>
      <c r="BJ90" s="100">
        <v>5</v>
      </c>
      <c r="BK90" s="100">
        <v>5544</v>
      </c>
      <c r="BL90" s="100">
        <v>3.8184841024478264</v>
      </c>
      <c r="BM90" s="100">
        <v>4233.9351727941494</v>
      </c>
      <c r="BN90" s="100">
        <v>2.91895794917617E-4</v>
      </c>
      <c r="BO90" s="100">
        <v>0.32365405740465369</v>
      </c>
      <c r="BP90" s="100">
        <v>2.7671116055820928</v>
      </c>
      <c r="BQ90" s="100">
        <v>3068.1733482694244</v>
      </c>
      <c r="BR90" s="100">
        <v>3.664188468016027</v>
      </c>
      <c r="BS90" s="100">
        <v>4062.8521733361708</v>
      </c>
      <c r="BT90" s="100">
        <v>3.3433377478988917</v>
      </c>
      <c r="BU90" s="100">
        <v>3707.0928948702908</v>
      </c>
      <c r="BV90" s="100">
        <v>0.33599312661833025</v>
      </c>
      <c r="BW90" s="100">
        <v>372.54917879440455</v>
      </c>
      <c r="BX90" s="100">
        <v>3.2274150240431849</v>
      </c>
      <c r="BY90" s="100">
        <v>3578.5577786590834</v>
      </c>
      <c r="BZ90" s="100">
        <v>1.8741835200339538</v>
      </c>
      <c r="CA90" s="100">
        <v>2078.0946870136481</v>
      </c>
      <c r="CB90" s="100">
        <v>4.1218353574693403</v>
      </c>
      <c r="CC90" s="100">
        <v>4570.291044362004</v>
      </c>
      <c r="CD90" s="100">
        <v>3.4231482581762211</v>
      </c>
      <c r="CE90" s="100">
        <v>3795.5867886657938</v>
      </c>
      <c r="CF90" s="100">
        <v>1.4958469675719761</v>
      </c>
      <c r="CG90" s="100">
        <v>1658.595117643807</v>
      </c>
      <c r="CH90" s="100">
        <v>3.8260748493694265</v>
      </c>
      <c r="CI90" s="100">
        <v>4242.3517929808204</v>
      </c>
      <c r="CJ90" s="100">
        <v>2.8305297005162418</v>
      </c>
      <c r="CK90" s="100">
        <v>3138.4913319324087</v>
      </c>
      <c r="CL90" s="100">
        <v>4.1361695568714865</v>
      </c>
      <c r="CM90" s="100">
        <v>4586.184804659104</v>
      </c>
      <c r="CN90" s="100">
        <v>4.3981667864516627</v>
      </c>
      <c r="CO90" s="100">
        <v>4876.6873328176034</v>
      </c>
      <c r="CP90" s="100">
        <v>4.1233981313367289</v>
      </c>
      <c r="CQ90" s="100">
        <v>4572.0238480261651</v>
      </c>
      <c r="CR90" s="100">
        <v>1.6355915281117919</v>
      </c>
      <c r="CS90" s="100">
        <v>1813.5438863703548</v>
      </c>
      <c r="CT90" s="100">
        <v>1.753765739137696</v>
      </c>
      <c r="CU90" s="100">
        <v>1944.5754515558772</v>
      </c>
    </row>
    <row r="91" spans="2:99">
      <c r="C91" s="99" t="s">
        <v>257</v>
      </c>
      <c r="D91" s="100">
        <v>3.1413013646053325</v>
      </c>
      <c r="E91" s="100">
        <v>3569.7748707374994</v>
      </c>
      <c r="F91" s="100">
        <v>5</v>
      </c>
      <c r="G91" s="100">
        <v>5681.9999999999991</v>
      </c>
      <c r="H91" s="100">
        <v>4.5109585297701944</v>
      </c>
      <c r="I91" s="100">
        <v>5126.2532732308482</v>
      </c>
      <c r="J91" s="100">
        <v>3.3570052021060155</v>
      </c>
      <c r="K91" s="100">
        <v>3814.9007116732755</v>
      </c>
      <c r="L91" s="100">
        <v>0.25370909560975974</v>
      </c>
      <c r="M91" s="100">
        <v>288.31501625093091</v>
      </c>
      <c r="N91" s="100">
        <v>4</v>
      </c>
      <c r="O91" s="100">
        <v>4545.5999999999995</v>
      </c>
      <c r="P91" s="100">
        <v>4.6192882430003994</v>
      </c>
      <c r="Q91" s="100">
        <v>5249.3591593456531</v>
      </c>
      <c r="R91" s="100">
        <v>2.3993366094568964</v>
      </c>
      <c r="S91" s="100">
        <v>2726.6061229868169</v>
      </c>
      <c r="T91" s="100">
        <v>0.25553434090191612</v>
      </c>
      <c r="U91" s="100">
        <v>290.38922500093747</v>
      </c>
      <c r="V91" s="100">
        <v>4</v>
      </c>
      <c r="W91" s="100">
        <v>4545.5999999999995</v>
      </c>
      <c r="X91" s="100">
        <v>5</v>
      </c>
      <c r="Y91" s="100">
        <v>5681.9999999999991</v>
      </c>
      <c r="Z91" s="100">
        <v>3.0250949692828359</v>
      </c>
      <c r="AA91" s="100">
        <v>3437.7179230930142</v>
      </c>
      <c r="AB91" s="100">
        <v>0.30886324682927252</v>
      </c>
      <c r="AC91" s="100">
        <v>350.99219369678525</v>
      </c>
      <c r="AD91" s="100">
        <v>4</v>
      </c>
      <c r="AE91" s="100">
        <v>4545.5999999999995</v>
      </c>
      <c r="AF91" s="100">
        <v>1.9222287068566306</v>
      </c>
      <c r="AG91" s="100">
        <v>2184.4207024718748</v>
      </c>
      <c r="AH91" s="100">
        <v>3.3999977110956356</v>
      </c>
      <c r="AI91" s="100">
        <v>3863.7573988890799</v>
      </c>
      <c r="AJ91" s="100">
        <v>3.7401386877903358</v>
      </c>
      <c r="AK91" s="100">
        <v>4250.2936048049369</v>
      </c>
      <c r="AL91" s="100">
        <v>4.5115443456490993</v>
      </c>
      <c r="AM91" s="100">
        <v>5126.9189943956362</v>
      </c>
      <c r="AN91" s="100">
        <v>3.2965154624345825</v>
      </c>
      <c r="AO91" s="100">
        <v>3746.160171510659</v>
      </c>
      <c r="AP91" s="100">
        <v>5</v>
      </c>
      <c r="AQ91" s="100">
        <v>5681.9999999999991</v>
      </c>
      <c r="AR91" s="100">
        <v>5.2365310720965503</v>
      </c>
      <c r="AS91" s="100">
        <v>5950.7939103305189</v>
      </c>
      <c r="AT91" s="100">
        <v>2.4932810801115974E-4</v>
      </c>
      <c r="AU91" s="100">
        <v>0.2833364619438819</v>
      </c>
      <c r="AV91" s="100">
        <v>3.6974938331569418</v>
      </c>
      <c r="AW91" s="100">
        <v>4201.8319919995483</v>
      </c>
      <c r="AX91" s="100">
        <v>2.6679089154703611E-4</v>
      </c>
      <c r="AY91" s="100">
        <v>0.3031811691540518</v>
      </c>
      <c r="AZ91" s="100">
        <v>2.0733463571655377E-4</v>
      </c>
      <c r="BA91" s="100">
        <v>0.23561508002829168</v>
      </c>
      <c r="BB91" s="100">
        <v>3.0993379908839489</v>
      </c>
      <c r="BC91" s="100">
        <v>3522.0876928405191</v>
      </c>
      <c r="BD91" s="100">
        <v>0.17649328390244143</v>
      </c>
      <c r="BE91" s="100">
        <v>200.56696782673441</v>
      </c>
      <c r="BF91" s="100">
        <v>4.299771233800695</v>
      </c>
      <c r="BG91" s="100">
        <v>4886.260030091109</v>
      </c>
      <c r="BH91" s="100">
        <v>1.5820139989359228</v>
      </c>
      <c r="BI91" s="100">
        <v>1797.8007083907823</v>
      </c>
      <c r="BJ91" s="100">
        <v>5</v>
      </c>
      <c r="BK91" s="100">
        <v>5681.9999999999991</v>
      </c>
      <c r="BL91" s="100">
        <v>3.7834526533531845</v>
      </c>
      <c r="BM91" s="100">
        <v>4299.5155952705582</v>
      </c>
      <c r="BN91" s="100">
        <v>3.3829719770616344E-4</v>
      </c>
      <c r="BO91" s="100">
        <v>0.38444093547328406</v>
      </c>
      <c r="BP91" s="100">
        <v>2.7846441619794264</v>
      </c>
      <c r="BQ91" s="100">
        <v>3164.4696256734196</v>
      </c>
      <c r="BR91" s="100">
        <v>3.664188468016027</v>
      </c>
      <c r="BS91" s="100">
        <v>4163.9837750534125</v>
      </c>
      <c r="BT91" s="100">
        <v>3.8781279592557438</v>
      </c>
      <c r="BU91" s="100">
        <v>4407.1046128982271</v>
      </c>
      <c r="BV91" s="100">
        <v>0.33599312661833025</v>
      </c>
      <c r="BW91" s="100">
        <v>381.82258908907045</v>
      </c>
      <c r="BX91" s="100">
        <v>3.203619772279767</v>
      </c>
      <c r="BY91" s="100">
        <v>3640.5935092187269</v>
      </c>
      <c r="BZ91" s="100">
        <v>1.8741835200339538</v>
      </c>
      <c r="CA91" s="100">
        <v>2129.8221521665851</v>
      </c>
      <c r="CB91" s="100">
        <v>4.7106689799649599</v>
      </c>
      <c r="CC91" s="100">
        <v>5353.20422883218</v>
      </c>
      <c r="CD91" s="100">
        <v>2.8564589992405964</v>
      </c>
      <c r="CE91" s="100">
        <v>3246.0800067370133</v>
      </c>
      <c r="CF91" s="100">
        <v>1.4860841355150181</v>
      </c>
      <c r="CG91" s="100">
        <v>1688.7860115992662</v>
      </c>
      <c r="CH91" s="100">
        <v>3.1883957078078553</v>
      </c>
      <c r="CI91" s="100">
        <v>3623.2928823528464</v>
      </c>
      <c r="CJ91" s="100">
        <v>2.620255006844503</v>
      </c>
      <c r="CK91" s="100">
        <v>2977.6577897780926</v>
      </c>
      <c r="CL91" s="100">
        <v>4.1361695568714865</v>
      </c>
      <c r="CM91" s="100">
        <v>4700.3430844287568</v>
      </c>
      <c r="CN91" s="100">
        <v>4.3981667864516627</v>
      </c>
      <c r="CO91" s="100">
        <v>4998.0767361236685</v>
      </c>
      <c r="CP91" s="100">
        <v>4.1233981313367289</v>
      </c>
      <c r="CQ91" s="100">
        <v>4685.8296364510579</v>
      </c>
      <c r="CR91" s="100">
        <v>1.6355915281117919</v>
      </c>
      <c r="CS91" s="100">
        <v>1858.6862125462401</v>
      </c>
      <c r="CT91" s="100">
        <v>1.753765739137696</v>
      </c>
      <c r="CU91" s="100">
        <v>1992.9793859560775</v>
      </c>
    </row>
    <row r="92" spans="2:99">
      <c r="C92" s="99" t="s">
        <v>258</v>
      </c>
      <c r="D92" s="100">
        <v>3.1413013646053325</v>
      </c>
      <c r="E92" s="100">
        <v>2465.2933109422647</v>
      </c>
      <c r="F92" s="100">
        <v>5</v>
      </c>
      <c r="G92" s="100">
        <v>3924</v>
      </c>
      <c r="H92" s="100">
        <v>4.5109585297701944</v>
      </c>
      <c r="I92" s="100">
        <v>3540.2002541636484</v>
      </c>
      <c r="J92" s="100">
        <v>3.3570052021060155</v>
      </c>
      <c r="K92" s="100">
        <v>2634.5776826128008</v>
      </c>
      <c r="L92" s="100">
        <v>0.21142424634146645</v>
      </c>
      <c r="M92" s="100">
        <v>165.92574852878286</v>
      </c>
      <c r="N92" s="100">
        <v>5</v>
      </c>
      <c r="O92" s="100">
        <v>3924</v>
      </c>
      <c r="P92" s="100">
        <v>4.6192882430003994</v>
      </c>
      <c r="Q92" s="100">
        <v>3625.2174131067131</v>
      </c>
      <c r="R92" s="100">
        <v>2.4342559937369272</v>
      </c>
      <c r="S92" s="100">
        <v>1910.4041038847404</v>
      </c>
      <c r="T92" s="100">
        <v>0.25553434090191612</v>
      </c>
      <c r="U92" s="100">
        <v>200.54335073982375</v>
      </c>
      <c r="V92" s="100">
        <v>5</v>
      </c>
      <c r="W92" s="100">
        <v>3924</v>
      </c>
      <c r="X92" s="100">
        <v>6</v>
      </c>
      <c r="Y92" s="100">
        <v>4708.7999999999993</v>
      </c>
      <c r="Z92" s="100">
        <v>3.0002996110087299</v>
      </c>
      <c r="AA92" s="100">
        <v>2354.635134719651</v>
      </c>
      <c r="AB92" s="100">
        <v>0.37063589619512699</v>
      </c>
      <c r="AC92" s="100">
        <v>290.87505133393563</v>
      </c>
      <c r="AD92" s="100">
        <v>4</v>
      </c>
      <c r="AE92" s="100">
        <v>3139.2</v>
      </c>
      <c r="AF92" s="100">
        <v>1.6476246058771118</v>
      </c>
      <c r="AG92" s="100">
        <v>1293.0557906923573</v>
      </c>
      <c r="AH92" s="100">
        <v>4.4499974249825893</v>
      </c>
      <c r="AI92" s="100">
        <v>3492.357979126336</v>
      </c>
      <c r="AJ92" s="100">
        <v>3.7401386877903358</v>
      </c>
      <c r="AK92" s="100">
        <v>2935.2608421778555</v>
      </c>
      <c r="AL92" s="100">
        <v>5.4185362828038084</v>
      </c>
      <c r="AM92" s="100">
        <v>4252.4672747444283</v>
      </c>
      <c r="AN92" s="100">
        <v>3.2965154624345825</v>
      </c>
      <c r="AO92" s="100">
        <v>2587.10533491866</v>
      </c>
      <c r="AP92" s="100">
        <v>5</v>
      </c>
      <c r="AQ92" s="100">
        <v>3924</v>
      </c>
      <c r="AR92" s="100">
        <v>6.2543741699212427</v>
      </c>
      <c r="AS92" s="100">
        <v>4908.432848554191</v>
      </c>
      <c r="AT92" s="100">
        <v>2.4932810801115974E-4</v>
      </c>
      <c r="AU92" s="100">
        <v>0.19567269916715815</v>
      </c>
      <c r="AV92" s="100">
        <v>3.1692804284202354</v>
      </c>
      <c r="AW92" s="100">
        <v>2487.2512802242004</v>
      </c>
      <c r="AX92" s="100">
        <v>2.6679089154703611E-4</v>
      </c>
      <c r="AY92" s="100">
        <v>0.20937749168611391</v>
      </c>
      <c r="AZ92" s="100">
        <v>2.7644618095540503E-4</v>
      </c>
      <c r="BA92" s="100">
        <v>0.21695496281380186</v>
      </c>
      <c r="BB92" s="100">
        <v>3.8255755010562829</v>
      </c>
      <c r="BC92" s="100">
        <v>3002.3116532289705</v>
      </c>
      <c r="BD92" s="100">
        <v>0.17649328390244143</v>
      </c>
      <c r="BE92" s="100">
        <v>138.51192920663601</v>
      </c>
      <c r="BF92" s="100">
        <v>5.3996949784009267</v>
      </c>
      <c r="BG92" s="100">
        <v>4237.680619049047</v>
      </c>
      <c r="BH92" s="100">
        <v>2.1093519985812303</v>
      </c>
      <c r="BI92" s="100">
        <v>1655.4194484865495</v>
      </c>
      <c r="BJ92" s="100">
        <v>5</v>
      </c>
      <c r="BK92" s="100">
        <v>3924</v>
      </c>
      <c r="BL92" s="100">
        <v>3.8184841024478264</v>
      </c>
      <c r="BM92" s="100">
        <v>2996.746323601054</v>
      </c>
      <c r="BN92" s="100">
        <v>2.91895794917617E-4</v>
      </c>
      <c r="BO92" s="100">
        <v>0.22907981985134582</v>
      </c>
      <c r="BP92" s="100">
        <v>2.7671116055820928</v>
      </c>
      <c r="BQ92" s="100">
        <v>2171.6291880608264</v>
      </c>
      <c r="BR92" s="100">
        <v>4.1507402512008165</v>
      </c>
      <c r="BS92" s="100">
        <v>3257.5009491424007</v>
      </c>
      <c r="BT92" s="100">
        <v>3.8903640028700877</v>
      </c>
      <c r="BU92" s="100">
        <v>3053.1576694524447</v>
      </c>
      <c r="BV92" s="100">
        <v>0.33599312661833025</v>
      </c>
      <c r="BW92" s="100">
        <v>263.68740577006554</v>
      </c>
      <c r="BX92" s="100">
        <v>3.9628830247637259</v>
      </c>
      <c r="BY92" s="100">
        <v>3110.0705978345718</v>
      </c>
      <c r="BZ92" s="100">
        <v>1.8741835200339538</v>
      </c>
      <c r="CA92" s="100">
        <v>1470.8592265226468</v>
      </c>
      <c r="CB92" s="100">
        <v>4.1218353574693403</v>
      </c>
      <c r="CC92" s="100">
        <v>3234.8163885419381</v>
      </c>
      <c r="CD92" s="100">
        <v>3.4852221490707578</v>
      </c>
      <c r="CE92" s="100">
        <v>2735.2023425907305</v>
      </c>
      <c r="CF92" s="100">
        <v>1.4958469675719761</v>
      </c>
      <c r="CG92" s="100">
        <v>1173.9407001504867</v>
      </c>
      <c r="CH92" s="100">
        <v>3.3506007782668559</v>
      </c>
      <c r="CI92" s="100">
        <v>2629.5514907838283</v>
      </c>
      <c r="CJ92" s="100">
        <v>2.620255006844503</v>
      </c>
      <c r="CK92" s="100">
        <v>2056.3761293715656</v>
      </c>
      <c r="CL92" s="100">
        <v>4.1361695568714865</v>
      </c>
      <c r="CM92" s="100">
        <v>3246.0658682327426</v>
      </c>
      <c r="CN92" s="100">
        <v>5.0723854816973617</v>
      </c>
      <c r="CO92" s="100">
        <v>3980.8081260360891</v>
      </c>
      <c r="CP92" s="100">
        <v>4.1549269411661314</v>
      </c>
      <c r="CQ92" s="100">
        <v>3260.7866634271795</v>
      </c>
      <c r="CR92" s="100">
        <v>1.6173791190858433</v>
      </c>
      <c r="CS92" s="100">
        <v>1269.3191326585697</v>
      </c>
      <c r="CT92" s="100">
        <v>1.7669993297923878</v>
      </c>
      <c r="CU92" s="100">
        <v>1386.741074021066</v>
      </c>
    </row>
    <row r="93" spans="2:99">
      <c r="C93" s="99" t="s">
        <v>259</v>
      </c>
      <c r="D93" s="100">
        <v>3.6648515920395548</v>
      </c>
      <c r="E93" s="100">
        <v>2541.9410642386351</v>
      </c>
      <c r="F93" s="100">
        <v>5</v>
      </c>
      <c r="G93" s="100">
        <v>3468</v>
      </c>
      <c r="H93" s="100">
        <v>4.5109585297701944</v>
      </c>
      <c r="I93" s="100">
        <v>3128.8008362486071</v>
      </c>
      <c r="J93" s="100">
        <v>3.3488159911318074</v>
      </c>
      <c r="K93" s="100">
        <v>2322.7387714490219</v>
      </c>
      <c r="L93" s="100">
        <v>0.25370909560975974</v>
      </c>
      <c r="M93" s="100">
        <v>175.97262871492936</v>
      </c>
      <c r="N93" s="100">
        <v>5</v>
      </c>
      <c r="O93" s="100">
        <v>3468</v>
      </c>
      <c r="P93" s="100">
        <v>4.6192882430003994</v>
      </c>
      <c r="Q93" s="100">
        <v>3203.9383253450769</v>
      </c>
      <c r="R93" s="100">
        <v>2.3993366094568964</v>
      </c>
      <c r="S93" s="100">
        <v>1664.1798723193035</v>
      </c>
      <c r="T93" s="100">
        <v>0.30664120908229936</v>
      </c>
      <c r="U93" s="100">
        <v>212.68634261948284</v>
      </c>
      <c r="V93" s="100">
        <v>4</v>
      </c>
      <c r="W93" s="100">
        <v>2774.4</v>
      </c>
      <c r="X93" s="100">
        <v>5</v>
      </c>
      <c r="Y93" s="100">
        <v>3468</v>
      </c>
      <c r="Z93" s="100">
        <v>3.0250949692828359</v>
      </c>
      <c r="AA93" s="100">
        <v>2098.205870694575</v>
      </c>
      <c r="AB93" s="100">
        <v>0.37063589619512699</v>
      </c>
      <c r="AC93" s="100">
        <v>257.0730576009401</v>
      </c>
      <c r="AD93" s="100">
        <v>5</v>
      </c>
      <c r="AE93" s="100">
        <v>3468</v>
      </c>
      <c r="AF93" s="100">
        <v>1.6476246058771118</v>
      </c>
      <c r="AG93" s="100">
        <v>1142.7924266363648</v>
      </c>
      <c r="AH93" s="100">
        <v>4.4499974249825893</v>
      </c>
      <c r="AI93" s="100">
        <v>3086.5182139679241</v>
      </c>
      <c r="AJ93" s="100">
        <v>3.7401386877903358</v>
      </c>
      <c r="AK93" s="100">
        <v>2594.1601938513768</v>
      </c>
      <c r="AL93" s="100">
        <v>4.4650403142264539</v>
      </c>
      <c r="AM93" s="100">
        <v>3096.9519619474686</v>
      </c>
      <c r="AN93" s="100">
        <v>2.8255846820867854</v>
      </c>
      <c r="AO93" s="100">
        <v>1959.8255354953944</v>
      </c>
      <c r="AP93" s="100">
        <v>5</v>
      </c>
      <c r="AQ93" s="100">
        <v>3468</v>
      </c>
      <c r="AR93" s="100">
        <v>6.2543741699212427</v>
      </c>
      <c r="AS93" s="100">
        <v>4338.0339242573737</v>
      </c>
      <c r="AT93" s="100">
        <v>2.5090703240756749E-4</v>
      </c>
      <c r="AU93" s="100">
        <v>0.17402911767788881</v>
      </c>
      <c r="AV93" s="100">
        <v>3.1692804284202354</v>
      </c>
      <c r="AW93" s="100">
        <v>2198.2129051522752</v>
      </c>
      <c r="AX93" s="100">
        <v>2.6679089154703611E-4</v>
      </c>
      <c r="AY93" s="100">
        <v>0.18504616237702426</v>
      </c>
      <c r="AZ93" s="100">
        <v>2.0733463571655377E-4</v>
      </c>
      <c r="BA93" s="100">
        <v>0.14380730333300171</v>
      </c>
      <c r="BB93" s="100">
        <v>3.8385346977359234</v>
      </c>
      <c r="BC93" s="100">
        <v>2662.4076663496367</v>
      </c>
      <c r="BD93" s="100">
        <v>0.17649328390244143</v>
      </c>
      <c r="BE93" s="100">
        <v>122.41574171473337</v>
      </c>
      <c r="BF93" s="100">
        <v>5.3497331061008104</v>
      </c>
      <c r="BG93" s="100">
        <v>3710.5748823915224</v>
      </c>
      <c r="BH93" s="100">
        <v>2.1093519985812303</v>
      </c>
      <c r="BI93" s="100">
        <v>1463.0465462159414</v>
      </c>
      <c r="BJ93" s="100">
        <v>4</v>
      </c>
      <c r="BK93" s="100">
        <v>2774.4</v>
      </c>
      <c r="BL93" s="100">
        <v>3.7834526533531845</v>
      </c>
      <c r="BM93" s="100">
        <v>2624.2027603657689</v>
      </c>
      <c r="BN93" s="100">
        <v>3.3829719770616344E-4</v>
      </c>
      <c r="BO93" s="100">
        <v>0.23464293632899497</v>
      </c>
      <c r="BP93" s="100">
        <v>2.7846441619794264</v>
      </c>
      <c r="BQ93" s="100">
        <v>1931.4291907489303</v>
      </c>
      <c r="BR93" s="100">
        <v>3.6847122938842287</v>
      </c>
      <c r="BS93" s="100">
        <v>2555.7164470381013</v>
      </c>
      <c r="BT93" s="100">
        <v>4.4373902578412823</v>
      </c>
      <c r="BU93" s="100">
        <v>3077.7738828387137</v>
      </c>
      <c r="BV93" s="100">
        <v>0.33599312661833025</v>
      </c>
      <c r="BW93" s="100">
        <v>233.04483262247388</v>
      </c>
      <c r="BX93" s="100">
        <v>3.9628830247637259</v>
      </c>
      <c r="BY93" s="100">
        <v>2748.6556659761204</v>
      </c>
      <c r="BZ93" s="100">
        <v>1.8741835200339538</v>
      </c>
      <c r="CA93" s="100">
        <v>1299.9336894955504</v>
      </c>
      <c r="CB93" s="100">
        <v>4.1218353574693403</v>
      </c>
      <c r="CC93" s="100">
        <v>2858.9050039407343</v>
      </c>
      <c r="CD93" s="100">
        <v>3.4852221490707578</v>
      </c>
      <c r="CE93" s="100">
        <v>2417.3500825954775</v>
      </c>
      <c r="CF93" s="100">
        <v>1.4958469675719761</v>
      </c>
      <c r="CG93" s="100">
        <v>1037.5194567079227</v>
      </c>
      <c r="CH93" s="100">
        <v>3.8260748493694265</v>
      </c>
      <c r="CI93" s="100">
        <v>2653.7655155226344</v>
      </c>
      <c r="CJ93" s="100">
        <v>2.8305297005162418</v>
      </c>
      <c r="CK93" s="100">
        <v>1963.2554002780653</v>
      </c>
      <c r="CL93" s="100">
        <v>4.8255311496834015</v>
      </c>
      <c r="CM93" s="100">
        <v>3346.9884054204072</v>
      </c>
      <c r="CN93" s="100">
        <v>5.0403077894266817</v>
      </c>
      <c r="CO93" s="100">
        <v>3495.9574827463466</v>
      </c>
      <c r="CP93" s="100">
        <v>4.1233981313367289</v>
      </c>
      <c r="CQ93" s="100">
        <v>2859.9889438951554</v>
      </c>
      <c r="CR93" s="100">
        <v>1.6173791190858433</v>
      </c>
      <c r="CS93" s="100">
        <v>1121.8141569979409</v>
      </c>
      <c r="CT93" s="100">
        <v>2.0859918600486669</v>
      </c>
      <c r="CU93" s="100">
        <v>1446.8439541297555</v>
      </c>
    </row>
    <row r="94" spans="2:99">
      <c r="C94" s="99" t="s">
        <v>260</v>
      </c>
      <c r="D94" s="100">
        <v>2.6177511371711106</v>
      </c>
      <c r="E94" s="100">
        <v>3122.4535564177008</v>
      </c>
      <c r="F94" s="100">
        <v>5</v>
      </c>
      <c r="G94" s="100">
        <v>5964</v>
      </c>
      <c r="H94" s="100">
        <v>4.5109585297701944</v>
      </c>
      <c r="I94" s="100">
        <v>5380.6713343098872</v>
      </c>
      <c r="J94" s="100">
        <v>2.8097881515496579</v>
      </c>
      <c r="K94" s="100">
        <v>3351.5153071684317</v>
      </c>
      <c r="L94" s="100">
        <v>0.25370909560975974</v>
      </c>
      <c r="M94" s="100">
        <v>302.62420924332139</v>
      </c>
      <c r="N94" s="100">
        <v>4</v>
      </c>
      <c r="O94" s="100">
        <v>4771.2</v>
      </c>
      <c r="P94" s="100">
        <v>4.6192882430003994</v>
      </c>
      <c r="Q94" s="100">
        <v>5509.8870162508765</v>
      </c>
      <c r="R94" s="100">
        <v>2.3993366094568964</v>
      </c>
      <c r="S94" s="100">
        <v>2861.9287077601857</v>
      </c>
      <c r="T94" s="100">
        <v>0.30664120908229936</v>
      </c>
      <c r="U94" s="100">
        <v>365.76163419336666</v>
      </c>
      <c r="V94" s="100">
        <v>4</v>
      </c>
      <c r="W94" s="100">
        <v>4771.2</v>
      </c>
      <c r="X94" s="100">
        <v>6</v>
      </c>
      <c r="Y94" s="100">
        <v>7156.7999999999993</v>
      </c>
      <c r="Z94" s="100">
        <v>3.0002996110087299</v>
      </c>
      <c r="AA94" s="100">
        <v>3578.7573760112127</v>
      </c>
      <c r="AB94" s="100">
        <v>0.30886324682927252</v>
      </c>
      <c r="AC94" s="100">
        <v>368.41208081795622</v>
      </c>
      <c r="AD94" s="100">
        <v>5</v>
      </c>
      <c r="AE94" s="100">
        <v>5964</v>
      </c>
      <c r="AF94" s="100">
        <v>1.6476246058771118</v>
      </c>
      <c r="AG94" s="100">
        <v>1965.2866298902188</v>
      </c>
      <c r="AH94" s="100">
        <v>3.4499974249825898</v>
      </c>
      <c r="AI94" s="100">
        <v>4115.1569285192327</v>
      </c>
      <c r="AJ94" s="100">
        <v>3.7401386877903358</v>
      </c>
      <c r="AK94" s="100">
        <v>4461.2374267963123</v>
      </c>
      <c r="AL94" s="100">
        <v>4.4650403142264539</v>
      </c>
      <c r="AM94" s="100">
        <v>5325.9000868093144</v>
      </c>
      <c r="AN94" s="100">
        <v>3.2965154624345825</v>
      </c>
      <c r="AO94" s="100">
        <v>3932.08364359197</v>
      </c>
      <c r="AP94" s="100">
        <v>5</v>
      </c>
      <c r="AQ94" s="100">
        <v>5964</v>
      </c>
      <c r="AR94" s="100">
        <v>5.2733599678398235</v>
      </c>
      <c r="AS94" s="100">
        <v>6290.0637696393414</v>
      </c>
      <c r="AT94" s="100">
        <v>2.4932810801115974E-4</v>
      </c>
      <c r="AU94" s="100">
        <v>0.29739856723571134</v>
      </c>
      <c r="AV94" s="100">
        <v>3.1692804284202354</v>
      </c>
      <c r="AW94" s="100">
        <v>3780.3176950196566</v>
      </c>
      <c r="AX94" s="100">
        <v>2.6679089154703611E-4</v>
      </c>
      <c r="AY94" s="100">
        <v>0.31822817543730464</v>
      </c>
      <c r="AZ94" s="100">
        <v>2.0733463571655377E-4</v>
      </c>
      <c r="BA94" s="100">
        <v>0.24730875348270534</v>
      </c>
      <c r="BB94" s="100">
        <v>3.8255755010562829</v>
      </c>
      <c r="BC94" s="100">
        <v>4563.1464576599337</v>
      </c>
      <c r="BD94" s="100">
        <v>0.17649328390244143</v>
      </c>
      <c r="BE94" s="100">
        <v>210.52118903883212</v>
      </c>
      <c r="BF94" s="100">
        <v>5.299771233800695</v>
      </c>
      <c r="BG94" s="100">
        <v>6321.5671276774692</v>
      </c>
      <c r="BH94" s="100">
        <v>2.1093519985812303</v>
      </c>
      <c r="BI94" s="100">
        <v>2516.0350639076914</v>
      </c>
      <c r="BJ94" s="100">
        <v>5</v>
      </c>
      <c r="BK94" s="100">
        <v>5964</v>
      </c>
      <c r="BL94" s="100">
        <v>3.0828124412339757</v>
      </c>
      <c r="BM94" s="100">
        <v>3677.1786799038859</v>
      </c>
      <c r="BN94" s="100">
        <v>2.903971973413572E-4</v>
      </c>
      <c r="BO94" s="100">
        <v>0.34638577698877082</v>
      </c>
      <c r="BP94" s="100">
        <v>2.7671116055820928</v>
      </c>
      <c r="BQ94" s="100">
        <v>3300.6107231383203</v>
      </c>
      <c r="BR94" s="100">
        <v>3.664188468016027</v>
      </c>
      <c r="BS94" s="100">
        <v>4370.6440046495172</v>
      </c>
      <c r="BT94" s="100">
        <v>3.3372197260917198</v>
      </c>
      <c r="BU94" s="100">
        <v>3980.6356892822032</v>
      </c>
      <c r="BV94" s="100">
        <v>0.33599312661833025</v>
      </c>
      <c r="BW94" s="100">
        <v>400.77260143034431</v>
      </c>
      <c r="BX94" s="100">
        <v>3.2274150240431849</v>
      </c>
      <c r="BY94" s="100">
        <v>3849.6606406787109</v>
      </c>
      <c r="BZ94" s="100">
        <v>2.2490202240407444</v>
      </c>
      <c r="CA94" s="100">
        <v>2682.6313232357998</v>
      </c>
      <c r="CB94" s="100">
        <v>4.1218353574693403</v>
      </c>
      <c r="CC94" s="100">
        <v>4916.5252143894286</v>
      </c>
      <c r="CD94" s="100">
        <v>3.4852221490707578</v>
      </c>
      <c r="CE94" s="100">
        <v>4157.1729794116</v>
      </c>
      <c r="CF94" s="100">
        <v>1.4860841355150181</v>
      </c>
      <c r="CG94" s="100">
        <v>1772.6011568423135</v>
      </c>
      <c r="CH94" s="100">
        <v>3.1883957078078553</v>
      </c>
      <c r="CI94" s="100">
        <v>3803.1184002732098</v>
      </c>
      <c r="CJ94" s="100">
        <v>2.620255006844503</v>
      </c>
      <c r="CK94" s="100">
        <v>3125.4401721641229</v>
      </c>
      <c r="CL94" s="100">
        <v>4.1361695568714865</v>
      </c>
      <c r="CM94" s="100">
        <v>4933.6230474363092</v>
      </c>
      <c r="CN94" s="100">
        <v>4.3981667864516627</v>
      </c>
      <c r="CO94" s="100">
        <v>5246.1333428795433</v>
      </c>
      <c r="CP94" s="100">
        <v>4.1233981313367289</v>
      </c>
      <c r="CQ94" s="100">
        <v>4918.38929105845</v>
      </c>
      <c r="CR94" s="100">
        <v>1.6355915281117919</v>
      </c>
      <c r="CS94" s="100">
        <v>1950.9335747317452</v>
      </c>
      <c r="CT94" s="100">
        <v>1.753765739137696</v>
      </c>
      <c r="CU94" s="100">
        <v>2091.8917736434437</v>
      </c>
    </row>
    <row r="95" spans="2:99">
      <c r="B95" s="99" t="s">
        <v>132</v>
      </c>
      <c r="C95" s="99" t="s">
        <v>261</v>
      </c>
      <c r="D95" s="100">
        <v>5.2355022743422213</v>
      </c>
      <c r="E95" s="100">
        <v>1721.4331478037225</v>
      </c>
      <c r="F95" s="100">
        <v>10</v>
      </c>
      <c r="G95" s="100">
        <v>3288</v>
      </c>
      <c r="H95" s="100">
        <v>6.7664377946552925</v>
      </c>
      <c r="I95" s="100">
        <v>2224.8047468826603</v>
      </c>
      <c r="J95" s="100">
        <v>4.9822779318266717</v>
      </c>
      <c r="K95" s="100">
        <v>1638.1729839846098</v>
      </c>
      <c r="L95" s="100">
        <v>0.46513334195122624</v>
      </c>
      <c r="M95" s="100">
        <v>152.93584283356319</v>
      </c>
      <c r="N95" s="100">
        <v>10</v>
      </c>
      <c r="O95" s="100">
        <v>3288</v>
      </c>
      <c r="P95" s="100">
        <v>6.9289323645005991</v>
      </c>
      <c r="Q95" s="100">
        <v>2278.2329614477972</v>
      </c>
      <c r="R95" s="100">
        <v>5.3307368092525209</v>
      </c>
      <c r="S95" s="100">
        <v>1752.7462628822288</v>
      </c>
      <c r="T95" s="100">
        <v>0.40885494544306578</v>
      </c>
      <c r="U95" s="100">
        <v>134.43150606168004</v>
      </c>
      <c r="V95" s="100">
        <v>9</v>
      </c>
      <c r="W95" s="100">
        <v>2959.2000000000003</v>
      </c>
      <c r="X95" s="100">
        <v>7</v>
      </c>
      <c r="Y95" s="100">
        <v>2301.6</v>
      </c>
      <c r="Z95" s="100">
        <v>7.09162561599907</v>
      </c>
      <c r="AA95" s="100">
        <v>2331.7265025404945</v>
      </c>
      <c r="AB95" s="100">
        <v>0.37063589619512699</v>
      </c>
      <c r="AC95" s="100">
        <v>121.86508266895775</v>
      </c>
      <c r="AD95" s="100">
        <v>11</v>
      </c>
      <c r="AE95" s="100">
        <v>3616.8</v>
      </c>
      <c r="AF95" s="100">
        <v>2.1968328078361492</v>
      </c>
      <c r="AG95" s="100">
        <v>722.3186272165259</v>
      </c>
      <c r="AH95" s="100">
        <v>7.599996566643453</v>
      </c>
      <c r="AI95" s="100">
        <v>2498.8788711123675</v>
      </c>
      <c r="AJ95" s="100">
        <v>4.9868515837204477</v>
      </c>
      <c r="AK95" s="100">
        <v>1639.6768007272833</v>
      </c>
      <c r="AL95" s="100">
        <v>7.4185362828038084</v>
      </c>
      <c r="AM95" s="100">
        <v>2439.2147297858924</v>
      </c>
      <c r="AN95" s="100">
        <v>3.7674462427823805</v>
      </c>
      <c r="AO95" s="100">
        <v>1238.7363246268467</v>
      </c>
      <c r="AP95" s="100">
        <v>7</v>
      </c>
      <c r="AQ95" s="100">
        <v>2301.6</v>
      </c>
      <c r="AR95" s="100">
        <v>10.104773186760371</v>
      </c>
      <c r="AS95" s="100">
        <v>3322.44942380681</v>
      </c>
      <c r="AT95" s="100">
        <v>3.9975760272118941E-4</v>
      </c>
      <c r="AU95" s="100">
        <v>0.13144029977472707</v>
      </c>
      <c r="AV95" s="100">
        <v>5.8103474521037652</v>
      </c>
      <c r="AW95" s="100">
        <v>1910.442242251718</v>
      </c>
      <c r="AX95" s="100">
        <v>4.2686542647525774E-4</v>
      </c>
      <c r="AY95" s="100">
        <v>0.14035335222506476</v>
      </c>
      <c r="AZ95" s="100">
        <v>4.1466927143310754E-4</v>
      </c>
      <c r="BA95" s="100">
        <v>0.13634325644720577</v>
      </c>
      <c r="BB95" s="100">
        <v>4.5258946178693353</v>
      </c>
      <c r="BC95" s="100">
        <v>1488.1141503554375</v>
      </c>
      <c r="BD95" s="100">
        <v>0.52947985170732437</v>
      </c>
      <c r="BE95" s="100">
        <v>174.09297524136826</v>
      </c>
      <c r="BF95" s="100">
        <v>7.5495805953012738</v>
      </c>
      <c r="BG95" s="100">
        <v>2482.3020997350591</v>
      </c>
      <c r="BH95" s="100">
        <v>4.7460419968077678</v>
      </c>
      <c r="BI95" s="100">
        <v>1560.498608550394</v>
      </c>
      <c r="BJ95" s="100">
        <v>9</v>
      </c>
      <c r="BK95" s="100">
        <v>2959.2000000000003</v>
      </c>
      <c r="BL95" s="100">
        <v>7.9872939260684381</v>
      </c>
      <c r="BM95" s="100">
        <v>2626.2222428913024</v>
      </c>
      <c r="BN95" s="100">
        <v>4.1761262509691828E-4</v>
      </c>
      <c r="BO95" s="100">
        <v>0.13731103113186674</v>
      </c>
      <c r="BP95" s="100">
        <v>5.2537023088068473</v>
      </c>
      <c r="BQ95" s="100">
        <v>1727.4173191356915</v>
      </c>
      <c r="BR95" s="100">
        <v>4.294407032278226</v>
      </c>
      <c r="BS95" s="100">
        <v>1412.0010322130806</v>
      </c>
      <c r="BT95" s="100">
        <v>4.4496263014556261</v>
      </c>
      <c r="BU95" s="100">
        <v>1463.0371279186099</v>
      </c>
      <c r="BV95" s="100">
        <v>0.38399214470666315</v>
      </c>
      <c r="BW95" s="100">
        <v>126.25661717955084</v>
      </c>
      <c r="BX95" s="100">
        <v>6.8333692723556307</v>
      </c>
      <c r="BY95" s="100">
        <v>2246.8118167505313</v>
      </c>
      <c r="BZ95" s="100">
        <v>4.4980404480814888</v>
      </c>
      <c r="CA95" s="100">
        <v>1478.9556993291935</v>
      </c>
      <c r="CB95" s="100">
        <v>6.5614124449037927</v>
      </c>
      <c r="CC95" s="100">
        <v>2157.392411884367</v>
      </c>
      <c r="CD95" s="100">
        <v>4.7117115032838122</v>
      </c>
      <c r="CE95" s="100">
        <v>1549.2107422797176</v>
      </c>
      <c r="CF95" s="100">
        <v>3.2240946122110525</v>
      </c>
      <c r="CG95" s="100">
        <v>1060.0823084949941</v>
      </c>
      <c r="CH95" s="100">
        <v>5.3041894705663193</v>
      </c>
      <c r="CI95" s="100">
        <v>1744.0174979222058</v>
      </c>
      <c r="CJ95" s="100">
        <v>5.8955737654001314</v>
      </c>
      <c r="CK95" s="100">
        <v>1938.4646540635633</v>
      </c>
      <c r="CL95" s="100">
        <v>5.5400234317600434</v>
      </c>
      <c r="CM95" s="100">
        <v>1821.5597043627024</v>
      </c>
      <c r="CN95" s="100">
        <v>5.8107595614844181</v>
      </c>
      <c r="CO95" s="100">
        <v>1910.5777438160767</v>
      </c>
      <c r="CP95" s="100">
        <v>4.695025517185039</v>
      </c>
      <c r="CQ95" s="100">
        <v>1543.7243900504409</v>
      </c>
      <c r="CR95" s="100">
        <v>3.1801210110938398</v>
      </c>
      <c r="CS95" s="100">
        <v>1045.6237884476545</v>
      </c>
      <c r="CT95" s="100">
        <v>3.9867134509316497</v>
      </c>
      <c r="CU95" s="100">
        <v>1310.8313826663266</v>
      </c>
    </row>
    <row r="96" spans="2:99">
      <c r="C96" s="99" t="s">
        <v>262</v>
      </c>
      <c r="D96" s="100">
        <v>5.759052501776444</v>
      </c>
      <c r="E96" s="100">
        <v>4001.3896782342731</v>
      </c>
      <c r="F96" s="100">
        <v>10</v>
      </c>
      <c r="G96" s="100">
        <v>6948</v>
      </c>
      <c r="H96" s="100">
        <v>5.2627849513985607</v>
      </c>
      <c r="I96" s="100">
        <v>3656.5829842317198</v>
      </c>
      <c r="J96" s="100">
        <v>4.4350608812703145</v>
      </c>
      <c r="K96" s="100">
        <v>3081.4803003066145</v>
      </c>
      <c r="L96" s="100">
        <v>0.4228484926829329</v>
      </c>
      <c r="M96" s="100">
        <v>293.79513271610176</v>
      </c>
      <c r="N96" s="100">
        <v>9</v>
      </c>
      <c r="O96" s="100">
        <v>6253.2</v>
      </c>
      <c r="P96" s="100">
        <v>6.9289323645005991</v>
      </c>
      <c r="Q96" s="100">
        <v>4814.2222068550163</v>
      </c>
      <c r="R96" s="100">
        <v>5.2958174249724905</v>
      </c>
      <c r="S96" s="100">
        <v>3679.5339468708862</v>
      </c>
      <c r="T96" s="100">
        <v>0.40885494544306578</v>
      </c>
      <c r="U96" s="100">
        <v>284.07241609384209</v>
      </c>
      <c r="V96" s="100">
        <v>8</v>
      </c>
      <c r="W96" s="100">
        <v>5558.4</v>
      </c>
      <c r="X96" s="100">
        <v>7</v>
      </c>
      <c r="Y96" s="100">
        <v>4863.5999999999995</v>
      </c>
      <c r="Z96" s="100">
        <v>6.4469309859118393</v>
      </c>
      <c r="AA96" s="100">
        <v>4479.3276490115459</v>
      </c>
      <c r="AB96" s="100">
        <v>0.30886324682927252</v>
      </c>
      <c r="AC96" s="100">
        <v>214.59818389697853</v>
      </c>
      <c r="AD96" s="100">
        <v>10.38078369604057</v>
      </c>
      <c r="AE96" s="100">
        <v>7212.5685120089875</v>
      </c>
      <c r="AF96" s="100">
        <v>1.9222287068566306</v>
      </c>
      <c r="AG96" s="100">
        <v>1335.5645055239868</v>
      </c>
      <c r="AH96" s="100">
        <v>7.599996566643453</v>
      </c>
      <c r="AI96" s="100">
        <v>5280.4776145038704</v>
      </c>
      <c r="AJ96" s="100">
        <v>4.9868515837204477</v>
      </c>
      <c r="AK96" s="100">
        <v>3464.8644803689667</v>
      </c>
      <c r="AL96" s="100">
        <v>6.4185362828038084</v>
      </c>
      <c r="AM96" s="100">
        <v>4459.5990092920856</v>
      </c>
      <c r="AN96" s="100">
        <v>3.2965154624345825</v>
      </c>
      <c r="AO96" s="100">
        <v>2290.4189432995477</v>
      </c>
      <c r="AP96" s="100">
        <v>6</v>
      </c>
      <c r="AQ96" s="100">
        <v>4168.7999999999993</v>
      </c>
      <c r="AR96" s="100">
        <v>10.141602082503644</v>
      </c>
      <c r="AS96" s="100">
        <v>7046.3851269235311</v>
      </c>
      <c r="AT96" s="100">
        <v>3.9975760272118941E-4</v>
      </c>
      <c r="AU96" s="100">
        <v>0.27775158237068237</v>
      </c>
      <c r="AV96" s="100">
        <v>4.7539206426303533</v>
      </c>
      <c r="AW96" s="100">
        <v>3303.0240624995695</v>
      </c>
      <c r="AX96" s="100">
        <v>4.2686542647525774E-4</v>
      </c>
      <c r="AY96" s="100">
        <v>0.29658609831500904</v>
      </c>
      <c r="AZ96" s="100">
        <v>4.1466927143310754E-4</v>
      </c>
      <c r="BA96" s="100">
        <v>0.28811220979172308</v>
      </c>
      <c r="BB96" s="100">
        <v>5.2650913247213094</v>
      </c>
      <c r="BC96" s="100">
        <v>3658.1854524163655</v>
      </c>
      <c r="BD96" s="100">
        <v>0.44123320975610358</v>
      </c>
      <c r="BE96" s="100">
        <v>306.56883413854075</v>
      </c>
      <c r="BF96" s="100">
        <v>8.5995424676013901</v>
      </c>
      <c r="BG96" s="100">
        <v>5974.9621064894454</v>
      </c>
      <c r="BH96" s="100">
        <v>4.7460419968077678</v>
      </c>
      <c r="BI96" s="100">
        <v>3297.5499793820368</v>
      </c>
      <c r="BJ96" s="100">
        <v>9</v>
      </c>
      <c r="BK96" s="100">
        <v>6253.2</v>
      </c>
      <c r="BL96" s="100">
        <v>7.952262476973794</v>
      </c>
      <c r="BM96" s="100">
        <v>5525.2319690013919</v>
      </c>
      <c r="BN96" s="100">
        <v>3.7121122230837178E-4</v>
      </c>
      <c r="BO96" s="100">
        <v>0.25791755725985671</v>
      </c>
      <c r="BP96" s="100">
        <v>5.3939627599855164</v>
      </c>
      <c r="BQ96" s="100">
        <v>3747.7253256379367</v>
      </c>
      <c r="BR96" s="100">
        <v>4.3149308581464272</v>
      </c>
      <c r="BS96" s="100">
        <v>2998.0139602401373</v>
      </c>
      <c r="BT96" s="100">
        <v>4.4435082796484542</v>
      </c>
      <c r="BU96" s="100">
        <v>3087.3495526997458</v>
      </c>
      <c r="BV96" s="100">
        <v>0.33599312661833025</v>
      </c>
      <c r="BW96" s="100">
        <v>233.44802437441584</v>
      </c>
      <c r="BX96" s="100">
        <v>6.8333692723556307</v>
      </c>
      <c r="BY96" s="100">
        <v>4747.8249704326918</v>
      </c>
      <c r="BZ96" s="100">
        <v>3.7483670400679077</v>
      </c>
      <c r="CA96" s="100">
        <v>2604.365419439182</v>
      </c>
      <c r="CB96" s="100">
        <v>6.5614124449037927</v>
      </c>
      <c r="CC96" s="100">
        <v>4558.8693667191546</v>
      </c>
      <c r="CD96" s="100">
        <v>4.6496376123892764</v>
      </c>
      <c r="CE96" s="100">
        <v>3230.5682130880691</v>
      </c>
      <c r="CF96" s="100">
        <v>3.2338574442680108</v>
      </c>
      <c r="CG96" s="100">
        <v>2246.8841522774137</v>
      </c>
      <c r="CH96" s="100">
        <v>5.3041894705663193</v>
      </c>
      <c r="CI96" s="100">
        <v>3685.3508441494782</v>
      </c>
      <c r="CJ96" s="100">
        <v>5.4718121767279184</v>
      </c>
      <c r="CK96" s="100">
        <v>3801.8151003905573</v>
      </c>
      <c r="CL96" s="100">
        <v>5.5148927424953156</v>
      </c>
      <c r="CM96" s="100">
        <v>3831.7474774857451</v>
      </c>
      <c r="CN96" s="100">
        <v>5.3937495619655884</v>
      </c>
      <c r="CO96" s="100">
        <v>3747.5771956536905</v>
      </c>
      <c r="CP96" s="100">
        <v>4.7265543270144423</v>
      </c>
      <c r="CQ96" s="100">
        <v>3284.0099464096343</v>
      </c>
      <c r="CR96" s="100">
        <v>3.161908602067891</v>
      </c>
      <c r="CS96" s="100">
        <v>2196.8940967167705</v>
      </c>
      <c r="CT96" s="100">
        <v>3.3222612091097079</v>
      </c>
      <c r="CU96" s="100">
        <v>2308.3070880894247</v>
      </c>
    </row>
    <row r="97" spans="2:99">
      <c r="C97" s="99" t="s">
        <v>263</v>
      </c>
      <c r="D97" s="100">
        <v>4.7119520469079994</v>
      </c>
      <c r="E97" s="100">
        <v>1848.9699832066988</v>
      </c>
      <c r="F97" s="100">
        <v>10</v>
      </c>
      <c r="G97" s="100">
        <v>3924</v>
      </c>
      <c r="H97" s="100">
        <v>6.0146113730269262</v>
      </c>
      <c r="I97" s="100">
        <v>2360.1335027757655</v>
      </c>
      <c r="J97" s="100">
        <v>5.5294949823830279</v>
      </c>
      <c r="K97" s="100">
        <v>2169.7738310871</v>
      </c>
      <c r="L97" s="100">
        <v>0.46513334195122624</v>
      </c>
      <c r="M97" s="100">
        <v>182.51832338166116</v>
      </c>
      <c r="N97" s="100">
        <v>9</v>
      </c>
      <c r="O97" s="100">
        <v>3531.6</v>
      </c>
      <c r="P97" s="100">
        <v>7.6988137383339987</v>
      </c>
      <c r="Q97" s="100">
        <v>3021.0145109222608</v>
      </c>
      <c r="R97" s="100">
        <v>4.589156913233607</v>
      </c>
      <c r="S97" s="100">
        <v>1800.7851727528673</v>
      </c>
      <c r="T97" s="100">
        <v>0.40885494544306578</v>
      </c>
      <c r="U97" s="100">
        <v>160.43468059185901</v>
      </c>
      <c r="V97" s="100">
        <v>8</v>
      </c>
      <c r="W97" s="100">
        <v>3139.2</v>
      </c>
      <c r="X97" s="100">
        <v>7</v>
      </c>
      <c r="Y97" s="100">
        <v>2746.7999999999997</v>
      </c>
      <c r="Z97" s="100">
        <v>6.4221356276377328</v>
      </c>
      <c r="AA97" s="100">
        <v>2520.0460202850463</v>
      </c>
      <c r="AB97" s="100">
        <v>0.37063589619512699</v>
      </c>
      <c r="AC97" s="100">
        <v>145.43752566696782</v>
      </c>
      <c r="AD97" s="100">
        <v>11</v>
      </c>
      <c r="AE97" s="100">
        <v>4316.3999999999996</v>
      </c>
      <c r="AF97" s="100">
        <v>2.1968328078361492</v>
      </c>
      <c r="AG97" s="100">
        <v>862.03719379490485</v>
      </c>
      <c r="AH97" s="100">
        <v>7.5499968527564985</v>
      </c>
      <c r="AI97" s="100">
        <v>2962.6187650216498</v>
      </c>
      <c r="AJ97" s="100">
        <v>4.9868515837204477</v>
      </c>
      <c r="AK97" s="100">
        <v>1956.8405614519036</v>
      </c>
      <c r="AL97" s="100">
        <v>7.3720322513811629</v>
      </c>
      <c r="AM97" s="100">
        <v>2892.7854554419682</v>
      </c>
      <c r="AN97" s="100">
        <v>3.2965154624345825</v>
      </c>
      <c r="AO97" s="100">
        <v>1293.55266745933</v>
      </c>
      <c r="AP97" s="100">
        <v>7</v>
      </c>
      <c r="AQ97" s="100">
        <v>2746.7999999999997</v>
      </c>
      <c r="AR97" s="100">
        <v>9.1237589846789522</v>
      </c>
      <c r="AS97" s="100">
        <v>3580.1630255880204</v>
      </c>
      <c r="AT97" s="100">
        <v>3.9975760272118941E-4</v>
      </c>
      <c r="AU97" s="100">
        <v>0.15686488330779472</v>
      </c>
      <c r="AV97" s="100">
        <v>5.2821340473670588</v>
      </c>
      <c r="AW97" s="100">
        <v>2072.7094001868336</v>
      </c>
      <c r="AX97" s="100">
        <v>4.80223604784665E-4</v>
      </c>
      <c r="AY97" s="100">
        <v>0.18843974251750253</v>
      </c>
      <c r="AZ97" s="100">
        <v>4.1466927143310754E-4</v>
      </c>
      <c r="BA97" s="100">
        <v>0.16271622211035139</v>
      </c>
      <c r="BB97" s="100">
        <v>4.5388538145489754</v>
      </c>
      <c r="BC97" s="100">
        <v>1781.0462368290177</v>
      </c>
      <c r="BD97" s="100">
        <v>0.48535653073171398</v>
      </c>
      <c r="BE97" s="100">
        <v>190.45390265912457</v>
      </c>
      <c r="BF97" s="100">
        <v>7.5495805953012738</v>
      </c>
      <c r="BG97" s="100">
        <v>2962.4554255962198</v>
      </c>
      <c r="BH97" s="100">
        <v>4.7460419968077678</v>
      </c>
      <c r="BI97" s="100">
        <v>1862.346879547368</v>
      </c>
      <c r="BJ97" s="100">
        <v>9</v>
      </c>
      <c r="BK97" s="100">
        <v>3531.6</v>
      </c>
      <c r="BL97" s="100">
        <v>8.6879341381876465</v>
      </c>
      <c r="BM97" s="100">
        <v>3409.1453558248322</v>
      </c>
      <c r="BN97" s="100">
        <v>3.7121122230837178E-4</v>
      </c>
      <c r="BO97" s="100">
        <v>0.14566328363380507</v>
      </c>
      <c r="BP97" s="100">
        <v>5.2537023088068473</v>
      </c>
      <c r="BQ97" s="100">
        <v>2061.5527859758067</v>
      </c>
      <c r="BR97" s="100">
        <v>5.0067209000132298</v>
      </c>
      <c r="BS97" s="100">
        <v>1964.6372811651913</v>
      </c>
      <c r="BT97" s="100">
        <v>4.9905345346196501</v>
      </c>
      <c r="BU97" s="100">
        <v>1958.2857513847507</v>
      </c>
      <c r="BV97" s="100">
        <v>0.38399214470666315</v>
      </c>
      <c r="BW97" s="100">
        <v>150.67851758289461</v>
      </c>
      <c r="BX97" s="100">
        <v>7.5926325248395896</v>
      </c>
      <c r="BY97" s="100">
        <v>2979.3490027470548</v>
      </c>
      <c r="BZ97" s="100">
        <v>4.123203744074698</v>
      </c>
      <c r="CA97" s="100">
        <v>1617.9451491749114</v>
      </c>
      <c r="CB97" s="100">
        <v>5.962048497726677</v>
      </c>
      <c r="CC97" s="100">
        <v>2339.5078305079478</v>
      </c>
      <c r="CD97" s="100">
        <v>4.7117115032838122</v>
      </c>
      <c r="CE97" s="100">
        <v>1848.8755938885679</v>
      </c>
      <c r="CF97" s="100">
        <v>3.1459919557553868</v>
      </c>
      <c r="CG97" s="100">
        <v>1234.4872434384138</v>
      </c>
      <c r="CH97" s="100">
        <v>4.6462346951973732</v>
      </c>
      <c r="CI97" s="100">
        <v>1823.1824943954491</v>
      </c>
      <c r="CJ97" s="100">
        <v>6.1268759284390439</v>
      </c>
      <c r="CK97" s="100">
        <v>2404.1861143194806</v>
      </c>
      <c r="CL97" s="100">
        <v>6.2268719556454855</v>
      </c>
      <c r="CM97" s="100">
        <v>2443.4245553952883</v>
      </c>
      <c r="CN97" s="100">
        <v>5.8107595614844181</v>
      </c>
      <c r="CO97" s="100">
        <v>2280.1420519264857</v>
      </c>
      <c r="CP97" s="100">
        <v>4.695025517185039</v>
      </c>
      <c r="CQ97" s="100">
        <v>1842.3280129434092</v>
      </c>
      <c r="CR97" s="100">
        <v>3.1801210110938398</v>
      </c>
      <c r="CS97" s="100">
        <v>1247.8794847532226</v>
      </c>
      <c r="CT97" s="100">
        <v>3.6544873300206793</v>
      </c>
      <c r="CU97" s="100">
        <v>1434.0208283001145</v>
      </c>
    </row>
    <row r="98" spans="2:99">
      <c r="C98" s="99" t="s">
        <v>264</v>
      </c>
      <c r="D98" s="100">
        <v>5.759052501776444</v>
      </c>
      <c r="E98" s="100">
        <v>3026.957994933699</v>
      </c>
      <c r="F98" s="100">
        <v>10</v>
      </c>
      <c r="G98" s="100">
        <v>5256</v>
      </c>
      <c r="H98" s="100">
        <v>6.0146113730269262</v>
      </c>
      <c r="I98" s="100">
        <v>3161.2797376629524</v>
      </c>
      <c r="J98" s="100">
        <v>4.974088720852464</v>
      </c>
      <c r="K98" s="100">
        <v>2614.381031680055</v>
      </c>
      <c r="L98" s="100">
        <v>0.46513334195122624</v>
      </c>
      <c r="M98" s="100">
        <v>244.47408452956452</v>
      </c>
      <c r="N98" s="100">
        <v>10</v>
      </c>
      <c r="O98" s="100">
        <v>5256</v>
      </c>
      <c r="P98" s="100">
        <v>7.6988137383339987</v>
      </c>
      <c r="Q98" s="100">
        <v>4046.4965008683498</v>
      </c>
      <c r="R98" s="100">
        <v>5.2958174249724905</v>
      </c>
      <c r="S98" s="100">
        <v>2783.4816385655413</v>
      </c>
      <c r="T98" s="100">
        <v>0.40885494544306578</v>
      </c>
      <c r="U98" s="100">
        <v>214.89415932487537</v>
      </c>
      <c r="V98" s="100">
        <v>8</v>
      </c>
      <c r="W98" s="100">
        <v>4204.8</v>
      </c>
      <c r="X98" s="100">
        <v>7</v>
      </c>
      <c r="Y98" s="100">
        <v>3679.2000000000003</v>
      </c>
      <c r="Z98" s="100">
        <v>6.3973402693636272</v>
      </c>
      <c r="AA98" s="100">
        <v>3362.4420455775225</v>
      </c>
      <c r="AB98" s="100">
        <v>0.37063589619512699</v>
      </c>
      <c r="AC98" s="100">
        <v>194.80622704015875</v>
      </c>
      <c r="AD98" s="100">
        <v>11.38078369604057</v>
      </c>
      <c r="AE98" s="100">
        <v>5981.7399106389239</v>
      </c>
      <c r="AF98" s="100">
        <v>2.1968328078361492</v>
      </c>
      <c r="AG98" s="100">
        <v>1154.65532379868</v>
      </c>
      <c r="AH98" s="100">
        <v>7.599996566643453</v>
      </c>
      <c r="AI98" s="100">
        <v>3994.5581954277991</v>
      </c>
      <c r="AJ98" s="100">
        <v>4.3634951357553913</v>
      </c>
      <c r="AK98" s="100">
        <v>2293.4530433530335</v>
      </c>
      <c r="AL98" s="100">
        <v>8.3720322513811638</v>
      </c>
      <c r="AM98" s="100">
        <v>4400.3401513259396</v>
      </c>
      <c r="AN98" s="100">
        <v>3.2965154624345825</v>
      </c>
      <c r="AO98" s="100">
        <v>1732.6485270556166</v>
      </c>
      <c r="AP98" s="100">
        <v>7</v>
      </c>
      <c r="AQ98" s="100">
        <v>3679.2000000000003</v>
      </c>
      <c r="AR98" s="100">
        <v>10.104773186760371</v>
      </c>
      <c r="AS98" s="100">
        <v>5311.0687869612511</v>
      </c>
      <c r="AT98" s="100">
        <v>4.3973336299330836E-4</v>
      </c>
      <c r="AU98" s="100">
        <v>0.23112385558928289</v>
      </c>
      <c r="AV98" s="100">
        <v>5.2821340473670588</v>
      </c>
      <c r="AW98" s="100">
        <v>2776.2896552961261</v>
      </c>
      <c r="AX98" s="100">
        <v>3.7350724816585053E-4</v>
      </c>
      <c r="AY98" s="100">
        <v>0.19631540963597105</v>
      </c>
      <c r="AZ98" s="100">
        <v>4.1466927143310754E-4</v>
      </c>
      <c r="BA98" s="100">
        <v>0.21795016906524134</v>
      </c>
      <c r="BB98" s="100">
        <v>4.5258946178693353</v>
      </c>
      <c r="BC98" s="100">
        <v>2378.810211152123</v>
      </c>
      <c r="BD98" s="100">
        <v>0.48535653073171398</v>
      </c>
      <c r="BE98" s="100">
        <v>255.10339255258887</v>
      </c>
      <c r="BF98" s="100">
        <v>7.6495043399015055</v>
      </c>
      <c r="BG98" s="100">
        <v>4020.5794810522316</v>
      </c>
      <c r="BH98" s="100">
        <v>4.7460419968077678</v>
      </c>
      <c r="BI98" s="100">
        <v>2494.519673522163</v>
      </c>
      <c r="BJ98" s="100">
        <v>11</v>
      </c>
      <c r="BK98" s="100">
        <v>5781.6</v>
      </c>
      <c r="BL98" s="100">
        <v>8.6879341381876465</v>
      </c>
      <c r="BM98" s="100">
        <v>4566.3781830314274</v>
      </c>
      <c r="BN98" s="100">
        <v>4.1761262509691828E-4</v>
      </c>
      <c r="BO98" s="100">
        <v>0.21949719575094026</v>
      </c>
      <c r="BP98" s="100">
        <v>4.5969895202059909</v>
      </c>
      <c r="BQ98" s="100">
        <v>2416.177691820269</v>
      </c>
      <c r="BR98" s="100">
        <v>4.3149308581464272</v>
      </c>
      <c r="BS98" s="100">
        <v>2267.9276590417621</v>
      </c>
      <c r="BT98" s="100">
        <v>3.8903640028700877</v>
      </c>
      <c r="BU98" s="100">
        <v>2044.7753199085182</v>
      </c>
      <c r="BV98" s="100">
        <v>0.33599312661833025</v>
      </c>
      <c r="BW98" s="100">
        <v>176.59798735059439</v>
      </c>
      <c r="BX98" s="100">
        <v>6.8333692723556307</v>
      </c>
      <c r="BY98" s="100">
        <v>3591.6188895501195</v>
      </c>
      <c r="BZ98" s="100">
        <v>4.4980404480814888</v>
      </c>
      <c r="CA98" s="100">
        <v>2364.1700595116308</v>
      </c>
      <c r="CB98" s="100">
        <v>6.5508821202222975</v>
      </c>
      <c r="CC98" s="100">
        <v>3443.1436423888399</v>
      </c>
      <c r="CD98" s="100">
        <v>4.6806745578365438</v>
      </c>
      <c r="CE98" s="100">
        <v>2460.1625475988876</v>
      </c>
      <c r="CF98" s="100">
        <v>3.1459919557553868</v>
      </c>
      <c r="CG98" s="100">
        <v>1653.5333719450314</v>
      </c>
      <c r="CH98" s="100">
        <v>5.2839138367589449</v>
      </c>
      <c r="CI98" s="100">
        <v>2777.2251126005017</v>
      </c>
      <c r="CJ98" s="100">
        <v>5.4928396460950921</v>
      </c>
      <c r="CK98" s="100">
        <v>2887.0365179875807</v>
      </c>
      <c r="CL98" s="100">
        <v>4.8456357010951834</v>
      </c>
      <c r="CM98" s="100">
        <v>2546.8661244956284</v>
      </c>
      <c r="CN98" s="100">
        <v>6.5170559490007944</v>
      </c>
      <c r="CO98" s="100">
        <v>3425.3646067948175</v>
      </c>
      <c r="CP98" s="100">
        <v>4.0918693215073256</v>
      </c>
      <c r="CQ98" s="100">
        <v>2150.6865153842505</v>
      </c>
      <c r="CR98" s="100">
        <v>2.8122010493742771</v>
      </c>
      <c r="CS98" s="100">
        <v>1478.0928715511202</v>
      </c>
      <c r="CT98" s="100">
        <v>3.6544873300206793</v>
      </c>
      <c r="CU98" s="100">
        <v>1920.7985406588691</v>
      </c>
    </row>
    <row r="99" spans="2:99">
      <c r="C99" s="99" t="s">
        <v>265</v>
      </c>
      <c r="D99" s="100">
        <v>4.7119520469079994</v>
      </c>
      <c r="E99" s="100">
        <v>19829.778994207623</v>
      </c>
      <c r="F99" s="100">
        <v>9</v>
      </c>
      <c r="G99" s="100">
        <v>37875.599999999999</v>
      </c>
      <c r="H99" s="100">
        <v>4.5109585297701944</v>
      </c>
      <c r="I99" s="100">
        <v>18983.917876684885</v>
      </c>
      <c r="J99" s="100">
        <v>3.8714654087655411</v>
      </c>
      <c r="K99" s="100">
        <v>16292.675026248902</v>
      </c>
      <c r="L99" s="100">
        <v>0.38056364341463961</v>
      </c>
      <c r="M99" s="100">
        <v>1601.5640369461692</v>
      </c>
      <c r="N99" s="100">
        <v>8</v>
      </c>
      <c r="O99" s="100">
        <v>33667.199999999997</v>
      </c>
      <c r="P99" s="100">
        <v>5.389169616833799</v>
      </c>
      <c r="Q99" s="100">
        <v>22679.781415483358</v>
      </c>
      <c r="R99" s="100">
        <v>4.5542375289535757</v>
      </c>
      <c r="S99" s="100">
        <v>19166.053216848228</v>
      </c>
      <c r="T99" s="100">
        <v>0.35774807726268254</v>
      </c>
      <c r="U99" s="100">
        <v>1505.547008352273</v>
      </c>
      <c r="V99" s="100">
        <v>7</v>
      </c>
      <c r="W99" s="100">
        <v>29458.799999999996</v>
      </c>
      <c r="X99" s="100">
        <v>6</v>
      </c>
      <c r="Y99" s="100">
        <v>25250.399999999998</v>
      </c>
      <c r="Z99" s="100">
        <v>5.7030549227281844</v>
      </c>
      <c r="AA99" s="100">
        <v>24000.736336809288</v>
      </c>
      <c r="AB99" s="100">
        <v>0.30886324682927252</v>
      </c>
      <c r="AC99" s="100">
        <v>1299.8200879563103</v>
      </c>
      <c r="AD99" s="100">
        <v>9.2665485872283995</v>
      </c>
      <c r="AE99" s="100">
        <v>38997.34307449199</v>
      </c>
      <c r="AF99" s="100">
        <v>1.6476246058771118</v>
      </c>
      <c r="AG99" s="100">
        <v>6933.8633913732365</v>
      </c>
      <c r="AH99" s="100">
        <v>6.4499974249825893</v>
      </c>
      <c r="AI99" s="100">
        <v>27144.169163296727</v>
      </c>
      <c r="AJ99" s="100">
        <v>3.1167822398252794</v>
      </c>
      <c r="AK99" s="100">
        <v>13116.666378080705</v>
      </c>
      <c r="AL99" s="100">
        <v>6.3255282199585174</v>
      </c>
      <c r="AM99" s="100">
        <v>26620.352960873424</v>
      </c>
      <c r="AN99" s="100">
        <v>2.8255846820867854</v>
      </c>
      <c r="AO99" s="100">
        <v>11891.190576094026</v>
      </c>
      <c r="AP99" s="100">
        <v>6</v>
      </c>
      <c r="AQ99" s="100">
        <v>25250.399999999998</v>
      </c>
      <c r="AR99" s="100">
        <v>9.086930088935679</v>
      </c>
      <c r="AS99" s="100">
        <v>38241.436586276905</v>
      </c>
      <c r="AT99" s="100">
        <v>3.9975760272118941E-4</v>
      </c>
      <c r="AU99" s="100">
        <v>1.6823398952918533</v>
      </c>
      <c r="AV99" s="100">
        <v>4.2257072378936478</v>
      </c>
      <c r="AW99" s="100">
        <v>17783.466339951625</v>
      </c>
      <c r="AX99" s="100">
        <v>3.7350724816585053E-4</v>
      </c>
      <c r="AY99" s="100">
        <v>1.5718679031811653</v>
      </c>
      <c r="AZ99" s="100">
        <v>3.4555772619425628E-4</v>
      </c>
      <c r="BA99" s="100">
        <v>1.454245134915908</v>
      </c>
      <c r="BB99" s="100">
        <v>3.78669791101736</v>
      </c>
      <c r="BC99" s="100">
        <v>15935.939488725457</v>
      </c>
      <c r="BD99" s="100">
        <v>0.44123320975610358</v>
      </c>
      <c r="BE99" s="100">
        <v>1856.8858399375861</v>
      </c>
      <c r="BF99" s="100">
        <v>5.4996187230011584</v>
      </c>
      <c r="BG99" s="100">
        <v>23144.595433878072</v>
      </c>
      <c r="BH99" s="100">
        <v>3.6913659975171531</v>
      </c>
      <c r="BI99" s="100">
        <v>15534.744663951185</v>
      </c>
      <c r="BJ99" s="100">
        <v>8</v>
      </c>
      <c r="BK99" s="100">
        <v>33667.199999999997</v>
      </c>
      <c r="BL99" s="100">
        <v>6.5159506036407349</v>
      </c>
      <c r="BM99" s="100">
        <v>27421.726520361666</v>
      </c>
      <c r="BN99" s="100">
        <v>3.2480981951982533E-4</v>
      </c>
      <c r="BO99" s="100">
        <v>1.3669296444672328</v>
      </c>
      <c r="BP99" s="100">
        <v>4.5969895202059909</v>
      </c>
      <c r="BQ99" s="100">
        <v>19345.970696834891</v>
      </c>
      <c r="BR99" s="100">
        <v>3.6026169904114234</v>
      </c>
      <c r="BS99" s="100">
        <v>15161.253342447433</v>
      </c>
      <c r="BT99" s="100">
        <v>3.8903640028700877</v>
      </c>
      <c r="BU99" s="100">
        <v>16372.207869678476</v>
      </c>
      <c r="BV99" s="100">
        <v>0.28799410852999735</v>
      </c>
      <c r="BW99" s="100">
        <v>1211.9944063376408</v>
      </c>
      <c r="BX99" s="100">
        <v>6.0741060198716719</v>
      </c>
      <c r="BY99" s="100">
        <v>25562.267774027943</v>
      </c>
      <c r="BZ99" s="100">
        <v>3.3735303360611169</v>
      </c>
      <c r="CA99" s="100">
        <v>14197.165066279604</v>
      </c>
      <c r="CB99" s="100">
        <v>5.3626845505495604</v>
      </c>
      <c r="CC99" s="100">
        <v>22568.32166253277</v>
      </c>
      <c r="CD99" s="100">
        <v>3.9898375171118459</v>
      </c>
      <c r="CE99" s="100">
        <v>16790.832207013489</v>
      </c>
      <c r="CF99" s="100">
        <v>2.864777118403496</v>
      </c>
      <c r="CG99" s="100">
        <v>12056.128025089272</v>
      </c>
      <c r="CH99" s="100">
        <v>3.8260748493694265</v>
      </c>
      <c r="CI99" s="100">
        <v>16101.653396086293</v>
      </c>
      <c r="CJ99" s="100">
        <v>3.930382510266754</v>
      </c>
      <c r="CK99" s="100">
        <v>16540.621756206605</v>
      </c>
      <c r="CL99" s="100">
        <v>4.1537610393567972</v>
      </c>
      <c r="CM99" s="100">
        <v>17480.687958029142</v>
      </c>
      <c r="CN99" s="100">
        <v>5.0723854816973617</v>
      </c>
      <c r="CO99" s="100">
        <v>21346.627061175175</v>
      </c>
      <c r="CP99" s="100">
        <v>3.9972828920191175</v>
      </c>
      <c r="CQ99" s="100">
        <v>16822.165322773253</v>
      </c>
      <c r="CR99" s="100">
        <v>2.7757762313223791</v>
      </c>
      <c r="CS99" s="100">
        <v>11681.576691897098</v>
      </c>
      <c r="CT99" s="100">
        <v>2.9900350881987374</v>
      </c>
      <c r="CU99" s="100">
        <v>12583.263665175566</v>
      </c>
    </row>
    <row r="100" spans="2:99">
      <c r="C100" s="99" t="s">
        <v>266</v>
      </c>
      <c r="D100" s="100">
        <v>5.759052501776444</v>
      </c>
      <c r="E100" s="100">
        <v>1865.9330105755678</v>
      </c>
      <c r="F100" s="100">
        <v>10</v>
      </c>
      <c r="G100" s="100">
        <v>3240</v>
      </c>
      <c r="H100" s="100">
        <v>6.7664377946552925</v>
      </c>
      <c r="I100" s="100">
        <v>2192.3258454683146</v>
      </c>
      <c r="J100" s="100">
        <v>5.5213057714088212</v>
      </c>
      <c r="K100" s="100">
        <v>1788.903069936458</v>
      </c>
      <c r="L100" s="100">
        <v>0.4228484926829329</v>
      </c>
      <c r="M100" s="100">
        <v>137.00291162927027</v>
      </c>
      <c r="N100" s="100">
        <v>10</v>
      </c>
      <c r="O100" s="100">
        <v>3240</v>
      </c>
      <c r="P100" s="100">
        <v>6.9289323645005991</v>
      </c>
      <c r="Q100" s="100">
        <v>2244.9740860981942</v>
      </c>
      <c r="R100" s="100">
        <v>5.2958174249724905</v>
      </c>
      <c r="S100" s="100">
        <v>1715.8448456910869</v>
      </c>
      <c r="T100" s="100">
        <v>0.40885494544306578</v>
      </c>
      <c r="U100" s="100">
        <v>132.4690023235533</v>
      </c>
      <c r="V100" s="100">
        <v>9</v>
      </c>
      <c r="W100" s="100">
        <v>2916</v>
      </c>
      <c r="X100" s="100">
        <v>8</v>
      </c>
      <c r="Y100" s="100">
        <v>2592</v>
      </c>
      <c r="Z100" s="100">
        <v>7.1412163325472822</v>
      </c>
      <c r="AA100" s="100">
        <v>2313.7540917453193</v>
      </c>
      <c r="AB100" s="100">
        <v>0.37063589619512699</v>
      </c>
      <c r="AC100" s="100">
        <v>120.08603036722114</v>
      </c>
      <c r="AD100" s="100">
        <v>11</v>
      </c>
      <c r="AE100" s="100">
        <v>3564</v>
      </c>
      <c r="AF100" s="100">
        <v>2.1968328078361492</v>
      </c>
      <c r="AG100" s="100">
        <v>711.77382973891235</v>
      </c>
      <c r="AH100" s="100">
        <v>7.5499968527564985</v>
      </c>
      <c r="AI100" s="100">
        <v>2446.1989802931057</v>
      </c>
      <c r="AJ100" s="100">
        <v>4.9868515837204477</v>
      </c>
      <c r="AK100" s="100">
        <v>1615.7399131254251</v>
      </c>
      <c r="AL100" s="100">
        <v>7.3720322513811629</v>
      </c>
      <c r="AM100" s="100">
        <v>2388.538449447497</v>
      </c>
      <c r="AN100" s="100">
        <v>3.2965154624345825</v>
      </c>
      <c r="AO100" s="100">
        <v>1068.0710098288048</v>
      </c>
      <c r="AP100" s="100">
        <v>6</v>
      </c>
      <c r="AQ100" s="100">
        <v>1944</v>
      </c>
      <c r="AR100" s="100">
        <v>9.1605878804222254</v>
      </c>
      <c r="AS100" s="100">
        <v>2968.0304732568011</v>
      </c>
      <c r="AT100" s="100">
        <v>4.3973336299330836E-4</v>
      </c>
      <c r="AU100" s="100">
        <v>0.14247360960983191</v>
      </c>
      <c r="AV100" s="100">
        <v>5.2821340473670588</v>
      </c>
      <c r="AW100" s="100">
        <v>1711.411431346927</v>
      </c>
      <c r="AX100" s="100">
        <v>4.80223604784665E-4</v>
      </c>
      <c r="AY100" s="100">
        <v>0.15559244795023147</v>
      </c>
      <c r="AZ100" s="100">
        <v>4.1466927143310754E-4</v>
      </c>
      <c r="BA100" s="100">
        <v>0.13435284394432684</v>
      </c>
      <c r="BB100" s="100">
        <v>5.2780505214009503</v>
      </c>
      <c r="BC100" s="100">
        <v>1710.088368933908</v>
      </c>
      <c r="BD100" s="100">
        <v>0.48535653073171398</v>
      </c>
      <c r="BE100" s="100">
        <v>157.25551595707532</v>
      </c>
      <c r="BF100" s="100">
        <v>6.5995424676013901</v>
      </c>
      <c r="BG100" s="100">
        <v>2138.2517595028503</v>
      </c>
      <c r="BH100" s="100">
        <v>4.7460419968077678</v>
      </c>
      <c r="BI100" s="100">
        <v>1537.7176069657169</v>
      </c>
      <c r="BJ100" s="100">
        <v>9</v>
      </c>
      <c r="BK100" s="100">
        <v>2916</v>
      </c>
      <c r="BL100" s="100">
        <v>7.9872939260684381</v>
      </c>
      <c r="BM100" s="100">
        <v>2587.8832320461738</v>
      </c>
      <c r="BN100" s="100">
        <v>3.7121122230837178E-4</v>
      </c>
      <c r="BO100" s="100">
        <v>0.12027243602791246</v>
      </c>
      <c r="BP100" s="100">
        <v>5.9104150974077028</v>
      </c>
      <c r="BQ100" s="100">
        <v>1914.9744915600957</v>
      </c>
      <c r="BR100" s="100">
        <v>4.9861970741450294</v>
      </c>
      <c r="BS100" s="100">
        <v>1615.5278520229895</v>
      </c>
      <c r="BT100" s="100">
        <v>4.4496263014556261</v>
      </c>
      <c r="BU100" s="100">
        <v>1441.6789216716229</v>
      </c>
      <c r="BV100" s="100">
        <v>0.38399214470666315</v>
      </c>
      <c r="BW100" s="100">
        <v>124.41345488495887</v>
      </c>
      <c r="BX100" s="100">
        <v>7.5926325248395896</v>
      </c>
      <c r="BY100" s="100">
        <v>2460.0129380480271</v>
      </c>
      <c r="BZ100" s="100">
        <v>4.4980404480814888</v>
      </c>
      <c r="CA100" s="100">
        <v>1457.3651051784025</v>
      </c>
      <c r="CB100" s="100">
        <v>7.1397157427179172</v>
      </c>
      <c r="CC100" s="100">
        <v>2313.2679006406051</v>
      </c>
      <c r="CD100" s="100">
        <v>5.2784007622194373</v>
      </c>
      <c r="CE100" s="100">
        <v>1710.2018469590978</v>
      </c>
      <c r="CF100" s="100">
        <v>3.2338574442680108</v>
      </c>
      <c r="CG100" s="100">
        <v>1047.7698119428355</v>
      </c>
      <c r="CH100" s="100">
        <v>4.6665103290047485</v>
      </c>
      <c r="CI100" s="100">
        <v>1511.9493465975386</v>
      </c>
      <c r="CJ100" s="100">
        <v>5.4718121767279184</v>
      </c>
      <c r="CK100" s="100">
        <v>1772.8671452598455</v>
      </c>
      <c r="CL100" s="100">
        <v>4.8255311496834015</v>
      </c>
      <c r="CM100" s="100">
        <v>1563.4720924974222</v>
      </c>
      <c r="CN100" s="100">
        <v>5.1686185585093991</v>
      </c>
      <c r="CO100" s="100">
        <v>1674.6324129570453</v>
      </c>
      <c r="CP100" s="100">
        <v>4.695025517185039</v>
      </c>
      <c r="CQ100" s="100">
        <v>1521.1882675679526</v>
      </c>
      <c r="CR100" s="100">
        <v>2.8122010493742771</v>
      </c>
      <c r="CS100" s="100">
        <v>911.15313999726573</v>
      </c>
      <c r="CT100" s="100">
        <v>3.9867134509316497</v>
      </c>
      <c r="CU100" s="100">
        <v>1291.6951581018545</v>
      </c>
    </row>
    <row r="101" spans="2:99">
      <c r="C101" s="99" t="s">
        <v>267</v>
      </c>
      <c r="D101" s="100">
        <v>5.2355022743422213</v>
      </c>
      <c r="E101" s="100">
        <v>3788.4094457140313</v>
      </c>
      <c r="F101" s="100">
        <v>10</v>
      </c>
      <c r="G101" s="100">
        <v>7236</v>
      </c>
      <c r="H101" s="100">
        <v>6.0146113730269262</v>
      </c>
      <c r="I101" s="100">
        <v>4352.1727895222839</v>
      </c>
      <c r="J101" s="100">
        <v>4.9822779318266717</v>
      </c>
      <c r="K101" s="100">
        <v>3605.1763114697796</v>
      </c>
      <c r="L101" s="100">
        <v>0.46513334195122624</v>
      </c>
      <c r="M101" s="100">
        <v>336.57048623590731</v>
      </c>
      <c r="N101" s="100">
        <v>9</v>
      </c>
      <c r="O101" s="100">
        <v>6512.4000000000005</v>
      </c>
      <c r="P101" s="100">
        <v>6.9289323645005991</v>
      </c>
      <c r="Q101" s="100">
        <v>5013.7754589526339</v>
      </c>
      <c r="R101" s="100">
        <v>4.589156913233607</v>
      </c>
      <c r="S101" s="100">
        <v>3320.7139424158381</v>
      </c>
      <c r="T101" s="100">
        <v>0.40885494544306578</v>
      </c>
      <c r="U101" s="100">
        <v>295.84743852260243</v>
      </c>
      <c r="V101" s="100">
        <v>8</v>
      </c>
      <c r="W101" s="100">
        <v>5788.8</v>
      </c>
      <c r="X101" s="100">
        <v>7</v>
      </c>
      <c r="Y101" s="100">
        <v>5065.2</v>
      </c>
      <c r="Z101" s="100">
        <v>6.3973402693636272</v>
      </c>
      <c r="AA101" s="100">
        <v>4629.1154189115205</v>
      </c>
      <c r="AB101" s="100">
        <v>0.37063589619512699</v>
      </c>
      <c r="AC101" s="100">
        <v>268.19213448679392</v>
      </c>
      <c r="AD101" s="100">
        <v>11</v>
      </c>
      <c r="AE101" s="100">
        <v>7959.6</v>
      </c>
      <c r="AF101" s="100">
        <v>1.9222287068566306</v>
      </c>
      <c r="AG101" s="100">
        <v>1390.924692281458</v>
      </c>
      <c r="AH101" s="100">
        <v>7.599996566643453</v>
      </c>
      <c r="AI101" s="100">
        <v>5499.3575156232027</v>
      </c>
      <c r="AJ101" s="100">
        <v>4.3634951357553913</v>
      </c>
      <c r="AK101" s="100">
        <v>3157.4250802326014</v>
      </c>
      <c r="AL101" s="100">
        <v>7.3720322513811629</v>
      </c>
      <c r="AM101" s="100">
        <v>5334.4025370994095</v>
      </c>
      <c r="AN101" s="100">
        <v>3.7674462427823805</v>
      </c>
      <c r="AO101" s="100">
        <v>2726.1241012773307</v>
      </c>
      <c r="AP101" s="100">
        <v>6</v>
      </c>
      <c r="AQ101" s="100">
        <v>4341.6000000000004</v>
      </c>
      <c r="AR101" s="100">
        <v>11.122616284585064</v>
      </c>
      <c r="AS101" s="100">
        <v>8048.3251435257525</v>
      </c>
      <c r="AT101" s="100">
        <v>4.7970912326542725E-4</v>
      </c>
      <c r="AU101" s="100">
        <v>0.3471175215948632</v>
      </c>
      <c r="AV101" s="100">
        <v>5.2821340473670588</v>
      </c>
      <c r="AW101" s="100">
        <v>3822.1521966748037</v>
      </c>
      <c r="AX101" s="100">
        <v>3.7350724816585053E-4</v>
      </c>
      <c r="AY101" s="100">
        <v>0.27026984477280946</v>
      </c>
      <c r="AZ101" s="100">
        <v>4.837808166719588E-4</v>
      </c>
      <c r="BA101" s="100">
        <v>0.35006379894382939</v>
      </c>
      <c r="BB101" s="100">
        <v>4.5258946178693353</v>
      </c>
      <c r="BC101" s="100">
        <v>3274.9373454902511</v>
      </c>
      <c r="BD101" s="100">
        <v>0.44123320975610358</v>
      </c>
      <c r="BE101" s="100">
        <v>319.27635057951659</v>
      </c>
      <c r="BF101" s="100">
        <v>8.4996187230011575</v>
      </c>
      <c r="BG101" s="100">
        <v>6150.3241079636382</v>
      </c>
      <c r="BH101" s="100">
        <v>4.7460419968077678</v>
      </c>
      <c r="BI101" s="100">
        <v>3434.235988890101</v>
      </c>
      <c r="BJ101" s="100">
        <v>9</v>
      </c>
      <c r="BK101" s="100">
        <v>6512.4000000000005</v>
      </c>
      <c r="BL101" s="100">
        <v>8.6879341381876465</v>
      </c>
      <c r="BM101" s="100">
        <v>6286.5891423925814</v>
      </c>
      <c r="BN101" s="100">
        <v>3.7121122230837178E-4</v>
      </c>
      <c r="BO101" s="100">
        <v>0.26860844046233784</v>
      </c>
      <c r="BP101" s="100">
        <v>5.2537023088068473</v>
      </c>
      <c r="BQ101" s="100">
        <v>3801.5789906526347</v>
      </c>
      <c r="BR101" s="100">
        <v>4.3149308581464272</v>
      </c>
      <c r="BS101" s="100">
        <v>3122.283968954755</v>
      </c>
      <c r="BT101" s="100">
        <v>4.9844165128124782</v>
      </c>
      <c r="BU101" s="100">
        <v>3606.7237886711096</v>
      </c>
      <c r="BV101" s="100">
        <v>0.33599312661833025</v>
      </c>
      <c r="BW101" s="100">
        <v>243.12462642102378</v>
      </c>
      <c r="BX101" s="100">
        <v>7.5926325248395896</v>
      </c>
      <c r="BY101" s="100">
        <v>5494.028894973927</v>
      </c>
      <c r="BZ101" s="100">
        <v>4.4980404480814888</v>
      </c>
      <c r="CA101" s="100">
        <v>3254.7820682317656</v>
      </c>
      <c r="CB101" s="100">
        <v>5.962048497726677</v>
      </c>
      <c r="CC101" s="100">
        <v>4314.1382929550236</v>
      </c>
      <c r="CD101" s="100">
        <v>5.3094377076667056</v>
      </c>
      <c r="CE101" s="100">
        <v>3841.9091252676285</v>
      </c>
      <c r="CF101" s="100">
        <v>3.1459919557553868</v>
      </c>
      <c r="CG101" s="100">
        <v>2276.4397791845981</v>
      </c>
      <c r="CH101" s="100">
        <v>5.2839138367589449</v>
      </c>
      <c r="CI101" s="100">
        <v>3823.4400522787728</v>
      </c>
      <c r="CJ101" s="100">
        <v>5.2405100136890059</v>
      </c>
      <c r="CK101" s="100">
        <v>3792.0330459053648</v>
      </c>
      <c r="CL101" s="100">
        <v>5.5148927424953156</v>
      </c>
      <c r="CM101" s="100">
        <v>3990.5763884696103</v>
      </c>
      <c r="CN101" s="100">
        <v>5.7786818692137381</v>
      </c>
      <c r="CO101" s="100">
        <v>4181.454200563061</v>
      </c>
      <c r="CP101" s="100">
        <v>4.695025517185039</v>
      </c>
      <c r="CQ101" s="100">
        <v>3397.3204642350943</v>
      </c>
      <c r="CR101" s="100">
        <v>3.1436961930419423</v>
      </c>
      <c r="CS101" s="100">
        <v>2274.7785652851494</v>
      </c>
      <c r="CT101" s="100">
        <v>3.3222612091097079</v>
      </c>
      <c r="CU101" s="100">
        <v>2403.9882109117848</v>
      </c>
    </row>
    <row r="102" spans="2:99">
      <c r="C102" s="99" t="s">
        <v>268</v>
      </c>
      <c r="D102" s="100">
        <v>4.7119520469079994</v>
      </c>
      <c r="E102" s="100">
        <v>2504.8737081362924</v>
      </c>
      <c r="F102" s="100">
        <v>11</v>
      </c>
      <c r="G102" s="100">
        <v>5847.6</v>
      </c>
      <c r="H102" s="100">
        <v>6.0146113730269262</v>
      </c>
      <c r="I102" s="100">
        <v>3197.3674059011141</v>
      </c>
      <c r="J102" s="100">
        <v>4.9822779318266717</v>
      </c>
      <c r="K102" s="100">
        <v>2648.578948559059</v>
      </c>
      <c r="L102" s="100">
        <v>0.4228484926829329</v>
      </c>
      <c r="M102" s="100">
        <v>224.78625871024713</v>
      </c>
      <c r="N102" s="100">
        <v>10</v>
      </c>
      <c r="O102" s="100">
        <v>5316</v>
      </c>
      <c r="P102" s="100">
        <v>8.4686951121673992</v>
      </c>
      <c r="Q102" s="100">
        <v>4501.9583216281899</v>
      </c>
      <c r="R102" s="100">
        <v>5.2608980406924584</v>
      </c>
      <c r="S102" s="100">
        <v>2796.6933984321108</v>
      </c>
      <c r="T102" s="100">
        <v>0.40885494544306578</v>
      </c>
      <c r="U102" s="100">
        <v>217.34728899753378</v>
      </c>
      <c r="V102" s="100">
        <v>9</v>
      </c>
      <c r="W102" s="100">
        <v>4784.4000000000005</v>
      </c>
      <c r="X102" s="100">
        <v>7</v>
      </c>
      <c r="Y102" s="100">
        <v>3721.2000000000003</v>
      </c>
      <c r="Z102" s="100">
        <v>6.4469309859118393</v>
      </c>
      <c r="AA102" s="100">
        <v>3427.1885121107339</v>
      </c>
      <c r="AB102" s="100">
        <v>0.37063589619512699</v>
      </c>
      <c r="AC102" s="100">
        <v>197.03004241732953</v>
      </c>
      <c r="AD102" s="100">
        <v>11</v>
      </c>
      <c r="AE102" s="100">
        <v>5847.6</v>
      </c>
      <c r="AF102" s="100">
        <v>1.9222287068566306</v>
      </c>
      <c r="AG102" s="100">
        <v>1021.8567805649849</v>
      </c>
      <c r="AH102" s="100">
        <v>8.4999971388695439</v>
      </c>
      <c r="AI102" s="100">
        <v>4518.5984790230495</v>
      </c>
      <c r="AJ102" s="100">
        <v>4.9868515837204477</v>
      </c>
      <c r="AK102" s="100">
        <v>2651.0103019057901</v>
      </c>
      <c r="AL102" s="100">
        <v>7.4185362828038084</v>
      </c>
      <c r="AM102" s="100">
        <v>3943.6938879385048</v>
      </c>
      <c r="AN102" s="100">
        <v>3.2965154624345825</v>
      </c>
      <c r="AO102" s="100">
        <v>1752.4276198302241</v>
      </c>
      <c r="AP102" s="100">
        <v>6</v>
      </c>
      <c r="AQ102" s="100">
        <v>3189.6000000000004</v>
      </c>
      <c r="AR102" s="100">
        <v>10.141602082503644</v>
      </c>
      <c r="AS102" s="100">
        <v>5391.275667058937</v>
      </c>
      <c r="AT102" s="100">
        <v>4.3973336299330836E-4</v>
      </c>
      <c r="AU102" s="100">
        <v>0.23376225576724274</v>
      </c>
      <c r="AV102" s="100">
        <v>4.7539206426303533</v>
      </c>
      <c r="AW102" s="100">
        <v>2527.1842136222958</v>
      </c>
      <c r="AX102" s="100">
        <v>4.80223604784665E-4</v>
      </c>
      <c r="AY102" s="100">
        <v>0.25528686830352793</v>
      </c>
      <c r="AZ102" s="100">
        <v>4.837808166719588E-4</v>
      </c>
      <c r="BA102" s="100">
        <v>0.25717788214281329</v>
      </c>
      <c r="BB102" s="100">
        <v>5.2780505214009503</v>
      </c>
      <c r="BC102" s="100">
        <v>2805.8116571767455</v>
      </c>
      <c r="BD102" s="100">
        <v>0.44123320975610358</v>
      </c>
      <c r="BE102" s="100">
        <v>234.55957430634467</v>
      </c>
      <c r="BF102" s="100">
        <v>7.5995424676013901</v>
      </c>
      <c r="BG102" s="100">
        <v>4039.9167757768992</v>
      </c>
      <c r="BH102" s="100">
        <v>4.7460419968077678</v>
      </c>
      <c r="BI102" s="100">
        <v>2522.9959255030094</v>
      </c>
      <c r="BJ102" s="100">
        <v>10</v>
      </c>
      <c r="BK102" s="100">
        <v>5316</v>
      </c>
      <c r="BL102" s="100">
        <v>7.9872939260684381</v>
      </c>
      <c r="BM102" s="100">
        <v>4246.0454510979816</v>
      </c>
      <c r="BN102" s="100">
        <v>3.7121122230837178E-4</v>
      </c>
      <c r="BO102" s="100">
        <v>0.19733588577913044</v>
      </c>
      <c r="BP102" s="100">
        <v>5.9104150974077028</v>
      </c>
      <c r="BQ102" s="100">
        <v>3141.976665781935</v>
      </c>
      <c r="BR102" s="100">
        <v>5.0067209000132298</v>
      </c>
      <c r="BS102" s="100">
        <v>2661.5728304470331</v>
      </c>
      <c r="BT102" s="100">
        <v>4.9905345346196501</v>
      </c>
      <c r="BU102" s="100">
        <v>2652.9681586038059</v>
      </c>
      <c r="BV102" s="100">
        <v>0.33599312661833025</v>
      </c>
      <c r="BW102" s="100">
        <v>178.61394611030437</v>
      </c>
      <c r="BX102" s="100">
        <v>6.8333692723556307</v>
      </c>
      <c r="BY102" s="100">
        <v>3632.6191051842534</v>
      </c>
      <c r="BZ102" s="100">
        <v>3.7483670400679077</v>
      </c>
      <c r="CA102" s="100">
        <v>1992.6319185000998</v>
      </c>
      <c r="CB102" s="100">
        <v>6.5614124449037927</v>
      </c>
      <c r="CC102" s="100">
        <v>3488.0468557108566</v>
      </c>
      <c r="CD102" s="100">
        <v>5.3094377076667056</v>
      </c>
      <c r="CE102" s="100">
        <v>2822.4970853956206</v>
      </c>
      <c r="CF102" s="100">
        <v>2.8745399504604543</v>
      </c>
      <c r="CG102" s="100">
        <v>1528.1054376647776</v>
      </c>
      <c r="CH102" s="100">
        <v>5.3041894705663193</v>
      </c>
      <c r="CI102" s="100">
        <v>2819.7071225530553</v>
      </c>
      <c r="CJ102" s="100">
        <v>5.4718121767279184</v>
      </c>
      <c r="CK102" s="100">
        <v>2908.8153531485614</v>
      </c>
      <c r="CL102" s="100">
        <v>5.5349972939070984</v>
      </c>
      <c r="CM102" s="100">
        <v>2942.4045614410138</v>
      </c>
      <c r="CN102" s="100">
        <v>5.7786818692137381</v>
      </c>
      <c r="CO102" s="100">
        <v>3071.9472816740231</v>
      </c>
      <c r="CP102" s="100">
        <v>4.0918693215073256</v>
      </c>
      <c r="CQ102" s="100">
        <v>2175.2377313132943</v>
      </c>
      <c r="CR102" s="100">
        <v>2.8122010493742771</v>
      </c>
      <c r="CS102" s="100">
        <v>1494.9660778473658</v>
      </c>
      <c r="CT102" s="100">
        <v>3.9867134509316497</v>
      </c>
      <c r="CU102" s="100">
        <v>2119.3368705152652</v>
      </c>
    </row>
    <row r="103" spans="2:99">
      <c r="C103" s="99" t="s">
        <v>269</v>
      </c>
      <c r="D103" s="100">
        <v>5.759052501776444</v>
      </c>
      <c r="E103" s="100">
        <v>3393.2337340466806</v>
      </c>
      <c r="F103" s="100">
        <v>10</v>
      </c>
      <c r="G103" s="100">
        <v>5891.9999999999991</v>
      </c>
      <c r="H103" s="100">
        <v>6.7664377946552925</v>
      </c>
      <c r="I103" s="100">
        <v>3986.785148610898</v>
      </c>
      <c r="J103" s="100">
        <v>5.5294949823830279</v>
      </c>
      <c r="K103" s="100">
        <v>3257.9784436200798</v>
      </c>
      <c r="L103" s="100">
        <v>0.46513334195122624</v>
      </c>
      <c r="M103" s="100">
        <v>274.05656507766247</v>
      </c>
      <c r="N103" s="100">
        <v>9</v>
      </c>
      <c r="O103" s="100">
        <v>5302.7999999999993</v>
      </c>
      <c r="P103" s="100">
        <v>7.6988137383339987</v>
      </c>
      <c r="Q103" s="100">
        <v>4536.1410546263915</v>
      </c>
      <c r="R103" s="100">
        <v>5.3307368092525209</v>
      </c>
      <c r="S103" s="100">
        <v>3140.8701280115852</v>
      </c>
      <c r="T103" s="100">
        <v>0.35774807726268254</v>
      </c>
      <c r="U103" s="100">
        <v>210.78516712317253</v>
      </c>
      <c r="V103" s="100">
        <v>8</v>
      </c>
      <c r="W103" s="100">
        <v>4713.5999999999995</v>
      </c>
      <c r="X103" s="100">
        <v>6</v>
      </c>
      <c r="Y103" s="100">
        <v>3535.2</v>
      </c>
      <c r="Z103" s="100">
        <v>6.4469309859118393</v>
      </c>
      <c r="AA103" s="100">
        <v>3798.5317368992555</v>
      </c>
      <c r="AB103" s="100">
        <v>0.37063589619512699</v>
      </c>
      <c r="AC103" s="100">
        <v>218.37867003816879</v>
      </c>
      <c r="AD103" s="100">
        <v>10</v>
      </c>
      <c r="AE103" s="100">
        <v>5891.9999999999991</v>
      </c>
      <c r="AF103" s="100">
        <v>1.9222287068566306</v>
      </c>
      <c r="AG103" s="100">
        <v>1132.5771540799267</v>
      </c>
      <c r="AH103" s="100">
        <v>7.599996566643453</v>
      </c>
      <c r="AI103" s="100">
        <v>4477.9179770663222</v>
      </c>
      <c r="AJ103" s="100">
        <v>4.3634951357553913</v>
      </c>
      <c r="AK103" s="100">
        <v>2570.9713339870764</v>
      </c>
      <c r="AL103" s="100">
        <v>7.4185362828038084</v>
      </c>
      <c r="AM103" s="100">
        <v>4371.0015778280031</v>
      </c>
      <c r="AN103" s="100">
        <v>3.2965154624345825</v>
      </c>
      <c r="AO103" s="100">
        <v>1942.3069104664557</v>
      </c>
      <c r="AP103" s="100">
        <v>6</v>
      </c>
      <c r="AQ103" s="100">
        <v>3535.2</v>
      </c>
      <c r="AR103" s="100">
        <v>10.104773186760371</v>
      </c>
      <c r="AS103" s="100">
        <v>5953.7323616392096</v>
      </c>
      <c r="AT103" s="100">
        <v>4.7970912326542725E-4</v>
      </c>
      <c r="AU103" s="100">
        <v>0.28264461542798969</v>
      </c>
      <c r="AV103" s="100">
        <v>5.2821340473670588</v>
      </c>
      <c r="AW103" s="100">
        <v>3112.2333807086707</v>
      </c>
      <c r="AX103" s="100">
        <v>4.80223604784665E-4</v>
      </c>
      <c r="AY103" s="100">
        <v>0.28294774793912458</v>
      </c>
      <c r="AZ103" s="100">
        <v>4.1466927143310754E-4</v>
      </c>
      <c r="BA103" s="100">
        <v>0.24432313472838693</v>
      </c>
      <c r="BB103" s="100">
        <v>4.5258946178693353</v>
      </c>
      <c r="BC103" s="100">
        <v>2666.6571088486121</v>
      </c>
      <c r="BD103" s="100">
        <v>0.52947985170732437</v>
      </c>
      <c r="BE103" s="100">
        <v>311.96952862595549</v>
      </c>
      <c r="BF103" s="100">
        <v>7.5995424676013901</v>
      </c>
      <c r="BG103" s="100">
        <v>4477.6504219107383</v>
      </c>
      <c r="BH103" s="100">
        <v>4.7460419968077678</v>
      </c>
      <c r="BI103" s="100">
        <v>2796.3679445191365</v>
      </c>
      <c r="BJ103" s="100">
        <v>10</v>
      </c>
      <c r="BK103" s="100">
        <v>5891.9999999999991</v>
      </c>
      <c r="BL103" s="100">
        <v>7.952262476973794</v>
      </c>
      <c r="BM103" s="100">
        <v>4685.4730514329585</v>
      </c>
      <c r="BN103" s="100">
        <v>3.7121122230837178E-4</v>
      </c>
      <c r="BO103" s="100">
        <v>0.21871765218409261</v>
      </c>
      <c r="BP103" s="100">
        <v>6.0506755485863728</v>
      </c>
      <c r="BQ103" s="100">
        <v>3565.0580332270906</v>
      </c>
      <c r="BR103" s="100">
        <v>4.294407032278226</v>
      </c>
      <c r="BS103" s="100">
        <v>2530.2646234183303</v>
      </c>
      <c r="BT103" s="100">
        <v>4.4435082796484542</v>
      </c>
      <c r="BU103" s="100">
        <v>2618.115078368869</v>
      </c>
      <c r="BV103" s="100">
        <v>0.33599312661833025</v>
      </c>
      <c r="BW103" s="100">
        <v>197.96715020352016</v>
      </c>
      <c r="BX103" s="100">
        <v>7.5926325248395896</v>
      </c>
      <c r="BY103" s="100">
        <v>4473.5790836354854</v>
      </c>
      <c r="BZ103" s="100">
        <v>4.123203744074698</v>
      </c>
      <c r="CA103" s="100">
        <v>2429.3916460088117</v>
      </c>
      <c r="CB103" s="100">
        <v>7.1502460673994124</v>
      </c>
      <c r="CC103" s="100">
        <v>4212.9249829117334</v>
      </c>
      <c r="CD103" s="100">
        <v>5.2784007622194373</v>
      </c>
      <c r="CE103" s="100">
        <v>3110.0337290996922</v>
      </c>
      <c r="CF103" s="100">
        <v>3.583412106018609</v>
      </c>
      <c r="CG103" s="100">
        <v>2111.3464128661644</v>
      </c>
      <c r="CH103" s="100">
        <v>5.2839138367589449</v>
      </c>
      <c r="CI103" s="100">
        <v>3113.2820326183701</v>
      </c>
      <c r="CJ103" s="100">
        <v>4.816748425016792</v>
      </c>
      <c r="CK103" s="100">
        <v>2838.0281720198936</v>
      </c>
      <c r="CL103" s="100">
        <v>4.8481487700216563</v>
      </c>
      <c r="CM103" s="100">
        <v>2856.5292552967594</v>
      </c>
      <c r="CN103" s="100">
        <v>5.8428372537550972</v>
      </c>
      <c r="CO103" s="100">
        <v>3442.5997099125029</v>
      </c>
      <c r="CP103" s="100">
        <v>4.0918693215073256</v>
      </c>
      <c r="CQ103" s="100">
        <v>2410.9294042321158</v>
      </c>
      <c r="CR103" s="100">
        <v>3.161908602067891</v>
      </c>
      <c r="CS103" s="100">
        <v>1862.9965483384012</v>
      </c>
      <c r="CT103" s="100">
        <v>3.6544873300206793</v>
      </c>
      <c r="CU103" s="100">
        <v>2153.2239348481839</v>
      </c>
    </row>
    <row r="104" spans="2:99">
      <c r="C104" s="99" t="s">
        <v>270</v>
      </c>
      <c r="D104" s="100">
        <v>4.7119520469079994</v>
      </c>
      <c r="E104" s="100">
        <v>2979.8384744646187</v>
      </c>
      <c r="F104" s="100">
        <v>11</v>
      </c>
      <c r="G104" s="100">
        <v>6956.4</v>
      </c>
      <c r="H104" s="100">
        <v>6.0146113730269262</v>
      </c>
      <c r="I104" s="100">
        <v>3803.640232302228</v>
      </c>
      <c r="J104" s="100">
        <v>4.4268716702961068</v>
      </c>
      <c r="K104" s="100">
        <v>2799.553644295258</v>
      </c>
      <c r="L104" s="100">
        <v>0.38056364341463961</v>
      </c>
      <c r="M104" s="100">
        <v>240.66844809541809</v>
      </c>
      <c r="N104" s="100">
        <v>10</v>
      </c>
      <c r="O104" s="100">
        <v>6324</v>
      </c>
      <c r="P104" s="100">
        <v>7.6988137383339987</v>
      </c>
      <c r="Q104" s="100">
        <v>4868.7298081224208</v>
      </c>
      <c r="R104" s="100">
        <v>5.2958174249724905</v>
      </c>
      <c r="S104" s="100">
        <v>3349.0749395526027</v>
      </c>
      <c r="T104" s="100">
        <v>0.45996181362344901</v>
      </c>
      <c r="U104" s="100">
        <v>290.87985093546916</v>
      </c>
      <c r="V104" s="100">
        <v>8</v>
      </c>
      <c r="W104" s="100">
        <v>5059.2</v>
      </c>
      <c r="X104" s="100">
        <v>8</v>
      </c>
      <c r="Y104" s="100">
        <v>5059.2</v>
      </c>
      <c r="Z104" s="100">
        <v>6.4469309859118393</v>
      </c>
      <c r="AA104" s="100">
        <v>4077.0391554906469</v>
      </c>
      <c r="AB104" s="100">
        <v>0.37063589619512699</v>
      </c>
      <c r="AC104" s="100">
        <v>234.39014075379831</v>
      </c>
      <c r="AD104" s="100">
        <v>10</v>
      </c>
      <c r="AE104" s="100">
        <v>6324</v>
      </c>
      <c r="AF104" s="100">
        <v>2.1968328078361492</v>
      </c>
      <c r="AG104" s="100">
        <v>1389.2770676755806</v>
      </c>
      <c r="AH104" s="100">
        <v>7.599996566643453</v>
      </c>
      <c r="AI104" s="100">
        <v>4806.2378287453193</v>
      </c>
      <c r="AJ104" s="100">
        <v>4.3634951357553913</v>
      </c>
      <c r="AK104" s="100">
        <v>2759.4743238517094</v>
      </c>
      <c r="AL104" s="100">
        <v>7.3720322513811629</v>
      </c>
      <c r="AM104" s="100">
        <v>4662.073195773447</v>
      </c>
      <c r="AN104" s="100">
        <v>3.2965154624345825</v>
      </c>
      <c r="AO104" s="100">
        <v>2084.7163784436298</v>
      </c>
      <c r="AP104" s="100">
        <v>6</v>
      </c>
      <c r="AQ104" s="100">
        <v>3794.3999999999996</v>
      </c>
      <c r="AR104" s="100">
        <v>10.141602082503644</v>
      </c>
      <c r="AS104" s="100">
        <v>6413.549156975304</v>
      </c>
      <c r="AT104" s="100">
        <v>3.9975760272118941E-4</v>
      </c>
      <c r="AU104" s="100">
        <v>0.25280670796088017</v>
      </c>
      <c r="AV104" s="100">
        <v>5.2821340473670588</v>
      </c>
      <c r="AW104" s="100">
        <v>3340.4215715549281</v>
      </c>
      <c r="AX104" s="100">
        <v>4.2686542647525774E-4</v>
      </c>
      <c r="AY104" s="100">
        <v>0.26994969570295296</v>
      </c>
      <c r="AZ104" s="100">
        <v>4.1466927143310754E-4</v>
      </c>
      <c r="BA104" s="100">
        <v>0.26223684725429719</v>
      </c>
      <c r="BB104" s="100">
        <v>5.2650913247213094</v>
      </c>
      <c r="BC104" s="100">
        <v>3329.6437537537558</v>
      </c>
      <c r="BD104" s="100">
        <v>0.48535653073171398</v>
      </c>
      <c r="BE104" s="100">
        <v>306.9394700347359</v>
      </c>
      <c r="BF104" s="100">
        <v>8.6495043399015046</v>
      </c>
      <c r="BG104" s="100">
        <v>5469.9465445537116</v>
      </c>
      <c r="BH104" s="100">
        <v>4.7460419968077678</v>
      </c>
      <c r="BI104" s="100">
        <v>3001.3969587812321</v>
      </c>
      <c r="BJ104" s="100">
        <v>10</v>
      </c>
      <c r="BK104" s="100">
        <v>6324</v>
      </c>
      <c r="BL104" s="100">
        <v>7.2866537139492289</v>
      </c>
      <c r="BM104" s="100">
        <v>4608.0798087014919</v>
      </c>
      <c r="BN104" s="100">
        <v>4.1761262509691828E-4</v>
      </c>
      <c r="BO104" s="100">
        <v>0.26409822411129114</v>
      </c>
      <c r="BP104" s="100">
        <v>6.0506755485863728</v>
      </c>
      <c r="BQ104" s="100">
        <v>3826.4472169260221</v>
      </c>
      <c r="BR104" s="100">
        <v>4.9861970741450294</v>
      </c>
      <c r="BS104" s="100">
        <v>3153.2710296893165</v>
      </c>
      <c r="BT104" s="100">
        <v>4.9905345346196501</v>
      </c>
      <c r="BU104" s="100">
        <v>3156.0140396934667</v>
      </c>
      <c r="BV104" s="100">
        <v>0.38399214470666315</v>
      </c>
      <c r="BW104" s="100">
        <v>242.83663231249378</v>
      </c>
      <c r="BX104" s="100">
        <v>7.5926325248395896</v>
      </c>
      <c r="BY104" s="100">
        <v>4801.5808087085561</v>
      </c>
      <c r="BZ104" s="100">
        <v>4.123203744074698</v>
      </c>
      <c r="CA104" s="100">
        <v>2607.5140477528389</v>
      </c>
      <c r="CB104" s="100">
        <v>5.9725788224081731</v>
      </c>
      <c r="CC104" s="100">
        <v>3777.0588472909285</v>
      </c>
      <c r="CD104" s="100">
        <v>5.3094377076667056</v>
      </c>
      <c r="CE104" s="100">
        <v>3357.6884063284247</v>
      </c>
      <c r="CF104" s="100">
        <v>3.583412106018609</v>
      </c>
      <c r="CG104" s="100">
        <v>2266.1498158461682</v>
      </c>
      <c r="CH104" s="100">
        <v>4.6867859628121229</v>
      </c>
      <c r="CI104" s="100">
        <v>2963.9234428823866</v>
      </c>
      <c r="CJ104" s="100">
        <v>5.2405100136890059</v>
      </c>
      <c r="CK104" s="100">
        <v>3314.0985326569271</v>
      </c>
      <c r="CL104" s="100">
        <v>5.5148927424953156</v>
      </c>
      <c r="CM104" s="100">
        <v>3487.6181703540374</v>
      </c>
      <c r="CN104" s="100">
        <v>6.5491336412714753</v>
      </c>
      <c r="CO104" s="100">
        <v>4141.6721147400813</v>
      </c>
      <c r="CP104" s="100">
        <v>4.7265543270144423</v>
      </c>
      <c r="CQ104" s="100">
        <v>2989.0729564039334</v>
      </c>
      <c r="CR104" s="100">
        <v>3.1801210110938398</v>
      </c>
      <c r="CS104" s="100">
        <v>2011.1085274157442</v>
      </c>
      <c r="CT104" s="100">
        <v>3.3222612091097079</v>
      </c>
      <c r="CU104" s="100">
        <v>2100.9979886409792</v>
      </c>
    </row>
    <row r="105" spans="2:99">
      <c r="C105" s="99" t="s">
        <v>271</v>
      </c>
      <c r="D105" s="100">
        <v>5.759052501776444</v>
      </c>
      <c r="E105" s="100">
        <v>3206.6404329891238</v>
      </c>
      <c r="F105" s="100">
        <v>11</v>
      </c>
      <c r="G105" s="100">
        <v>6124.7999999999993</v>
      </c>
      <c r="H105" s="100">
        <v>6.0146113730269262</v>
      </c>
      <c r="I105" s="100">
        <v>3348.9356125013924</v>
      </c>
      <c r="J105" s="100">
        <v>4.9822779318266717</v>
      </c>
      <c r="K105" s="100">
        <v>2774.1323524410905</v>
      </c>
      <c r="L105" s="100">
        <v>0.46513334195122624</v>
      </c>
      <c r="M105" s="100">
        <v>258.98624479844273</v>
      </c>
      <c r="N105" s="100">
        <v>9</v>
      </c>
      <c r="O105" s="100">
        <v>5011.2</v>
      </c>
      <c r="P105" s="100">
        <v>6.9289323645005991</v>
      </c>
      <c r="Q105" s="100">
        <v>3858.0295405539332</v>
      </c>
      <c r="R105" s="100">
        <v>5.3307368092525209</v>
      </c>
      <c r="S105" s="100">
        <v>2968.1542553918034</v>
      </c>
      <c r="T105" s="100">
        <v>0.40885494544306578</v>
      </c>
      <c r="U105" s="100">
        <v>227.65043362269901</v>
      </c>
      <c r="V105" s="100">
        <v>9</v>
      </c>
      <c r="W105" s="100">
        <v>5011.2</v>
      </c>
      <c r="X105" s="100">
        <v>7</v>
      </c>
      <c r="Y105" s="100">
        <v>3897.5999999999995</v>
      </c>
      <c r="Z105" s="100">
        <v>7.1164209742731765</v>
      </c>
      <c r="AA105" s="100">
        <v>3962.4231984753042</v>
      </c>
      <c r="AB105" s="100">
        <v>0.37063589619512699</v>
      </c>
      <c r="AC105" s="100">
        <v>206.3700670014467</v>
      </c>
      <c r="AD105" s="100">
        <v>11.38078369604057</v>
      </c>
      <c r="AE105" s="100">
        <v>6336.8203619553888</v>
      </c>
      <c r="AF105" s="100">
        <v>2.1968328078361492</v>
      </c>
      <c r="AG105" s="100">
        <v>1223.1965074031677</v>
      </c>
      <c r="AH105" s="100">
        <v>7.5499968527564985</v>
      </c>
      <c r="AI105" s="100">
        <v>4203.8382476148181</v>
      </c>
      <c r="AJ105" s="100">
        <v>4.3634951357553913</v>
      </c>
      <c r="AK105" s="100">
        <v>2429.5940915886017</v>
      </c>
      <c r="AL105" s="100">
        <v>7.3720322513811629</v>
      </c>
      <c r="AM105" s="100">
        <v>4104.7475575690314</v>
      </c>
      <c r="AN105" s="100">
        <v>3.2965154624345825</v>
      </c>
      <c r="AO105" s="100">
        <v>1835.4998094835753</v>
      </c>
      <c r="AP105" s="100">
        <v>7</v>
      </c>
      <c r="AQ105" s="100">
        <v>3897.5999999999995</v>
      </c>
      <c r="AR105" s="100">
        <v>10.141602082503644</v>
      </c>
      <c r="AS105" s="100">
        <v>5646.8440395380285</v>
      </c>
      <c r="AT105" s="100">
        <v>4.3973336299330836E-4</v>
      </c>
      <c r="AU105" s="100">
        <v>0.24484353651467408</v>
      </c>
      <c r="AV105" s="100">
        <v>4.7539206426303533</v>
      </c>
      <c r="AW105" s="100">
        <v>2646.9830138165803</v>
      </c>
      <c r="AX105" s="100">
        <v>3.7350724816585053E-4</v>
      </c>
      <c r="AY105" s="100">
        <v>0.20796883577874556</v>
      </c>
      <c r="AZ105" s="100">
        <v>4.1466927143310754E-4</v>
      </c>
      <c r="BA105" s="100">
        <v>0.23088785033395426</v>
      </c>
      <c r="BB105" s="100">
        <v>4.5388538145489754</v>
      </c>
      <c r="BC105" s="100">
        <v>2527.2338039408692</v>
      </c>
      <c r="BD105" s="100">
        <v>0.48535653073171398</v>
      </c>
      <c r="BE105" s="100">
        <v>270.2465163114183</v>
      </c>
      <c r="BF105" s="100">
        <v>7.5995424676013901</v>
      </c>
      <c r="BG105" s="100">
        <v>4231.425245960454</v>
      </c>
      <c r="BH105" s="100">
        <v>4.7460419968077678</v>
      </c>
      <c r="BI105" s="100">
        <v>2642.5961838225649</v>
      </c>
      <c r="BJ105" s="100">
        <v>10</v>
      </c>
      <c r="BK105" s="100">
        <v>5568</v>
      </c>
      <c r="BL105" s="100">
        <v>7.952262476973794</v>
      </c>
      <c r="BM105" s="100">
        <v>4427.8197471790081</v>
      </c>
      <c r="BN105" s="100">
        <v>3.7121122230837178E-4</v>
      </c>
      <c r="BO105" s="100">
        <v>0.20669040858130139</v>
      </c>
      <c r="BP105" s="100">
        <v>5.9104150974077028</v>
      </c>
      <c r="BQ105" s="100">
        <v>3290.9191262366085</v>
      </c>
      <c r="BR105" s="100">
        <v>5.0067209000132298</v>
      </c>
      <c r="BS105" s="100">
        <v>2787.7421971273661</v>
      </c>
      <c r="BT105" s="100">
        <v>4.996652556426822</v>
      </c>
      <c r="BU105" s="100">
        <v>2782.1361434184541</v>
      </c>
      <c r="BV105" s="100">
        <v>0.33599312661833025</v>
      </c>
      <c r="BW105" s="100">
        <v>187.08097290108626</v>
      </c>
      <c r="BX105" s="100">
        <v>6.8333692723556307</v>
      </c>
      <c r="BY105" s="100">
        <v>3804.8200108476149</v>
      </c>
      <c r="BZ105" s="100">
        <v>3.7483670400679077</v>
      </c>
      <c r="CA105" s="100">
        <v>2087.0907679098109</v>
      </c>
      <c r="CB105" s="100">
        <v>5.962048497726677</v>
      </c>
      <c r="CC105" s="100">
        <v>3319.6686035342136</v>
      </c>
      <c r="CD105" s="100">
        <v>5.3094377076667056</v>
      </c>
      <c r="CE105" s="100">
        <v>2956.2949156288214</v>
      </c>
      <c r="CF105" s="100">
        <v>3.1459919557553868</v>
      </c>
      <c r="CG105" s="100">
        <v>1751.6883209645991</v>
      </c>
      <c r="CH105" s="100">
        <v>4.6462346951973732</v>
      </c>
      <c r="CI105" s="100">
        <v>2587.023478285897</v>
      </c>
      <c r="CJ105" s="100">
        <v>5.2405100136890059</v>
      </c>
      <c r="CK105" s="100">
        <v>2917.9159756220383</v>
      </c>
      <c r="CL105" s="100">
        <v>5.5148927424953156</v>
      </c>
      <c r="CM105" s="100">
        <v>3070.6922790213916</v>
      </c>
      <c r="CN105" s="100">
        <v>5.8428372537550972</v>
      </c>
      <c r="CO105" s="100">
        <v>3253.291782890838</v>
      </c>
      <c r="CP105" s="100">
        <v>4.7265543270144423</v>
      </c>
      <c r="CQ105" s="100">
        <v>2631.7454492816414</v>
      </c>
      <c r="CR105" s="100">
        <v>2.8304134584002258</v>
      </c>
      <c r="CS105" s="100">
        <v>1575.9742136372456</v>
      </c>
      <c r="CT105" s="100">
        <v>3.3222612091097079</v>
      </c>
      <c r="CU105" s="100">
        <v>1849.8350412322852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445.29660888210003</v>
      </c>
      <c r="E109" s="100">
        <f>SUM(L$6:L$19)+SUM(N$6:N$19)+SUM(P$6:P$19)+SUM(R$6:R$19)</f>
        <v>293.9541364402595</v>
      </c>
      <c r="F109" s="100">
        <f>SUM(T$6:T$19)+SUM(V$6:V$19)+SUM(X$6:X$19)+SUM(Z$6:Z$19)</f>
        <v>283.29546875145184</v>
      </c>
      <c r="G109" s="100">
        <f>SUM(AB$6:AB$19)+SUM(AD$6:AD$19)+SUM(AF$6:AF$19)+SUM(AH$6:AH$19)</f>
        <v>379.69168825294139</v>
      </c>
      <c r="H109" s="100">
        <f>SUM(AJ$6:AJ$19)+SUM(AL$6:AL$19)+SUM(AN$6:AN$19)+SUM(AP$6:AP$19)</f>
        <v>425.90984200187853</v>
      </c>
      <c r="I109" s="100">
        <f>SUM(AR$6:AR$19)+SUM(AT$6:AT$19)+SUM(AV$6:AV$19)+SUM(AX$6:AX$19)</f>
        <v>317.65075774037427</v>
      </c>
      <c r="J109" s="100">
        <f>SUM(AZ$6:AZ$19)+SUM(BB$6:BB$19)+SUM(BD$6:BD$19)+SUM(BF$6:BF$19)</f>
        <v>238.42929809600264</v>
      </c>
      <c r="K109" s="100">
        <f>SUM(BH$6:BH$19)+SUM(BJ$6:BJ$19)+SUM(BL$6:BL$19)+SUM(BN$6:BN$19)</f>
        <v>376.48020807717899</v>
      </c>
      <c r="L109" s="100">
        <f>SUM(BP$6:BP$19)+SUM(BR$6:BR$19)+SUM(BT$6:BT$19)+SUM(BV$6:BV$19)</f>
        <v>267.71659099774263</v>
      </c>
      <c r="M109" s="100">
        <f>SUM(BX$6:BX$19)+SUM(BZ$6:BZ$19)+SUM(CB$6:CB$19)+SUM(CD$6:CD$19)</f>
        <v>541.26000238072857</v>
      </c>
      <c r="N109" s="100">
        <f>SUM(CF$6:CF$19)+SUM(CH$6:CH$19)+SUM(CJ$6:CJ$19)+SUM(CL$6:CL$19)</f>
        <v>390.33022755761999</v>
      </c>
      <c r="O109" s="100">
        <f>SUM(CN$6:CN$19)+SUM(CP$6:CP$19)+SUM(CR$6:CR$19)+SUM(CT$6:CT$19)</f>
        <v>439.99427576771257</v>
      </c>
    </row>
    <row r="110" spans="2:99">
      <c r="C110" s="99" t="s">
        <v>127</v>
      </c>
      <c r="D110" s="100">
        <f>SUM(D$20:D$36)+SUM(F$20:F$36)+SUM(H$20:H$36)+SUM(J$20:J$36)</f>
        <v>675.77716978499484</v>
      </c>
      <c r="E110" s="100">
        <f>SUM(L$20:L$36)+SUM(N$20:N$36)+SUM(P$20:P$36)+SUM(R$20:R$36)</f>
        <v>556.92356073376584</v>
      </c>
      <c r="F110" s="100">
        <f>SUM(T$20:T$36)+SUM(V$20:V$36)+SUM(X$20:X$36)+SUM(Z$20:Z$36)</f>
        <v>772.98986470422119</v>
      </c>
      <c r="G110" s="100">
        <f>SUM(AB$20:AB$36)+SUM(AD$20:AD$36)+SUM(AF$20:AF$36)+SUM(AH$20:AH$36)</f>
        <v>722.9713345973546</v>
      </c>
      <c r="H110" s="100">
        <f>SUM(AJ$20:AJ$36)+SUM(AL$20:AL$36)+SUM(AN$20:AN$36)+SUM(AP$20:AP$36)</f>
        <v>805.49022135241557</v>
      </c>
      <c r="I110" s="100">
        <f>SUM(AR$20:AR$36)+SUM(AT$20:AT$36)+SUM(AV$20:AV$36)+SUM(AX$20:AX$36)</f>
        <v>639.7177265716798</v>
      </c>
      <c r="J110" s="100">
        <f>SUM(AZ$20:AZ$36)+SUM(BB$20:BB$36)+SUM(BD$20:BD$36)+SUM(BF$20:BF$36)</f>
        <v>433.08090769188607</v>
      </c>
      <c r="K110" s="100">
        <f>SUM(BH$20:BH$36)+SUM(BJ$20:BJ$36)+SUM(BL$20:BL$36)+SUM(BN$20:BN$36)</f>
        <v>836.56889751371841</v>
      </c>
      <c r="L110" s="100">
        <f>SUM(BP$20:BP$36)+SUM(BR$20:BR$36)+SUM(BT$20:BT$36)+SUM(BV$20:BV$36)</f>
        <v>631.72046665441178</v>
      </c>
      <c r="M110" s="100">
        <f>SUM(BX$20:BX$36)+SUM(BZ$20:BZ$36)+SUM(CB$20:CB$36)+SUM(CD$20:CD$36)</f>
        <v>762.12759400583491</v>
      </c>
      <c r="N110" s="100">
        <f>SUM(CF$20:CF$36)+SUM(CH$20:CH$36)+SUM(CJ$20:CJ$36)+SUM(CL$20:CL$36)</f>
        <v>603.7020372943083</v>
      </c>
      <c r="O110" s="100">
        <f>SUM(CN$20:CN$36)+SUM(CP$20:CP$36)+SUM(CR$20:CR$36)+SUM(CT$20:CT$36)</f>
        <v>799.72822709365778</v>
      </c>
    </row>
    <row r="111" spans="2:99">
      <c r="C111" s="99" t="s">
        <v>128</v>
      </c>
      <c r="D111" s="100">
        <f>SUM(D$37:D$48)+SUM(F$37:F$48)+SUM(H$37:H$48)+SUM(J$37:J$48)</f>
        <v>309.3433111525577</v>
      </c>
      <c r="E111" s="100">
        <f>SUM(L$37:L$48)+SUM(N$37:N$48)+SUM(P$37:P$48)+SUM(R$37:R$48)</f>
        <v>285.36904209717517</v>
      </c>
      <c r="F111" s="100">
        <f>SUM(T$37:T$48)+SUM(V$37:V$48)+SUM(X$37:X$48)+SUM(Z$37:Z$48)</f>
        <v>290.4319932104537</v>
      </c>
      <c r="G111" s="100">
        <f>SUM(AB$37:AB$48)+SUM(AD$37:AD$48)+SUM(AF$37:AF$48)+SUM(AH$37:AH$48)</f>
        <v>331.66817680641032</v>
      </c>
      <c r="H111" s="100">
        <f>SUM(AJ$37:AJ$48)+SUM(AL$37:AL$48)+SUM(AN$37:AN$48)+SUM(AP$37:AP$48)</f>
        <v>272.31092335679938</v>
      </c>
      <c r="I111" s="100">
        <f>SUM(AR$37:AR$48)+SUM(AT$37:AT$48)+SUM(AV$37:AV$48)+SUM(AX$37:AX$48)</f>
        <v>306.98038064761681</v>
      </c>
      <c r="J111" s="100">
        <f>SUM(AZ$37:AZ$48)+SUM(BB$37:BB$48)+SUM(BD$37:BD$48)+SUM(BF$37:BF$48)</f>
        <v>199.89185538402285</v>
      </c>
      <c r="K111" s="100">
        <f>SUM(BH$37:BH$48)+SUM(BJ$37:BJ$48)+SUM(BL$37:BL$48)+SUM(BN$37:BN$48)</f>
        <v>267.20302691123277</v>
      </c>
      <c r="L111" s="100">
        <f>SUM(BP$37:BP$48)+SUM(BR$37:BR$48)+SUM(BT$37:BT$48)+SUM(BV$37:BV$48)</f>
        <v>281.33637217983846</v>
      </c>
      <c r="M111" s="100">
        <f>SUM(BX$37:BX$48)+SUM(BZ$37:BZ$48)+SUM(CB$37:CB$48)+SUM(CD$37:CD$48)</f>
        <v>358.86827939211474</v>
      </c>
      <c r="N111" s="100">
        <f>SUM(CF$37:CF$48)+SUM(CH$37:CH$48)+SUM(CJ$37:CJ$48)+SUM(CL$37:CL$48)</f>
        <v>287.77639913426651</v>
      </c>
      <c r="O111" s="100">
        <f>SUM(CN$37:CN$48)+SUM(CP$37:CP$48)+SUM(CR$37:CR$48)+SUM(CT$37:CT$48)</f>
        <v>386.26276063399814</v>
      </c>
    </row>
    <row r="112" spans="2:99">
      <c r="C112" s="99" t="s">
        <v>129</v>
      </c>
      <c r="D112" s="100">
        <f>SUM(D$49:D$70)+SUM(F$49:F$70)+SUM(H$49:H$70)+SUM(J$49:J$70)</f>
        <v>479.65171825042978</v>
      </c>
      <c r="E112" s="100">
        <f>SUM(L$49:L$70)+SUM(N$49:N$70)+SUM(P$49:P$70)+SUM(R$49:R$70)</f>
        <v>398.37949798011175</v>
      </c>
      <c r="F112" s="100">
        <f>SUM(T$49:T$70)+SUM(V$49:V$70)+SUM(X$49:X$70)+SUM(Z$49:Z$70)</f>
        <v>357.77259564938299</v>
      </c>
      <c r="G112" s="100">
        <f>SUM(AB$49:AB$70)+SUM(AD$49:AD$70)+SUM(AF$49:AF$70)+SUM(AH$49:AH$70)</f>
        <v>375.84797878222457</v>
      </c>
      <c r="H112" s="100">
        <f>SUM(AJ$49:AJ$70)+SUM(AL$49:AL$70)+SUM(AN$49:AN$70)+SUM(AP$49:AP$70)</f>
        <v>360.84707535356307</v>
      </c>
      <c r="I112" s="100">
        <f>SUM(AR$49:AR$70)+SUM(AT$49:AT$70)+SUM(AV$49:AV$70)+SUM(AX$49:AX$70)</f>
        <v>282.56515710777785</v>
      </c>
      <c r="J112" s="100">
        <f>SUM(AZ$49:AZ$70)+SUM(BB$49:BB$70)+SUM(BD$49:BD$70)+SUM(BF$49:BF$70)</f>
        <v>238.75594195302278</v>
      </c>
      <c r="K112" s="100">
        <f>SUM(BH$49:BH$70)+SUM(BJ$49:BJ$70)+SUM(BL$49:BL$70)+SUM(BN$49:BN$70)</f>
        <v>358.41585149818673</v>
      </c>
      <c r="L112" s="100">
        <f>SUM(BP$49:BP$70)+SUM(BR$49:BR$70)+SUM(BT$49:BT$70)+SUM(BV$49:BV$70)</f>
        <v>302.85230144942761</v>
      </c>
      <c r="M112" s="100">
        <f>SUM(BX$49:BX$70)+SUM(BZ$49:BZ$70)+SUM(CB$49:CB$70)+SUM(CD$49:CD$70)</f>
        <v>392.35620284396111</v>
      </c>
      <c r="N112" s="100">
        <f>SUM(CF$49:CF$70)+SUM(CH$49:CH$70)+SUM(CJ$49:CJ$70)+SUM(CL$49:CL$70)</f>
        <v>330.60885406446062</v>
      </c>
      <c r="O112" s="100">
        <f>SUM(CN$49:CN$70)+SUM(CP$49:CP$70)+SUM(CR$49:CR$70)+SUM(CT$49:CT$70)</f>
        <v>356.97062018894536</v>
      </c>
    </row>
    <row r="113" spans="2:15">
      <c r="C113" s="99" t="s">
        <v>130</v>
      </c>
      <c r="D113" s="100">
        <f>SUM(D$71:D$86)+SUM(F$71:F$86)+SUM(H$71:H$86)+SUM(J$71:J$86)</f>
        <v>237.80431156690611</v>
      </c>
      <c r="E113" s="100">
        <f>SUM(L$71:L$86)+SUM(N$71:N$86)+SUM(P$71:P$86)+SUM(R$71:R$86)</f>
        <v>285.88613995929779</v>
      </c>
      <c r="F113" s="100">
        <f>SUM(T$71:T$86)+SUM(V$71:V$86)+SUM(X$71:X$86)+SUM(Z$71:Z$86)</f>
        <v>266.26534895992995</v>
      </c>
      <c r="G113" s="100">
        <f>SUM(AB$71:AB$86)+SUM(AD$71:AD$86)+SUM(AF$71:AF$86)+SUM(AH$71:AH$86)</f>
        <v>303</v>
      </c>
      <c r="H113" s="100">
        <f>SUM(AJ$71:AJ$86)+SUM(AL$71:AL$86)+SUM(AN$71:AN$86)+SUM(AP$71:AP$86)</f>
        <v>261.98923206696043</v>
      </c>
      <c r="I113" s="100">
        <f>SUM(AR$71:AR$86)+SUM(AT$71:AT$86)+SUM(AV$71:AV$86)+SUM(AX$71:AX$86)</f>
        <v>188.87108385156262</v>
      </c>
      <c r="J113" s="100">
        <f>SUM(AZ$71:AZ$86)+SUM(BB$71:BB$86)+SUM(BD$71:BD$86)+SUM(BF$71:BF$86)</f>
        <v>204.57377614157232</v>
      </c>
      <c r="K113" s="100">
        <f>SUM(BH$71:BH$86)+SUM(BJ$71:BJ$86)+SUM(BL$71:BL$86)+SUM(BN$71:BN$86)</f>
        <v>204.52177467688455</v>
      </c>
      <c r="L113" s="100">
        <f>SUM(BP$71:BP$86)+SUM(BR$71:BR$86)+SUM(BT$71:BT$86)+SUM(BV$71:BV$86)</f>
        <v>220.3807505328212</v>
      </c>
      <c r="M113" s="100">
        <f>SUM(BX$71:BX$86)+SUM(BZ$71:BZ$86)+SUM(CB$71:CB$86)+SUM(CD$71:CD$86)</f>
        <v>307.22185698211172</v>
      </c>
      <c r="N113" s="100">
        <f>SUM(CF$71:CF$86)+SUM(CH$71:CH$86)+SUM(CJ$71:CJ$86)+SUM(CL$71:CL$86)</f>
        <v>200.01024706446501</v>
      </c>
      <c r="O113" s="100">
        <f>SUM(CN$71:CN$86)+SUM(CP$71:CP$86)+SUM(CR$71:CR$86)+SUM(CT$71:CT$86)</f>
        <v>315.51819882917704</v>
      </c>
    </row>
    <row r="114" spans="2:15">
      <c r="C114" s="99" t="s">
        <v>131</v>
      </c>
      <c r="D114" s="100">
        <f>SUM(D$87:D$94)+SUM(F$87:F$94)+SUM(H$87:H$94)+SUM(J$87:J$94)</f>
        <v>124.69612081070281</v>
      </c>
      <c r="E114" s="100">
        <f>SUM(L$87:L$94)+SUM(N$87:N$94)+SUM(P$87:P$94)+SUM(R$87:R$94)</f>
        <v>96.206717956228232</v>
      </c>
      <c r="F114" s="100">
        <f>SUM(T$87:T$94)+SUM(V$87:V$94)+SUM(X$87:X$94)+SUM(Z$87:Z$94)</f>
        <v>103.27437829464864</v>
      </c>
      <c r="G114" s="100">
        <f>SUM(AB$87:AB$94)+SUM(AD$87:AD$94)+SUM(AF$87:AF$94)+SUM(AH$87:AH$94)</f>
        <v>83.573578064406917</v>
      </c>
      <c r="H114" s="100">
        <f>SUM(AJ$87:AJ$94)+SUM(AL$87:AL$94)+SUM(AN$87:AN$94)+SUM(AP$87:AP$94)</f>
        <v>131.02391095802517</v>
      </c>
      <c r="I114" s="100">
        <f>SUM(AR$87:AR$94)+SUM(AT$87:AT$94)+SUM(AV$87:AV$94)+SUM(AX$87:AX$94)</f>
        <v>70.869317214138817</v>
      </c>
      <c r="J114" s="100">
        <f>SUM(AZ$87:AZ$94)+SUM(BB$87:BB$94)+SUM(BD$87:BD$94)+SUM(BF$87:BF$94)</f>
        <v>69.736189021181815</v>
      </c>
      <c r="K114" s="100">
        <f>SUM(BH$87:BH$94)+SUM(BJ$87:BJ$94)+SUM(BL$87:BL$94)+SUM(BN$87:BN$94)</f>
        <v>83.723968628437717</v>
      </c>
      <c r="L114" s="100">
        <f>SUM(BP$87:BP$94)+SUM(BR$87:BR$94)+SUM(BT$87:BT$94)+SUM(BV$87:BV$94)</f>
        <v>84.684071685273409</v>
      </c>
      <c r="M114" s="100">
        <f>SUM(BX$87:BX$94)+SUM(BZ$87:BZ$94)+SUM(CB$87:CB$94)+SUM(CD$87:CD$94)</f>
        <v>104.56560520609335</v>
      </c>
      <c r="N114" s="100">
        <f>SUM(CF$87:CF$94)+SUM(CH$87:CH$94)+SUM(CJ$87:CJ$94)+SUM(CL$87:CL$94)</f>
        <v>94.321885398087232</v>
      </c>
      <c r="O114" s="100">
        <f>SUM(CN$87:CN$94)+SUM(CP$87:CP$94)+SUM(CR$87:CR$94)+SUM(CT$87:CT$94)</f>
        <v>97.854813207692587</v>
      </c>
    </row>
    <row r="115" spans="2:15">
      <c r="C115" s="99" t="s">
        <v>132</v>
      </c>
      <c r="D115" s="100">
        <f>SUM(D$95:D$105)+SUM(F$95:F$105)+SUM(H$95:H$105)+SUM(J$95:J$105)</f>
        <v>290.49169449316088</v>
      </c>
      <c r="E115" s="100">
        <f>SUM(L$95:L$105)+SUM(N$95:N$105)+SUM(P$95:P$105)+SUM(R$95:R$105)</f>
        <v>243.28718384518638</v>
      </c>
      <c r="F115" s="100">
        <f>SUM(T$95:T$105)+SUM(V$95:V$105)+SUM(X$95:X$105)+SUM(Z$95:Z$105)</f>
        <v>244.50315548725342</v>
      </c>
      <c r="G115" s="100">
        <f>SUM(AB$95:AB$105)+SUM(AD$95:AD$105)+SUM(AF$95:AF$105)+SUM(AH$95:AH$105)</f>
        <v>227.07985003706767</v>
      </c>
      <c r="H115" s="100">
        <f>SUM(AJ$95:AJ$105)+SUM(AL$95:AL$105)+SUM(AN$95:AN$105)+SUM(AP$95:AP$105)</f>
        <v>236.83298356379342</v>
      </c>
      <c r="I115" s="100">
        <f>SUM(AR$95:AR$105)+SUM(AT$95:AT$105)+SUM(AV$95:AV$105)+SUM(AX$95:AX$105)</f>
        <v>165.37465469041177</v>
      </c>
      <c r="J115" s="100">
        <f>SUM(AZ$95:AZ$105)+SUM(BB$95:BB$105)+SUM(BD$95:BD$105)+SUM(BF$95:BF$105)</f>
        <v>140.70469302788064</v>
      </c>
      <c r="K115" s="100">
        <f>SUM(BH$95:BH$105)+SUM(BJ$95:BJ$105)+SUM(BL$95:BL$105)+SUM(BN$95:BN$105)</f>
        <v>242.84103803312541</v>
      </c>
      <c r="L115" s="100">
        <f>SUM(BP$95:BP$105)+SUM(BR$95:BR$105)+SUM(BT$95:BT$105)+SUM(BV$95:BV$105)</f>
        <v>164.670016882064</v>
      </c>
      <c r="M115" s="100">
        <f>SUM(BX$95:BX$105)+SUM(BZ$95:BZ$105)+SUM(CB$95:CB$105)+SUM(CD$95:CD$105)</f>
        <v>247.4691346668624</v>
      </c>
      <c r="N115" s="100">
        <f>SUM(CF$95:CF$105)+SUM(CH$95:CH$105)+SUM(CJ$95:CJ$105)+SUM(CL$95:CL$105)</f>
        <v>205.85199621614612</v>
      </c>
      <c r="O115" s="100">
        <f>SUM(CN$95:CN$105)+SUM(CP$95:CP$105)+SUM(CR$95:CR$105)+SUM(CT$95:CT$105)</f>
        <v>185.05150800347491</v>
      </c>
    </row>
    <row r="116" spans="2:15">
      <c r="C116" s="99" t="s">
        <v>278</v>
      </c>
      <c r="D116" s="100">
        <f t="shared" ref="D116:O116" si="0">SUM(D$109:D$115)</f>
        <v>2563.0609349408523</v>
      </c>
      <c r="E116" s="100">
        <f t="shared" si="0"/>
        <v>2160.0062790120251</v>
      </c>
      <c r="F116" s="100">
        <f t="shared" si="0"/>
        <v>2318.5328050573416</v>
      </c>
      <c r="G116" s="100">
        <f t="shared" si="0"/>
        <v>2423.8326065404053</v>
      </c>
      <c r="H116" s="100">
        <f t="shared" si="0"/>
        <v>2494.4041886534355</v>
      </c>
      <c r="I116" s="100">
        <f t="shared" si="0"/>
        <v>1972.0290778235619</v>
      </c>
      <c r="J116" s="100">
        <f t="shared" si="0"/>
        <v>1525.1726613155693</v>
      </c>
      <c r="K116" s="100">
        <f t="shared" si="0"/>
        <v>2369.7547653387646</v>
      </c>
      <c r="L116" s="100">
        <f t="shared" si="0"/>
        <v>1953.360570381579</v>
      </c>
      <c r="M116" s="100">
        <f t="shared" si="0"/>
        <v>2713.8686754777068</v>
      </c>
      <c r="N116" s="100">
        <f t="shared" si="0"/>
        <v>2112.6016467293539</v>
      </c>
      <c r="O116" s="100">
        <f t="shared" si="0"/>
        <v>2581.3804037246582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3384254.22750396</v>
      </c>
      <c r="E120" s="100">
        <f>E109*pricing!E24*2000</f>
        <v>2234051.436945972</v>
      </c>
      <c r="F120" s="100">
        <f>F109*pricing!F24*2000</f>
        <v>2153045.5625110338</v>
      </c>
      <c r="G120" s="100">
        <f>G109*pricing!G24*2000</f>
        <v>2885656.8307223544</v>
      </c>
      <c r="H120" s="100">
        <f>H109*pricing!H24*2000</f>
        <v>3236914.7992142765</v>
      </c>
      <c r="I120" s="100">
        <f>I109*pricing!I24*2000</f>
        <v>2414145.7588268444</v>
      </c>
      <c r="J120" s="100">
        <f>J109*pricing!J24*2000</f>
        <v>1812062.6655296201</v>
      </c>
      <c r="K120" s="100">
        <f>K109*pricing!K24*2000</f>
        <v>2861249.5813865601</v>
      </c>
      <c r="L120" s="100">
        <f>L109*pricing!L24*2000</f>
        <v>2034646.0915828438</v>
      </c>
      <c r="M120" s="100">
        <f>M109*pricing!M24*2000</f>
        <v>4113576.0180935366</v>
      </c>
      <c r="N120" s="100">
        <f>N109*pricing!N24*2000</f>
        <v>2966509.7294379114</v>
      </c>
      <c r="O120" s="100">
        <f>O109*pricing!O24*2000</f>
        <v>3343956.4958346155</v>
      </c>
    </row>
    <row r="121" spans="2:15">
      <c r="C121" s="99" t="s">
        <v>127</v>
      </c>
      <c r="D121" s="100">
        <f>D110*pricing!D25*2000</f>
        <v>5135906.4903659606</v>
      </c>
      <c r="E121" s="100">
        <f>E110*pricing!E25*2000</f>
        <v>4232619.0615766197</v>
      </c>
      <c r="F121" s="100">
        <f>F110*pricing!F25*2000</f>
        <v>5874722.9717520801</v>
      </c>
      <c r="G121" s="100">
        <f>G110*pricing!G25*2000</f>
        <v>5494582.1429398945</v>
      </c>
      <c r="H121" s="100">
        <f>H110*pricing!H25*2000</f>
        <v>6121725.6822783584</v>
      </c>
      <c r="I121" s="100">
        <f>I110*pricing!I25*2000</f>
        <v>4861854.7219447661</v>
      </c>
      <c r="J121" s="100">
        <f>J110*pricing!J25*2000</f>
        <v>3291414.8984583342</v>
      </c>
      <c r="K121" s="100">
        <f>K110*pricing!K25*2000</f>
        <v>6357923.62110426</v>
      </c>
      <c r="L121" s="100">
        <f>L110*pricing!L25*2000</f>
        <v>4801075.546573529</v>
      </c>
      <c r="M121" s="100">
        <f>M110*pricing!M25*2000</f>
        <v>5792169.7144443449</v>
      </c>
      <c r="N121" s="100">
        <f>N110*pricing!N25*2000</f>
        <v>4588135.4834367428</v>
      </c>
      <c r="O121" s="100">
        <f>O110*pricing!O25*2000</f>
        <v>6077934.5259117987</v>
      </c>
    </row>
    <row r="122" spans="2:15">
      <c r="C122" s="99" t="s">
        <v>128</v>
      </c>
      <c r="D122" s="100">
        <f>D111*pricing!D26*2000</f>
        <v>2351009.1647594385</v>
      </c>
      <c r="E122" s="100">
        <f>E111*pricing!E26*2000</f>
        <v>2168804.7199385311</v>
      </c>
      <c r="F122" s="100">
        <f>F111*pricing!F26*2000</f>
        <v>2207283.1483994476</v>
      </c>
      <c r="G122" s="100">
        <f>G111*pricing!G26*2000</f>
        <v>2520678.1437287182</v>
      </c>
      <c r="H122" s="100">
        <f>H111*pricing!H26*2000</f>
        <v>2069563.0175116754</v>
      </c>
      <c r="I122" s="100">
        <f>I111*pricing!I26*2000</f>
        <v>2333050.8929218878</v>
      </c>
      <c r="J122" s="100">
        <f>J111*pricing!J26*2000</f>
        <v>1519178.1009185736</v>
      </c>
      <c r="K122" s="100">
        <f>K111*pricing!K26*2000</f>
        <v>2030743.0045253688</v>
      </c>
      <c r="L122" s="100">
        <f>L111*pricing!L26*2000</f>
        <v>2138156.4285667725</v>
      </c>
      <c r="M122" s="100">
        <f>M111*pricing!M26*2000</f>
        <v>2727398.9233800722</v>
      </c>
      <c r="N122" s="100">
        <f>N111*pricing!N26*2000</f>
        <v>2187100.6334204255</v>
      </c>
      <c r="O122" s="100">
        <f>O111*pricing!O26*2000</f>
        <v>2935596.9808183857</v>
      </c>
    </row>
    <row r="123" spans="2:15">
      <c r="C123" s="99" t="s">
        <v>129</v>
      </c>
      <c r="D123" s="100">
        <f>D112*pricing!D27*2000</f>
        <v>3645353.0587032661</v>
      </c>
      <c r="E123" s="100">
        <f>E112*pricing!E27*2000</f>
        <v>3027684.1846488491</v>
      </c>
      <c r="F123" s="100">
        <f>F112*pricing!F27*2000</f>
        <v>2719071.7269353108</v>
      </c>
      <c r="G123" s="100">
        <f>G112*pricing!G27*2000</f>
        <v>2856444.6387449065</v>
      </c>
      <c r="H123" s="100">
        <f>H112*pricing!H27*2000</f>
        <v>2742437.7726870794</v>
      </c>
      <c r="I123" s="100">
        <f>I112*pricing!I27*2000</f>
        <v>2147495.1940191118</v>
      </c>
      <c r="J123" s="100">
        <f>J112*pricing!J27*2000</f>
        <v>1814545.1588429729</v>
      </c>
      <c r="K123" s="100">
        <f>K112*pricing!K27*2000</f>
        <v>2723960.4713862189</v>
      </c>
      <c r="L123" s="100">
        <f>L112*pricing!L27*2000</f>
        <v>2301677.4910156494</v>
      </c>
      <c r="M123" s="100">
        <f>M112*pricing!M27*2000</f>
        <v>2981907.1416141042</v>
      </c>
      <c r="N123" s="100">
        <f>N112*pricing!N27*2000</f>
        <v>2512627.2908899006</v>
      </c>
      <c r="O123" s="100">
        <f>O112*pricing!O27*2000</f>
        <v>2712976.7134359847</v>
      </c>
    </row>
    <row r="124" spans="2:15">
      <c r="C124" s="99" t="s">
        <v>130</v>
      </c>
      <c r="D124" s="100">
        <f>D113*pricing!D28*2000</f>
        <v>1807312.7679084865</v>
      </c>
      <c r="E124" s="100">
        <f>E113*pricing!E28*2000</f>
        <v>2172734.6636906634</v>
      </c>
      <c r="F124" s="100">
        <f>F113*pricing!F28*2000</f>
        <v>2023616.6520954676</v>
      </c>
      <c r="G124" s="100">
        <f>G113*pricing!G28*2000</f>
        <v>2302799.9999999995</v>
      </c>
      <c r="H124" s="100">
        <f>H113*pricing!H28*2000</f>
        <v>1991118.1637088992</v>
      </c>
      <c r="I124" s="100">
        <f>I113*pricing!I28*2000</f>
        <v>1435420.2372718758</v>
      </c>
      <c r="J124" s="100">
        <f>J113*pricing!J28*2000</f>
        <v>1554760.6986759496</v>
      </c>
      <c r="K124" s="100">
        <f>K113*pricing!K28*2000</f>
        <v>1554365.4875443224</v>
      </c>
      <c r="L124" s="100">
        <f>L113*pricing!L28*2000</f>
        <v>1674893.704049441</v>
      </c>
      <c r="M124" s="100">
        <f>M113*pricing!M28*2000</f>
        <v>2334886.1130640488</v>
      </c>
      <c r="N124" s="100">
        <f>N113*pricing!N28*2000</f>
        <v>1520077.8776899339</v>
      </c>
      <c r="O124" s="100">
        <f>O113*pricing!O28*2000</f>
        <v>2397938.3111017453</v>
      </c>
    </row>
    <row r="125" spans="2:15">
      <c r="C125" s="99" t="s">
        <v>131</v>
      </c>
      <c r="D125" s="100">
        <f>D114*pricing!D29*2000</f>
        <v>947690.51816134132</v>
      </c>
      <c r="E125" s="100">
        <f>E114*pricing!E29*2000</f>
        <v>731171.05646733451</v>
      </c>
      <c r="F125" s="100">
        <f>F114*pricing!F29*2000</f>
        <v>784885.27503932954</v>
      </c>
      <c r="G125" s="100">
        <f>G114*pricing!G29*2000</f>
        <v>635159.19328949263</v>
      </c>
      <c r="H125" s="100">
        <f>H114*pricing!H29*2000</f>
        <v>995781.72328099131</v>
      </c>
      <c r="I125" s="100">
        <f>I114*pricing!I29*2000</f>
        <v>538606.81082745502</v>
      </c>
      <c r="J125" s="100">
        <f>J114*pricing!J29*2000</f>
        <v>529995.03656098177</v>
      </c>
      <c r="K125" s="100">
        <f>K114*pricing!K29*2000</f>
        <v>636302.1615761267</v>
      </c>
      <c r="L125" s="100">
        <f>L114*pricing!L29*2000</f>
        <v>643598.94480807788</v>
      </c>
      <c r="M125" s="100">
        <f>M114*pricing!M29*2000</f>
        <v>794698.59956630948</v>
      </c>
      <c r="N125" s="100">
        <f>N114*pricing!N29*2000</f>
        <v>716846.32902546297</v>
      </c>
      <c r="O125" s="100">
        <f>O114*pricing!O29*2000</f>
        <v>743696.58037846361</v>
      </c>
    </row>
    <row r="126" spans="2:15">
      <c r="C126" s="99" t="s">
        <v>132</v>
      </c>
      <c r="D126" s="100">
        <f>D115*pricing!D30*2000</f>
        <v>2207736.8781480226</v>
      </c>
      <c r="E126" s="100">
        <f>E115*pricing!E30*2000</f>
        <v>1848982.5972234164</v>
      </c>
      <c r="F126" s="100">
        <f>F115*pricing!F30*2000</f>
        <v>1858223.9817031259</v>
      </c>
      <c r="G126" s="100">
        <f>G115*pricing!G30*2000</f>
        <v>1725806.8602817142</v>
      </c>
      <c r="H126" s="100">
        <f>H115*pricing!H30*2000</f>
        <v>1799930.67508483</v>
      </c>
      <c r="I126" s="100">
        <f>I115*pricing!I30*2000</f>
        <v>1256847.3756471295</v>
      </c>
      <c r="J126" s="100">
        <f>J115*pricing!J30*2000</f>
        <v>1069355.6670118929</v>
      </c>
      <c r="K126" s="100">
        <f>K115*pricing!K30*2000</f>
        <v>1845591.8890517531</v>
      </c>
      <c r="L126" s="100">
        <f>L115*pricing!L30*2000</f>
        <v>1251492.1283036864</v>
      </c>
      <c r="M126" s="100">
        <f>M115*pricing!M30*2000</f>
        <v>1880765.4234681542</v>
      </c>
      <c r="N126" s="100">
        <f>N115*pricing!N30*2000</f>
        <v>1564475.1712427104</v>
      </c>
      <c r="O126" s="100">
        <f>O115*pricing!O30*2000</f>
        <v>1406391.4608264093</v>
      </c>
    </row>
    <row r="127" spans="2:15">
      <c r="C127" s="99" t="s">
        <v>278</v>
      </c>
      <c r="D127" s="100">
        <f t="shared" ref="D127:O127" si="1">SUM(D$120:D$126)</f>
        <v>19479263.105550475</v>
      </c>
      <c r="E127" s="100">
        <f t="shared" si="1"/>
        <v>16416047.720491385</v>
      </c>
      <c r="F127" s="100">
        <f t="shared" si="1"/>
        <v>17620849.318435796</v>
      </c>
      <c r="G127" s="100">
        <f t="shared" si="1"/>
        <v>18421127.809707079</v>
      </c>
      <c r="H127" s="100">
        <f t="shared" si="1"/>
        <v>18957471.83376611</v>
      </c>
      <c r="I127" s="100">
        <f t="shared" si="1"/>
        <v>14987420.991459068</v>
      </c>
      <c r="J127" s="100">
        <f t="shared" si="1"/>
        <v>11591312.225998325</v>
      </c>
      <c r="K127" s="100">
        <f t="shared" si="1"/>
        <v>18010136.216574609</v>
      </c>
      <c r="L127" s="100">
        <f t="shared" si="1"/>
        <v>14845540.334900001</v>
      </c>
      <c r="M127" s="100">
        <f t="shared" si="1"/>
        <v>20625401.933630571</v>
      </c>
      <c r="N127" s="100">
        <f t="shared" si="1"/>
        <v>16055772.515143087</v>
      </c>
      <c r="O127" s="100">
        <f t="shared" si="1"/>
        <v>19618491.068307403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225337.91353109878</v>
      </c>
      <c r="E131" s="106">
        <f>SUM(M$6:M$19)+SUM(O$6:O$19)+SUM(Q$6:Q$19)+SUM(S$6:S$19)</f>
        <v>149197.75198791755</v>
      </c>
      <c r="F131" s="106">
        <f>SUM(U$6:U$19)+SUM(W$6:W$19)+SUM(Y$6:Y$19)+SUM(AA$6:AA$19)</f>
        <v>143339.61638734883</v>
      </c>
      <c r="G131" s="106">
        <f>SUM(AC$6:AC$19)+SUM(AE$6:AE$19)+SUM(AG$6:AG$19)+SUM(AI$6:AI$19)</f>
        <v>191746.1548996882</v>
      </c>
      <c r="H131" s="106">
        <f>SUM(AK$6:AK$19)+SUM(AM$6:AM$19)+SUM(AO$6:AO$19)+SUM(AQ$6:AQ$19)</f>
        <v>215772.6959254258</v>
      </c>
      <c r="I131" s="106">
        <f>SUM(AS$6:AS$19)+SUM(AU$6:AU$19)+SUM(AW$6:AW$19)+SUM(AY$6:AY$19)</f>
        <v>161196.61947826442</v>
      </c>
      <c r="J131" s="106">
        <f>SUM(BA$6:BA$19)+SUM(BC$6:BC$19)+SUM(BE$6:BE$19)+SUM(BG$6:BG$19)</f>
        <v>120802.68648005472</v>
      </c>
      <c r="K131" s="106">
        <f>SUM(BI$6:BI$19)+SUM(BK$6:BK$19)+SUM(BM$6:BM$19)+SUM(BO$6:BO$19)</f>
        <v>191159.84298753378</v>
      </c>
      <c r="L131" s="106">
        <f>SUM(BQ$6:BQ$19)+SUM(BS$6:BS$19)+SUM(BU$6:BU$19)+SUM(BW$6:BW$19)</f>
        <v>134819.73650341429</v>
      </c>
      <c r="M131" s="106">
        <f>SUM(BY$6:BY$19)+SUM(CA$6:CA$19)+SUM(CC$6:CC$19)+SUM(CE$6:CE$19)</f>
        <v>272800.96051688161</v>
      </c>
      <c r="N131" s="106">
        <f>SUM(CG$6:CG$19)+SUM(CI$6:CI$19)+SUM(CK$6:CK$19)+SUM(CM$6:CM$19)</f>
        <v>196929.66057709989</v>
      </c>
      <c r="O131" s="106">
        <f>SUM(CO$6:CO$19)+SUM(CQ$6:CQ$19)+SUM(CS$6:CS$19)+SUM(CU$6:CU$19)</f>
        <v>223732.71145358915</v>
      </c>
    </row>
    <row r="132" spans="2:15">
      <c r="C132" s="105" t="s">
        <v>127</v>
      </c>
      <c r="D132" s="106">
        <f>SUM(E$20:E$36)+SUM(G$20:G$36)+SUM(I$20:I$36)+SUM(K$20:K$36)</f>
        <v>289414.11479769053</v>
      </c>
      <c r="E132" s="106">
        <f>SUM(M$20:M$36)+SUM(O$20:O$36)+SUM(Q$20:Q$36)+SUM(S$20:S$36)</f>
        <v>239789.60054166903</v>
      </c>
      <c r="F132" s="106">
        <f>SUM(U$20:U$36)+SUM(W$20:W$36)+SUM(Y$20:Y$36)+SUM(AA$20:AA$36)</f>
        <v>330925.66697615595</v>
      </c>
      <c r="G132" s="106">
        <f>SUM(AC$20:AC$36)+SUM(AE$20:AE$36)+SUM(AG$20:AG$36)+SUM(AI$20:AI$36)</f>
        <v>310979.16809245909</v>
      </c>
      <c r="H132" s="106">
        <f>SUM(AK$20:AK$36)+SUM(AM$20:AM$36)+SUM(AO$20:AO$36)+SUM(AQ$20:AQ$36)</f>
        <v>345784.98533287289</v>
      </c>
      <c r="I132" s="106">
        <f>SUM(AS$20:AS$36)+SUM(AU$20:AU$36)+SUM(AW$20:AW$36)+SUM(AY$20:AY$36)</f>
        <v>273935.31481710944</v>
      </c>
      <c r="J132" s="106">
        <f>SUM(BA$20:BA$36)+SUM(BC$20:BC$36)+SUM(BE$20:BE$36)+SUM(BG$20:BG$36)</f>
        <v>186422.3537320981</v>
      </c>
      <c r="K132" s="106">
        <f>SUM(BI$20:BI$36)+SUM(BK$20:BK$36)+SUM(BM$20:BM$36)+SUM(BO$20:BO$36)</f>
        <v>356393.65420048899</v>
      </c>
      <c r="L132" s="106">
        <f>SUM(BQ$20:BQ$36)+SUM(BS$20:BS$36)+SUM(BU$20:BU$36)+SUM(BW$20:BW$36)</f>
        <v>269989.98011933285</v>
      </c>
      <c r="M132" s="106">
        <f>SUM(BY$20:BY$36)+SUM(CA$20:CA$36)+SUM(CC$20:CC$36)+SUM(CE$20:CE$36)</f>
        <v>326851.71641249675</v>
      </c>
      <c r="N132" s="106">
        <f>SUM(CG$20:CG$36)+SUM(CI$20:CI$36)+SUM(CK$20:CK$36)+SUM(CM$20:CM$36)</f>
        <v>258386.10133920482</v>
      </c>
      <c r="O132" s="106">
        <f>SUM(CO$20:CO$36)+SUM(CQ$20:CQ$36)+SUM(CS$20:CS$36)+SUM(CU$20:CU$36)</f>
        <v>344673.82153105823</v>
      </c>
    </row>
    <row r="133" spans="2:15">
      <c r="C133" s="105" t="s">
        <v>128</v>
      </c>
      <c r="D133" s="106">
        <f>SUM(E$37:E$48)+SUM(G$37:G$48)+SUM(I$37:I$48)+SUM(K$37:K$48)</f>
        <v>325014.29368096625</v>
      </c>
      <c r="E133" s="106">
        <f>SUM(M$37:M$48)+SUM(O$37:O$48)+SUM(Q$37:Q$48)+SUM(S$37:S$48)</f>
        <v>300646.54271870421</v>
      </c>
      <c r="F133" s="106">
        <f>SUM(U$37:U$48)+SUM(W$37:W$48)+SUM(Y$37:Y$48)+SUM(AA$37:AA$48)</f>
        <v>305247.320578638</v>
      </c>
      <c r="G133" s="106">
        <f>SUM(AC$37:AC$48)+SUM(AE$37:AE$48)+SUM(AG$37:AG$48)+SUM(AI$37:AI$48)</f>
        <v>349130.01118679938</v>
      </c>
      <c r="H133" s="106">
        <f>SUM(AK$37:AK$48)+SUM(AM$37:AM$48)+SUM(AO$37:AO$48)+SUM(AQ$37:AQ$48)</f>
        <v>285906.75107987691</v>
      </c>
      <c r="I133" s="106">
        <f>SUM(AS$37:AS$48)+SUM(AU$37:AU$48)+SUM(AW$37:AW$48)+SUM(AY$37:AY$48)</f>
        <v>322626.03358434717</v>
      </c>
      <c r="J133" s="106">
        <f>SUM(BA$37:BA$48)+SUM(BC$37:BC$48)+SUM(BE$37:BE$48)+SUM(BG$37:BG$48)</f>
        <v>209888.71029001972</v>
      </c>
      <c r="K133" s="106">
        <f>SUM(BI$37:BI$48)+SUM(BK$37:BK$48)+SUM(BM$37:BM$48)+SUM(BO$37:BO$48)</f>
        <v>280093.38174848125</v>
      </c>
      <c r="L133" s="106">
        <f>SUM(BQ$37:BQ$48)+SUM(BS$37:BS$48)+SUM(BU$37:BU$48)+SUM(BW$37:BW$48)</f>
        <v>296432.02429467731</v>
      </c>
      <c r="M133" s="106">
        <f>SUM(BY$37:BY$48)+SUM(CA$37:CA$48)+SUM(CC$37:CC$48)+SUM(CE$37:CE$48)</f>
        <v>376269.06929913367</v>
      </c>
      <c r="N133" s="106">
        <f>SUM(CG$37:CG$48)+SUM(CI$37:CI$48)+SUM(CK$37:CK$48)+SUM(CM$37:CM$48)</f>
        <v>302176.27313459472</v>
      </c>
      <c r="O133" s="106">
        <f>SUM(CO$37:CO$48)+SUM(CQ$37:CQ$48)+SUM(CS$37:CS$48)+SUM(CU$37:CU$48)</f>
        <v>406135.03012496745</v>
      </c>
    </row>
    <row r="134" spans="2:15">
      <c r="C134" s="105" t="s">
        <v>129</v>
      </c>
      <c r="D134" s="106">
        <f>SUM(E$49:E$70)+SUM(G$49:G$70)+SUM(I$49:I$70)+SUM(K$49:K$70)</f>
        <v>395113.50429060095</v>
      </c>
      <c r="E134" s="106">
        <f>SUM(M$49:M$70)+SUM(O$49:O$70)+SUM(Q$49:Q$70)+SUM(S$49:S$70)</f>
        <v>332005.83259111084</v>
      </c>
      <c r="F134" s="106">
        <f>SUM(U$49:U$70)+SUM(W$49:W$70)+SUM(Y$49:Y$70)+SUM(AA$49:AA$70)</f>
        <v>299982.2458742233</v>
      </c>
      <c r="G134" s="106">
        <f>SUM(AC$49:AC$70)+SUM(AE$49:AE$70)+SUM(AG$49:AG$70)+SUM(AI$49:AI$70)</f>
        <v>311090.02577776113</v>
      </c>
      <c r="H134" s="106">
        <f>SUM(AK$49:AK$70)+SUM(AM$49:AM$70)+SUM(AO$49:AO$70)+SUM(AQ$49:AQ$70)</f>
        <v>304389.62847968575</v>
      </c>
      <c r="I134" s="106">
        <f>SUM(AS$49:AS$70)+SUM(AU$49:AU$70)+SUM(AW$49:AW$70)+SUM(AY$49:AY$70)</f>
        <v>230950.78052619827</v>
      </c>
      <c r="J134" s="106">
        <f>SUM(BA$49:BA$70)+SUM(BC$49:BC$70)+SUM(BE$49:BE$70)+SUM(BG$49:BG$70)</f>
        <v>200376.84712176456</v>
      </c>
      <c r="K134" s="106">
        <f>SUM(BI$49:BI$70)+SUM(BK$49:BK$70)+SUM(BM$49:BM$70)+SUM(BO$49:BO$70)</f>
        <v>295949.73080916639</v>
      </c>
      <c r="L134" s="106">
        <f>SUM(BQ$49:BQ$70)+SUM(BS$49:BS$70)+SUM(BU$49:BU$70)+SUM(BW$49:BW$70)</f>
        <v>250361.99812532816</v>
      </c>
      <c r="M134" s="106">
        <f>SUM(BY$49:BY$70)+SUM(CA$49:CA$70)+SUM(CC$49:CC$70)+SUM(CE$49:CE$70)</f>
        <v>322864.79288284795</v>
      </c>
      <c r="N134" s="106">
        <f>SUM(CG$49:CG$70)+SUM(CI$49:CI$70)+SUM(CK$49:CK$70)+SUM(CM$49:CM$70)</f>
        <v>276237.39398487378</v>
      </c>
      <c r="O134" s="106">
        <f>SUM(CO$49:CO$70)+SUM(CQ$49:CQ$70)+SUM(CS$49:CS$70)+SUM(CU$49:CU$70)</f>
        <v>293277.15810457978</v>
      </c>
    </row>
    <row r="135" spans="2:15">
      <c r="C135" s="105" t="s">
        <v>130</v>
      </c>
      <c r="D135" s="106">
        <f>SUM(E$71:E$86)+SUM(G$71:G$86)+SUM(I$71:I$86)+SUM(K$71:K$86)</f>
        <v>132938.14444557973</v>
      </c>
      <c r="E135" s="106">
        <f>SUM(M$71:M$86)+SUM(O$71:O$86)+SUM(Q$71:Q$86)+SUM(S$71:S$86)</f>
        <v>160151.12540949005</v>
      </c>
      <c r="F135" s="106">
        <f>SUM(U$71:U$86)+SUM(W$71:W$86)+SUM(Y$71:Y$86)+SUM(AA$71:AA$86)</f>
        <v>149684.74031479767</v>
      </c>
      <c r="G135" s="106">
        <f>SUM(AC$71:AC$86)+SUM(AE$71:AE$86)+SUM(AG$71:AG$86)+SUM(AI$71:AI$86)</f>
        <v>170103.6</v>
      </c>
      <c r="H135" s="106">
        <f>SUM(AK$71:AK$86)+SUM(AM$71:AM$86)+SUM(AO$71:AO$86)+SUM(AQ$71:AQ$86)</f>
        <v>146739.88526624179</v>
      </c>
      <c r="I135" s="106">
        <f>SUM(AS$71:AS$86)+SUM(AU$71:AU$86)+SUM(AW$71:AW$86)+SUM(AY$71:AY$86)</f>
        <v>105551.23732302774</v>
      </c>
      <c r="J135" s="106">
        <f>SUM(BA$71:BA$86)+SUM(BC$71:BC$86)+SUM(BE$71:BE$86)+SUM(BG$71:BG$86)</f>
        <v>114138.52089938053</v>
      </c>
      <c r="K135" s="106">
        <f>SUM(BI$71:BI$86)+SUM(BK$71:BK$86)+SUM(BM$71:BM$86)+SUM(BO$71:BO$86)</f>
        <v>114226.98462717303</v>
      </c>
      <c r="L135" s="106">
        <f>SUM(BQ$71:BQ$86)+SUM(BS$71:BS$86)+SUM(BU$71:BU$86)+SUM(BW$71:BW$86)</f>
        <v>123189.03623918083</v>
      </c>
      <c r="M135" s="106">
        <f>SUM(BY$71:BY$86)+SUM(CA$71:CA$86)+SUM(CC$71:CC$86)+SUM(CE$71:CE$86)</f>
        <v>171466.87838304573</v>
      </c>
      <c r="N135" s="106">
        <f>SUM(CG$71:CG$86)+SUM(CI$71:CI$86)+SUM(CK$71:CK$86)+SUM(CM$71:CM$86)</f>
        <v>111923.63105196512</v>
      </c>
      <c r="O135" s="106">
        <f>SUM(CO$71:CO$86)+SUM(CQ$71:CQ$86)+SUM(CS$71:CS$86)+SUM(CU$71:CU$86)</f>
        <v>177281.87171838753</v>
      </c>
    </row>
    <row r="136" spans="2:15">
      <c r="C136" s="105" t="s">
        <v>131</v>
      </c>
      <c r="D136" s="106">
        <f>SUM(E$87:E$94)+SUM(G$87:G$94)+SUM(I$87:I$94)+SUM(K$87:K$94)</f>
        <v>124889.95773274403</v>
      </c>
      <c r="E136" s="106">
        <f>SUM(M$87:M$94)+SUM(O$87:O$94)+SUM(Q$87:Q$94)+SUM(S$87:S$94)</f>
        <v>96495.409169080522</v>
      </c>
      <c r="F136" s="106">
        <f>SUM(U$87:U$94)+SUM(W$87:W$94)+SUM(Y$87:Y$94)+SUM(AA$87:AA$94)</f>
        <v>103629.64184764129</v>
      </c>
      <c r="G136" s="106">
        <f>SUM(AC$87:AC$94)+SUM(AE$87:AE$94)+SUM(AG$87:AG$94)+SUM(AI$87:AI$94)</f>
        <v>83470.124531503548</v>
      </c>
      <c r="H136" s="106">
        <f>SUM(AK$87:AK$94)+SUM(AM$87:AM$94)+SUM(AO$87:AO$94)+SUM(AQ$87:AQ$94)</f>
        <v>131626.37076192044</v>
      </c>
      <c r="I136" s="106">
        <f>SUM(AS$87:AS$94)+SUM(AU$87:AU$94)+SUM(AW$87:AW$94)+SUM(AY$87:AY$94)</f>
        <v>70857.275178233656</v>
      </c>
      <c r="J136" s="106">
        <f>SUM(BA$87:BA$94)+SUM(BC$87:BC$94)+SUM(BE$87:BE$94)+SUM(BG$87:BG$94)</f>
        <v>69707.710690705382</v>
      </c>
      <c r="K136" s="106">
        <f>SUM(BI$87:BI$94)+SUM(BK$87:BK$94)+SUM(BM$87:BM$94)+SUM(BO$87:BO$94)</f>
        <v>84217.44966427036</v>
      </c>
      <c r="L136" s="106">
        <f>SUM(BQ$87:BQ$94)+SUM(BS$87:BS$94)+SUM(BU$87:BU$94)+SUM(BW$87:BW$94)</f>
        <v>84664.467341691707</v>
      </c>
      <c r="M136" s="106">
        <f>SUM(BY$87:BY$94)+SUM(CA$87:CA$94)+SUM(CC$87:CC$94)+SUM(CE$87:CE$94)</f>
        <v>104913.37208005619</v>
      </c>
      <c r="N136" s="106">
        <f>SUM(CG$87:CG$94)+SUM(CI$87:CI$94)+SUM(CK$87:CK$94)+SUM(CM$87:CM$94)</f>
        <v>94442.398380441562</v>
      </c>
      <c r="O136" s="106">
        <f>SUM(CO$87:CO$94)+SUM(CQ$87:CQ$94)+SUM(CS$87:CS$94)+SUM(CU$87:CU$94)</f>
        <v>97982.637524249149</v>
      </c>
    </row>
    <row r="137" spans="2:15">
      <c r="C137" s="105" t="s">
        <v>132</v>
      </c>
      <c r="D137" s="106">
        <f>SUM(E$95:E$105)+SUM(G$95:G$105)+SUM(I$95:I$105)+SUM(K$95:K$105)</f>
        <v>234694.61043048557</v>
      </c>
      <c r="E137" s="106">
        <f>SUM(M$95:M$105)+SUM(O$95:O$105)+SUM(Q$95:Q$105)+SUM(S$95:S$105)</f>
        <v>195987.06594792733</v>
      </c>
      <c r="F137" s="106">
        <f>SUM(U$95:U$105)+SUM(W$95:W$105)+SUM(Y$95:Y$105)+SUM(AA$95:AA$105)</f>
        <v>198882.28961980622</v>
      </c>
      <c r="G137" s="106">
        <f>SUM(AC$95:AC$105)+SUM(AE$95:AE$105)+SUM(AG$95:AG$105)+SUM(AI$95:AI$105)</f>
        <v>184980.74276256905</v>
      </c>
      <c r="H137" s="106">
        <f>SUM(AK$95:AK$105)+SUM(AM$95:AM$105)+SUM(AO$95:AO$105)+SUM(AQ$95:AQ$105)</f>
        <v>191977.35868891366</v>
      </c>
      <c r="I137" s="106">
        <f>SUM(AS$95:AS$105)+SUM(AU$95:AU$105)+SUM(AW$95:AW$105)+SUM(AY$95:AY$105)</f>
        <v>136937.39604617018</v>
      </c>
      <c r="J137" s="106">
        <f>SUM(BA$95:BA$105)+SUM(BC$95:BC$105)+SUM(BE$95:BE$105)+SUM(BG$95:BG$105)</f>
        <v>111035.9672897358</v>
      </c>
      <c r="K137" s="106">
        <f>SUM(BI$95:BI$105)+SUM(BK$95:BK$105)+SUM(BM$95:BM$105)+SUM(BO$95:BO$105)</f>
        <v>195800.16815915509</v>
      </c>
      <c r="L137" s="106">
        <f>SUM(BQ$95:BQ$105)+SUM(BS$95:BS$105)+SUM(BU$95:BU$105)+SUM(BW$95:BW$105)</f>
        <v>132770.59820823229</v>
      </c>
      <c r="M137" s="106">
        <f>SUM(BY$95:BY$105)+SUM(CA$95:CA$105)+SUM(CC$95:CC$105)+SUM(CE$95:CE$105)</f>
        <v>200056.50505184691</v>
      </c>
      <c r="N137" s="106">
        <f>SUM(CG$95:CG$105)+SUM(CI$95:CI$105)+SUM(CK$95:CK$105)+SUM(CM$95:CM$105)</f>
        <v>163334.83043451339</v>
      </c>
      <c r="O137" s="106">
        <f>SUM(CO$95:CO$105)+SUM(CQ$95:CQ$105)+SUM(CS$95:CS$105)+SUM(CU$95:CU$105)</f>
        <v>152501.63733772648</v>
      </c>
    </row>
    <row r="138" spans="2:15">
      <c r="C138" s="105" t="s">
        <v>278</v>
      </c>
      <c r="D138" s="100">
        <f t="shared" ref="D138:O138" si="2">SUM(D$131:D$137)</f>
        <v>1727402.5389091659</v>
      </c>
      <c r="E138" s="100">
        <f t="shared" si="2"/>
        <v>1474273.3283658994</v>
      </c>
      <c r="F138" s="100">
        <f t="shared" si="2"/>
        <v>1531691.5215986113</v>
      </c>
      <c r="G138" s="100">
        <f t="shared" si="2"/>
        <v>1601499.8272507805</v>
      </c>
      <c r="H138" s="100">
        <f t="shared" si="2"/>
        <v>1622197.6755349375</v>
      </c>
      <c r="I138" s="100">
        <f t="shared" si="2"/>
        <v>1302054.6569533509</v>
      </c>
      <c r="J138" s="100">
        <f t="shared" si="2"/>
        <v>1012372.7965037588</v>
      </c>
      <c r="K138" s="100">
        <f t="shared" si="2"/>
        <v>1517841.2121962688</v>
      </c>
      <c r="L138" s="100">
        <f t="shared" si="2"/>
        <v>1292227.8408318576</v>
      </c>
      <c r="M138" s="100">
        <f t="shared" si="2"/>
        <v>1775223.2946263088</v>
      </c>
      <c r="N138" s="100">
        <f t="shared" si="2"/>
        <v>1403430.2889026934</v>
      </c>
      <c r="O138" s="100">
        <f t="shared" si="2"/>
        <v>1695584.8677945579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5.0916756410416673</v>
      </c>
      <c r="G6" s="100">
        <v>2945.0251907785</v>
      </c>
      <c r="H6" s="100">
        <v>7.8087222658470647</v>
      </c>
      <c r="I6" s="100">
        <v>4516.5649585659421</v>
      </c>
      <c r="J6" s="100">
        <v>4.7039751121393875E-4</v>
      </c>
      <c r="K6" s="100">
        <v>0.27207792048614216</v>
      </c>
      <c r="L6" s="100">
        <v>9.5115175123563009</v>
      </c>
      <c r="M6" s="100">
        <v>5501.461729146884</v>
      </c>
      <c r="N6" s="100">
        <v>2.3075458003379294</v>
      </c>
      <c r="O6" s="100">
        <v>1334.6844909154584</v>
      </c>
      <c r="P6" s="100">
        <v>8</v>
      </c>
      <c r="Q6" s="100">
        <v>4627.2</v>
      </c>
      <c r="R6" s="100">
        <v>7.9900257307179894</v>
      </c>
      <c r="S6" s="100">
        <v>4621.4308826472852</v>
      </c>
      <c r="T6" s="100">
        <v>1.4168838921567666</v>
      </c>
      <c r="U6" s="100">
        <v>819.52564322347371</v>
      </c>
      <c r="V6" s="100">
        <v>3.0484640178245948</v>
      </c>
      <c r="W6" s="100">
        <v>1763.2315879097455</v>
      </c>
      <c r="X6" s="100">
        <v>7.5683151429938205</v>
      </c>
      <c r="Y6" s="100">
        <v>4377.5134787076258</v>
      </c>
      <c r="Z6" s="100">
        <v>2.4195053480347921</v>
      </c>
      <c r="AA6" s="100">
        <v>1399.4418933033237</v>
      </c>
      <c r="AB6" s="100">
        <v>7.0725149260213707</v>
      </c>
      <c r="AC6" s="100">
        <v>4090.7426332107607</v>
      </c>
      <c r="AD6" s="100">
        <v>6</v>
      </c>
      <c r="AE6" s="100">
        <v>3470.3999999999996</v>
      </c>
      <c r="AF6" s="100">
        <v>2.1228012466923056</v>
      </c>
      <c r="AG6" s="100">
        <v>1227.8282410868296</v>
      </c>
      <c r="AH6" s="100">
        <v>6</v>
      </c>
      <c r="AI6" s="100">
        <v>3470.3999999999996</v>
      </c>
      <c r="AJ6" s="100">
        <v>2.6205604180114999</v>
      </c>
      <c r="AK6" s="100">
        <v>1515.7321457778514</v>
      </c>
      <c r="AL6" s="100">
        <v>6.2602343048019726</v>
      </c>
      <c r="AM6" s="100">
        <v>3620.919521897461</v>
      </c>
      <c r="AN6" s="100">
        <v>8.2739300331171552</v>
      </c>
      <c r="AO6" s="100">
        <v>4785.6411311549627</v>
      </c>
      <c r="AP6" s="100">
        <v>4.2512413360113003E-4</v>
      </c>
      <c r="AQ6" s="100">
        <v>0.2458917988748936</v>
      </c>
      <c r="AR6" s="100">
        <v>6.1941457119369963</v>
      </c>
      <c r="AS6" s="100">
        <v>3582.6938797843586</v>
      </c>
      <c r="AT6" s="100">
        <v>8.3757931778600554</v>
      </c>
      <c r="AU6" s="100">
        <v>4844.5587740742558</v>
      </c>
      <c r="AV6" s="100">
        <v>7.9589126562480343</v>
      </c>
      <c r="AW6" s="100">
        <v>4603.4350803738625</v>
      </c>
      <c r="AX6" s="100">
        <v>4.5290920618204977E-4</v>
      </c>
      <c r="AY6" s="100">
        <v>0.26196268485569757</v>
      </c>
      <c r="AZ6" s="100">
        <v>5.5256161535839334</v>
      </c>
      <c r="BA6" s="100">
        <v>3196.0163832329472</v>
      </c>
      <c r="BB6" s="100">
        <v>2.7182786170887079</v>
      </c>
      <c r="BC6" s="100">
        <v>1572.2523521241085</v>
      </c>
      <c r="BD6" s="100">
        <v>5.5129467852426481</v>
      </c>
      <c r="BE6" s="100">
        <v>3188.6884205843476</v>
      </c>
      <c r="BF6" s="100">
        <v>5.3773299076967005</v>
      </c>
      <c r="BG6" s="100">
        <v>3110.2476186117715</v>
      </c>
      <c r="BH6" s="100">
        <v>5.3564222185732229</v>
      </c>
      <c r="BI6" s="100">
        <v>3098.154611222752</v>
      </c>
      <c r="BJ6" s="100">
        <v>9.996682556475978</v>
      </c>
      <c r="BK6" s="100">
        <v>5782.0811906657054</v>
      </c>
      <c r="BL6" s="100">
        <v>9</v>
      </c>
      <c r="BM6" s="100">
        <v>5205.5999999999995</v>
      </c>
      <c r="BN6" s="100">
        <v>7.0256726062573707</v>
      </c>
      <c r="BO6" s="100">
        <v>4063.6490354592629</v>
      </c>
      <c r="BP6" s="100">
        <v>1.8263761017098215</v>
      </c>
      <c r="BQ6" s="100">
        <v>1056.3759372289608</v>
      </c>
      <c r="BR6" s="100">
        <v>3.9438302850973466E-4</v>
      </c>
      <c r="BS6" s="100">
        <v>0.22811114369003052</v>
      </c>
      <c r="BT6" s="100">
        <v>9.0002448903855825</v>
      </c>
      <c r="BU6" s="100">
        <v>5205.7416445990211</v>
      </c>
      <c r="BV6" s="100">
        <v>5.5949237189533338</v>
      </c>
      <c r="BW6" s="100">
        <v>3236.1038790426082</v>
      </c>
      <c r="BX6" s="100">
        <v>6.7042851084093149</v>
      </c>
      <c r="BY6" s="100">
        <v>3877.7585067039477</v>
      </c>
      <c r="BZ6" s="100">
        <v>8</v>
      </c>
      <c r="CA6" s="100">
        <v>4627.2</v>
      </c>
      <c r="CB6" s="100">
        <v>3.0733318819985995</v>
      </c>
      <c r="CC6" s="100">
        <v>1777.6151605479899</v>
      </c>
      <c r="CD6" s="100">
        <v>6.2407020476648795E-4</v>
      </c>
      <c r="CE6" s="100">
        <v>0.36096220643693661</v>
      </c>
      <c r="CF6" s="100">
        <v>5.211284371788441</v>
      </c>
      <c r="CG6" s="100">
        <v>3014.206880642434</v>
      </c>
      <c r="CH6" s="100">
        <v>3.4027500167897538</v>
      </c>
      <c r="CI6" s="100">
        <v>1968.1506097111935</v>
      </c>
      <c r="CJ6" s="100">
        <v>7</v>
      </c>
      <c r="CK6" s="100">
        <v>4048.7999999999997</v>
      </c>
      <c r="CL6" s="100">
        <v>6.2834654345702008</v>
      </c>
      <c r="CM6" s="100">
        <v>3634.3564073554039</v>
      </c>
      <c r="CN6" s="100">
        <v>5.9816913620228451</v>
      </c>
      <c r="CO6" s="100">
        <v>3459.8102837940137</v>
      </c>
      <c r="CP6" s="100">
        <v>10</v>
      </c>
      <c r="CQ6" s="100">
        <v>5784</v>
      </c>
      <c r="CR6" s="100">
        <v>7.2353178393602455</v>
      </c>
      <c r="CS6" s="100">
        <v>4184.9078382859661</v>
      </c>
      <c r="CT6" s="100">
        <v>7.4564111394180346</v>
      </c>
      <c r="CU6" s="100">
        <v>4312.7882030393912</v>
      </c>
    </row>
    <row r="7" spans="1:99">
      <c r="C7" s="99" t="s">
        <v>173</v>
      </c>
      <c r="D7" s="100">
        <v>8</v>
      </c>
      <c r="E7" s="100">
        <v>6307.2</v>
      </c>
      <c r="F7" s="100">
        <v>4.2430630342013886</v>
      </c>
      <c r="G7" s="100">
        <v>3345.2308961643748</v>
      </c>
      <c r="H7" s="100">
        <v>6.9410864585307239</v>
      </c>
      <c r="I7" s="100">
        <v>5472.3525639056224</v>
      </c>
      <c r="J7" s="100">
        <v>4.7039751121393875E-4</v>
      </c>
      <c r="K7" s="100">
        <v>0.37086139784106931</v>
      </c>
      <c r="L7" s="100">
        <v>10.34357112209449</v>
      </c>
      <c r="M7" s="100">
        <v>8154.8714726592953</v>
      </c>
      <c r="N7" s="100">
        <v>2.0511518225226042</v>
      </c>
      <c r="O7" s="100">
        <v>1617.128096876821</v>
      </c>
      <c r="P7" s="100">
        <v>9</v>
      </c>
      <c r="Q7" s="100">
        <v>7095.5999999999995</v>
      </c>
      <c r="R7" s="100">
        <v>7.9900257307179894</v>
      </c>
      <c r="S7" s="100">
        <v>6299.3362860980624</v>
      </c>
      <c r="T7" s="100">
        <v>1.4168838921567666</v>
      </c>
      <c r="U7" s="100">
        <v>1117.0712605763947</v>
      </c>
      <c r="V7" s="100">
        <v>3.0484640178245948</v>
      </c>
      <c r="W7" s="100">
        <v>2403.4090316529105</v>
      </c>
      <c r="X7" s="100">
        <v>7.5683151429938205</v>
      </c>
      <c r="Y7" s="100">
        <v>5966.8596587363281</v>
      </c>
      <c r="Z7" s="100">
        <v>2.4195053480347921</v>
      </c>
      <c r="AA7" s="100">
        <v>1907.53801639063</v>
      </c>
      <c r="AB7" s="100">
        <v>7.0725149260213707</v>
      </c>
      <c r="AC7" s="100">
        <v>5575.9707676752487</v>
      </c>
      <c r="AD7" s="100">
        <v>6</v>
      </c>
      <c r="AE7" s="100">
        <v>4730.3999999999996</v>
      </c>
      <c r="AF7" s="100">
        <v>1.7690010389102548</v>
      </c>
      <c r="AG7" s="100">
        <v>1394.6804190768448</v>
      </c>
      <c r="AH7" s="100">
        <v>6</v>
      </c>
      <c r="AI7" s="100">
        <v>4730.3999999999996</v>
      </c>
      <c r="AJ7" s="100">
        <v>2.3914840514650715</v>
      </c>
      <c r="AK7" s="100">
        <v>1885.4460261750623</v>
      </c>
      <c r="AL7" s="100">
        <v>6.2602343048019726</v>
      </c>
      <c r="AM7" s="100">
        <v>4935.568725905875</v>
      </c>
      <c r="AN7" s="100">
        <v>6.619144026493724</v>
      </c>
      <c r="AO7" s="100">
        <v>5218.5331504876522</v>
      </c>
      <c r="AP7" s="100">
        <v>4.9138745861367018E-4</v>
      </c>
      <c r="AQ7" s="100">
        <v>0.38740987237101754</v>
      </c>
      <c r="AR7" s="100">
        <v>6.3225673077929274</v>
      </c>
      <c r="AS7" s="100">
        <v>4984.7120654639439</v>
      </c>
      <c r="AT7" s="100">
        <v>7.2229272692089381</v>
      </c>
      <c r="AU7" s="100">
        <v>5694.555859044327</v>
      </c>
      <c r="AV7" s="100">
        <v>7.1630213906232312</v>
      </c>
      <c r="AW7" s="100">
        <v>5647.3260643673557</v>
      </c>
      <c r="AX7" s="100">
        <v>4.5290920618204977E-4</v>
      </c>
      <c r="AY7" s="100">
        <v>0.35707361815392802</v>
      </c>
      <c r="AZ7" s="100">
        <v>5.5256161535839334</v>
      </c>
      <c r="BA7" s="100">
        <v>4356.3957754855728</v>
      </c>
      <c r="BB7" s="100">
        <v>2.7182786170887079</v>
      </c>
      <c r="BC7" s="100">
        <v>2143.090861712737</v>
      </c>
      <c r="BD7" s="100">
        <v>4.5933754064313286</v>
      </c>
      <c r="BE7" s="100">
        <v>3621.4171704304595</v>
      </c>
      <c r="BF7" s="100">
        <v>4.611535083174644</v>
      </c>
      <c r="BG7" s="100">
        <v>3635.7342595748892</v>
      </c>
      <c r="BH7" s="100">
        <v>6.1043483293769114</v>
      </c>
      <c r="BI7" s="100">
        <v>4812.6682228807567</v>
      </c>
      <c r="BJ7" s="100">
        <v>7.996682556475978</v>
      </c>
      <c r="BK7" s="100">
        <v>6304.5845275256606</v>
      </c>
      <c r="BL7" s="100">
        <v>8</v>
      </c>
      <c r="BM7" s="100">
        <v>6307.2</v>
      </c>
      <c r="BN7" s="100">
        <v>7.0256726062573707</v>
      </c>
      <c r="BO7" s="100">
        <v>5539.0402827733105</v>
      </c>
      <c r="BP7" s="100">
        <v>1.56546523003699</v>
      </c>
      <c r="BQ7" s="100">
        <v>1234.2127873611628</v>
      </c>
      <c r="BR7" s="100">
        <v>3.4314509362986205E-4</v>
      </c>
      <c r="BS7" s="100">
        <v>0.27053559181778325</v>
      </c>
      <c r="BT7" s="100">
        <v>9.0002448903855825</v>
      </c>
      <c r="BU7" s="100">
        <v>7095.793071579993</v>
      </c>
      <c r="BV7" s="100">
        <v>4.3516073369637036</v>
      </c>
      <c r="BW7" s="100">
        <v>3430.807224462184</v>
      </c>
      <c r="BX7" s="100">
        <v>6.7042851084093149</v>
      </c>
      <c r="BY7" s="100">
        <v>5285.6583794699036</v>
      </c>
      <c r="BZ7" s="100">
        <v>8</v>
      </c>
      <c r="CA7" s="100">
        <v>6307.2</v>
      </c>
      <c r="CB7" s="100">
        <v>3.0733318819985995</v>
      </c>
      <c r="CC7" s="100">
        <v>2423.0148557676957</v>
      </c>
      <c r="CD7" s="100">
        <v>6.2407020476648795E-4</v>
      </c>
      <c r="CE7" s="100">
        <v>0.49201694943789909</v>
      </c>
      <c r="CF7" s="100">
        <v>5.211284371788441</v>
      </c>
      <c r="CG7" s="100">
        <v>4108.5765987180066</v>
      </c>
      <c r="CH7" s="100">
        <v>4.0833000201477052</v>
      </c>
      <c r="CI7" s="100">
        <v>3219.2737358844506</v>
      </c>
      <c r="CJ7" s="100">
        <v>8</v>
      </c>
      <c r="CK7" s="100">
        <v>6307.2</v>
      </c>
      <c r="CL7" s="100">
        <v>5.7230935245575827</v>
      </c>
      <c r="CM7" s="100">
        <v>4512.0869347611979</v>
      </c>
      <c r="CN7" s="100">
        <v>6.9816913620228451</v>
      </c>
      <c r="CO7" s="100">
        <v>5504.3654698188111</v>
      </c>
      <c r="CP7" s="100">
        <v>10</v>
      </c>
      <c r="CQ7" s="100">
        <v>7884</v>
      </c>
      <c r="CR7" s="100">
        <v>6.3309031094402153</v>
      </c>
      <c r="CS7" s="100">
        <v>4991.2840114826658</v>
      </c>
      <c r="CT7" s="100">
        <v>7.4227994420667338</v>
      </c>
      <c r="CU7" s="100">
        <v>5852.135080125413</v>
      </c>
    </row>
    <row r="8" spans="1:99">
      <c r="C8" s="99" t="s">
        <v>174</v>
      </c>
      <c r="D8" s="100">
        <v>8</v>
      </c>
      <c r="E8" s="100">
        <v>2476.7999999999997</v>
      </c>
      <c r="F8" s="100">
        <v>4.2430630342013886</v>
      </c>
      <c r="G8" s="100">
        <v>1313.6523153887497</v>
      </c>
      <c r="H8" s="100">
        <v>7.8087222658470647</v>
      </c>
      <c r="I8" s="100">
        <v>2417.5804135062508</v>
      </c>
      <c r="J8" s="100">
        <v>4.6627343037021268E-4</v>
      </c>
      <c r="K8" s="100">
        <v>0.14435825404261782</v>
      </c>
      <c r="L8" s="100">
        <v>10.511517512356301</v>
      </c>
      <c r="M8" s="100">
        <v>3254.3658218255105</v>
      </c>
      <c r="N8" s="100">
        <v>2.3075458003379294</v>
      </c>
      <c r="O8" s="100">
        <v>714.41617978462284</v>
      </c>
      <c r="P8" s="100">
        <v>9</v>
      </c>
      <c r="Q8" s="100">
        <v>2786.3999999999996</v>
      </c>
      <c r="R8" s="100">
        <v>8.9887789470577388</v>
      </c>
      <c r="S8" s="100">
        <v>2782.9259620090756</v>
      </c>
      <c r="T8" s="100">
        <v>1.70026067058812</v>
      </c>
      <c r="U8" s="100">
        <v>526.40070361408186</v>
      </c>
      <c r="V8" s="100">
        <v>3.0484640178245948</v>
      </c>
      <c r="W8" s="100">
        <v>943.80445991849444</v>
      </c>
      <c r="X8" s="100">
        <v>7.3940579048833959</v>
      </c>
      <c r="Y8" s="100">
        <v>2289.200327351899</v>
      </c>
      <c r="Z8" s="100">
        <v>2.0173588554287747</v>
      </c>
      <c r="AA8" s="100">
        <v>624.57430164074856</v>
      </c>
      <c r="AB8" s="100">
        <v>7.0725149260213707</v>
      </c>
      <c r="AC8" s="100">
        <v>2189.6506210962161</v>
      </c>
      <c r="AD8" s="100">
        <v>7</v>
      </c>
      <c r="AE8" s="100">
        <v>2167.1999999999998</v>
      </c>
      <c r="AF8" s="100">
        <v>1.7690010389102548</v>
      </c>
      <c r="AG8" s="100">
        <v>547.68272164661482</v>
      </c>
      <c r="AH8" s="100">
        <v>7</v>
      </c>
      <c r="AI8" s="100">
        <v>2167.1999999999998</v>
      </c>
      <c r="AJ8" s="100">
        <v>2.6205604180114999</v>
      </c>
      <c r="AK8" s="100">
        <v>811.32550541636022</v>
      </c>
      <c r="AL8" s="100">
        <v>7.2602343048019726</v>
      </c>
      <c r="AM8" s="100">
        <v>2247.7685407666904</v>
      </c>
      <c r="AN8" s="100">
        <v>7.4465370298054392</v>
      </c>
      <c r="AO8" s="100">
        <v>2305.4478644277638</v>
      </c>
      <c r="AP8" s="100">
        <v>4.9138745861367018E-4</v>
      </c>
      <c r="AQ8" s="100">
        <v>0.15213355718679228</v>
      </c>
      <c r="AR8" s="100">
        <v>6.3225673077929274</v>
      </c>
      <c r="AS8" s="100">
        <v>1957.4668384926902</v>
      </c>
      <c r="AT8" s="100">
        <v>8.3757931778600554</v>
      </c>
      <c r="AU8" s="100">
        <v>2593.1455678654729</v>
      </c>
      <c r="AV8" s="100">
        <v>8.7548039218728366</v>
      </c>
      <c r="AW8" s="100">
        <v>2710.48729421183</v>
      </c>
      <c r="AX8" s="100">
        <v>4.5290920618204977E-4</v>
      </c>
      <c r="AY8" s="100">
        <v>0.14022069023396258</v>
      </c>
      <c r="AZ8" s="100">
        <v>4.6924074996613072</v>
      </c>
      <c r="BA8" s="100">
        <v>1452.7693618951405</v>
      </c>
      <c r="BB8" s="100">
        <v>3.1508924122106223</v>
      </c>
      <c r="BC8" s="100">
        <v>975.51629082040859</v>
      </c>
      <c r="BD8" s="100">
        <v>5.508465297617378</v>
      </c>
      <c r="BE8" s="100">
        <v>1705.42085614234</v>
      </c>
      <c r="BF8" s="100">
        <v>4.611535083174644</v>
      </c>
      <c r="BG8" s="100">
        <v>1427.7312617508696</v>
      </c>
      <c r="BH8" s="100">
        <v>6.1043483293769114</v>
      </c>
      <c r="BI8" s="100">
        <v>1889.9062427750916</v>
      </c>
      <c r="BJ8" s="100">
        <v>8.996682556475978</v>
      </c>
      <c r="BK8" s="100">
        <v>2785.3729194849625</v>
      </c>
      <c r="BL8" s="100">
        <v>9</v>
      </c>
      <c r="BM8" s="100">
        <v>2786.3999999999996</v>
      </c>
      <c r="BN8" s="100">
        <v>7.8063028958415224</v>
      </c>
      <c r="BO8" s="100">
        <v>2416.8313765525349</v>
      </c>
      <c r="BP8" s="100">
        <v>1.56546523003699</v>
      </c>
      <c r="BQ8" s="100">
        <v>484.66803521945207</v>
      </c>
      <c r="BR8" s="100">
        <v>4.0033594256817247E-4</v>
      </c>
      <c r="BS8" s="100">
        <v>0.12394400781910618</v>
      </c>
      <c r="BT8" s="100">
        <v>8.0002448903855825</v>
      </c>
      <c r="BU8" s="100">
        <v>2476.8758180633758</v>
      </c>
      <c r="BV8" s="100">
        <v>5.5949237189533338</v>
      </c>
      <c r="BW8" s="100">
        <v>1732.1883833879519</v>
      </c>
      <c r="BX8" s="100">
        <v>5.7465300929222698</v>
      </c>
      <c r="BY8" s="100">
        <v>1779.1257167687345</v>
      </c>
      <c r="BZ8" s="100">
        <v>9</v>
      </c>
      <c r="CA8" s="100">
        <v>2786.3999999999996</v>
      </c>
      <c r="CB8" s="100">
        <v>3.0733318819985995</v>
      </c>
      <c r="CC8" s="100">
        <v>951.50355066676627</v>
      </c>
      <c r="CD8" s="100">
        <v>7.4767589129420906E-4</v>
      </c>
      <c r="CE8" s="100">
        <v>0.23148045594468711</v>
      </c>
      <c r="CF8" s="100">
        <v>6.211284371788441</v>
      </c>
      <c r="CG8" s="100">
        <v>1923.0136415057011</v>
      </c>
      <c r="CH8" s="100">
        <v>4.0833000201477052</v>
      </c>
      <c r="CI8" s="100">
        <v>1264.1896862377293</v>
      </c>
      <c r="CJ8" s="100">
        <v>8</v>
      </c>
      <c r="CK8" s="100">
        <v>2476.7999999999997</v>
      </c>
      <c r="CL8" s="100">
        <v>6.2983872376241257</v>
      </c>
      <c r="CM8" s="100">
        <v>1949.980688768429</v>
      </c>
      <c r="CN8" s="100">
        <v>7.1044027822757005</v>
      </c>
      <c r="CO8" s="100">
        <v>2199.5231013925568</v>
      </c>
      <c r="CP8" s="100">
        <v>10</v>
      </c>
      <c r="CQ8" s="100">
        <v>3095.9999999999995</v>
      </c>
      <c r="CR8" s="100">
        <v>6.3309031094402153</v>
      </c>
      <c r="CS8" s="100">
        <v>1960.0476026826905</v>
      </c>
      <c r="CT8" s="100">
        <v>7.4396052907423842</v>
      </c>
      <c r="CU8" s="100">
        <v>2303.301798013842</v>
      </c>
    </row>
    <row r="9" spans="1:99">
      <c r="C9" s="99" t="s">
        <v>175</v>
      </c>
      <c r="D9" s="100">
        <v>8</v>
      </c>
      <c r="E9" s="100">
        <v>5616</v>
      </c>
      <c r="F9" s="100">
        <v>5.0916756410416673</v>
      </c>
      <c r="G9" s="100">
        <v>3574.3563000112504</v>
      </c>
      <c r="H9" s="100">
        <v>7.8087222658470647</v>
      </c>
      <c r="I9" s="100">
        <v>5481.7230306246393</v>
      </c>
      <c r="J9" s="100">
        <v>3.8209172215236757E-4</v>
      </c>
      <c r="K9" s="100">
        <v>0.26822838895096202</v>
      </c>
      <c r="L9" s="100">
        <v>10.34357112209449</v>
      </c>
      <c r="M9" s="100">
        <v>7261.1869277103315</v>
      </c>
      <c r="N9" s="100">
        <v>2.0511518225226042</v>
      </c>
      <c r="O9" s="100">
        <v>1439.9085794108682</v>
      </c>
      <c r="P9" s="100">
        <v>9</v>
      </c>
      <c r="Q9" s="100">
        <v>6318</v>
      </c>
      <c r="R9" s="100">
        <v>7.9900257307179894</v>
      </c>
      <c r="S9" s="100">
        <v>5608.9980629640286</v>
      </c>
      <c r="T9" s="100">
        <v>1.70026067058812</v>
      </c>
      <c r="U9" s="100">
        <v>1193.5829907528603</v>
      </c>
      <c r="V9" s="100">
        <v>3.0289456478388663</v>
      </c>
      <c r="W9" s="100">
        <v>2126.319844782884</v>
      </c>
      <c r="X9" s="100">
        <v>6.3940579048833959</v>
      </c>
      <c r="Y9" s="100">
        <v>4488.6286492281442</v>
      </c>
      <c r="Z9" s="100">
        <v>2.3731206012439889</v>
      </c>
      <c r="AA9" s="100">
        <v>1665.9306620732802</v>
      </c>
      <c r="AB9" s="100">
        <v>6.0725149260213707</v>
      </c>
      <c r="AC9" s="100">
        <v>4262.9054780670022</v>
      </c>
      <c r="AD9" s="100">
        <v>5</v>
      </c>
      <c r="AE9" s="100">
        <v>3510</v>
      </c>
      <c r="AF9" s="100">
        <v>1.7690010389102548</v>
      </c>
      <c r="AG9" s="100">
        <v>1241.838729314999</v>
      </c>
      <c r="AH9" s="100">
        <v>6</v>
      </c>
      <c r="AI9" s="100">
        <v>4212</v>
      </c>
      <c r="AJ9" s="100">
        <v>2.7790579534171882</v>
      </c>
      <c r="AK9" s="100">
        <v>1950.8986832988662</v>
      </c>
      <c r="AL9" s="100">
        <v>7.1027050167017256</v>
      </c>
      <c r="AM9" s="100">
        <v>4986.0989217246115</v>
      </c>
      <c r="AN9" s="100">
        <v>7.4465370298054392</v>
      </c>
      <c r="AO9" s="100">
        <v>5227.468994923418</v>
      </c>
      <c r="AP9" s="100">
        <v>4.2787855195371887E-4</v>
      </c>
      <c r="AQ9" s="100">
        <v>0.30037074347151066</v>
      </c>
      <c r="AR9" s="100">
        <v>6.1941457119369963</v>
      </c>
      <c r="AS9" s="100">
        <v>4348.2902897797712</v>
      </c>
      <c r="AT9" s="100">
        <v>7.3757931778600554</v>
      </c>
      <c r="AU9" s="100">
        <v>5177.806810857759</v>
      </c>
      <c r="AV9" s="100">
        <v>7.1630213906232312</v>
      </c>
      <c r="AW9" s="100">
        <v>5028.4410162175081</v>
      </c>
      <c r="AX9" s="100">
        <v>3.8209494604902881E-4</v>
      </c>
      <c r="AY9" s="100">
        <v>0.26823065212641822</v>
      </c>
      <c r="AZ9" s="100">
        <v>5.6008110435908147</v>
      </c>
      <c r="BA9" s="100">
        <v>3931.769352600752</v>
      </c>
      <c r="BB9" s="100">
        <v>2.7182786170887079</v>
      </c>
      <c r="BC9" s="100">
        <v>1908.231589196273</v>
      </c>
      <c r="BD9" s="100">
        <v>5.3844483020918119</v>
      </c>
      <c r="BE9" s="100">
        <v>3779.8827080684518</v>
      </c>
      <c r="BF9" s="100">
        <v>5.3605637716543946</v>
      </c>
      <c r="BG9" s="100">
        <v>3763.1157677013848</v>
      </c>
      <c r="BH9" s="100">
        <v>5.9802246788410409</v>
      </c>
      <c r="BI9" s="100">
        <v>4198.1177245464105</v>
      </c>
      <c r="BJ9" s="100">
        <v>9.1074250627510871</v>
      </c>
      <c r="BK9" s="100">
        <v>6393.4123940512627</v>
      </c>
      <c r="BL9" s="100">
        <v>8</v>
      </c>
      <c r="BM9" s="100">
        <v>5616</v>
      </c>
      <c r="BN9" s="100">
        <v>6.2450423166732181</v>
      </c>
      <c r="BO9" s="100">
        <v>4384.0197063045989</v>
      </c>
      <c r="BP9" s="100">
        <v>1.56546523003699</v>
      </c>
      <c r="BQ9" s="100">
        <v>1098.956591485967</v>
      </c>
      <c r="BR9" s="100">
        <v>3.9438302850973466E-4</v>
      </c>
      <c r="BS9" s="100">
        <v>0.27685688601383374</v>
      </c>
      <c r="BT9" s="100">
        <v>9.0002448903855825</v>
      </c>
      <c r="BU9" s="100">
        <v>6318.171913050679</v>
      </c>
      <c r="BV9" s="100">
        <v>4.9732655279585183</v>
      </c>
      <c r="BW9" s="100">
        <v>3491.23240062688</v>
      </c>
      <c r="BX9" s="100">
        <v>5.7465300929222698</v>
      </c>
      <c r="BY9" s="100">
        <v>4034.0641252314335</v>
      </c>
      <c r="BZ9" s="100">
        <v>8</v>
      </c>
      <c r="CA9" s="100">
        <v>5616</v>
      </c>
      <c r="CB9" s="100">
        <v>3.0733318819985995</v>
      </c>
      <c r="CC9" s="100">
        <v>2157.4789811630167</v>
      </c>
      <c r="CD9" s="100">
        <v>6.8587304803034851E-4</v>
      </c>
      <c r="CE9" s="100">
        <v>0.48148287971730463</v>
      </c>
      <c r="CF9" s="100">
        <v>6.211284371788441</v>
      </c>
      <c r="CG9" s="100">
        <v>4360.3216289954853</v>
      </c>
      <c r="CH9" s="100">
        <v>3.4027500167897538</v>
      </c>
      <c r="CI9" s="100">
        <v>2388.7305117864071</v>
      </c>
      <c r="CJ9" s="100">
        <v>8</v>
      </c>
      <c r="CK9" s="100">
        <v>5616</v>
      </c>
      <c r="CL9" s="100">
        <v>6.2685436315162777</v>
      </c>
      <c r="CM9" s="100">
        <v>4400.5176293244267</v>
      </c>
      <c r="CN9" s="100">
        <v>6.9816913620228451</v>
      </c>
      <c r="CO9" s="100">
        <v>4901.1473361400376</v>
      </c>
      <c r="CP9" s="100">
        <v>9</v>
      </c>
      <c r="CQ9" s="100">
        <v>6318</v>
      </c>
      <c r="CR9" s="100">
        <v>6.3309031094402153</v>
      </c>
      <c r="CS9" s="100">
        <v>4444.293982827031</v>
      </c>
      <c r="CT9" s="100">
        <v>6.7158117800789272</v>
      </c>
      <c r="CU9" s="100">
        <v>4714.4998696154071</v>
      </c>
    </row>
    <row r="10" spans="1:99">
      <c r="C10" s="99" t="s">
        <v>176</v>
      </c>
      <c r="D10" s="100">
        <v>9</v>
      </c>
      <c r="E10" s="100">
        <v>4903.2</v>
      </c>
      <c r="F10" s="100">
        <v>4.2430630342013886</v>
      </c>
      <c r="G10" s="100">
        <v>2311.6207410329162</v>
      </c>
      <c r="H10" s="100">
        <v>7.8087222658470647</v>
      </c>
      <c r="I10" s="100">
        <v>4254.1918904334807</v>
      </c>
      <c r="J10" s="100">
        <v>3.8209172215236757E-4</v>
      </c>
      <c r="K10" s="100">
        <v>0.20816357022860985</v>
      </c>
      <c r="L10" s="100">
        <v>9.3435711220944899</v>
      </c>
      <c r="M10" s="100">
        <v>5090.3775473170781</v>
      </c>
      <c r="N10" s="100">
        <v>2.5639397781532547</v>
      </c>
      <c r="O10" s="100">
        <v>1396.8343911378931</v>
      </c>
      <c r="P10" s="100">
        <v>9</v>
      </c>
      <c r="Q10" s="100">
        <v>4903.2</v>
      </c>
      <c r="R10" s="100">
        <v>7.9900257307179894</v>
      </c>
      <c r="S10" s="100">
        <v>4352.9660180951605</v>
      </c>
      <c r="T10" s="100">
        <v>1.4168838921567666</v>
      </c>
      <c r="U10" s="100">
        <v>771.91834444700635</v>
      </c>
      <c r="V10" s="100">
        <v>3.0484640178245948</v>
      </c>
      <c r="W10" s="100">
        <v>1660.803196910839</v>
      </c>
      <c r="X10" s="100">
        <v>7.5683151429938205</v>
      </c>
      <c r="Y10" s="100">
        <v>4123.2180899030327</v>
      </c>
      <c r="Z10" s="100">
        <v>2.4128789556361059</v>
      </c>
      <c r="AA10" s="100">
        <v>1314.5364550305503</v>
      </c>
      <c r="AB10" s="100">
        <v>7.0604291050178087</v>
      </c>
      <c r="AC10" s="100">
        <v>3846.5217764137019</v>
      </c>
      <c r="AD10" s="100">
        <v>6</v>
      </c>
      <c r="AE10" s="100">
        <v>3268.7999999999997</v>
      </c>
      <c r="AF10" s="100">
        <v>1.7690010389102548</v>
      </c>
      <c r="AG10" s="100">
        <v>963.75176599830672</v>
      </c>
      <c r="AH10" s="100">
        <v>6</v>
      </c>
      <c r="AI10" s="100">
        <v>3268.7999999999997</v>
      </c>
      <c r="AJ10" s="100">
        <v>2.4046921794155454</v>
      </c>
      <c r="AK10" s="100">
        <v>1310.076299345589</v>
      </c>
      <c r="AL10" s="100">
        <v>6.2602343048019726</v>
      </c>
      <c r="AM10" s="100">
        <v>3410.5756492561145</v>
      </c>
      <c r="AN10" s="100">
        <v>7.4465370298054392</v>
      </c>
      <c r="AO10" s="100">
        <v>4056.8733738380029</v>
      </c>
      <c r="AP10" s="100">
        <v>4.9414187696625908E-4</v>
      </c>
      <c r="AQ10" s="100">
        <v>0.26920849457121793</v>
      </c>
      <c r="AR10" s="100">
        <v>6.1941457119369963</v>
      </c>
      <c r="AS10" s="100">
        <v>3374.5705838632753</v>
      </c>
      <c r="AT10" s="100">
        <v>8.2229272692089381</v>
      </c>
      <c r="AU10" s="100">
        <v>4479.8507762650288</v>
      </c>
      <c r="AV10" s="100">
        <v>7.9589126562480343</v>
      </c>
      <c r="AW10" s="100">
        <v>4336.0156151239289</v>
      </c>
      <c r="AX10" s="100">
        <v>4.4940625050905926E-4</v>
      </c>
      <c r="AY10" s="100">
        <v>0.24483652527733546</v>
      </c>
      <c r="AZ10" s="100">
        <v>5.5256161535839334</v>
      </c>
      <c r="BA10" s="100">
        <v>3010.3556804725267</v>
      </c>
      <c r="BB10" s="100">
        <v>2.6978459760291704</v>
      </c>
      <c r="BC10" s="100">
        <v>1469.7864877406919</v>
      </c>
      <c r="BD10" s="100">
        <v>5.3866890459044479</v>
      </c>
      <c r="BE10" s="100">
        <v>2934.6681922087428</v>
      </c>
      <c r="BF10" s="100">
        <v>5.3605637716543946</v>
      </c>
      <c r="BG10" s="100">
        <v>2920.4351427973138</v>
      </c>
      <c r="BH10" s="100">
        <v>5.9802246788410409</v>
      </c>
      <c r="BI10" s="100">
        <v>3258.0264050325986</v>
      </c>
      <c r="BJ10" s="100">
        <v>8.996682556475978</v>
      </c>
      <c r="BK10" s="100">
        <v>4901.3926567681128</v>
      </c>
      <c r="BL10" s="100">
        <v>8</v>
      </c>
      <c r="BM10" s="100">
        <v>4358.3999999999996</v>
      </c>
      <c r="BN10" s="100">
        <v>7.0256726062573707</v>
      </c>
      <c r="BO10" s="100">
        <v>3827.5864358890153</v>
      </c>
      <c r="BP10" s="100">
        <v>1.56546523003699</v>
      </c>
      <c r="BQ10" s="100">
        <v>852.86545732415209</v>
      </c>
      <c r="BR10" s="100">
        <v>3.9438302850973466E-4</v>
      </c>
      <c r="BS10" s="100">
        <v>0.21485987393210343</v>
      </c>
      <c r="BT10" s="100">
        <v>10.000293868462698</v>
      </c>
      <c r="BU10" s="100">
        <v>5448.1600995384779</v>
      </c>
      <c r="BV10" s="100">
        <v>5.5949237189533338</v>
      </c>
      <c r="BW10" s="100">
        <v>3048.1144420857759</v>
      </c>
      <c r="BX10" s="100">
        <v>5.7465300929222698</v>
      </c>
      <c r="BY10" s="100">
        <v>3130.7095946240524</v>
      </c>
      <c r="BZ10" s="100">
        <v>8</v>
      </c>
      <c r="CA10" s="100">
        <v>4358.3999999999996</v>
      </c>
      <c r="CB10" s="100">
        <v>3.5123792937126854</v>
      </c>
      <c r="CC10" s="100">
        <v>1913.5442392146708</v>
      </c>
      <c r="CD10" s="100">
        <v>6.2339889675227882E-4</v>
      </c>
      <c r="CE10" s="100">
        <v>0.33962771895064148</v>
      </c>
      <c r="CF10" s="100">
        <v>5.1848738253148863</v>
      </c>
      <c r="CG10" s="100">
        <v>2824.7192600315498</v>
      </c>
      <c r="CH10" s="100">
        <v>3.4027500167897538</v>
      </c>
      <c r="CI10" s="100">
        <v>1853.8182091470576</v>
      </c>
      <c r="CJ10" s="100">
        <v>7</v>
      </c>
      <c r="CK10" s="100">
        <v>3813.5999999999995</v>
      </c>
      <c r="CL10" s="100">
        <v>5.7380153276115058</v>
      </c>
      <c r="CM10" s="100">
        <v>3126.0707504827483</v>
      </c>
      <c r="CN10" s="100">
        <v>5.9816913620228451</v>
      </c>
      <c r="CO10" s="100">
        <v>3258.8254540300459</v>
      </c>
      <c r="CP10" s="100">
        <v>9</v>
      </c>
      <c r="CQ10" s="100">
        <v>4903.2</v>
      </c>
      <c r="CR10" s="100">
        <v>6.3309031094402153</v>
      </c>
      <c r="CS10" s="100">
        <v>3449.0760140230291</v>
      </c>
      <c r="CT10" s="100">
        <v>6.5141415959711235</v>
      </c>
      <c r="CU10" s="100">
        <v>3548.904341485068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5.0916756410416673</v>
      </c>
      <c r="G11" s="100">
        <v>2712.8447815469999</v>
      </c>
      <c r="H11" s="100">
        <v>6.9410864585307239</v>
      </c>
      <c r="I11" s="100">
        <v>3698.2108651051694</v>
      </c>
      <c r="J11" s="100">
        <v>4.6627343037021268E-4</v>
      </c>
      <c r="K11" s="100">
        <v>0.24843048370124929</v>
      </c>
      <c r="L11" s="100">
        <v>10.34357112209449</v>
      </c>
      <c r="M11" s="100">
        <v>5511.0546938519437</v>
      </c>
      <c r="N11" s="100">
        <v>2.0511518225226042</v>
      </c>
      <c r="O11" s="100">
        <v>1092.8536910400435</v>
      </c>
      <c r="P11" s="100">
        <v>9</v>
      </c>
      <c r="Q11" s="100">
        <v>4795.2</v>
      </c>
      <c r="R11" s="100">
        <v>6.9912725143782408</v>
      </c>
      <c r="S11" s="100">
        <v>3724.9499956607265</v>
      </c>
      <c r="T11" s="100">
        <v>1.4168838921567666</v>
      </c>
      <c r="U11" s="100">
        <v>754.91573774112521</v>
      </c>
      <c r="V11" s="100">
        <v>2.4465785622539666</v>
      </c>
      <c r="W11" s="100">
        <v>1303.5370579689134</v>
      </c>
      <c r="X11" s="100">
        <v>6.3940579048833959</v>
      </c>
      <c r="Y11" s="100">
        <v>3406.7540517218731</v>
      </c>
      <c r="Z11" s="100">
        <v>2.7686407014513201</v>
      </c>
      <c r="AA11" s="100">
        <v>1475.1317657332631</v>
      </c>
      <c r="AB11" s="100">
        <v>7.0725149260213707</v>
      </c>
      <c r="AC11" s="100">
        <v>3768.2359525841862</v>
      </c>
      <c r="AD11" s="100">
        <v>6</v>
      </c>
      <c r="AE11" s="100">
        <v>3196.7999999999997</v>
      </c>
      <c r="AF11" s="100">
        <v>2.1228012466923056</v>
      </c>
      <c r="AG11" s="100">
        <v>1131.0285042376604</v>
      </c>
      <c r="AH11" s="100">
        <v>6</v>
      </c>
      <c r="AI11" s="100">
        <v>3196.7999999999997</v>
      </c>
      <c r="AJ11" s="100">
        <v>2.7790579534171882</v>
      </c>
      <c r="AK11" s="100">
        <v>1480.6820775806777</v>
      </c>
      <c r="AL11" s="100">
        <v>6.2602343048019726</v>
      </c>
      <c r="AM11" s="100">
        <v>3335.4528375984905</v>
      </c>
      <c r="AN11" s="100">
        <v>7.4465370298054392</v>
      </c>
      <c r="AO11" s="100">
        <v>3967.5149294803377</v>
      </c>
      <c r="AP11" s="100">
        <v>4.3063297030630781E-4</v>
      </c>
      <c r="AQ11" s="100">
        <v>0.22944124657920079</v>
      </c>
      <c r="AR11" s="100">
        <v>7.1194853340465531</v>
      </c>
      <c r="AS11" s="100">
        <v>3793.261785980003</v>
      </c>
      <c r="AT11" s="100">
        <v>8.3757931778600554</v>
      </c>
      <c r="AU11" s="100">
        <v>4462.6226051638369</v>
      </c>
      <c r="AV11" s="100">
        <v>7.9589126562480343</v>
      </c>
      <c r="AW11" s="100">
        <v>4240.508663248952</v>
      </c>
      <c r="AX11" s="100">
        <v>3.8209494604902881E-4</v>
      </c>
      <c r="AY11" s="100">
        <v>0.20358018725492252</v>
      </c>
      <c r="AZ11" s="100">
        <v>5.5256161535839334</v>
      </c>
      <c r="BA11" s="100">
        <v>2944.0482866295197</v>
      </c>
      <c r="BB11" s="100">
        <v>2.7182786170887079</v>
      </c>
      <c r="BC11" s="100">
        <v>1448.2988471848635</v>
      </c>
      <c r="BD11" s="100">
        <v>5.3844483020918119</v>
      </c>
      <c r="BE11" s="100">
        <v>2868.8340553545172</v>
      </c>
      <c r="BF11" s="100">
        <v>4.611535083174644</v>
      </c>
      <c r="BG11" s="100">
        <v>2457.0258923154502</v>
      </c>
      <c r="BH11" s="100">
        <v>6.1043483293769114</v>
      </c>
      <c r="BI11" s="100">
        <v>3252.3967898920182</v>
      </c>
      <c r="BJ11" s="100">
        <v>9.996682556475978</v>
      </c>
      <c r="BK11" s="100">
        <v>5326.2324660904005</v>
      </c>
      <c r="BL11" s="100">
        <v>8</v>
      </c>
      <c r="BM11" s="100">
        <v>4262.3999999999996</v>
      </c>
      <c r="BN11" s="100">
        <v>6.2450423166732181</v>
      </c>
      <c r="BO11" s="100">
        <v>3327.3585463234904</v>
      </c>
      <c r="BP11" s="100">
        <v>1.8263761017098215</v>
      </c>
      <c r="BQ11" s="100">
        <v>973.09318699099276</v>
      </c>
      <c r="BR11" s="100">
        <v>3.9636733319588062E-4</v>
      </c>
      <c r="BS11" s="100">
        <v>0.21118451512676517</v>
      </c>
      <c r="BT11" s="100">
        <v>9.0002448903855825</v>
      </c>
      <c r="BU11" s="100">
        <v>4795.3304775974384</v>
      </c>
      <c r="BV11" s="100">
        <v>5.5949237189533338</v>
      </c>
      <c r="BW11" s="100">
        <v>2980.975357458336</v>
      </c>
      <c r="BX11" s="100">
        <v>5.7465300929222698</v>
      </c>
      <c r="BY11" s="100">
        <v>3061.751233508985</v>
      </c>
      <c r="BZ11" s="100">
        <v>8</v>
      </c>
      <c r="CA11" s="100">
        <v>4262.3999999999996</v>
      </c>
      <c r="CB11" s="100">
        <v>3.0733318819985995</v>
      </c>
      <c r="CC11" s="100">
        <v>1637.4712267288537</v>
      </c>
      <c r="CD11" s="100">
        <v>7.4700458327999993E-4</v>
      </c>
      <c r="CE11" s="100">
        <v>0.39800404197158396</v>
      </c>
      <c r="CF11" s="100">
        <v>6.211284371788441</v>
      </c>
      <c r="CG11" s="100">
        <v>3309.3723132888808</v>
      </c>
      <c r="CH11" s="100">
        <v>3.4027500167897538</v>
      </c>
      <c r="CI11" s="100">
        <v>1812.9852089455806</v>
      </c>
      <c r="CJ11" s="100">
        <v>8</v>
      </c>
      <c r="CK11" s="100">
        <v>4262.3999999999996</v>
      </c>
      <c r="CL11" s="100">
        <v>6.2834654345702008</v>
      </c>
      <c r="CM11" s="100">
        <v>3347.8303835390025</v>
      </c>
      <c r="CN11" s="100">
        <v>6.1044027822757005</v>
      </c>
      <c r="CO11" s="100">
        <v>3252.4258023964931</v>
      </c>
      <c r="CP11" s="100">
        <v>10</v>
      </c>
      <c r="CQ11" s="100">
        <v>5328</v>
      </c>
      <c r="CR11" s="100">
        <v>7.2353178393602455</v>
      </c>
      <c r="CS11" s="100">
        <v>3854.9773448111387</v>
      </c>
      <c r="CT11" s="100">
        <v>6.6990059314032759</v>
      </c>
      <c r="CU11" s="100">
        <v>3569.2303602516649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4.2430630342013886</v>
      </c>
      <c r="G12" s="100">
        <v>2387.9958756485412</v>
      </c>
      <c r="H12" s="100">
        <v>7.8087222658470647</v>
      </c>
      <c r="I12" s="100">
        <v>4394.7488912187273</v>
      </c>
      <c r="J12" s="100">
        <v>4.6627343037021268E-4</v>
      </c>
      <c r="K12" s="100">
        <v>0.26241868661235568</v>
      </c>
      <c r="L12" s="100">
        <v>11.511517512356301</v>
      </c>
      <c r="M12" s="100">
        <v>6478.6820559541256</v>
      </c>
      <c r="N12" s="100">
        <v>2.3075458003379294</v>
      </c>
      <c r="O12" s="100">
        <v>1298.6867764301867</v>
      </c>
      <c r="P12" s="100">
        <v>9</v>
      </c>
      <c r="Q12" s="100">
        <v>5065.2</v>
      </c>
      <c r="R12" s="100">
        <v>7.9900257307179894</v>
      </c>
      <c r="S12" s="100">
        <v>4496.7864812480839</v>
      </c>
      <c r="T12" s="100">
        <v>1.4168838921567666</v>
      </c>
      <c r="U12" s="100">
        <v>797.42225450582816</v>
      </c>
      <c r="V12" s="100">
        <v>3.0289456478388663</v>
      </c>
      <c r="W12" s="100">
        <v>1704.6906106037138</v>
      </c>
      <c r="X12" s="100">
        <v>6.5683151429938205</v>
      </c>
      <c r="Y12" s="100">
        <v>3696.6477624769218</v>
      </c>
      <c r="Z12" s="100">
        <v>2.3731206012439889</v>
      </c>
      <c r="AA12" s="100">
        <v>1335.5922743801168</v>
      </c>
      <c r="AB12" s="100">
        <v>7.0725149260213707</v>
      </c>
      <c r="AC12" s="100">
        <v>3980.4114003648269</v>
      </c>
      <c r="AD12" s="100">
        <v>6</v>
      </c>
      <c r="AE12" s="100">
        <v>3376.7999999999997</v>
      </c>
      <c r="AF12" s="100">
        <v>2.1228012466923056</v>
      </c>
      <c r="AG12" s="100">
        <v>1194.7125416384295</v>
      </c>
      <c r="AH12" s="100">
        <v>6</v>
      </c>
      <c r="AI12" s="100">
        <v>3376.7999999999997</v>
      </c>
      <c r="AJ12" s="100">
        <v>2.7790579534171882</v>
      </c>
      <c r="AK12" s="100">
        <v>1564.0538161831935</v>
      </c>
      <c r="AL12" s="100">
        <v>7.4177635929022188</v>
      </c>
      <c r="AM12" s="100">
        <v>4174.7173500853687</v>
      </c>
      <c r="AN12" s="100">
        <v>8.2739300331171552</v>
      </c>
      <c r="AO12" s="100">
        <v>4656.5678226383343</v>
      </c>
      <c r="AP12" s="100">
        <v>4.9414187696625908E-4</v>
      </c>
      <c r="AQ12" s="100">
        <v>0.27810304835661059</v>
      </c>
      <c r="AR12" s="100">
        <v>6.3225673077929274</v>
      </c>
      <c r="AS12" s="100">
        <v>3558.3408808258591</v>
      </c>
      <c r="AT12" s="100">
        <v>8.2229272692089381</v>
      </c>
      <c r="AU12" s="100">
        <v>4627.8634671107902</v>
      </c>
      <c r="AV12" s="100">
        <v>7.9589126562480343</v>
      </c>
      <c r="AW12" s="100">
        <v>4479.2760429363934</v>
      </c>
      <c r="AX12" s="100">
        <v>4.5290920618204977E-4</v>
      </c>
      <c r="AY12" s="100">
        <v>0.25489730123925758</v>
      </c>
      <c r="AZ12" s="100">
        <v>4.7676023896681885</v>
      </c>
      <c r="BA12" s="100">
        <v>2683.2066249052564</v>
      </c>
      <c r="BB12" s="100">
        <v>2.6774133349696334</v>
      </c>
      <c r="BC12" s="100">
        <v>1506.8482249209096</v>
      </c>
      <c r="BD12" s="100">
        <v>5.5107060414300131</v>
      </c>
      <c r="BE12" s="100">
        <v>3101.4253601168111</v>
      </c>
      <c r="BF12" s="100">
        <v>4.611535083174644</v>
      </c>
      <c r="BG12" s="100">
        <v>2595.3719448106895</v>
      </c>
      <c r="BH12" s="100">
        <v>5.2322985680373524</v>
      </c>
      <c r="BI12" s="100">
        <v>2944.7376340914216</v>
      </c>
      <c r="BJ12" s="100">
        <v>9.1074250627510871</v>
      </c>
      <c r="BK12" s="100">
        <v>5125.6588253163118</v>
      </c>
      <c r="BL12" s="100">
        <v>9</v>
      </c>
      <c r="BM12" s="100">
        <v>5065.2</v>
      </c>
      <c r="BN12" s="100">
        <v>7.0256726062573707</v>
      </c>
      <c r="BO12" s="100">
        <v>3954.0485428016477</v>
      </c>
      <c r="BP12" s="100">
        <v>1.56546523003699</v>
      </c>
      <c r="BQ12" s="100">
        <v>881.04383146481791</v>
      </c>
      <c r="BR12" s="100">
        <v>3.9835163788202652E-4</v>
      </c>
      <c r="BS12" s="100">
        <v>0.22419230180000452</v>
      </c>
      <c r="BT12" s="100">
        <v>9.0002448903855825</v>
      </c>
      <c r="BU12" s="100">
        <v>5065.3378243090056</v>
      </c>
      <c r="BV12" s="100">
        <v>4.9732655279585183</v>
      </c>
      <c r="BW12" s="100">
        <v>2798.9538391350538</v>
      </c>
      <c r="BX12" s="100">
        <v>5.7465300929222698</v>
      </c>
      <c r="BY12" s="100">
        <v>3234.1471362966531</v>
      </c>
      <c r="BZ12" s="100">
        <v>8</v>
      </c>
      <c r="CA12" s="100">
        <v>4502.3999999999996</v>
      </c>
      <c r="CB12" s="100">
        <v>3.0733318819985995</v>
      </c>
      <c r="CC12" s="100">
        <v>1729.6711831888117</v>
      </c>
      <c r="CD12" s="100">
        <v>6.2339889675227882E-4</v>
      </c>
      <c r="CE12" s="100">
        <v>0.35084889909218248</v>
      </c>
      <c r="CF12" s="100">
        <v>6.1848738253148863</v>
      </c>
      <c r="CG12" s="100">
        <v>3480.8469888872178</v>
      </c>
      <c r="CH12" s="100">
        <v>4.0833000201477052</v>
      </c>
      <c r="CI12" s="100">
        <v>2298.0812513391284</v>
      </c>
      <c r="CJ12" s="100">
        <v>8</v>
      </c>
      <c r="CK12" s="100">
        <v>4502.3999999999996</v>
      </c>
      <c r="CL12" s="100">
        <v>6.2834654345702008</v>
      </c>
      <c r="CM12" s="100">
        <v>3536.3343465761086</v>
      </c>
      <c r="CN12" s="100">
        <v>7.1044027822757005</v>
      </c>
      <c r="CO12" s="100">
        <v>3998.3578858647638</v>
      </c>
      <c r="CP12" s="100">
        <v>9</v>
      </c>
      <c r="CQ12" s="100">
        <v>5065.2</v>
      </c>
      <c r="CR12" s="100">
        <v>7.2353178393602455</v>
      </c>
      <c r="CS12" s="100">
        <v>4072.0368799919461</v>
      </c>
      <c r="CT12" s="100">
        <v>7.4564111394180346</v>
      </c>
      <c r="CU12" s="100">
        <v>4196.4681892644694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5.0916756410416673</v>
      </c>
      <c r="G13" s="100">
        <v>433.81076461675008</v>
      </c>
      <c r="H13" s="100">
        <v>6.9410864585307239</v>
      </c>
      <c r="I13" s="100">
        <v>591.38056626681771</v>
      </c>
      <c r="J13" s="100">
        <v>4.7039751121393875E-4</v>
      </c>
      <c r="K13" s="100">
        <v>4.007786795542758E-2</v>
      </c>
      <c r="L13" s="100">
        <v>10.511517512356301</v>
      </c>
      <c r="M13" s="100">
        <v>895.58129205275691</v>
      </c>
      <c r="N13" s="100">
        <v>2.5639397781532547</v>
      </c>
      <c r="O13" s="100">
        <v>218.44766909865731</v>
      </c>
      <c r="P13" s="100">
        <v>9</v>
      </c>
      <c r="Q13" s="100">
        <v>766.80000000000007</v>
      </c>
      <c r="R13" s="100">
        <v>8.9887789470577388</v>
      </c>
      <c r="S13" s="100">
        <v>765.84396628931938</v>
      </c>
      <c r="T13" s="100">
        <v>1.70026067058812</v>
      </c>
      <c r="U13" s="100">
        <v>144.86220913410784</v>
      </c>
      <c r="V13" s="100">
        <v>3.0484640178245948</v>
      </c>
      <c r="W13" s="100">
        <v>259.7291343186555</v>
      </c>
      <c r="X13" s="100">
        <v>6.5683151429938205</v>
      </c>
      <c r="Y13" s="100">
        <v>559.62045018307356</v>
      </c>
      <c r="Z13" s="100">
        <v>2.4128789556361059</v>
      </c>
      <c r="AA13" s="100">
        <v>205.57728702019622</v>
      </c>
      <c r="AB13" s="100">
        <v>8.0725149260213716</v>
      </c>
      <c r="AC13" s="100">
        <v>687.77827169702084</v>
      </c>
      <c r="AD13" s="100">
        <v>7</v>
      </c>
      <c r="AE13" s="100">
        <v>596.4</v>
      </c>
      <c r="AF13" s="100">
        <v>1.7690010389102548</v>
      </c>
      <c r="AG13" s="100">
        <v>150.71888851515371</v>
      </c>
      <c r="AH13" s="100">
        <v>7</v>
      </c>
      <c r="AI13" s="100">
        <v>596.4</v>
      </c>
      <c r="AJ13" s="100">
        <v>2.7790579534171882</v>
      </c>
      <c r="AK13" s="100">
        <v>236.77573763114444</v>
      </c>
      <c r="AL13" s="100">
        <v>7.1027050167017256</v>
      </c>
      <c r="AM13" s="100">
        <v>605.15046742298705</v>
      </c>
      <c r="AN13" s="100">
        <v>7.4465370298054392</v>
      </c>
      <c r="AO13" s="100">
        <v>634.4449549394235</v>
      </c>
      <c r="AP13" s="100">
        <v>4.2787855195371887E-4</v>
      </c>
      <c r="AQ13" s="100">
        <v>3.6455252626456852E-2</v>
      </c>
      <c r="AR13" s="100">
        <v>6.1941457119369963</v>
      </c>
      <c r="AS13" s="100">
        <v>527.74121465703206</v>
      </c>
      <c r="AT13" s="100">
        <v>7.3757931778600554</v>
      </c>
      <c r="AU13" s="100">
        <v>628.41757875367671</v>
      </c>
      <c r="AV13" s="100">
        <v>7.1630213906232312</v>
      </c>
      <c r="AW13" s="100">
        <v>610.28942248109934</v>
      </c>
      <c r="AX13" s="100">
        <v>4.4940625050905926E-4</v>
      </c>
      <c r="AY13" s="100">
        <v>3.8289412543371849E-2</v>
      </c>
      <c r="AZ13" s="100">
        <v>5.5256161535839334</v>
      </c>
      <c r="BA13" s="100">
        <v>470.78249628535116</v>
      </c>
      <c r="BB13" s="100">
        <v>2.6978459760291704</v>
      </c>
      <c r="BC13" s="100">
        <v>229.85647715768533</v>
      </c>
      <c r="BD13" s="100">
        <v>5.5107060414300131</v>
      </c>
      <c r="BE13" s="100">
        <v>469.51215472983711</v>
      </c>
      <c r="BF13" s="100">
        <v>5.3174341686757272</v>
      </c>
      <c r="BG13" s="100">
        <v>453.04539117117196</v>
      </c>
      <c r="BH13" s="100">
        <v>6.1043483293769114</v>
      </c>
      <c r="BI13" s="100">
        <v>520.09047766291292</v>
      </c>
      <c r="BJ13" s="100">
        <v>8.996682556475978</v>
      </c>
      <c r="BK13" s="100">
        <v>766.51735381175331</v>
      </c>
      <c r="BL13" s="100">
        <v>9</v>
      </c>
      <c r="BM13" s="100">
        <v>766.80000000000007</v>
      </c>
      <c r="BN13" s="100">
        <v>7.8063028958415224</v>
      </c>
      <c r="BO13" s="100">
        <v>665.09700672569772</v>
      </c>
      <c r="BP13" s="100">
        <v>1.56546523003699</v>
      </c>
      <c r="BQ13" s="100">
        <v>133.37763759915154</v>
      </c>
      <c r="BR13" s="100">
        <v>4.4958957276189907E-4</v>
      </c>
      <c r="BS13" s="100">
        <v>3.8305031599313803E-2</v>
      </c>
      <c r="BT13" s="100">
        <v>10.000244890385583</v>
      </c>
      <c r="BU13" s="100">
        <v>852.02086466085166</v>
      </c>
      <c r="BV13" s="100">
        <v>5.5949237189533338</v>
      </c>
      <c r="BW13" s="100">
        <v>476.68750085482407</v>
      </c>
      <c r="BX13" s="100">
        <v>5.7465300929222698</v>
      </c>
      <c r="BY13" s="100">
        <v>489.60436391697738</v>
      </c>
      <c r="BZ13" s="100">
        <v>8</v>
      </c>
      <c r="CA13" s="100">
        <v>681.6</v>
      </c>
      <c r="CB13" s="100">
        <v>3.5123792937126854</v>
      </c>
      <c r="CC13" s="100">
        <v>299.25471582432078</v>
      </c>
      <c r="CD13" s="100">
        <v>7.4767589129420906E-4</v>
      </c>
      <c r="CE13" s="100">
        <v>6.370198593826662E-2</v>
      </c>
      <c r="CF13" s="100">
        <v>6.211284371788441</v>
      </c>
      <c r="CG13" s="100">
        <v>529.20142847637521</v>
      </c>
      <c r="CH13" s="100">
        <v>4.0833000201477052</v>
      </c>
      <c r="CI13" s="100">
        <v>347.89716171658449</v>
      </c>
      <c r="CJ13" s="100">
        <v>7</v>
      </c>
      <c r="CK13" s="100">
        <v>596.4</v>
      </c>
      <c r="CL13" s="100">
        <v>6.2834654345702008</v>
      </c>
      <c r="CM13" s="100">
        <v>535.35125502538108</v>
      </c>
      <c r="CN13" s="100">
        <v>6.9816913620228451</v>
      </c>
      <c r="CO13" s="100">
        <v>594.84010404434639</v>
      </c>
      <c r="CP13" s="100">
        <v>9</v>
      </c>
      <c r="CQ13" s="100">
        <v>766.80000000000007</v>
      </c>
      <c r="CR13" s="100">
        <v>7.2353178393602455</v>
      </c>
      <c r="CS13" s="100">
        <v>616.44907991349294</v>
      </c>
      <c r="CT13" s="100">
        <v>7.9617286172980402</v>
      </c>
      <c r="CU13" s="100">
        <v>678.33927819379301</v>
      </c>
    </row>
    <row r="14" spans="1:99">
      <c r="C14" s="99" t="s">
        <v>180</v>
      </c>
      <c r="D14" s="100">
        <v>8</v>
      </c>
      <c r="E14" s="100">
        <v>3907.2</v>
      </c>
      <c r="F14" s="100">
        <v>5.0916756410416673</v>
      </c>
      <c r="G14" s="100">
        <v>2486.7743830847503</v>
      </c>
      <c r="H14" s="100">
        <v>7.8087222658470647</v>
      </c>
      <c r="I14" s="100">
        <v>3813.7799546397064</v>
      </c>
      <c r="J14" s="100">
        <v>4.7039751121393875E-4</v>
      </c>
      <c r="K14" s="100">
        <v>0.22974214447688768</v>
      </c>
      <c r="L14" s="100">
        <v>10.34357112209449</v>
      </c>
      <c r="M14" s="100">
        <v>5051.800136030949</v>
      </c>
      <c r="N14" s="100">
        <v>2.0511518225226042</v>
      </c>
      <c r="O14" s="100">
        <v>1001.7825501200398</v>
      </c>
      <c r="P14" s="100">
        <v>8</v>
      </c>
      <c r="Q14" s="100">
        <v>3907.2</v>
      </c>
      <c r="R14" s="100">
        <v>8.9887789470577388</v>
      </c>
      <c r="S14" s="100">
        <v>4390.1196377429997</v>
      </c>
      <c r="T14" s="100">
        <v>1.70026067058812</v>
      </c>
      <c r="U14" s="100">
        <v>830.40731151523778</v>
      </c>
      <c r="V14" s="100">
        <v>3.0289456478388663</v>
      </c>
      <c r="W14" s="100">
        <v>1479.3370544045022</v>
      </c>
      <c r="X14" s="100">
        <v>7.5683151429938205</v>
      </c>
      <c r="Y14" s="100">
        <v>3696.3651158381817</v>
      </c>
      <c r="Z14" s="100">
        <v>2.4195053480347921</v>
      </c>
      <c r="AA14" s="100">
        <v>1181.6864119801924</v>
      </c>
      <c r="AB14" s="100">
        <v>7.0725149260213707</v>
      </c>
      <c r="AC14" s="100">
        <v>3454.2162898688371</v>
      </c>
      <c r="AD14" s="100">
        <v>6</v>
      </c>
      <c r="AE14" s="100">
        <v>2930.3999999999996</v>
      </c>
      <c r="AF14" s="100">
        <v>1.842329772591855</v>
      </c>
      <c r="AG14" s="100">
        <v>899.79386093386199</v>
      </c>
      <c r="AH14" s="100">
        <v>6</v>
      </c>
      <c r="AI14" s="100">
        <v>2930.3999999999996</v>
      </c>
      <c r="AJ14" s="100">
        <v>2.6205604180114999</v>
      </c>
      <c r="AK14" s="100">
        <v>1279.8817081568166</v>
      </c>
      <c r="AL14" s="100">
        <v>7.2602343048019726</v>
      </c>
      <c r="AM14" s="100">
        <v>3545.8984344652831</v>
      </c>
      <c r="AN14" s="100">
        <v>7.4465370298054392</v>
      </c>
      <c r="AO14" s="100">
        <v>3636.8886853569761</v>
      </c>
      <c r="AP14" s="100">
        <v>4.9138745861367018E-4</v>
      </c>
      <c r="AQ14" s="100">
        <v>0.23999363478691652</v>
      </c>
      <c r="AR14" s="100">
        <v>6.3225673077929274</v>
      </c>
      <c r="AS14" s="100">
        <v>3087.9418731260657</v>
      </c>
      <c r="AT14" s="100">
        <v>8.3757931778600554</v>
      </c>
      <c r="AU14" s="100">
        <v>4090.7373880668511</v>
      </c>
      <c r="AV14" s="100">
        <v>7.1630213906232312</v>
      </c>
      <c r="AW14" s="100">
        <v>3498.4196471803862</v>
      </c>
      <c r="AX14" s="100">
        <v>3.7859199037603829E-4</v>
      </c>
      <c r="AY14" s="100">
        <v>0.18490432809965709</v>
      </c>
      <c r="AZ14" s="100">
        <v>4.7676023896681885</v>
      </c>
      <c r="BA14" s="100">
        <v>2328.4970071139433</v>
      </c>
      <c r="BB14" s="100">
        <v>2.6978459760291704</v>
      </c>
      <c r="BC14" s="100">
        <v>1317.6279746926468</v>
      </c>
      <c r="BD14" s="100">
        <v>5.3866890459044479</v>
      </c>
      <c r="BE14" s="100">
        <v>2630.8589300197323</v>
      </c>
      <c r="BF14" s="100">
        <v>5.3174341686757272</v>
      </c>
      <c r="BG14" s="100">
        <v>2597.0348479812251</v>
      </c>
      <c r="BH14" s="100">
        <v>6.1043483293769114</v>
      </c>
      <c r="BI14" s="100">
        <v>2981.3637240676835</v>
      </c>
      <c r="BJ14" s="100">
        <v>7.996682556475978</v>
      </c>
      <c r="BK14" s="100">
        <v>3905.5797605828675</v>
      </c>
      <c r="BL14" s="100">
        <v>8</v>
      </c>
      <c r="BM14" s="100">
        <v>3907.2</v>
      </c>
      <c r="BN14" s="100">
        <v>7.8063028958415224</v>
      </c>
      <c r="BO14" s="100">
        <v>3812.5983343289995</v>
      </c>
      <c r="BP14" s="100">
        <v>1.8263761017098215</v>
      </c>
      <c r="BQ14" s="100">
        <v>892.00208807507681</v>
      </c>
      <c r="BR14" s="100">
        <v>3.9835163788202652E-4</v>
      </c>
      <c r="BS14" s="100">
        <v>0.19455493994158174</v>
      </c>
      <c r="BT14" s="100">
        <v>9.0002938684626983</v>
      </c>
      <c r="BU14" s="100">
        <v>4395.7435253571821</v>
      </c>
      <c r="BV14" s="100">
        <v>4.9732655279585183</v>
      </c>
      <c r="BW14" s="100">
        <v>2428.9428838549402</v>
      </c>
      <c r="BX14" s="100">
        <v>6.7042851084093149</v>
      </c>
      <c r="BY14" s="100">
        <v>3274.3728469471093</v>
      </c>
      <c r="BZ14" s="100">
        <v>8</v>
      </c>
      <c r="CA14" s="100">
        <v>3907.2</v>
      </c>
      <c r="CB14" s="100">
        <v>3.0733318819985995</v>
      </c>
      <c r="CC14" s="100">
        <v>1501.0152911681159</v>
      </c>
      <c r="CD14" s="100">
        <v>6.2272758873806958E-4</v>
      </c>
      <c r="CE14" s="100">
        <v>0.30414015433967317</v>
      </c>
      <c r="CF14" s="100">
        <v>6.211284371788441</v>
      </c>
      <c r="CG14" s="100">
        <v>3033.5912871814744</v>
      </c>
      <c r="CH14" s="100">
        <v>3.4027500167897538</v>
      </c>
      <c r="CI14" s="100">
        <v>1661.9031082001156</v>
      </c>
      <c r="CJ14" s="100">
        <v>7</v>
      </c>
      <c r="CK14" s="100">
        <v>3418.7999999999997</v>
      </c>
      <c r="CL14" s="100">
        <v>6.2983872376241257</v>
      </c>
      <c r="CM14" s="100">
        <v>3076.132326855623</v>
      </c>
      <c r="CN14" s="100">
        <v>7.1044027822757005</v>
      </c>
      <c r="CO14" s="100">
        <v>3469.7903188634518</v>
      </c>
      <c r="CP14" s="100">
        <v>9</v>
      </c>
      <c r="CQ14" s="100">
        <v>4395.5999999999995</v>
      </c>
      <c r="CR14" s="100">
        <v>8.1397325692802784</v>
      </c>
      <c r="CS14" s="100">
        <v>3975.4453868364876</v>
      </c>
      <c r="CT14" s="100">
        <v>6.7326176287545776</v>
      </c>
      <c r="CU14" s="100">
        <v>3288.2104498837357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4.2430630342013886</v>
      </c>
      <c r="G15" s="100">
        <v>3238.3057077024996</v>
      </c>
      <c r="H15" s="100">
        <v>6.9410864585307239</v>
      </c>
      <c r="I15" s="100">
        <v>5297.4371851506485</v>
      </c>
      <c r="J15" s="100">
        <v>4.6627343037021268E-4</v>
      </c>
      <c r="K15" s="100">
        <v>0.3558598820585463</v>
      </c>
      <c r="L15" s="100">
        <v>9.3435711220944899</v>
      </c>
      <c r="M15" s="100">
        <v>7131.013480382514</v>
      </c>
      <c r="N15" s="100">
        <v>2.3075458003379294</v>
      </c>
      <c r="O15" s="100">
        <v>1761.1189548179077</v>
      </c>
      <c r="P15" s="100">
        <v>9</v>
      </c>
      <c r="Q15" s="100">
        <v>6868.7999999999993</v>
      </c>
      <c r="R15" s="100">
        <v>6.9912725143782408</v>
      </c>
      <c r="S15" s="100">
        <v>5335.7391829734734</v>
      </c>
      <c r="T15" s="100">
        <v>1.4168838921567666</v>
      </c>
      <c r="U15" s="100">
        <v>1081.3657864940442</v>
      </c>
      <c r="V15" s="100">
        <v>3.0289456478388663</v>
      </c>
      <c r="W15" s="100">
        <v>2311.6913184306227</v>
      </c>
      <c r="X15" s="100">
        <v>7.3940579048833959</v>
      </c>
      <c r="Y15" s="100">
        <v>5643.1449930070075</v>
      </c>
      <c r="Z15" s="100">
        <v>2.4128789556361059</v>
      </c>
      <c r="AA15" s="100">
        <v>1841.5092189414759</v>
      </c>
      <c r="AB15" s="100">
        <v>7.0725149260213707</v>
      </c>
      <c r="AC15" s="100">
        <v>5397.7433915395095</v>
      </c>
      <c r="AD15" s="100">
        <v>6</v>
      </c>
      <c r="AE15" s="100">
        <v>4579.2</v>
      </c>
      <c r="AF15" s="100">
        <v>2.1228012466923056</v>
      </c>
      <c r="AG15" s="100">
        <v>1620.1219114755675</v>
      </c>
      <c r="AH15" s="100">
        <v>7</v>
      </c>
      <c r="AI15" s="100">
        <v>5342.4</v>
      </c>
      <c r="AJ15" s="100">
        <v>2.246194644009857</v>
      </c>
      <c r="AK15" s="100">
        <v>1714.2957523083228</v>
      </c>
      <c r="AL15" s="100">
        <v>7.2602343048019726</v>
      </c>
      <c r="AM15" s="100">
        <v>5541.0108214248648</v>
      </c>
      <c r="AN15" s="100">
        <v>6.619144026493724</v>
      </c>
      <c r="AO15" s="100">
        <v>5051.7307210200097</v>
      </c>
      <c r="AP15" s="100">
        <v>4.2787855195371887E-4</v>
      </c>
      <c r="AQ15" s="100">
        <v>0.32655691085107819</v>
      </c>
      <c r="AR15" s="100">
        <v>5.2688060898274394</v>
      </c>
      <c r="AS15" s="100">
        <v>4021.1528077563012</v>
      </c>
      <c r="AT15" s="100">
        <v>8.3757931778600554</v>
      </c>
      <c r="AU15" s="100">
        <v>6392.4053533427941</v>
      </c>
      <c r="AV15" s="100">
        <v>7.9589126562480343</v>
      </c>
      <c r="AW15" s="100">
        <v>6074.2421392484994</v>
      </c>
      <c r="AX15" s="100">
        <v>3.7859199037603829E-4</v>
      </c>
      <c r="AY15" s="100">
        <v>0.28894140705499238</v>
      </c>
      <c r="AZ15" s="100">
        <v>5.5256161535839334</v>
      </c>
      <c r="BA15" s="100">
        <v>4217.1502484152579</v>
      </c>
      <c r="BB15" s="100">
        <v>2.7182786170887079</v>
      </c>
      <c r="BC15" s="100">
        <v>2074.5902405621018</v>
      </c>
      <c r="BD15" s="100">
        <v>4.7241146333948016</v>
      </c>
      <c r="BE15" s="100">
        <v>3605.4442882069125</v>
      </c>
      <c r="BF15" s="100">
        <v>4.594768947132339</v>
      </c>
      <c r="BG15" s="100">
        <v>3506.7276604514009</v>
      </c>
      <c r="BH15" s="100">
        <v>6.1043483293769114</v>
      </c>
      <c r="BI15" s="100">
        <v>4658.8386449804584</v>
      </c>
      <c r="BJ15" s="100">
        <v>9.1074250627510871</v>
      </c>
      <c r="BK15" s="100">
        <v>6950.786807891629</v>
      </c>
      <c r="BL15" s="100">
        <v>8</v>
      </c>
      <c r="BM15" s="100">
        <v>6105.5999999999995</v>
      </c>
      <c r="BN15" s="100">
        <v>7.8063028958415224</v>
      </c>
      <c r="BO15" s="100">
        <v>5957.7703701062492</v>
      </c>
      <c r="BP15" s="100">
        <v>1.8263761017098215</v>
      </c>
      <c r="BQ15" s="100">
        <v>1393.8902408249355</v>
      </c>
      <c r="BR15" s="100">
        <v>3.9835163788202652E-4</v>
      </c>
      <c r="BS15" s="100">
        <v>0.30402197003156262</v>
      </c>
      <c r="BT15" s="100">
        <v>9.0002448903855825</v>
      </c>
      <c r="BU15" s="100">
        <v>6868.9869003422764</v>
      </c>
      <c r="BV15" s="100">
        <v>5.5949237189533338</v>
      </c>
      <c r="BW15" s="100">
        <v>4270.0457823051838</v>
      </c>
      <c r="BX15" s="100">
        <v>5.7465300929222698</v>
      </c>
      <c r="BY15" s="100">
        <v>4385.7517669182762</v>
      </c>
      <c r="BZ15" s="100">
        <v>8</v>
      </c>
      <c r="CA15" s="100">
        <v>6105.5999999999995</v>
      </c>
      <c r="CB15" s="100">
        <v>3.0733318819985995</v>
      </c>
      <c r="CC15" s="100">
        <v>2345.5668923413309</v>
      </c>
      <c r="CD15" s="100">
        <v>6.2339889675227882E-4</v>
      </c>
      <c r="CE15" s="100">
        <v>0.47577803800133917</v>
      </c>
      <c r="CF15" s="100">
        <v>5.1848738253148863</v>
      </c>
      <c r="CG15" s="100">
        <v>3957.0957034803209</v>
      </c>
      <c r="CH15" s="100">
        <v>3.4027500167897538</v>
      </c>
      <c r="CI15" s="100">
        <v>2596.9788128139398</v>
      </c>
      <c r="CJ15" s="100">
        <v>7</v>
      </c>
      <c r="CK15" s="100">
        <v>5342.4</v>
      </c>
      <c r="CL15" s="100">
        <v>6.2834654345702008</v>
      </c>
      <c r="CM15" s="100">
        <v>4795.5408196639764</v>
      </c>
      <c r="CN15" s="100">
        <v>7.1044027822757005</v>
      </c>
      <c r="CO15" s="100">
        <v>5422.0802034328144</v>
      </c>
      <c r="CP15" s="100">
        <v>9</v>
      </c>
      <c r="CQ15" s="100">
        <v>6868.7999999999993</v>
      </c>
      <c r="CR15" s="100">
        <v>7.2353178393602455</v>
      </c>
      <c r="CS15" s="100">
        <v>5521.9945749997387</v>
      </c>
      <c r="CT15" s="100">
        <v>6.7158117800789272</v>
      </c>
      <c r="CU15" s="100">
        <v>5125.5075505562372</v>
      </c>
    </row>
    <row r="16" spans="1:99">
      <c r="C16" s="99" t="s">
        <v>182</v>
      </c>
      <c r="D16" s="100">
        <v>8</v>
      </c>
      <c r="E16" s="100">
        <v>2726.4</v>
      </c>
      <c r="F16" s="100">
        <v>5.0916756410416673</v>
      </c>
      <c r="G16" s="100">
        <v>1735.2430584670003</v>
      </c>
      <c r="H16" s="100">
        <v>7.8087222658470647</v>
      </c>
      <c r="I16" s="100">
        <v>2661.21254820068</v>
      </c>
      <c r="J16" s="100">
        <v>3.7796764130864149E-4</v>
      </c>
      <c r="K16" s="100">
        <v>0.12881137215798502</v>
      </c>
      <c r="L16" s="100">
        <v>10.511517512356301</v>
      </c>
      <c r="M16" s="100">
        <v>3582.3251682110276</v>
      </c>
      <c r="N16" s="100">
        <v>2.3075458003379294</v>
      </c>
      <c r="O16" s="100">
        <v>786.41160875516641</v>
      </c>
      <c r="P16" s="100">
        <v>8</v>
      </c>
      <c r="Q16" s="100">
        <v>2726.4</v>
      </c>
      <c r="R16" s="100">
        <v>7.9900257307179894</v>
      </c>
      <c r="S16" s="100">
        <v>2723.0007690286907</v>
      </c>
      <c r="T16" s="100">
        <v>1.4168838921567666</v>
      </c>
      <c r="U16" s="100">
        <v>482.87403044702609</v>
      </c>
      <c r="V16" s="100">
        <v>3.0484640178245948</v>
      </c>
      <c r="W16" s="100">
        <v>1038.916537274622</v>
      </c>
      <c r="X16" s="100">
        <v>7.3940579048833959</v>
      </c>
      <c r="Y16" s="100">
        <v>2519.8949339842616</v>
      </c>
      <c r="Z16" s="100">
        <v>2.3731206012439889</v>
      </c>
      <c r="AA16" s="100">
        <v>808.75950090395145</v>
      </c>
      <c r="AB16" s="100">
        <v>7.0725149260213707</v>
      </c>
      <c r="AC16" s="100">
        <v>2410.3130867880832</v>
      </c>
      <c r="AD16" s="100">
        <v>7</v>
      </c>
      <c r="AE16" s="100">
        <v>2385.6</v>
      </c>
      <c r="AF16" s="100">
        <v>2.1228012466923056</v>
      </c>
      <c r="AG16" s="100">
        <v>723.45066487273778</v>
      </c>
      <c r="AH16" s="100">
        <v>6</v>
      </c>
      <c r="AI16" s="100">
        <v>2044.8000000000002</v>
      </c>
      <c r="AJ16" s="100">
        <v>2.7658498254667143</v>
      </c>
      <c r="AK16" s="100">
        <v>942.60162051905627</v>
      </c>
      <c r="AL16" s="100">
        <v>7.2602343048019726</v>
      </c>
      <c r="AM16" s="100">
        <v>2474.2878510765122</v>
      </c>
      <c r="AN16" s="100">
        <v>8.2739300331171552</v>
      </c>
      <c r="AO16" s="100">
        <v>2819.7553552863264</v>
      </c>
      <c r="AP16" s="100">
        <v>4.2787855195371887E-4</v>
      </c>
      <c r="AQ16" s="100">
        <v>0.14582101050582741</v>
      </c>
      <c r="AR16" s="100">
        <v>6.1941457119369963</v>
      </c>
      <c r="AS16" s="100">
        <v>2110.9648586281282</v>
      </c>
      <c r="AT16" s="100">
        <v>8.3757931778600554</v>
      </c>
      <c r="AU16" s="100">
        <v>2854.470315014707</v>
      </c>
      <c r="AV16" s="100">
        <v>7.9589126562480343</v>
      </c>
      <c r="AW16" s="100">
        <v>2712.3974332493303</v>
      </c>
      <c r="AX16" s="100">
        <v>3.7859199037603829E-4</v>
      </c>
      <c r="AY16" s="100">
        <v>0.12902415032015385</v>
      </c>
      <c r="AZ16" s="100">
        <v>4.7676023896681885</v>
      </c>
      <c r="BA16" s="100">
        <v>1624.7988943989187</v>
      </c>
      <c r="BB16" s="100">
        <v>2.7182786170887079</v>
      </c>
      <c r="BC16" s="100">
        <v>926.38935270383172</v>
      </c>
      <c r="BD16" s="100">
        <v>5.3844483020918119</v>
      </c>
      <c r="BE16" s="100">
        <v>1835.0199813528895</v>
      </c>
      <c r="BF16" s="100">
        <v>5.3174341686757272</v>
      </c>
      <c r="BG16" s="100">
        <v>1812.1815646846878</v>
      </c>
      <c r="BH16" s="100">
        <v>6.1043483293769114</v>
      </c>
      <c r="BI16" s="100">
        <v>2080.3619106516517</v>
      </c>
      <c r="BJ16" s="100">
        <v>9.1074250627510871</v>
      </c>
      <c r="BK16" s="100">
        <v>3103.8104613855708</v>
      </c>
      <c r="BL16" s="100">
        <v>8</v>
      </c>
      <c r="BM16" s="100">
        <v>2726.4</v>
      </c>
      <c r="BN16" s="100">
        <v>7.8063028958415224</v>
      </c>
      <c r="BO16" s="100">
        <v>2660.3880269027909</v>
      </c>
      <c r="BP16" s="100">
        <v>1.56546523003699</v>
      </c>
      <c r="BQ16" s="100">
        <v>533.51055039660616</v>
      </c>
      <c r="BR16" s="100">
        <v>3.4512939831600801E-4</v>
      </c>
      <c r="BS16" s="100">
        <v>0.11762009894609553</v>
      </c>
      <c r="BT16" s="100">
        <v>8.0002938684626983</v>
      </c>
      <c r="BU16" s="100">
        <v>2726.5001503720878</v>
      </c>
      <c r="BV16" s="100">
        <v>5.5949237189533338</v>
      </c>
      <c r="BW16" s="100">
        <v>1906.7500034192963</v>
      </c>
      <c r="BX16" s="100">
        <v>5.7465300929222698</v>
      </c>
      <c r="BY16" s="100">
        <v>1958.4174556679095</v>
      </c>
      <c r="BZ16" s="100">
        <v>8</v>
      </c>
      <c r="CA16" s="100">
        <v>2726.4</v>
      </c>
      <c r="CB16" s="100">
        <v>3.0733318819985995</v>
      </c>
      <c r="CC16" s="100">
        <v>1047.3915053851229</v>
      </c>
      <c r="CD16" s="100">
        <v>6.2339889675227882E-4</v>
      </c>
      <c r="CE16" s="100">
        <v>0.21245434401317662</v>
      </c>
      <c r="CF16" s="100">
        <v>6.211284371788441</v>
      </c>
      <c r="CG16" s="100">
        <v>2116.8057139055009</v>
      </c>
      <c r="CH16" s="100">
        <v>4.0833000201477052</v>
      </c>
      <c r="CI16" s="100">
        <v>1391.588646866338</v>
      </c>
      <c r="CJ16" s="100">
        <v>8</v>
      </c>
      <c r="CK16" s="100">
        <v>2726.4</v>
      </c>
      <c r="CL16" s="100">
        <v>6.2983872376241257</v>
      </c>
      <c r="CM16" s="100">
        <v>2146.4903705823021</v>
      </c>
      <c r="CN16" s="100">
        <v>7.1044027822757005</v>
      </c>
      <c r="CO16" s="100">
        <v>2421.1804681995586</v>
      </c>
      <c r="CP16" s="100">
        <v>9</v>
      </c>
      <c r="CQ16" s="100">
        <v>3067.2000000000003</v>
      </c>
      <c r="CR16" s="100">
        <v>7.2353178393602455</v>
      </c>
      <c r="CS16" s="100">
        <v>2465.7963196539718</v>
      </c>
      <c r="CT16" s="100">
        <v>6.7158117800789272</v>
      </c>
      <c r="CU16" s="100">
        <v>2288.7486546508985</v>
      </c>
    </row>
    <row r="17" spans="2:99">
      <c r="C17" s="99" t="s">
        <v>183</v>
      </c>
      <c r="D17" s="100">
        <v>9</v>
      </c>
      <c r="E17" s="100">
        <v>3801.6</v>
      </c>
      <c r="F17" s="100">
        <v>5.0916756410416673</v>
      </c>
      <c r="G17" s="100">
        <v>2150.723790776</v>
      </c>
      <c r="H17" s="100">
        <v>7.8087222658470647</v>
      </c>
      <c r="I17" s="100">
        <v>3298.4042850937999</v>
      </c>
      <c r="J17" s="100">
        <v>4.6627343037021268E-4</v>
      </c>
      <c r="K17" s="100">
        <v>0.19695389698837781</v>
      </c>
      <c r="L17" s="100">
        <v>10.511517512356301</v>
      </c>
      <c r="M17" s="100">
        <v>4440.0649972193014</v>
      </c>
      <c r="N17" s="100">
        <v>2.3075458003379294</v>
      </c>
      <c r="O17" s="100">
        <v>974.70734606274129</v>
      </c>
      <c r="P17" s="100">
        <v>8</v>
      </c>
      <c r="Q17" s="100">
        <v>3379.2</v>
      </c>
      <c r="R17" s="100">
        <v>7.9900257307179894</v>
      </c>
      <c r="S17" s="100">
        <v>3374.9868686552786</v>
      </c>
      <c r="T17" s="100">
        <v>1.4168838921567666</v>
      </c>
      <c r="U17" s="100">
        <v>598.49175604701816</v>
      </c>
      <c r="V17" s="100">
        <v>3.0484640178245948</v>
      </c>
      <c r="W17" s="100">
        <v>1287.6712011291088</v>
      </c>
      <c r="X17" s="100">
        <v>6.3940579048833959</v>
      </c>
      <c r="Y17" s="100">
        <v>2700.8500590227463</v>
      </c>
      <c r="Z17" s="100">
        <v>2.4128789556361059</v>
      </c>
      <c r="AA17" s="100">
        <v>1019.2000708606911</v>
      </c>
      <c r="AB17" s="100">
        <v>6.0725149260213707</v>
      </c>
      <c r="AC17" s="100">
        <v>2565.0303047514267</v>
      </c>
      <c r="AD17" s="100">
        <v>6</v>
      </c>
      <c r="AE17" s="100">
        <v>2534.3999999999996</v>
      </c>
      <c r="AF17" s="100">
        <v>2.1228012466923056</v>
      </c>
      <c r="AG17" s="100">
        <v>896.6712466028298</v>
      </c>
      <c r="AH17" s="100">
        <v>6</v>
      </c>
      <c r="AI17" s="100">
        <v>2534.3999999999996</v>
      </c>
      <c r="AJ17" s="100">
        <v>2.3782759235145976</v>
      </c>
      <c r="AK17" s="100">
        <v>1004.583750092566</v>
      </c>
      <c r="AL17" s="100">
        <v>6.2602343048019726</v>
      </c>
      <c r="AM17" s="100">
        <v>2644.322970348353</v>
      </c>
      <c r="AN17" s="100">
        <v>8.2739300331171552</v>
      </c>
      <c r="AO17" s="100">
        <v>3494.9080459886864</v>
      </c>
      <c r="AP17" s="100">
        <v>4.9138745861367018E-4</v>
      </c>
      <c r="AQ17" s="100">
        <v>0.20756206251841428</v>
      </c>
      <c r="AR17" s="100">
        <v>7.1194853340465531</v>
      </c>
      <c r="AS17" s="100">
        <v>3007.2706051012638</v>
      </c>
      <c r="AT17" s="100">
        <v>8.3757931778600554</v>
      </c>
      <c r="AU17" s="100">
        <v>3537.9350383280871</v>
      </c>
      <c r="AV17" s="100">
        <v>7.1630213906232312</v>
      </c>
      <c r="AW17" s="100">
        <v>3025.6602353992525</v>
      </c>
      <c r="AX17" s="100">
        <v>4.4940625050905926E-4</v>
      </c>
      <c r="AY17" s="100">
        <v>0.18982920021502661</v>
      </c>
      <c r="AZ17" s="100">
        <v>5.6008110435908147</v>
      </c>
      <c r="BA17" s="100">
        <v>2365.78258481276</v>
      </c>
      <c r="BB17" s="100">
        <v>2.6978459760291704</v>
      </c>
      <c r="BC17" s="100">
        <v>1139.5701402747216</v>
      </c>
      <c r="BD17" s="100">
        <v>5.3844483020918119</v>
      </c>
      <c r="BE17" s="100">
        <v>2274.3909628035813</v>
      </c>
      <c r="BF17" s="100">
        <v>5.3773299076967005</v>
      </c>
      <c r="BG17" s="100">
        <v>2271.3841530110863</v>
      </c>
      <c r="BH17" s="100">
        <v>5.3564222185732229</v>
      </c>
      <c r="BI17" s="100">
        <v>2262.5527451253292</v>
      </c>
      <c r="BJ17" s="100">
        <v>9.1074250627510871</v>
      </c>
      <c r="BK17" s="100">
        <v>3846.9763465060591</v>
      </c>
      <c r="BL17" s="100">
        <v>9</v>
      </c>
      <c r="BM17" s="100">
        <v>3801.6</v>
      </c>
      <c r="BN17" s="100">
        <v>7.8063028958415224</v>
      </c>
      <c r="BO17" s="100">
        <v>3297.3823432034587</v>
      </c>
      <c r="BP17" s="100">
        <v>1.56546523003699</v>
      </c>
      <c r="BQ17" s="100">
        <v>661.25251316762456</v>
      </c>
      <c r="BR17" s="100">
        <v>3.4314509362986205E-4</v>
      </c>
      <c r="BS17" s="100">
        <v>0.14494448754925371</v>
      </c>
      <c r="BT17" s="100">
        <v>9.0002938684626983</v>
      </c>
      <c r="BU17" s="100">
        <v>3801.7241300386436</v>
      </c>
      <c r="BV17" s="100">
        <v>5.5949237189533338</v>
      </c>
      <c r="BW17" s="100">
        <v>2363.295778885888</v>
      </c>
      <c r="BX17" s="100">
        <v>6.7042851084093149</v>
      </c>
      <c r="BY17" s="100">
        <v>2831.8900297920945</v>
      </c>
      <c r="BZ17" s="100">
        <v>8</v>
      </c>
      <c r="CA17" s="100">
        <v>3379.2</v>
      </c>
      <c r="CB17" s="100">
        <v>3.5123792937126854</v>
      </c>
      <c r="CC17" s="100">
        <v>1483.6290136642383</v>
      </c>
      <c r="CD17" s="100">
        <v>6.2339889675227882E-4</v>
      </c>
      <c r="CE17" s="100">
        <v>0.26332369398816258</v>
      </c>
      <c r="CF17" s="100">
        <v>6.211284371788441</v>
      </c>
      <c r="CG17" s="100">
        <v>2623.6465186434375</v>
      </c>
      <c r="CH17" s="100">
        <v>4.0833000201477052</v>
      </c>
      <c r="CI17" s="100">
        <v>1724.7859285103905</v>
      </c>
      <c r="CJ17" s="100">
        <v>8</v>
      </c>
      <c r="CK17" s="100">
        <v>3379.2</v>
      </c>
      <c r="CL17" s="100">
        <v>5.1627216145449628</v>
      </c>
      <c r="CM17" s="100">
        <v>2180.7336099837921</v>
      </c>
      <c r="CN17" s="100">
        <v>6.1044027822757005</v>
      </c>
      <c r="CO17" s="100">
        <v>2578.4997352332557</v>
      </c>
      <c r="CP17" s="100">
        <v>10</v>
      </c>
      <c r="CQ17" s="100">
        <v>4224</v>
      </c>
      <c r="CR17" s="100">
        <v>7.2353178393602455</v>
      </c>
      <c r="CS17" s="100">
        <v>3056.1982553457674</v>
      </c>
      <c r="CT17" s="100">
        <v>6.7158117800789272</v>
      </c>
      <c r="CU17" s="100">
        <v>2836.7588959053387</v>
      </c>
    </row>
    <row r="18" spans="2:99">
      <c r="C18" s="99" t="s">
        <v>184</v>
      </c>
      <c r="D18" s="100">
        <v>9</v>
      </c>
      <c r="E18" s="100">
        <v>5875.2</v>
      </c>
      <c r="F18" s="100">
        <v>5.0916756410416673</v>
      </c>
      <c r="G18" s="100">
        <v>3323.8458584720001</v>
      </c>
      <c r="H18" s="100">
        <v>7.8087222658470647</v>
      </c>
      <c r="I18" s="100">
        <v>5097.5338951449639</v>
      </c>
      <c r="J18" s="100">
        <v>4.7039751121393875E-4</v>
      </c>
      <c r="K18" s="100">
        <v>0.30707549532045919</v>
      </c>
      <c r="L18" s="100">
        <v>10.511517512356301</v>
      </c>
      <c r="M18" s="100">
        <v>6861.9186320661929</v>
      </c>
      <c r="N18" s="100">
        <v>2.0511518225226042</v>
      </c>
      <c r="O18" s="100">
        <v>1338.991909742756</v>
      </c>
      <c r="P18" s="100">
        <v>9</v>
      </c>
      <c r="Q18" s="100">
        <v>5875.2</v>
      </c>
      <c r="R18" s="100">
        <v>7.9900257307179894</v>
      </c>
      <c r="S18" s="100">
        <v>5215.8887970127034</v>
      </c>
      <c r="T18" s="100">
        <v>1.4168838921567666</v>
      </c>
      <c r="U18" s="100">
        <v>924.94180479993713</v>
      </c>
      <c r="V18" s="100">
        <v>3.0484640178245948</v>
      </c>
      <c r="W18" s="100">
        <v>1990.0373108358954</v>
      </c>
      <c r="X18" s="100">
        <v>6.5683151429938205</v>
      </c>
      <c r="Y18" s="100">
        <v>4287.7961253463654</v>
      </c>
      <c r="Z18" s="100">
        <v>2.4195053480347921</v>
      </c>
      <c r="AA18" s="100">
        <v>1579.4530911971121</v>
      </c>
      <c r="AB18" s="100">
        <v>6.0725149260213707</v>
      </c>
      <c r="AC18" s="100">
        <v>3964.1377437067504</v>
      </c>
      <c r="AD18" s="100">
        <v>6</v>
      </c>
      <c r="AE18" s="100">
        <v>3916.7999999999997</v>
      </c>
      <c r="AF18" s="100">
        <v>1.7690010389102548</v>
      </c>
      <c r="AG18" s="100">
        <v>1154.8038782006142</v>
      </c>
      <c r="AH18" s="100">
        <v>6</v>
      </c>
      <c r="AI18" s="100">
        <v>3916.7999999999997</v>
      </c>
      <c r="AJ18" s="100">
        <v>2.6205604180114999</v>
      </c>
      <c r="AK18" s="100">
        <v>1710.701840877907</v>
      </c>
      <c r="AL18" s="100">
        <v>7.2602343048019726</v>
      </c>
      <c r="AM18" s="100">
        <v>4739.4809541747272</v>
      </c>
      <c r="AN18" s="100">
        <v>7.4465370298054392</v>
      </c>
      <c r="AO18" s="100">
        <v>4861.0993730569908</v>
      </c>
      <c r="AP18" s="100">
        <v>4.2512413360113003E-4</v>
      </c>
      <c r="AQ18" s="100">
        <v>0.27752103441481768</v>
      </c>
      <c r="AR18" s="100">
        <v>6.1941457119369963</v>
      </c>
      <c r="AS18" s="100">
        <v>4043.538320752471</v>
      </c>
      <c r="AT18" s="100">
        <v>8.2229272692089381</v>
      </c>
      <c r="AU18" s="100">
        <v>5367.9269213395946</v>
      </c>
      <c r="AV18" s="100">
        <v>7.9589126562480343</v>
      </c>
      <c r="AW18" s="100">
        <v>5195.5781819987169</v>
      </c>
      <c r="AX18" s="100">
        <v>4.4940625050905926E-4</v>
      </c>
      <c r="AY18" s="100">
        <v>0.29337240033231388</v>
      </c>
      <c r="AZ18" s="100">
        <v>4.6924074996613072</v>
      </c>
      <c r="BA18" s="100">
        <v>3063.2036157789012</v>
      </c>
      <c r="BB18" s="100">
        <v>2.7387112581482458</v>
      </c>
      <c r="BC18" s="100">
        <v>1787.8307093191747</v>
      </c>
      <c r="BD18" s="100">
        <v>5.5129467852426481</v>
      </c>
      <c r="BE18" s="100">
        <v>3598.8516614064006</v>
      </c>
      <c r="BF18" s="100">
        <v>4.611535083174644</v>
      </c>
      <c r="BG18" s="100">
        <v>3010.4101022964073</v>
      </c>
      <c r="BH18" s="100">
        <v>5.2322985680373524</v>
      </c>
      <c r="BI18" s="100">
        <v>3415.6445052147833</v>
      </c>
      <c r="BJ18" s="100">
        <v>8.1074250627510871</v>
      </c>
      <c r="BK18" s="100">
        <v>5292.5270809639096</v>
      </c>
      <c r="BL18" s="100">
        <v>9</v>
      </c>
      <c r="BM18" s="100">
        <v>5875.2</v>
      </c>
      <c r="BN18" s="100">
        <v>7.0256726062573707</v>
      </c>
      <c r="BO18" s="100">
        <v>4586.3590773648111</v>
      </c>
      <c r="BP18" s="100">
        <v>1.56546523003699</v>
      </c>
      <c r="BQ18" s="100">
        <v>1021.935702168147</v>
      </c>
      <c r="BR18" s="100">
        <v>3.4314509362986205E-4</v>
      </c>
      <c r="BS18" s="100">
        <v>0.22400511712157392</v>
      </c>
      <c r="BT18" s="100">
        <v>10.000244890385583</v>
      </c>
      <c r="BU18" s="100">
        <v>6528.1598644437081</v>
      </c>
      <c r="BV18" s="100">
        <v>5.5949237189533338</v>
      </c>
      <c r="BW18" s="100">
        <v>3652.3662037327363</v>
      </c>
      <c r="BX18" s="100">
        <v>5.7465300929222698</v>
      </c>
      <c r="BY18" s="100">
        <v>3751.3348446596574</v>
      </c>
      <c r="BZ18" s="100">
        <v>8</v>
      </c>
      <c r="CA18" s="100">
        <v>5222.3999999999996</v>
      </c>
      <c r="CB18" s="100">
        <v>3.0733318819985995</v>
      </c>
      <c r="CC18" s="100">
        <v>2006.2710525686857</v>
      </c>
      <c r="CD18" s="100">
        <v>6.2339889675227882E-4</v>
      </c>
      <c r="CE18" s="100">
        <v>0.40695479979988758</v>
      </c>
      <c r="CF18" s="100">
        <v>5.211284371788441</v>
      </c>
      <c r="CG18" s="100">
        <v>3401.9264379034939</v>
      </c>
      <c r="CH18" s="100">
        <v>4.0833000201477052</v>
      </c>
      <c r="CI18" s="100">
        <v>2665.5782531524219</v>
      </c>
      <c r="CJ18" s="100">
        <v>8</v>
      </c>
      <c r="CK18" s="100">
        <v>5222.3999999999996</v>
      </c>
      <c r="CL18" s="100">
        <v>6.2834654345702008</v>
      </c>
      <c r="CM18" s="100">
        <v>4101.846235687427</v>
      </c>
      <c r="CN18" s="100">
        <v>6.9816913620228451</v>
      </c>
      <c r="CO18" s="100">
        <v>4557.6481211285127</v>
      </c>
      <c r="CP18" s="100">
        <v>9</v>
      </c>
      <c r="CQ18" s="100">
        <v>5875.2</v>
      </c>
      <c r="CR18" s="100">
        <v>6.3309031094402153</v>
      </c>
      <c r="CS18" s="100">
        <v>4132.8135498425727</v>
      </c>
      <c r="CT18" s="100">
        <v>6.7326176287545776</v>
      </c>
      <c r="CU18" s="100">
        <v>4395.0527880509881</v>
      </c>
    </row>
    <row r="19" spans="2:99">
      <c r="C19" s="99" t="s">
        <v>185</v>
      </c>
      <c r="D19" s="100">
        <v>9</v>
      </c>
      <c r="E19" s="100">
        <v>2970</v>
      </c>
      <c r="F19" s="100">
        <v>5.0916756410416673</v>
      </c>
      <c r="G19" s="100">
        <v>1680.2529615437502</v>
      </c>
      <c r="H19" s="100">
        <v>7.8087222658470647</v>
      </c>
      <c r="I19" s="100">
        <v>2576.8783477295315</v>
      </c>
      <c r="J19" s="100">
        <v>4.7039751121393875E-4</v>
      </c>
      <c r="K19" s="100">
        <v>0.1552311787005998</v>
      </c>
      <c r="L19" s="100">
        <v>9.5115175123563009</v>
      </c>
      <c r="M19" s="100">
        <v>3138.8007790775791</v>
      </c>
      <c r="N19" s="100">
        <v>2.3075458003379294</v>
      </c>
      <c r="O19" s="100">
        <v>761.49011411151673</v>
      </c>
      <c r="P19" s="100">
        <v>9</v>
      </c>
      <c r="Q19" s="100">
        <v>2970</v>
      </c>
      <c r="R19" s="100">
        <v>7.9900257307179894</v>
      </c>
      <c r="S19" s="100">
        <v>2636.7084911369366</v>
      </c>
      <c r="T19" s="100">
        <v>1.4168838921567666</v>
      </c>
      <c r="U19" s="100">
        <v>467.57168441173297</v>
      </c>
      <c r="V19" s="100">
        <v>3.0484640178245948</v>
      </c>
      <c r="W19" s="100">
        <v>1005.9931258821163</v>
      </c>
      <c r="X19" s="100">
        <v>7.5683151429938205</v>
      </c>
      <c r="Y19" s="100">
        <v>2497.5439971879609</v>
      </c>
      <c r="Z19" s="100">
        <v>2.4128789556361059</v>
      </c>
      <c r="AA19" s="100">
        <v>796.250055359915</v>
      </c>
      <c r="AB19" s="100">
        <v>6.0725149260213707</v>
      </c>
      <c r="AC19" s="100">
        <v>2003.9299255870524</v>
      </c>
      <c r="AD19" s="100">
        <v>5</v>
      </c>
      <c r="AE19" s="100">
        <v>1650</v>
      </c>
      <c r="AF19" s="100">
        <v>2.1961299803739056</v>
      </c>
      <c r="AG19" s="100">
        <v>724.72289352338885</v>
      </c>
      <c r="AH19" s="100">
        <v>6</v>
      </c>
      <c r="AI19" s="100">
        <v>1980</v>
      </c>
      <c r="AJ19" s="100">
        <v>3.153423727418831</v>
      </c>
      <c r="AK19" s="100">
        <v>1040.6298300482142</v>
      </c>
      <c r="AL19" s="100">
        <v>7.2602343048019726</v>
      </c>
      <c r="AM19" s="100">
        <v>2395.877320584651</v>
      </c>
      <c r="AN19" s="100">
        <v>7.4465370298054392</v>
      </c>
      <c r="AO19" s="100">
        <v>2457.3572198357951</v>
      </c>
      <c r="AP19" s="100">
        <v>4.9414187696625908E-4</v>
      </c>
      <c r="AQ19" s="100">
        <v>0.1630668193988655</v>
      </c>
      <c r="AR19" s="100">
        <v>6.3225673077929274</v>
      </c>
      <c r="AS19" s="100">
        <v>2086.4472115716662</v>
      </c>
      <c r="AT19" s="100">
        <v>7.2229272692089381</v>
      </c>
      <c r="AU19" s="100">
        <v>2383.5659988389498</v>
      </c>
      <c r="AV19" s="100">
        <v>7.1630213906232312</v>
      </c>
      <c r="AW19" s="100">
        <v>2363.7970589056663</v>
      </c>
      <c r="AX19" s="100">
        <v>4.5290920618204977E-4</v>
      </c>
      <c r="AY19" s="100">
        <v>0.14946003804007643</v>
      </c>
      <c r="AZ19" s="100">
        <v>5.5256161535839334</v>
      </c>
      <c r="BA19" s="100">
        <v>1823.4533306826979</v>
      </c>
      <c r="BB19" s="100">
        <v>2.6978459760291704</v>
      </c>
      <c r="BC19" s="100">
        <v>890.28917208962628</v>
      </c>
      <c r="BD19" s="100">
        <v>5.3844483020918119</v>
      </c>
      <c r="BE19" s="100">
        <v>1776.867939690298</v>
      </c>
      <c r="BF19" s="100">
        <v>5.3773299076967005</v>
      </c>
      <c r="BG19" s="100">
        <v>1774.5188695399111</v>
      </c>
      <c r="BH19" s="100">
        <v>6.1043483293769114</v>
      </c>
      <c r="BI19" s="100">
        <v>2014.4349486943809</v>
      </c>
      <c r="BJ19" s="100">
        <v>9.1074250627510871</v>
      </c>
      <c r="BK19" s="100">
        <v>3005.4502707078586</v>
      </c>
      <c r="BL19" s="100">
        <v>8</v>
      </c>
      <c r="BM19" s="100">
        <v>2640</v>
      </c>
      <c r="BN19" s="100">
        <v>7.0256726062573707</v>
      </c>
      <c r="BO19" s="100">
        <v>2318.4719600649323</v>
      </c>
      <c r="BP19" s="100">
        <v>1.56546523003699</v>
      </c>
      <c r="BQ19" s="100">
        <v>516.60352591220669</v>
      </c>
      <c r="BR19" s="100">
        <v>4.5157387744804508E-4</v>
      </c>
      <c r="BS19" s="100">
        <v>0.14901937955785488</v>
      </c>
      <c r="BT19" s="100">
        <v>10.000293868462698</v>
      </c>
      <c r="BU19" s="100">
        <v>3300.0969765926902</v>
      </c>
      <c r="BV19" s="100">
        <v>4.9732655279585183</v>
      </c>
      <c r="BW19" s="100">
        <v>1641.1776242263111</v>
      </c>
      <c r="BX19" s="100">
        <v>5.7465300929222698</v>
      </c>
      <c r="BY19" s="100">
        <v>1896.354930664349</v>
      </c>
      <c r="BZ19" s="100">
        <v>9</v>
      </c>
      <c r="CA19" s="100">
        <v>2970</v>
      </c>
      <c r="CB19" s="100">
        <v>3.5123792937126854</v>
      </c>
      <c r="CC19" s="100">
        <v>1159.0851669251863</v>
      </c>
      <c r="CD19" s="100">
        <v>6.8520174001613938E-4</v>
      </c>
      <c r="CE19" s="100">
        <v>0.22611657420532599</v>
      </c>
      <c r="CF19" s="100">
        <v>6.1848738253148863</v>
      </c>
      <c r="CG19" s="100">
        <v>2041.0083623539124</v>
      </c>
      <c r="CH19" s="100">
        <v>3.4027500167897538</v>
      </c>
      <c r="CI19" s="100">
        <v>1122.9075055406188</v>
      </c>
      <c r="CJ19" s="100">
        <v>7</v>
      </c>
      <c r="CK19" s="100">
        <v>2310</v>
      </c>
      <c r="CL19" s="100">
        <v>5.1776434175988877</v>
      </c>
      <c r="CM19" s="100">
        <v>1708.6223278076329</v>
      </c>
      <c r="CN19" s="100">
        <v>5.9816913620228451</v>
      </c>
      <c r="CO19" s="100">
        <v>1973.958149467539</v>
      </c>
      <c r="CP19" s="100">
        <v>11</v>
      </c>
      <c r="CQ19" s="100">
        <v>3630</v>
      </c>
      <c r="CR19" s="100">
        <v>7.2353178393602455</v>
      </c>
      <c r="CS19" s="100">
        <v>2387.6548869888811</v>
      </c>
      <c r="CT19" s="100">
        <v>7.4227994420667338</v>
      </c>
      <c r="CU19" s="100">
        <v>2449.5238158820221</v>
      </c>
    </row>
    <row r="20" spans="2:99">
      <c r="B20" s="99" t="s">
        <v>127</v>
      </c>
      <c r="C20" s="99" t="s">
        <v>186</v>
      </c>
      <c r="D20" s="100">
        <v>5</v>
      </c>
      <c r="E20" s="100">
        <v>1434</v>
      </c>
      <c r="F20" s="100">
        <v>7.6375134615624996</v>
      </c>
      <c r="G20" s="100">
        <v>2190.4388607761248</v>
      </c>
      <c r="H20" s="100">
        <v>4.3381790365817032</v>
      </c>
      <c r="I20" s="100">
        <v>1244.1897476916326</v>
      </c>
      <c r="J20" s="100">
        <v>6.0406818955649716E-4</v>
      </c>
      <c r="K20" s="100">
        <v>0.17324675676480339</v>
      </c>
      <c r="L20" s="100">
        <v>10.847410292879923</v>
      </c>
      <c r="M20" s="100">
        <v>3111.0372719979619</v>
      </c>
      <c r="N20" s="100">
        <v>2.0511518225226042</v>
      </c>
      <c r="O20" s="100">
        <v>588.27034269948285</v>
      </c>
      <c r="P20" s="100">
        <v>9</v>
      </c>
      <c r="Q20" s="100">
        <v>2581.2000000000003</v>
      </c>
      <c r="R20" s="100">
        <v>6.9912725143782408</v>
      </c>
      <c r="S20" s="100">
        <v>2005.0969571236797</v>
      </c>
      <c r="T20" s="100">
        <v>2.2670142274508267</v>
      </c>
      <c r="U20" s="100">
        <v>650.17968043289716</v>
      </c>
      <c r="V20" s="100">
        <v>6.096316882255306</v>
      </c>
      <c r="W20" s="100">
        <v>1748.4236818308218</v>
      </c>
      <c r="X20" s="100">
        <v>8.9168296192146705</v>
      </c>
      <c r="Y20" s="100">
        <v>2557.3467347907676</v>
      </c>
      <c r="Z20" s="100">
        <v>2.4526373100282233</v>
      </c>
      <c r="AA20" s="100">
        <v>703.41638051609448</v>
      </c>
      <c r="AB20" s="100">
        <v>9.1208582100356175</v>
      </c>
      <c r="AC20" s="100">
        <v>2615.8621346382151</v>
      </c>
      <c r="AD20" s="100">
        <v>10</v>
      </c>
      <c r="AE20" s="100">
        <v>2868</v>
      </c>
      <c r="AF20" s="100">
        <v>3.279529223824539</v>
      </c>
      <c r="AG20" s="100">
        <v>940.56898139287784</v>
      </c>
      <c r="AH20" s="100">
        <v>8</v>
      </c>
      <c r="AI20" s="100">
        <v>2294.4</v>
      </c>
      <c r="AJ20" s="100">
        <v>4.0078202990259095</v>
      </c>
      <c r="AK20" s="100">
        <v>1149.4428617606309</v>
      </c>
      <c r="AL20" s="100">
        <v>10.362939321503699</v>
      </c>
      <c r="AM20" s="100">
        <v>2972.0909974072611</v>
      </c>
      <c r="AN20" s="100">
        <v>7.4465370298054392</v>
      </c>
      <c r="AO20" s="100">
        <v>2135.6668201482003</v>
      </c>
      <c r="AP20" s="100">
        <v>6.5145829216463965E-4</v>
      </c>
      <c r="AQ20" s="100">
        <v>0.18683823819281867</v>
      </c>
      <c r="AR20" s="100">
        <v>7.7615933133262089</v>
      </c>
      <c r="AS20" s="100">
        <v>2226.0249622619567</v>
      </c>
      <c r="AT20" s="100">
        <v>14.140122721115642</v>
      </c>
      <c r="AU20" s="100">
        <v>4055.3871964159662</v>
      </c>
      <c r="AV20" s="100">
        <v>8.7548039218728366</v>
      </c>
      <c r="AW20" s="100">
        <v>2510.8777647931297</v>
      </c>
      <c r="AX20" s="100">
        <v>7.5017806940609556E-4</v>
      </c>
      <c r="AY20" s="100">
        <v>0.21515107030566821</v>
      </c>
      <c r="AZ20" s="100">
        <v>6.6596043675340866</v>
      </c>
      <c r="BA20" s="100">
        <v>1909.9745326087761</v>
      </c>
      <c r="BB20" s="100">
        <v>4.5100317207549763</v>
      </c>
      <c r="BC20" s="100">
        <v>1293.4770975125273</v>
      </c>
      <c r="BD20" s="100">
        <v>5.628085503075936</v>
      </c>
      <c r="BE20" s="100">
        <v>1614.1349222821784</v>
      </c>
      <c r="BF20" s="100">
        <v>7.3345363967619495</v>
      </c>
      <c r="BG20" s="100">
        <v>2103.5450385913273</v>
      </c>
      <c r="BH20" s="100">
        <v>9.3411158660749383</v>
      </c>
      <c r="BI20" s="100">
        <v>2679.0320303902922</v>
      </c>
      <c r="BJ20" s="100">
        <v>13.550395087851522</v>
      </c>
      <c r="BK20" s="100">
        <v>3886.2533111958164</v>
      </c>
      <c r="BL20" s="100">
        <v>6</v>
      </c>
      <c r="BM20" s="100">
        <v>1720.8000000000002</v>
      </c>
      <c r="BN20" s="100">
        <v>6.2450423166732181</v>
      </c>
      <c r="BO20" s="100">
        <v>1791.078136421879</v>
      </c>
      <c r="BP20" s="100">
        <v>2.0872869733826533</v>
      </c>
      <c r="BQ20" s="100">
        <v>598.633903966145</v>
      </c>
      <c r="BR20" s="100">
        <v>5.6992418469695757E-4</v>
      </c>
      <c r="BS20" s="100">
        <v>0.16345425617108744</v>
      </c>
      <c r="BT20" s="100">
        <v>6.0005877369253966</v>
      </c>
      <c r="BU20" s="100">
        <v>1720.9685629502037</v>
      </c>
      <c r="BV20" s="100">
        <v>7.4598982919377779</v>
      </c>
      <c r="BW20" s="100">
        <v>2139.4988301277549</v>
      </c>
      <c r="BX20" s="100">
        <v>10.535305170357494</v>
      </c>
      <c r="BY20" s="100">
        <v>3021.5255228585297</v>
      </c>
      <c r="BZ20" s="100">
        <v>11</v>
      </c>
      <c r="CA20" s="100">
        <v>3154.8</v>
      </c>
      <c r="CB20" s="100">
        <v>3.0733318819985995</v>
      </c>
      <c r="CC20" s="100">
        <v>881.43158375719838</v>
      </c>
      <c r="CD20" s="100">
        <v>5.0986283043769434E-4</v>
      </c>
      <c r="CE20" s="100">
        <v>0.14622865976953073</v>
      </c>
      <c r="CF20" s="100">
        <v>9.3169265576826614</v>
      </c>
      <c r="CG20" s="100">
        <v>2672.0945367433874</v>
      </c>
      <c r="CH20" s="100">
        <v>4.7638500235056558</v>
      </c>
      <c r="CI20" s="100">
        <v>1366.272186741422</v>
      </c>
      <c r="CJ20" s="100">
        <v>9</v>
      </c>
      <c r="CK20" s="100">
        <v>2581.2000000000003</v>
      </c>
      <c r="CL20" s="100">
        <v>5.0433471901135718</v>
      </c>
      <c r="CM20" s="100">
        <v>1446.4319741245724</v>
      </c>
      <c r="CN20" s="100">
        <v>13.840671303792835</v>
      </c>
      <c r="CO20" s="100">
        <v>3969.5045299277854</v>
      </c>
      <c r="CP20" s="100">
        <v>7</v>
      </c>
      <c r="CQ20" s="100">
        <v>2007.6000000000001</v>
      </c>
      <c r="CR20" s="100">
        <v>8.1397325692802784</v>
      </c>
      <c r="CS20" s="100">
        <v>2334.4753008695839</v>
      </c>
      <c r="CT20" s="100">
        <v>5.7903480853076648</v>
      </c>
      <c r="CU20" s="100">
        <v>1660.6718308662382</v>
      </c>
    </row>
    <row r="21" spans="2:99">
      <c r="C21" s="99" t="s">
        <v>187</v>
      </c>
      <c r="D21" s="100">
        <v>5</v>
      </c>
      <c r="E21" s="100">
        <v>312</v>
      </c>
      <c r="F21" s="100">
        <v>6.7889008547222227</v>
      </c>
      <c r="G21" s="100">
        <v>423.6274133346667</v>
      </c>
      <c r="H21" s="100">
        <v>5.2058148438980432</v>
      </c>
      <c r="I21" s="100">
        <v>324.84284625923789</v>
      </c>
      <c r="J21" s="100">
        <v>6.9237397861806845E-4</v>
      </c>
      <c r="K21" s="100">
        <v>4.3204136265767468E-2</v>
      </c>
      <c r="L21" s="100">
        <v>12.015356683141734</v>
      </c>
      <c r="M21" s="100">
        <v>749.75825702804423</v>
      </c>
      <c r="N21" s="100">
        <v>2.3075458003379294</v>
      </c>
      <c r="O21" s="100">
        <v>143.9908579410868</v>
      </c>
      <c r="P21" s="100">
        <v>9</v>
      </c>
      <c r="Q21" s="100">
        <v>561.6</v>
      </c>
      <c r="R21" s="100">
        <v>6.9912725143782408</v>
      </c>
      <c r="S21" s="100">
        <v>436.2554048972022</v>
      </c>
      <c r="T21" s="100">
        <v>1.9836374490194733</v>
      </c>
      <c r="U21" s="100">
        <v>123.77897681881512</v>
      </c>
      <c r="V21" s="100">
        <v>6.1587909021022531</v>
      </c>
      <c r="W21" s="100">
        <v>384.3085522911806</v>
      </c>
      <c r="X21" s="100">
        <v>10.091086857325095</v>
      </c>
      <c r="Y21" s="100">
        <v>629.68381989708587</v>
      </c>
      <c r="Z21" s="100">
        <v>2.4658900948255957</v>
      </c>
      <c r="AA21" s="100">
        <v>153.87154191711718</v>
      </c>
      <c r="AB21" s="100">
        <v>10.108772389032056</v>
      </c>
      <c r="AC21" s="100">
        <v>630.78739707560032</v>
      </c>
      <c r="AD21" s="100">
        <v>10</v>
      </c>
      <c r="AE21" s="100">
        <v>624</v>
      </c>
      <c r="AF21" s="100">
        <v>3.6333294316065903</v>
      </c>
      <c r="AG21" s="100">
        <v>226.71975653225124</v>
      </c>
      <c r="AH21" s="100">
        <v>8</v>
      </c>
      <c r="AI21" s="100">
        <v>499.2</v>
      </c>
      <c r="AJ21" s="100">
        <v>3.9814040431249609</v>
      </c>
      <c r="AK21" s="100">
        <v>248.43961229099756</v>
      </c>
      <c r="AL21" s="100">
        <v>11.205410033403451</v>
      </c>
      <c r="AM21" s="100">
        <v>699.21758608437528</v>
      </c>
      <c r="AN21" s="100">
        <v>7.4465370298054392</v>
      </c>
      <c r="AO21" s="100">
        <v>464.66391065985937</v>
      </c>
      <c r="AP21" s="100">
        <v>6.5421271051722843E-4</v>
      </c>
      <c r="AQ21" s="100">
        <v>4.0822873136275056E-2</v>
      </c>
      <c r="AR21" s="100">
        <v>7.8900149091821392</v>
      </c>
      <c r="AS21" s="100">
        <v>492.33693033296549</v>
      </c>
      <c r="AT21" s="100">
        <v>13.140122721115642</v>
      </c>
      <c r="AU21" s="100">
        <v>819.94365779761597</v>
      </c>
      <c r="AV21" s="100">
        <v>8.7548039218728366</v>
      </c>
      <c r="AW21" s="100">
        <v>546.29976472486499</v>
      </c>
      <c r="AX21" s="100">
        <v>6.8286676494606522E-4</v>
      </c>
      <c r="AY21" s="100">
        <v>4.2610886132634467E-2</v>
      </c>
      <c r="AZ21" s="100">
        <v>6.6596043675340866</v>
      </c>
      <c r="BA21" s="100">
        <v>415.559312534127</v>
      </c>
      <c r="BB21" s="100">
        <v>4.4691664386359022</v>
      </c>
      <c r="BC21" s="100">
        <v>278.87598577088028</v>
      </c>
      <c r="BD21" s="100">
        <v>6.4124361672985106</v>
      </c>
      <c r="BE21" s="100">
        <v>400.13601683942704</v>
      </c>
      <c r="BF21" s="100">
        <v>7.3300303192584915</v>
      </c>
      <c r="BG21" s="100">
        <v>457.39389192172985</v>
      </c>
      <c r="BH21" s="100">
        <v>9.4652395166108096</v>
      </c>
      <c r="BI21" s="100">
        <v>590.63094583651446</v>
      </c>
      <c r="BJ21" s="100">
        <v>12.77188010040174</v>
      </c>
      <c r="BK21" s="100">
        <v>796.9653182650685</v>
      </c>
      <c r="BL21" s="100">
        <v>6</v>
      </c>
      <c r="BM21" s="100">
        <v>374.4</v>
      </c>
      <c r="BN21" s="100">
        <v>7.0256726062573707</v>
      </c>
      <c r="BO21" s="100">
        <v>438.40197063045991</v>
      </c>
      <c r="BP21" s="100">
        <v>1.8263761017098215</v>
      </c>
      <c r="BQ21" s="100">
        <v>113.96586874669286</v>
      </c>
      <c r="BR21" s="100">
        <v>6.783529685151406E-4</v>
      </c>
      <c r="BS21" s="100">
        <v>4.232922523534477E-2</v>
      </c>
      <c r="BT21" s="100">
        <v>7.0005387588482799</v>
      </c>
      <c r="BU21" s="100">
        <v>436.83361855213263</v>
      </c>
      <c r="BV21" s="100">
        <v>8.0815564829325925</v>
      </c>
      <c r="BW21" s="100">
        <v>504.28912453499379</v>
      </c>
      <c r="BX21" s="100">
        <v>10.535305170357494</v>
      </c>
      <c r="BY21" s="100">
        <v>657.4030426303076</v>
      </c>
      <c r="BZ21" s="100">
        <v>12</v>
      </c>
      <c r="CA21" s="100">
        <v>748.8</v>
      </c>
      <c r="CB21" s="100">
        <v>3.0733318819985995</v>
      </c>
      <c r="CC21" s="100">
        <v>191.7759094367126</v>
      </c>
      <c r="CD21" s="100">
        <v>5.7099436568734576E-4</v>
      </c>
      <c r="CE21" s="100">
        <v>3.5630048418890378E-2</v>
      </c>
      <c r="CF21" s="100">
        <v>8.3433371041562179</v>
      </c>
      <c r="CG21" s="100">
        <v>520.62423529934802</v>
      </c>
      <c r="CH21" s="100">
        <v>4.7638500235056558</v>
      </c>
      <c r="CI21" s="100">
        <v>297.26424146675294</v>
      </c>
      <c r="CJ21" s="100">
        <v>10</v>
      </c>
      <c r="CK21" s="100">
        <v>624</v>
      </c>
      <c r="CL21" s="100">
        <v>6.1640910101388098</v>
      </c>
      <c r="CM21" s="100">
        <v>384.6392790326617</v>
      </c>
      <c r="CN21" s="100">
        <v>12.717959883539979</v>
      </c>
      <c r="CO21" s="100">
        <v>793.60069673289468</v>
      </c>
      <c r="CP21" s="100">
        <v>8</v>
      </c>
      <c r="CQ21" s="100">
        <v>499.2</v>
      </c>
      <c r="CR21" s="100">
        <v>8.1397325692802784</v>
      </c>
      <c r="CS21" s="100">
        <v>507.91931232308934</v>
      </c>
      <c r="CT21" s="100">
        <v>5.7903480853076648</v>
      </c>
      <c r="CU21" s="100">
        <v>361.31772052319826</v>
      </c>
    </row>
    <row r="22" spans="2:99">
      <c r="C22" s="99" t="s">
        <v>188</v>
      </c>
      <c r="D22" s="100">
        <v>5</v>
      </c>
      <c r="E22" s="100">
        <v>936</v>
      </c>
      <c r="F22" s="100">
        <v>6.7889008547222227</v>
      </c>
      <c r="G22" s="100">
        <v>1270.8822400040001</v>
      </c>
      <c r="H22" s="100">
        <v>6.073450651214384</v>
      </c>
      <c r="I22" s="100">
        <v>1136.9499619073326</v>
      </c>
      <c r="J22" s="100">
        <v>6.9237397861806845E-4</v>
      </c>
      <c r="K22" s="100">
        <v>0.1296124087973024</v>
      </c>
      <c r="L22" s="100">
        <v>11.015356683141734</v>
      </c>
      <c r="M22" s="100">
        <v>2062.0747710841324</v>
      </c>
      <c r="N22" s="100">
        <v>2.3075458003379294</v>
      </c>
      <c r="O22" s="100">
        <v>431.97257382326035</v>
      </c>
      <c r="P22" s="100">
        <v>10</v>
      </c>
      <c r="Q22" s="100">
        <v>1872</v>
      </c>
      <c r="R22" s="100">
        <v>6.9912725143782408</v>
      </c>
      <c r="S22" s="100">
        <v>1308.7662146916066</v>
      </c>
      <c r="T22" s="100">
        <v>1.9836374490194733</v>
      </c>
      <c r="U22" s="100">
        <v>371.33693045644537</v>
      </c>
      <c r="V22" s="100">
        <v>6.0982791988419116</v>
      </c>
      <c r="W22" s="100">
        <v>1141.5978660232058</v>
      </c>
      <c r="X22" s="100">
        <v>10.091086857325095</v>
      </c>
      <c r="Y22" s="100">
        <v>1889.0514596912576</v>
      </c>
      <c r="Z22" s="100">
        <v>2.4592637024269095</v>
      </c>
      <c r="AA22" s="100">
        <v>460.37416509431745</v>
      </c>
      <c r="AB22" s="100">
        <v>10.108772389032056</v>
      </c>
      <c r="AC22" s="100">
        <v>1892.3621912268009</v>
      </c>
      <c r="AD22" s="100">
        <v>9</v>
      </c>
      <c r="AE22" s="100">
        <v>1684.8</v>
      </c>
      <c r="AF22" s="100">
        <v>3.9871296393886411</v>
      </c>
      <c r="AG22" s="100">
        <v>746.39066849355356</v>
      </c>
      <c r="AH22" s="100">
        <v>8</v>
      </c>
      <c r="AI22" s="100">
        <v>1497.6</v>
      </c>
      <c r="AJ22" s="100">
        <v>3.5938301411728442</v>
      </c>
      <c r="AK22" s="100">
        <v>672.7650024275564</v>
      </c>
      <c r="AL22" s="100">
        <v>11.362939321503699</v>
      </c>
      <c r="AM22" s="100">
        <v>2127.1422409854922</v>
      </c>
      <c r="AN22" s="100">
        <v>8.2739300331171552</v>
      </c>
      <c r="AO22" s="100">
        <v>1548.8797021995313</v>
      </c>
      <c r="AP22" s="100">
        <v>5.8794938550468833E-4</v>
      </c>
      <c r="AQ22" s="100">
        <v>0.11006412496647765</v>
      </c>
      <c r="AR22" s="100">
        <v>7.7615933133262089</v>
      </c>
      <c r="AS22" s="100">
        <v>1452.9702682546663</v>
      </c>
      <c r="AT22" s="100">
        <v>12.987256812464524</v>
      </c>
      <c r="AU22" s="100">
        <v>2431.2144752933586</v>
      </c>
      <c r="AV22" s="100">
        <v>8.7548039218728366</v>
      </c>
      <c r="AW22" s="100">
        <v>1638.8992941745948</v>
      </c>
      <c r="AX22" s="100">
        <v>7.5718398075207659E-4</v>
      </c>
      <c r="AY22" s="100">
        <v>0.14174484119678873</v>
      </c>
      <c r="AZ22" s="100">
        <v>5.9015906036183425</v>
      </c>
      <c r="BA22" s="100">
        <v>1104.7777609973537</v>
      </c>
      <c r="BB22" s="100">
        <v>4.4691664386359022</v>
      </c>
      <c r="BC22" s="100">
        <v>836.62795731264089</v>
      </c>
      <c r="BD22" s="100">
        <v>6.5409346504493486</v>
      </c>
      <c r="BE22" s="100">
        <v>1224.462966564118</v>
      </c>
      <c r="BF22" s="100">
        <v>7.432938073983145</v>
      </c>
      <c r="BG22" s="100">
        <v>1391.4460074496446</v>
      </c>
      <c r="BH22" s="100">
        <v>9.9649183263427581</v>
      </c>
      <c r="BI22" s="100">
        <v>1865.4327106913643</v>
      </c>
      <c r="BJ22" s="100">
        <v>13.77188010040174</v>
      </c>
      <c r="BK22" s="100">
        <v>2578.0959547952057</v>
      </c>
      <c r="BL22" s="100">
        <v>6</v>
      </c>
      <c r="BM22" s="100">
        <v>1123.1999999999998</v>
      </c>
      <c r="BN22" s="100">
        <v>6.2450423166732181</v>
      </c>
      <c r="BO22" s="100">
        <v>1169.0719216812263</v>
      </c>
      <c r="BP22" s="100">
        <v>2.0872869733826533</v>
      </c>
      <c r="BQ22" s="100">
        <v>390.74012141723267</v>
      </c>
      <c r="BR22" s="100">
        <v>5.7389279406924937E-4</v>
      </c>
      <c r="BS22" s="100">
        <v>0.10743273104976347</v>
      </c>
      <c r="BT22" s="100">
        <v>6.0005387588482799</v>
      </c>
      <c r="BU22" s="100">
        <v>1123.300855656398</v>
      </c>
      <c r="BV22" s="100">
        <v>6.8382401009429632</v>
      </c>
      <c r="BW22" s="100">
        <v>1280.1185468965227</v>
      </c>
      <c r="BX22" s="100">
        <v>11.49306018584454</v>
      </c>
      <c r="BY22" s="100">
        <v>2151.5008667900975</v>
      </c>
      <c r="BZ22" s="100">
        <v>12</v>
      </c>
      <c r="CA22" s="100">
        <v>2246.3999999999996</v>
      </c>
      <c r="CB22" s="100">
        <v>3.5123792937126854</v>
      </c>
      <c r="CC22" s="100">
        <v>657.51740378301463</v>
      </c>
      <c r="CD22" s="100">
        <v>5.1120544646611249E-4</v>
      </c>
      <c r="CE22" s="100">
        <v>9.5697659578456246E-2</v>
      </c>
      <c r="CF22" s="100">
        <v>9.3169265576826614</v>
      </c>
      <c r="CG22" s="100">
        <v>1744.1286515981942</v>
      </c>
      <c r="CH22" s="100">
        <v>5.4444000268636064</v>
      </c>
      <c r="CI22" s="100">
        <v>1019.191685028867</v>
      </c>
      <c r="CJ22" s="100">
        <v>10</v>
      </c>
      <c r="CK22" s="100">
        <v>1872</v>
      </c>
      <c r="CL22" s="100">
        <v>5.6037191001261917</v>
      </c>
      <c r="CM22" s="100">
        <v>1049.016215543623</v>
      </c>
      <c r="CN22" s="100">
        <v>12.840671303792835</v>
      </c>
      <c r="CO22" s="100">
        <v>2403.7736680700186</v>
      </c>
      <c r="CP22" s="100">
        <v>7</v>
      </c>
      <c r="CQ22" s="100">
        <v>1310.3999999999999</v>
      </c>
      <c r="CR22" s="100">
        <v>9.0441472992003078</v>
      </c>
      <c r="CS22" s="100">
        <v>1693.0643744102974</v>
      </c>
      <c r="CT22" s="100">
        <v>5.0665545746442069</v>
      </c>
      <c r="CU22" s="100">
        <v>948.45901637339546</v>
      </c>
    </row>
    <row r="23" spans="2:99">
      <c r="C23" s="99" t="s">
        <v>189</v>
      </c>
      <c r="D23" s="100">
        <v>6</v>
      </c>
      <c r="E23" s="100">
        <v>1764</v>
      </c>
      <c r="F23" s="100">
        <v>6.7889008547222227</v>
      </c>
      <c r="G23" s="100">
        <v>1995.9368512883334</v>
      </c>
      <c r="H23" s="100">
        <v>5.2058148438980432</v>
      </c>
      <c r="I23" s="100">
        <v>1530.5095641060248</v>
      </c>
      <c r="J23" s="100">
        <v>6.0406818955649716E-4</v>
      </c>
      <c r="K23" s="100">
        <v>0.17759604772961016</v>
      </c>
      <c r="L23" s="100">
        <v>9.847410292879923</v>
      </c>
      <c r="M23" s="100">
        <v>2895.1386261066973</v>
      </c>
      <c r="N23" s="100">
        <v>2.0511518225226042</v>
      </c>
      <c r="O23" s="100">
        <v>603.03863582164558</v>
      </c>
      <c r="P23" s="100">
        <v>9</v>
      </c>
      <c r="Q23" s="100">
        <v>2646</v>
      </c>
      <c r="R23" s="100">
        <v>6.9912725143782408</v>
      </c>
      <c r="S23" s="100">
        <v>2055.4341192272027</v>
      </c>
      <c r="T23" s="100">
        <v>1.9836374490194733</v>
      </c>
      <c r="U23" s="100">
        <v>583.18941001172516</v>
      </c>
      <c r="V23" s="100">
        <v>6.1002415154285154</v>
      </c>
      <c r="W23" s="100">
        <v>1793.4710055359835</v>
      </c>
      <c r="X23" s="100">
        <v>9.9168296192146705</v>
      </c>
      <c r="Y23" s="100">
        <v>2915.5479080491132</v>
      </c>
      <c r="Z23" s="100">
        <v>2.4526373100282233</v>
      </c>
      <c r="AA23" s="100">
        <v>721.07536914829768</v>
      </c>
      <c r="AB23" s="100">
        <v>9.1087723890320564</v>
      </c>
      <c r="AC23" s="100">
        <v>2677.9790823754247</v>
      </c>
      <c r="AD23" s="100">
        <v>9</v>
      </c>
      <c r="AE23" s="100">
        <v>2646</v>
      </c>
      <c r="AF23" s="100">
        <v>3.6259965582384304</v>
      </c>
      <c r="AG23" s="100">
        <v>1066.0429881220984</v>
      </c>
      <c r="AH23" s="100">
        <v>7</v>
      </c>
      <c r="AI23" s="100">
        <v>2058</v>
      </c>
      <c r="AJ23" s="100">
        <v>3.607038269123318</v>
      </c>
      <c r="AK23" s="100">
        <v>1060.4692511222554</v>
      </c>
      <c r="AL23" s="100">
        <v>10.520468609603945</v>
      </c>
      <c r="AM23" s="100">
        <v>3093.01777122356</v>
      </c>
      <c r="AN23" s="100">
        <v>6.619144026493724</v>
      </c>
      <c r="AO23" s="100">
        <v>1946.0283437891549</v>
      </c>
      <c r="AP23" s="100">
        <v>5.9621264056245523E-4</v>
      </c>
      <c r="AQ23" s="100">
        <v>0.17528651632536182</v>
      </c>
      <c r="AR23" s="100">
        <v>7.7615933133262089</v>
      </c>
      <c r="AS23" s="100">
        <v>2281.9084341179055</v>
      </c>
      <c r="AT23" s="100">
        <v>14.292988629766759</v>
      </c>
      <c r="AU23" s="100">
        <v>4202.1386571514267</v>
      </c>
      <c r="AV23" s="100">
        <v>8.7548039218728366</v>
      </c>
      <c r="AW23" s="100">
        <v>2573.9123530306138</v>
      </c>
      <c r="AX23" s="100">
        <v>6.8636972061905568E-4</v>
      </c>
      <c r="AY23" s="100">
        <v>0.20179269786200238</v>
      </c>
      <c r="AZ23" s="100">
        <v>6.6596043675340866</v>
      </c>
      <c r="BA23" s="100">
        <v>1957.9236840550216</v>
      </c>
      <c r="BB23" s="100">
        <v>4.0774179256330623</v>
      </c>
      <c r="BC23" s="100">
        <v>1198.7608701361203</v>
      </c>
      <c r="BD23" s="100">
        <v>6.5431753942619855</v>
      </c>
      <c r="BE23" s="100">
        <v>1923.6935659130238</v>
      </c>
      <c r="BF23" s="100">
        <v>8.0813120464899733</v>
      </c>
      <c r="BG23" s="100">
        <v>2375.9057416680521</v>
      </c>
      <c r="BH23" s="100">
        <v>9.9649183263427581</v>
      </c>
      <c r="BI23" s="100">
        <v>2929.6859879447707</v>
      </c>
      <c r="BJ23" s="100">
        <v>13.661137594126631</v>
      </c>
      <c r="BK23" s="100">
        <v>4016.3744526732294</v>
      </c>
      <c r="BL23" s="100">
        <v>5</v>
      </c>
      <c r="BM23" s="100">
        <v>1470</v>
      </c>
      <c r="BN23" s="100">
        <v>6.2450423166732181</v>
      </c>
      <c r="BO23" s="100">
        <v>1836.0424411019262</v>
      </c>
      <c r="BP23" s="100">
        <v>2.0872869733826533</v>
      </c>
      <c r="BQ23" s="100">
        <v>613.6623701745001</v>
      </c>
      <c r="BR23" s="100">
        <v>6.8033727320128651E-4</v>
      </c>
      <c r="BS23" s="100">
        <v>0.20001915832117823</v>
      </c>
      <c r="BT23" s="100">
        <v>7.0005877369253966</v>
      </c>
      <c r="BU23" s="100">
        <v>2058.1727946560668</v>
      </c>
      <c r="BV23" s="100">
        <v>6.8382401009429632</v>
      </c>
      <c r="BW23" s="100">
        <v>2010.4425896772311</v>
      </c>
      <c r="BX23" s="100">
        <v>11.49306018584454</v>
      </c>
      <c r="BY23" s="100">
        <v>3378.9596946382944</v>
      </c>
      <c r="BZ23" s="100">
        <v>12</v>
      </c>
      <c r="CA23" s="100">
        <v>3528</v>
      </c>
      <c r="CB23" s="100">
        <v>3.0733318819985995</v>
      </c>
      <c r="CC23" s="100">
        <v>903.55957330758827</v>
      </c>
      <c r="CD23" s="100">
        <v>5.6965174965892761E-4</v>
      </c>
      <c r="CE23" s="100">
        <v>0.16747761439972472</v>
      </c>
      <c r="CF23" s="100">
        <v>8.3169265576826614</v>
      </c>
      <c r="CG23" s="100">
        <v>2445.1764079587024</v>
      </c>
      <c r="CH23" s="100">
        <v>4.7638500235056558</v>
      </c>
      <c r="CI23" s="100">
        <v>1400.5719069106628</v>
      </c>
      <c r="CJ23" s="100">
        <v>9</v>
      </c>
      <c r="CK23" s="100">
        <v>2646</v>
      </c>
      <c r="CL23" s="100">
        <v>5.0433471901135718</v>
      </c>
      <c r="CM23" s="100">
        <v>1482.7440738933901</v>
      </c>
      <c r="CN23" s="100">
        <v>12.840671303792835</v>
      </c>
      <c r="CO23" s="100">
        <v>3775.1573633150933</v>
      </c>
      <c r="CP23" s="100">
        <v>7</v>
      </c>
      <c r="CQ23" s="100">
        <v>2058</v>
      </c>
      <c r="CR23" s="100">
        <v>8.1397325692802784</v>
      </c>
      <c r="CS23" s="100">
        <v>2393.081375368402</v>
      </c>
      <c r="CT23" s="100">
        <v>5.0665545746442069</v>
      </c>
      <c r="CU23" s="100">
        <v>1489.5670449453969</v>
      </c>
    </row>
    <row r="24" spans="2:99">
      <c r="C24" s="99" t="s">
        <v>190</v>
      </c>
      <c r="D24" s="100">
        <v>5</v>
      </c>
      <c r="E24" s="100">
        <v>1836</v>
      </c>
      <c r="F24" s="100">
        <v>5.9402882478819441</v>
      </c>
      <c r="G24" s="100">
        <v>2181.2738446222497</v>
      </c>
      <c r="H24" s="100">
        <v>5.2058148438980432</v>
      </c>
      <c r="I24" s="100">
        <v>1911.5752106793614</v>
      </c>
      <c r="J24" s="100">
        <v>6.0406818955649716E-4</v>
      </c>
      <c r="K24" s="100">
        <v>0.22181383920514575</v>
      </c>
      <c r="L24" s="100">
        <v>12.015356683141734</v>
      </c>
      <c r="M24" s="100">
        <v>4412.0389740496448</v>
      </c>
      <c r="N24" s="100">
        <v>2.0511518225226042</v>
      </c>
      <c r="O24" s="100">
        <v>753.18294923030021</v>
      </c>
      <c r="P24" s="100">
        <v>8</v>
      </c>
      <c r="Q24" s="100">
        <v>2937.6</v>
      </c>
      <c r="R24" s="100">
        <v>5.9925192980384914</v>
      </c>
      <c r="S24" s="100">
        <v>2200.4530862397341</v>
      </c>
      <c r="T24" s="100">
        <v>2.2670142274508267</v>
      </c>
      <c r="U24" s="100">
        <v>832.44762431994354</v>
      </c>
      <c r="V24" s="100">
        <v>6.1587909021022531</v>
      </c>
      <c r="W24" s="100">
        <v>2261.5080192519472</v>
      </c>
      <c r="X24" s="100">
        <v>10.091086857325095</v>
      </c>
      <c r="Y24" s="100">
        <v>3705.4470940097749</v>
      </c>
      <c r="Z24" s="100">
        <v>2.4592637024269095</v>
      </c>
      <c r="AA24" s="100">
        <v>903.0416315311611</v>
      </c>
      <c r="AB24" s="100">
        <v>9.1087723890320564</v>
      </c>
      <c r="AC24" s="100">
        <v>3344.741221252571</v>
      </c>
      <c r="AD24" s="100">
        <v>10</v>
      </c>
      <c r="AE24" s="100">
        <v>3672</v>
      </c>
      <c r="AF24" s="100">
        <v>3.9797967660204812</v>
      </c>
      <c r="AG24" s="100">
        <v>1461.3813724827207</v>
      </c>
      <c r="AH24" s="100">
        <v>8</v>
      </c>
      <c r="AI24" s="100">
        <v>2937.6</v>
      </c>
      <c r="AJ24" s="100">
        <v>3.9549877872240131</v>
      </c>
      <c r="AK24" s="100">
        <v>1452.2715154686575</v>
      </c>
      <c r="AL24" s="100">
        <v>11.362939321503699</v>
      </c>
      <c r="AM24" s="100">
        <v>4172.4713188561582</v>
      </c>
      <c r="AN24" s="100">
        <v>7.4465370298054392</v>
      </c>
      <c r="AO24" s="100">
        <v>2734.3683973445573</v>
      </c>
      <c r="AP24" s="100">
        <v>6.6247596557499533E-4</v>
      </c>
      <c r="AQ24" s="100">
        <v>0.24326117455913829</v>
      </c>
      <c r="AR24" s="100">
        <v>7.8900149091821392</v>
      </c>
      <c r="AS24" s="100">
        <v>2897.2134746516813</v>
      </c>
      <c r="AT24" s="100">
        <v>14.292988629766759</v>
      </c>
      <c r="AU24" s="100">
        <v>5248.385424850354</v>
      </c>
      <c r="AV24" s="100">
        <v>7.9589126562480343</v>
      </c>
      <c r="AW24" s="100">
        <v>2922.5127273742783</v>
      </c>
      <c r="AX24" s="100">
        <v>7.5368102507908613E-4</v>
      </c>
      <c r="AY24" s="100">
        <v>0.27675167240904042</v>
      </c>
      <c r="AZ24" s="100">
        <v>5.7512008236045782</v>
      </c>
      <c r="BA24" s="100">
        <v>2111.840942427601</v>
      </c>
      <c r="BB24" s="100">
        <v>3.6856694126302232</v>
      </c>
      <c r="BC24" s="100">
        <v>1353.3778083178179</v>
      </c>
      <c r="BD24" s="100">
        <v>5.628085503075936</v>
      </c>
      <c r="BE24" s="100">
        <v>2066.6329967294837</v>
      </c>
      <c r="BF24" s="100">
        <v>8.0835650852417018</v>
      </c>
      <c r="BG24" s="100">
        <v>2968.2850993007528</v>
      </c>
      <c r="BH24" s="100">
        <v>9.3411158660749383</v>
      </c>
      <c r="BI24" s="100">
        <v>3430.0577460227173</v>
      </c>
      <c r="BJ24" s="100">
        <v>12.550395087851522</v>
      </c>
      <c r="BK24" s="100">
        <v>4608.505076259079</v>
      </c>
      <c r="BL24" s="100">
        <v>6</v>
      </c>
      <c r="BM24" s="100">
        <v>2203.1999999999998</v>
      </c>
      <c r="BN24" s="100">
        <v>7.0256726062573707</v>
      </c>
      <c r="BO24" s="100">
        <v>2579.8269810177062</v>
      </c>
      <c r="BP24" s="100">
        <v>2.0872869733826533</v>
      </c>
      <c r="BQ24" s="100">
        <v>766.45177662611025</v>
      </c>
      <c r="BR24" s="100">
        <v>6.2116211957683018E-4</v>
      </c>
      <c r="BS24" s="100">
        <v>0.22809073030861204</v>
      </c>
      <c r="BT24" s="100">
        <v>7.0005877369253966</v>
      </c>
      <c r="BU24" s="100">
        <v>2570.6158169990053</v>
      </c>
      <c r="BV24" s="100">
        <v>7.4598982919377779</v>
      </c>
      <c r="BW24" s="100">
        <v>2739.2746527995519</v>
      </c>
      <c r="BX24" s="100">
        <v>11.49306018584454</v>
      </c>
      <c r="BY24" s="100">
        <v>4220.2517002421146</v>
      </c>
      <c r="BZ24" s="100">
        <v>13</v>
      </c>
      <c r="CA24" s="100">
        <v>4773.5999999999995</v>
      </c>
      <c r="CB24" s="100">
        <v>3.0733318819985995</v>
      </c>
      <c r="CC24" s="100">
        <v>1128.5274670698857</v>
      </c>
      <c r="CD24" s="100">
        <v>5.7233698171576392E-4</v>
      </c>
      <c r="CE24" s="100">
        <v>0.21016213968602851</v>
      </c>
      <c r="CF24" s="100">
        <v>8.2905160112091068</v>
      </c>
      <c r="CG24" s="100">
        <v>3044.2774793159838</v>
      </c>
      <c r="CH24" s="100">
        <v>5.4444000268636064</v>
      </c>
      <c r="CI24" s="100">
        <v>1999.1836898643162</v>
      </c>
      <c r="CJ24" s="100">
        <v>10</v>
      </c>
      <c r="CK24" s="100">
        <v>3672</v>
      </c>
      <c r="CL24" s="100">
        <v>6.1640910101388098</v>
      </c>
      <c r="CM24" s="100">
        <v>2263.454218922971</v>
      </c>
      <c r="CN24" s="100">
        <v>12.96338272404569</v>
      </c>
      <c r="CO24" s="100">
        <v>4760.1541362695771</v>
      </c>
      <c r="CP24" s="100">
        <v>8</v>
      </c>
      <c r="CQ24" s="100">
        <v>2937.6</v>
      </c>
      <c r="CR24" s="100">
        <v>8.1397325692802784</v>
      </c>
      <c r="CS24" s="100">
        <v>2988.909799439718</v>
      </c>
      <c r="CT24" s="100">
        <v>5.7903480853076648</v>
      </c>
      <c r="CU24" s="100">
        <v>2126.2158169249747</v>
      </c>
    </row>
    <row r="25" spans="2:99">
      <c r="C25" s="99" t="s">
        <v>191</v>
      </c>
      <c r="D25" s="100">
        <v>6</v>
      </c>
      <c r="E25" s="100">
        <v>3182.3999999999996</v>
      </c>
      <c r="F25" s="100">
        <v>6.7889008547222227</v>
      </c>
      <c r="G25" s="100">
        <v>3600.8330133446666</v>
      </c>
      <c r="H25" s="100">
        <v>5.2058148438980432</v>
      </c>
      <c r="I25" s="100">
        <v>2761.1641932035218</v>
      </c>
      <c r="J25" s="100">
        <v>5.9582002786904501E-4</v>
      </c>
      <c r="K25" s="100">
        <v>0.31602294278174148</v>
      </c>
      <c r="L25" s="100">
        <v>12.015356683141734</v>
      </c>
      <c r="M25" s="100">
        <v>6372.9451847383752</v>
      </c>
      <c r="N25" s="100">
        <v>2.0511518225226042</v>
      </c>
      <c r="O25" s="100">
        <v>1087.9309266659893</v>
      </c>
      <c r="P25" s="100">
        <v>8</v>
      </c>
      <c r="Q25" s="100">
        <v>4243.2</v>
      </c>
      <c r="R25" s="100">
        <v>6.9912725143782408</v>
      </c>
      <c r="S25" s="100">
        <v>3708.1709416262188</v>
      </c>
      <c r="T25" s="100">
        <v>2.2670142274508267</v>
      </c>
      <c r="U25" s="100">
        <v>1202.4243462399183</v>
      </c>
      <c r="V25" s="100">
        <v>5.5139497966704072</v>
      </c>
      <c r="W25" s="100">
        <v>2924.5989721539841</v>
      </c>
      <c r="X25" s="100">
        <v>9.9168296192146705</v>
      </c>
      <c r="Y25" s="100">
        <v>5259.8864300314608</v>
      </c>
      <c r="Z25" s="100">
        <v>2.4592637024269095</v>
      </c>
      <c r="AA25" s="100">
        <v>1304.3934677672328</v>
      </c>
      <c r="AB25" s="100">
        <v>8.1087723890320564</v>
      </c>
      <c r="AC25" s="100">
        <v>4300.8928751426029</v>
      </c>
      <c r="AD25" s="100">
        <v>10</v>
      </c>
      <c r="AE25" s="100">
        <v>5304</v>
      </c>
      <c r="AF25" s="100">
        <v>3.5380020778205097</v>
      </c>
      <c r="AG25" s="100">
        <v>1876.5563020759982</v>
      </c>
      <c r="AH25" s="100">
        <v>8</v>
      </c>
      <c r="AI25" s="100">
        <v>4243.2</v>
      </c>
      <c r="AJ25" s="100">
        <v>3.968195915174487</v>
      </c>
      <c r="AK25" s="100">
        <v>2104.731113408548</v>
      </c>
      <c r="AL25" s="100">
        <v>12.362939321503699</v>
      </c>
      <c r="AM25" s="100">
        <v>6557.303016125562</v>
      </c>
      <c r="AN25" s="100">
        <v>7.4465370298054392</v>
      </c>
      <c r="AO25" s="100">
        <v>3949.6432406088047</v>
      </c>
      <c r="AP25" s="100">
        <v>6.5421271051722843E-4</v>
      </c>
      <c r="AQ25" s="100">
        <v>0.34699442165833794</v>
      </c>
      <c r="AR25" s="100">
        <v>6.70783209536072</v>
      </c>
      <c r="AS25" s="100">
        <v>3557.8341433793257</v>
      </c>
      <c r="AT25" s="100">
        <v>12.292988629766759</v>
      </c>
      <c r="AU25" s="100">
        <v>6520.2011692282886</v>
      </c>
      <c r="AV25" s="100">
        <v>7.1630213906232312</v>
      </c>
      <c r="AW25" s="100">
        <v>3799.2665455865617</v>
      </c>
      <c r="AX25" s="100">
        <v>6.8286676494606522E-4</v>
      </c>
      <c r="AY25" s="100">
        <v>0.362192532127393</v>
      </c>
      <c r="AZ25" s="100">
        <v>5.8263957136114604</v>
      </c>
      <c r="BA25" s="100">
        <v>3090.3202864995183</v>
      </c>
      <c r="BB25" s="100">
        <v>3.6448041305111478</v>
      </c>
      <c r="BC25" s="100">
        <v>1933.2041108231126</v>
      </c>
      <c r="BD25" s="100">
        <v>5.6258447592633001</v>
      </c>
      <c r="BE25" s="100">
        <v>2983.9480603132542</v>
      </c>
      <c r="BF25" s="100">
        <v>6.9592179648677304</v>
      </c>
      <c r="BG25" s="100">
        <v>3691.1692085658442</v>
      </c>
      <c r="BH25" s="100">
        <v>8.469066104735381</v>
      </c>
      <c r="BI25" s="100">
        <v>4491.9926619516455</v>
      </c>
      <c r="BJ25" s="100">
        <v>11.439652581576413</v>
      </c>
      <c r="BK25" s="100">
        <v>6067.5917292681288</v>
      </c>
      <c r="BL25" s="100">
        <v>6</v>
      </c>
      <c r="BM25" s="100">
        <v>3182.3999999999996</v>
      </c>
      <c r="BN25" s="100">
        <v>7.0256726062573707</v>
      </c>
      <c r="BO25" s="100">
        <v>3726.4167503589092</v>
      </c>
      <c r="BP25" s="100">
        <v>1.8263761017098215</v>
      </c>
      <c r="BQ25" s="100">
        <v>968.70988434688923</v>
      </c>
      <c r="BR25" s="100">
        <v>6.8232157788743241E-4</v>
      </c>
      <c r="BS25" s="100">
        <v>0.36190336491149411</v>
      </c>
      <c r="BT25" s="100">
        <v>6.0005387588482799</v>
      </c>
      <c r="BU25" s="100">
        <v>3182.6857576931275</v>
      </c>
      <c r="BV25" s="100">
        <v>6.2165819099481485</v>
      </c>
      <c r="BW25" s="100">
        <v>3297.2750450364979</v>
      </c>
      <c r="BX25" s="100">
        <v>10.535305170357494</v>
      </c>
      <c r="BY25" s="100">
        <v>5587.9258623576152</v>
      </c>
      <c r="BZ25" s="100">
        <v>12</v>
      </c>
      <c r="CA25" s="100">
        <v>6364.7999999999993</v>
      </c>
      <c r="CB25" s="100">
        <v>3.0733318819985995</v>
      </c>
      <c r="CC25" s="100">
        <v>1630.0952302120572</v>
      </c>
      <c r="CD25" s="100">
        <v>5.7099436568734576E-4</v>
      </c>
      <c r="CE25" s="100">
        <v>0.30285541156056817</v>
      </c>
      <c r="CF25" s="100">
        <v>9.3433371041562179</v>
      </c>
      <c r="CG25" s="100">
        <v>4955.7060000444581</v>
      </c>
      <c r="CH25" s="100">
        <v>5.4444000268636064</v>
      </c>
      <c r="CI25" s="100">
        <v>2887.7097742484566</v>
      </c>
      <c r="CJ25" s="100">
        <v>10</v>
      </c>
      <c r="CK25" s="100">
        <v>5304</v>
      </c>
      <c r="CL25" s="100">
        <v>5.0433471901135718</v>
      </c>
      <c r="CM25" s="100">
        <v>2674.9913496362383</v>
      </c>
      <c r="CN25" s="100">
        <v>12.840671303792835</v>
      </c>
      <c r="CO25" s="100">
        <v>6810.6920595317197</v>
      </c>
      <c r="CP25" s="100">
        <v>7</v>
      </c>
      <c r="CQ25" s="100">
        <v>3712.7999999999997</v>
      </c>
      <c r="CR25" s="100">
        <v>7.2353178393602455</v>
      </c>
      <c r="CS25" s="100">
        <v>3837.6125819966742</v>
      </c>
      <c r="CT25" s="100">
        <v>5.0665545746442069</v>
      </c>
      <c r="CU25" s="100">
        <v>2687.3005463912873</v>
      </c>
    </row>
    <row r="26" spans="2:99">
      <c r="C26" s="99" t="s">
        <v>192</v>
      </c>
      <c r="D26" s="100">
        <v>6</v>
      </c>
      <c r="E26" s="100">
        <v>2916</v>
      </c>
      <c r="F26" s="100">
        <v>6.7889008547222227</v>
      </c>
      <c r="G26" s="100">
        <v>3299.4058153950004</v>
      </c>
      <c r="H26" s="100">
        <v>5.2058148438980432</v>
      </c>
      <c r="I26" s="100">
        <v>2530.0260141344488</v>
      </c>
      <c r="J26" s="100">
        <v>5.9582002786904501E-4</v>
      </c>
      <c r="K26" s="100">
        <v>0.28956853354435586</v>
      </c>
      <c r="L26" s="100">
        <v>10.847410292879923</v>
      </c>
      <c r="M26" s="100">
        <v>5271.8414023396426</v>
      </c>
      <c r="N26" s="100">
        <v>2.3075458003379294</v>
      </c>
      <c r="O26" s="100">
        <v>1121.4672589642337</v>
      </c>
      <c r="P26" s="100">
        <v>9</v>
      </c>
      <c r="Q26" s="100">
        <v>4374</v>
      </c>
      <c r="R26" s="100">
        <v>5.9925192980384914</v>
      </c>
      <c r="S26" s="100">
        <v>2912.3643788467066</v>
      </c>
      <c r="T26" s="100">
        <v>2.2670142274508267</v>
      </c>
      <c r="U26" s="100">
        <v>1101.7689145411018</v>
      </c>
      <c r="V26" s="100">
        <v>5.5764238165173543</v>
      </c>
      <c r="W26" s="100">
        <v>2710.1419748274343</v>
      </c>
      <c r="X26" s="100">
        <v>10.091086857325095</v>
      </c>
      <c r="Y26" s="100">
        <v>4904.2682126599966</v>
      </c>
      <c r="Z26" s="100">
        <v>2.446010917629537</v>
      </c>
      <c r="AA26" s="100">
        <v>1188.761305967955</v>
      </c>
      <c r="AB26" s="100">
        <v>8.1087723890320564</v>
      </c>
      <c r="AC26" s="100">
        <v>3940.8633810695796</v>
      </c>
      <c r="AD26" s="100">
        <v>9</v>
      </c>
      <c r="AE26" s="100">
        <v>4374</v>
      </c>
      <c r="AF26" s="100">
        <v>3.279529223824539</v>
      </c>
      <c r="AG26" s="100">
        <v>1593.851202778726</v>
      </c>
      <c r="AH26" s="100">
        <v>7</v>
      </c>
      <c r="AI26" s="100">
        <v>3402</v>
      </c>
      <c r="AJ26" s="100">
        <v>3.9549877872240131</v>
      </c>
      <c r="AK26" s="100">
        <v>1922.1240645908704</v>
      </c>
      <c r="AL26" s="100">
        <v>12.362939321503699</v>
      </c>
      <c r="AM26" s="100">
        <v>6008.3885102507975</v>
      </c>
      <c r="AN26" s="100">
        <v>7.4465370298054392</v>
      </c>
      <c r="AO26" s="100">
        <v>3619.0169964854435</v>
      </c>
      <c r="AP26" s="100">
        <v>5.2444047884473723E-4</v>
      </c>
      <c r="AQ26" s="100">
        <v>0.25487807271854229</v>
      </c>
      <c r="AR26" s="100">
        <v>6.8362536912166521</v>
      </c>
      <c r="AS26" s="100">
        <v>3322.4192939312929</v>
      </c>
      <c r="AT26" s="100">
        <v>13.292988629766759</v>
      </c>
      <c r="AU26" s="100">
        <v>6460.3924740666453</v>
      </c>
      <c r="AV26" s="100">
        <v>7.9589126562480343</v>
      </c>
      <c r="AW26" s="100">
        <v>3868.0315509365446</v>
      </c>
      <c r="AX26" s="100">
        <v>6.8286676494606522E-4</v>
      </c>
      <c r="AY26" s="100">
        <v>0.33187324776378768</v>
      </c>
      <c r="AZ26" s="100">
        <v>6.5844094775272053</v>
      </c>
      <c r="BA26" s="100">
        <v>3200.0230060782219</v>
      </c>
      <c r="BB26" s="100">
        <v>4.5100317207549763</v>
      </c>
      <c r="BC26" s="100">
        <v>2191.8754162869186</v>
      </c>
      <c r="BD26" s="100">
        <v>5.7498617547888662</v>
      </c>
      <c r="BE26" s="100">
        <v>2794.4328128273892</v>
      </c>
      <c r="BF26" s="100">
        <v>8.1842198012146259</v>
      </c>
      <c r="BG26" s="100">
        <v>3977.5308233903083</v>
      </c>
      <c r="BH26" s="100">
        <v>8.5931897552712506</v>
      </c>
      <c r="BI26" s="100">
        <v>4176.2902210618277</v>
      </c>
      <c r="BJ26" s="100">
        <v>13.550395087851522</v>
      </c>
      <c r="BK26" s="100">
        <v>6585.4920126958395</v>
      </c>
      <c r="BL26" s="100">
        <v>5</v>
      </c>
      <c r="BM26" s="100">
        <v>2430</v>
      </c>
      <c r="BN26" s="100">
        <v>7.0256726062573707</v>
      </c>
      <c r="BO26" s="100">
        <v>3414.4768866410823</v>
      </c>
      <c r="BP26" s="100">
        <v>1.8263761017098215</v>
      </c>
      <c r="BQ26" s="100">
        <v>887.61878543097328</v>
      </c>
      <c r="BR26" s="100">
        <v>5.6992418469695757E-4</v>
      </c>
      <c r="BS26" s="100">
        <v>0.27698315376272137</v>
      </c>
      <c r="BT26" s="100">
        <v>6.0005387588482799</v>
      </c>
      <c r="BU26" s="100">
        <v>2916.2618368002641</v>
      </c>
      <c r="BV26" s="100">
        <v>7.4598982919377779</v>
      </c>
      <c r="BW26" s="100">
        <v>3625.5105698817601</v>
      </c>
      <c r="BX26" s="100">
        <v>10.535305170357494</v>
      </c>
      <c r="BY26" s="100">
        <v>5120.158312793742</v>
      </c>
      <c r="BZ26" s="100">
        <v>11</v>
      </c>
      <c r="CA26" s="100">
        <v>5346</v>
      </c>
      <c r="CB26" s="100">
        <v>3.0733318819985995</v>
      </c>
      <c r="CC26" s="100">
        <v>1493.6392946513195</v>
      </c>
      <c r="CD26" s="100">
        <v>5.7099436568734576E-4</v>
      </c>
      <c r="CE26" s="100">
        <v>0.27750326172405004</v>
      </c>
      <c r="CF26" s="100">
        <v>9.3169265576826614</v>
      </c>
      <c r="CG26" s="100">
        <v>4528.0263070337733</v>
      </c>
      <c r="CH26" s="100">
        <v>5.4444000268636064</v>
      </c>
      <c r="CI26" s="100">
        <v>2645.9784130557127</v>
      </c>
      <c r="CJ26" s="100">
        <v>10</v>
      </c>
      <c r="CK26" s="100">
        <v>4860</v>
      </c>
      <c r="CL26" s="100">
        <v>5.6037191001261917</v>
      </c>
      <c r="CM26" s="100">
        <v>2723.4074826613291</v>
      </c>
      <c r="CN26" s="100">
        <v>12.96338272404569</v>
      </c>
      <c r="CO26" s="100">
        <v>6300.2040038862051</v>
      </c>
      <c r="CP26" s="100">
        <v>7</v>
      </c>
      <c r="CQ26" s="100">
        <v>3402</v>
      </c>
      <c r="CR26" s="100">
        <v>8.1397325692802784</v>
      </c>
      <c r="CS26" s="100">
        <v>3955.9100286702155</v>
      </c>
      <c r="CT26" s="100">
        <v>5.0665545746442069</v>
      </c>
      <c r="CU26" s="100">
        <v>2462.3455232770843</v>
      </c>
    </row>
    <row r="27" spans="2:99">
      <c r="C27" s="99" t="s">
        <v>193</v>
      </c>
      <c r="D27" s="100">
        <v>5</v>
      </c>
      <c r="E27" s="100">
        <v>2136</v>
      </c>
      <c r="F27" s="100">
        <v>6.7889008547222227</v>
      </c>
      <c r="G27" s="100">
        <v>2900.2184451373337</v>
      </c>
      <c r="H27" s="100">
        <v>5.2058148438980432</v>
      </c>
      <c r="I27" s="100">
        <v>2223.9241013132441</v>
      </c>
      <c r="J27" s="100">
        <v>6.9649805946179447E-4</v>
      </c>
      <c r="K27" s="100">
        <v>0.29754397100207858</v>
      </c>
      <c r="L27" s="100">
        <v>11.015356683141734</v>
      </c>
      <c r="M27" s="100">
        <v>4705.7603750381486</v>
      </c>
      <c r="N27" s="100">
        <v>2.3075458003379294</v>
      </c>
      <c r="O27" s="100">
        <v>985.7835659043634</v>
      </c>
      <c r="P27" s="100">
        <v>9</v>
      </c>
      <c r="Q27" s="100">
        <v>3844.7999999999997</v>
      </c>
      <c r="R27" s="100">
        <v>6.9912725143782408</v>
      </c>
      <c r="S27" s="100">
        <v>2986.6716181423844</v>
      </c>
      <c r="T27" s="100">
        <v>2.2670142274508267</v>
      </c>
      <c r="U27" s="100">
        <v>968.46847796699319</v>
      </c>
      <c r="V27" s="100">
        <v>6.041692128754776</v>
      </c>
      <c r="W27" s="100">
        <v>2581.0108774040405</v>
      </c>
      <c r="X27" s="100">
        <v>10.742572381104246</v>
      </c>
      <c r="Y27" s="100">
        <v>4589.2269212077335</v>
      </c>
      <c r="Z27" s="100">
        <v>2.4592637024269095</v>
      </c>
      <c r="AA27" s="100">
        <v>1050.5974536767758</v>
      </c>
      <c r="AB27" s="100">
        <v>9.1208582100356175</v>
      </c>
      <c r="AC27" s="100">
        <v>3896.4306273272155</v>
      </c>
      <c r="AD27" s="100">
        <v>10</v>
      </c>
      <c r="AE27" s="100">
        <v>4272</v>
      </c>
      <c r="AF27" s="100">
        <v>3.994462512756801</v>
      </c>
      <c r="AG27" s="100">
        <v>1706.4343854497054</v>
      </c>
      <c r="AH27" s="100">
        <v>7</v>
      </c>
      <c r="AI27" s="100">
        <v>2990.4</v>
      </c>
      <c r="AJ27" s="100">
        <v>3.5806220132223703</v>
      </c>
      <c r="AK27" s="100">
        <v>1529.6417240485966</v>
      </c>
      <c r="AL27" s="100">
        <v>11.520468609603945</v>
      </c>
      <c r="AM27" s="100">
        <v>4921.5441900228052</v>
      </c>
      <c r="AN27" s="100">
        <v>7.4465370298054392</v>
      </c>
      <c r="AO27" s="100">
        <v>3181.1606191328833</v>
      </c>
      <c r="AP27" s="100">
        <v>6.5696712886981743E-4</v>
      </c>
      <c r="AQ27" s="100">
        <v>0.28065635745318601</v>
      </c>
      <c r="AR27" s="100">
        <v>6.70783209536072</v>
      </c>
      <c r="AS27" s="100">
        <v>2865.5858711380997</v>
      </c>
      <c r="AT27" s="100">
        <v>14.292988629766759</v>
      </c>
      <c r="AU27" s="100">
        <v>6105.964742636359</v>
      </c>
      <c r="AV27" s="100">
        <v>7.9589126562480343</v>
      </c>
      <c r="AW27" s="100">
        <v>3400.0474867491603</v>
      </c>
      <c r="AX27" s="100">
        <v>7.5718398075207659E-4</v>
      </c>
      <c r="AY27" s="100">
        <v>0.32346899657728712</v>
      </c>
      <c r="AZ27" s="100">
        <v>5.8263957136114604</v>
      </c>
      <c r="BA27" s="100">
        <v>2489.0362488548158</v>
      </c>
      <c r="BB27" s="100">
        <v>3.6243714894516113</v>
      </c>
      <c r="BC27" s="100">
        <v>1548.3315002937284</v>
      </c>
      <c r="BD27" s="100">
        <v>6.5454161380746196</v>
      </c>
      <c r="BE27" s="100">
        <v>2796.2017741854775</v>
      </c>
      <c r="BF27" s="100">
        <v>6.2101892763879798</v>
      </c>
      <c r="BG27" s="100">
        <v>2652.9928588729449</v>
      </c>
      <c r="BH27" s="100">
        <v>8.3449424541995096</v>
      </c>
      <c r="BI27" s="100">
        <v>3564.9594164340306</v>
      </c>
      <c r="BJ27" s="100">
        <v>12.439652581576413</v>
      </c>
      <c r="BK27" s="100">
        <v>5314.2195828494432</v>
      </c>
      <c r="BL27" s="100">
        <v>6</v>
      </c>
      <c r="BM27" s="100">
        <v>2563.1999999999998</v>
      </c>
      <c r="BN27" s="100">
        <v>6.2450423166732181</v>
      </c>
      <c r="BO27" s="100">
        <v>2667.8820776827988</v>
      </c>
      <c r="BP27" s="100">
        <v>1.8263761017098215</v>
      </c>
      <c r="BQ27" s="100">
        <v>780.22787065043565</v>
      </c>
      <c r="BR27" s="100">
        <v>6.290993383214139E-4</v>
      </c>
      <c r="BS27" s="100">
        <v>0.268751237330908</v>
      </c>
      <c r="BT27" s="100">
        <v>7.0005877369253966</v>
      </c>
      <c r="BU27" s="100">
        <v>2990.6510812145293</v>
      </c>
      <c r="BV27" s="100">
        <v>6.8382401009429632</v>
      </c>
      <c r="BW27" s="100">
        <v>2921.2961711228336</v>
      </c>
      <c r="BX27" s="100">
        <v>10.535305170357494</v>
      </c>
      <c r="BY27" s="100">
        <v>4500.6823687767219</v>
      </c>
      <c r="BZ27" s="100">
        <v>10</v>
      </c>
      <c r="CA27" s="100">
        <v>4272</v>
      </c>
      <c r="CB27" s="100">
        <v>3.5123792937126854</v>
      </c>
      <c r="CC27" s="100">
        <v>1500.4884342740593</v>
      </c>
      <c r="CD27" s="100">
        <v>5.0919152242348521E-4</v>
      </c>
      <c r="CE27" s="100">
        <v>0.21752661837931286</v>
      </c>
      <c r="CF27" s="100">
        <v>9.3433371041562179</v>
      </c>
      <c r="CG27" s="100">
        <v>3991.4736108955362</v>
      </c>
      <c r="CH27" s="100">
        <v>4.7638500235056558</v>
      </c>
      <c r="CI27" s="100">
        <v>2035.1167300416162</v>
      </c>
      <c r="CJ27" s="100">
        <v>9</v>
      </c>
      <c r="CK27" s="100">
        <v>3844.7999999999997</v>
      </c>
      <c r="CL27" s="100">
        <v>5.6037191001261917</v>
      </c>
      <c r="CM27" s="100">
        <v>2393.9087995739092</v>
      </c>
      <c r="CN27" s="100">
        <v>12.96338272404569</v>
      </c>
      <c r="CO27" s="100">
        <v>5537.9570997123192</v>
      </c>
      <c r="CP27" s="100">
        <v>6</v>
      </c>
      <c r="CQ27" s="100">
        <v>2563.1999999999998</v>
      </c>
      <c r="CR27" s="100">
        <v>7.2353178393602455</v>
      </c>
      <c r="CS27" s="100">
        <v>3090.9277809746968</v>
      </c>
      <c r="CT27" s="100">
        <v>5.7903480853076648</v>
      </c>
      <c r="CU27" s="100">
        <v>2473.6367020434345</v>
      </c>
    </row>
    <row r="28" spans="2:99">
      <c r="C28" s="99" t="s">
        <v>194</v>
      </c>
      <c r="D28" s="100">
        <v>6</v>
      </c>
      <c r="E28" s="100">
        <v>4428</v>
      </c>
      <c r="F28" s="100">
        <v>6.7889008547222227</v>
      </c>
      <c r="G28" s="100">
        <v>5010.2088307849999</v>
      </c>
      <c r="H28" s="100">
        <v>4.3381790365817032</v>
      </c>
      <c r="I28" s="100">
        <v>3201.576128997297</v>
      </c>
      <c r="J28" s="100">
        <v>6.8412581693061609E-4</v>
      </c>
      <c r="K28" s="100">
        <v>0.50488485289479468</v>
      </c>
      <c r="L28" s="100">
        <v>12.015356683141734</v>
      </c>
      <c r="M28" s="100">
        <v>8867.3332321586004</v>
      </c>
      <c r="N28" s="100">
        <v>2.3075458003379294</v>
      </c>
      <c r="O28" s="100">
        <v>1702.9688006493918</v>
      </c>
      <c r="P28" s="100">
        <v>9</v>
      </c>
      <c r="Q28" s="100">
        <v>6642</v>
      </c>
      <c r="R28" s="100">
        <v>6.9912725143782408</v>
      </c>
      <c r="S28" s="100">
        <v>5159.5591156111414</v>
      </c>
      <c r="T28" s="100">
        <v>1.9836374490194733</v>
      </c>
      <c r="U28" s="100">
        <v>1463.9244373763713</v>
      </c>
      <c r="V28" s="100">
        <v>5.010267344422302</v>
      </c>
      <c r="W28" s="100">
        <v>3697.5773001836587</v>
      </c>
      <c r="X28" s="100">
        <v>9.0910868573250951</v>
      </c>
      <c r="Y28" s="100">
        <v>6709.2221007059206</v>
      </c>
      <c r="Z28" s="100">
        <v>2.0571172098208916</v>
      </c>
      <c r="AA28" s="100">
        <v>1518.1525008478179</v>
      </c>
      <c r="AB28" s="100">
        <v>8.0966865680284954</v>
      </c>
      <c r="AC28" s="100">
        <v>5975.3546872050292</v>
      </c>
      <c r="AD28" s="100">
        <v>10</v>
      </c>
      <c r="AE28" s="100">
        <v>7380</v>
      </c>
      <c r="AF28" s="100">
        <v>3.286862097192699</v>
      </c>
      <c r="AG28" s="100">
        <v>2425.7042277282117</v>
      </c>
      <c r="AH28" s="100">
        <v>7</v>
      </c>
      <c r="AI28" s="100">
        <v>5166</v>
      </c>
      <c r="AJ28" s="100">
        <v>3.968195915174487</v>
      </c>
      <c r="AK28" s="100">
        <v>2928.5285853987716</v>
      </c>
      <c r="AL28" s="100">
        <v>11.205410033403451</v>
      </c>
      <c r="AM28" s="100">
        <v>8269.592604651747</v>
      </c>
      <c r="AN28" s="100">
        <v>7.4465370298054392</v>
      </c>
      <c r="AO28" s="100">
        <v>5495.5443279964138</v>
      </c>
      <c r="AP28" s="100">
        <v>6.5972154722240633E-4</v>
      </c>
      <c r="AQ28" s="100">
        <v>0.48687450185013587</v>
      </c>
      <c r="AR28" s="100">
        <v>6.8362536912166521</v>
      </c>
      <c r="AS28" s="100">
        <v>5045.1552241178888</v>
      </c>
      <c r="AT28" s="100">
        <v>13.987256812464524</v>
      </c>
      <c r="AU28" s="100">
        <v>10322.59552759882</v>
      </c>
      <c r="AV28" s="100">
        <v>7.1630213906232312</v>
      </c>
      <c r="AW28" s="100">
        <v>5286.309786279945</v>
      </c>
      <c r="AX28" s="100">
        <v>6.8286676494606522E-4</v>
      </c>
      <c r="AY28" s="100">
        <v>0.50395567253019613</v>
      </c>
      <c r="AZ28" s="100">
        <v>5.8263957136114604</v>
      </c>
      <c r="BA28" s="100">
        <v>4299.8800366452579</v>
      </c>
      <c r="BB28" s="100">
        <v>4.0774179256330623</v>
      </c>
      <c r="BC28" s="100">
        <v>3009.1344291171999</v>
      </c>
      <c r="BD28" s="100">
        <v>6.4124361672985106</v>
      </c>
      <c r="BE28" s="100">
        <v>4732.3778914663008</v>
      </c>
      <c r="BF28" s="100">
        <v>8.0790590077382429</v>
      </c>
      <c r="BG28" s="100">
        <v>5962.3455477108237</v>
      </c>
      <c r="BH28" s="100">
        <v>9.0928685650031973</v>
      </c>
      <c r="BI28" s="100">
        <v>6710.5370009723592</v>
      </c>
      <c r="BJ28" s="100">
        <v>13.661137594126631</v>
      </c>
      <c r="BK28" s="100">
        <v>10081.919544465454</v>
      </c>
      <c r="BL28" s="100">
        <v>6</v>
      </c>
      <c r="BM28" s="100">
        <v>4428</v>
      </c>
      <c r="BN28" s="100">
        <v>6.2450423166732181</v>
      </c>
      <c r="BO28" s="100">
        <v>4608.8412297048353</v>
      </c>
      <c r="BP28" s="100">
        <v>2.0872869733826533</v>
      </c>
      <c r="BQ28" s="100">
        <v>1540.4177863563982</v>
      </c>
      <c r="BR28" s="100">
        <v>6.2116211957683018E-4</v>
      </c>
      <c r="BS28" s="100">
        <v>0.45841764424770065</v>
      </c>
      <c r="BT28" s="100">
        <v>6.0005387588482799</v>
      </c>
      <c r="BU28" s="100">
        <v>4428.3976040300304</v>
      </c>
      <c r="BV28" s="100">
        <v>6.8382401009429632</v>
      </c>
      <c r="BW28" s="100">
        <v>5046.6211944959068</v>
      </c>
      <c r="BX28" s="100">
        <v>10.535305170357494</v>
      </c>
      <c r="BY28" s="100">
        <v>7775.0552157238308</v>
      </c>
      <c r="BZ28" s="100">
        <v>10</v>
      </c>
      <c r="CA28" s="100">
        <v>7380</v>
      </c>
      <c r="CB28" s="100">
        <v>3.0733318819985995</v>
      </c>
      <c r="CC28" s="100">
        <v>2268.1189289149665</v>
      </c>
      <c r="CD28" s="100">
        <v>5.7032305767313663E-4</v>
      </c>
      <c r="CE28" s="100">
        <v>0.42089841656277482</v>
      </c>
      <c r="CF28" s="100">
        <v>9.3169265576826614</v>
      </c>
      <c r="CG28" s="100">
        <v>6875.8917995698039</v>
      </c>
      <c r="CH28" s="100">
        <v>4.7638500235056558</v>
      </c>
      <c r="CI28" s="100">
        <v>3515.7213173471741</v>
      </c>
      <c r="CJ28" s="100">
        <v>8</v>
      </c>
      <c r="CK28" s="100">
        <v>5904</v>
      </c>
      <c r="CL28" s="100">
        <v>5.0433471901135718</v>
      </c>
      <c r="CM28" s="100">
        <v>3721.9902263038161</v>
      </c>
      <c r="CN28" s="100">
        <v>12.840671303792835</v>
      </c>
      <c r="CO28" s="100">
        <v>9476.4154221991121</v>
      </c>
      <c r="CP28" s="100">
        <v>6</v>
      </c>
      <c r="CQ28" s="100">
        <v>4428</v>
      </c>
      <c r="CR28" s="100">
        <v>7.2353178393602455</v>
      </c>
      <c r="CS28" s="100">
        <v>5339.6645654478616</v>
      </c>
      <c r="CT28" s="100">
        <v>5.0665545746442069</v>
      </c>
      <c r="CU28" s="100">
        <v>3739.1172760874247</v>
      </c>
    </row>
    <row r="29" spans="2:99">
      <c r="C29" s="99" t="s">
        <v>195</v>
      </c>
      <c r="D29" s="100">
        <v>5</v>
      </c>
      <c r="E29" s="100">
        <v>1692</v>
      </c>
      <c r="F29" s="100">
        <v>7.6375134615624996</v>
      </c>
      <c r="G29" s="100">
        <v>2584.5345553927496</v>
      </c>
      <c r="H29" s="100">
        <v>5.2058148438980432</v>
      </c>
      <c r="I29" s="100">
        <v>1761.6477431750977</v>
      </c>
      <c r="J29" s="100">
        <v>5.9994410871277103E-4</v>
      </c>
      <c r="K29" s="100">
        <v>0.20302108638840172</v>
      </c>
      <c r="L29" s="100">
        <v>11.183303073403545</v>
      </c>
      <c r="M29" s="100">
        <v>3784.4297600397595</v>
      </c>
      <c r="N29" s="100">
        <v>2.0511518225226042</v>
      </c>
      <c r="O29" s="100">
        <v>694.10977674164917</v>
      </c>
      <c r="P29" s="100">
        <v>9</v>
      </c>
      <c r="Q29" s="100">
        <v>3045.6</v>
      </c>
      <c r="R29" s="100">
        <v>5.9925192980384914</v>
      </c>
      <c r="S29" s="100">
        <v>2027.8685304562252</v>
      </c>
      <c r="T29" s="100">
        <v>2.2670142274508267</v>
      </c>
      <c r="U29" s="100">
        <v>767.15761456935968</v>
      </c>
      <c r="V29" s="100">
        <v>6.0982791988419116</v>
      </c>
      <c r="W29" s="100">
        <v>2063.6576808881027</v>
      </c>
      <c r="X29" s="100">
        <v>9.9168296192146705</v>
      </c>
      <c r="Y29" s="100">
        <v>3355.8551431422443</v>
      </c>
      <c r="Z29" s="100">
        <v>2.4658900948255957</v>
      </c>
      <c r="AA29" s="100">
        <v>834.45720808898159</v>
      </c>
      <c r="AB29" s="100">
        <v>9.1087723890320564</v>
      </c>
      <c r="AC29" s="100">
        <v>3082.4085764484475</v>
      </c>
      <c r="AD29" s="100">
        <v>10</v>
      </c>
      <c r="AE29" s="100">
        <v>3384</v>
      </c>
      <c r="AF29" s="100">
        <v>3.279529223824539</v>
      </c>
      <c r="AG29" s="100">
        <v>1109.7926893422239</v>
      </c>
      <c r="AH29" s="100">
        <v>8</v>
      </c>
      <c r="AI29" s="100">
        <v>2707.2</v>
      </c>
      <c r="AJ29" s="100">
        <v>3.9946121710754356</v>
      </c>
      <c r="AK29" s="100">
        <v>1351.7767586919274</v>
      </c>
      <c r="AL29" s="100">
        <v>12.677997897704191</v>
      </c>
      <c r="AM29" s="100">
        <v>4290.234488583098</v>
      </c>
      <c r="AN29" s="100">
        <v>8.2739300331171552</v>
      </c>
      <c r="AO29" s="100">
        <v>2799.897923206845</v>
      </c>
      <c r="AP29" s="100">
        <v>6.5421271051722843E-4</v>
      </c>
      <c r="AQ29" s="100">
        <v>0.2213855812390301</v>
      </c>
      <c r="AR29" s="100">
        <v>6.9646752870725832</v>
      </c>
      <c r="AS29" s="100">
        <v>2356.8461171453619</v>
      </c>
      <c r="AT29" s="100">
        <v>13.987256812464524</v>
      </c>
      <c r="AU29" s="100">
        <v>4733.2877053379943</v>
      </c>
      <c r="AV29" s="100">
        <v>8.7548039218728366</v>
      </c>
      <c r="AW29" s="100">
        <v>2962.6256471617676</v>
      </c>
      <c r="AX29" s="100">
        <v>6.8636972061905568E-4</v>
      </c>
      <c r="AY29" s="100">
        <v>0.23226751345748842</v>
      </c>
      <c r="AZ29" s="100">
        <v>6.6596043675340866</v>
      </c>
      <c r="BA29" s="100">
        <v>2253.6101179735347</v>
      </c>
      <c r="BB29" s="100">
        <v>4.0978505666925997</v>
      </c>
      <c r="BC29" s="100">
        <v>1386.7126317687757</v>
      </c>
      <c r="BD29" s="100">
        <v>6.2884191717729454</v>
      </c>
      <c r="BE29" s="100">
        <v>2128.0010477279648</v>
      </c>
      <c r="BF29" s="100">
        <v>7.4351911127348735</v>
      </c>
      <c r="BG29" s="100">
        <v>2516.0686725494811</v>
      </c>
      <c r="BH29" s="100">
        <v>9.8407946758068885</v>
      </c>
      <c r="BI29" s="100">
        <v>3330.124918293051</v>
      </c>
      <c r="BJ29" s="100">
        <v>13.439652581576413</v>
      </c>
      <c r="BK29" s="100">
        <v>4547.9784336054581</v>
      </c>
      <c r="BL29" s="100">
        <v>6</v>
      </c>
      <c r="BM29" s="100">
        <v>2030.3999999999999</v>
      </c>
      <c r="BN29" s="100">
        <v>6.2450423166732181</v>
      </c>
      <c r="BO29" s="100">
        <v>2113.3223199622171</v>
      </c>
      <c r="BP29" s="100">
        <v>1.8263761017098215</v>
      </c>
      <c r="BQ29" s="100">
        <v>618.04567281860352</v>
      </c>
      <c r="BR29" s="100">
        <v>6.290993383214139E-4</v>
      </c>
      <c r="BS29" s="100">
        <v>0.21288721608796646</v>
      </c>
      <c r="BT29" s="100">
        <v>6.0006367150025133</v>
      </c>
      <c r="BU29" s="100">
        <v>2030.6154643568505</v>
      </c>
      <c r="BV29" s="100">
        <v>6.8382401009429632</v>
      </c>
      <c r="BW29" s="100">
        <v>2314.0604501590988</v>
      </c>
      <c r="BX29" s="100">
        <v>10.535305170357494</v>
      </c>
      <c r="BY29" s="100">
        <v>3565.1472696489759</v>
      </c>
      <c r="BZ29" s="100">
        <v>12</v>
      </c>
      <c r="CA29" s="100">
        <v>4060.7999999999997</v>
      </c>
      <c r="CB29" s="100">
        <v>3.0733318819985995</v>
      </c>
      <c r="CC29" s="100">
        <v>1040.0155088683259</v>
      </c>
      <c r="CD29" s="100">
        <v>5.7099436568734576E-4</v>
      </c>
      <c r="CE29" s="100">
        <v>0.19322449334859779</v>
      </c>
      <c r="CF29" s="100">
        <v>8.3169265576826614</v>
      </c>
      <c r="CG29" s="100">
        <v>2814.4479471198124</v>
      </c>
      <c r="CH29" s="100">
        <v>4.7638500235056558</v>
      </c>
      <c r="CI29" s="100">
        <v>1612.0868479543137</v>
      </c>
      <c r="CJ29" s="100">
        <v>9</v>
      </c>
      <c r="CK29" s="100">
        <v>3045.6</v>
      </c>
      <c r="CL29" s="100">
        <v>6.1640910101388098</v>
      </c>
      <c r="CM29" s="100">
        <v>2085.9283978309732</v>
      </c>
      <c r="CN29" s="100">
        <v>15.086094144298546</v>
      </c>
      <c r="CO29" s="100">
        <v>5105.1342584306276</v>
      </c>
      <c r="CP29" s="100">
        <v>8</v>
      </c>
      <c r="CQ29" s="100">
        <v>2707.2</v>
      </c>
      <c r="CR29" s="100">
        <v>8.1397325692802784</v>
      </c>
      <c r="CS29" s="100">
        <v>2754.4855014444461</v>
      </c>
      <c r="CT29" s="100">
        <v>5.7903480853076648</v>
      </c>
      <c r="CU29" s="100">
        <v>1959.4537920681137</v>
      </c>
    </row>
    <row r="30" spans="2:99">
      <c r="C30" s="99" t="s">
        <v>196</v>
      </c>
      <c r="D30" s="100">
        <v>6</v>
      </c>
      <c r="E30" s="100">
        <v>835.19999999999993</v>
      </c>
      <c r="F30" s="100">
        <v>6.7889008547222227</v>
      </c>
      <c r="G30" s="100">
        <v>945.01499897733333</v>
      </c>
      <c r="H30" s="100">
        <v>5.2058148438980432</v>
      </c>
      <c r="I30" s="100">
        <v>724.64942627060759</v>
      </c>
      <c r="J30" s="100">
        <v>6.0406818955649716E-4</v>
      </c>
      <c r="K30" s="100">
        <v>8.4086291986264397E-2</v>
      </c>
      <c r="L30" s="100">
        <v>12.183303073403545</v>
      </c>
      <c r="M30" s="100">
        <v>1695.9157878177734</v>
      </c>
      <c r="N30" s="100">
        <v>2.0511518225226042</v>
      </c>
      <c r="O30" s="100">
        <v>285.52033369514646</v>
      </c>
      <c r="P30" s="100">
        <v>10</v>
      </c>
      <c r="Q30" s="100">
        <v>1392</v>
      </c>
      <c r="R30" s="100">
        <v>6.9912725143782408</v>
      </c>
      <c r="S30" s="100">
        <v>973.18513400145105</v>
      </c>
      <c r="T30" s="100">
        <v>1.9836374490194733</v>
      </c>
      <c r="U30" s="100">
        <v>276.12233290351065</v>
      </c>
      <c r="V30" s="100">
        <v>5.5178744298436149</v>
      </c>
      <c r="W30" s="100">
        <v>768.08812063423113</v>
      </c>
      <c r="X30" s="100">
        <v>11.091086857325095</v>
      </c>
      <c r="Y30" s="100">
        <v>1543.8792905396531</v>
      </c>
      <c r="Z30" s="100">
        <v>2.4658900948255957</v>
      </c>
      <c r="AA30" s="100">
        <v>343.25190119972291</v>
      </c>
      <c r="AB30" s="100">
        <v>10.096686568028495</v>
      </c>
      <c r="AC30" s="100">
        <v>1405.4587702695665</v>
      </c>
      <c r="AD30" s="100">
        <v>10</v>
      </c>
      <c r="AE30" s="100">
        <v>1392</v>
      </c>
      <c r="AF30" s="100">
        <v>3.6333294316065903</v>
      </c>
      <c r="AG30" s="100">
        <v>505.7594568796373</v>
      </c>
      <c r="AH30" s="100">
        <v>7</v>
      </c>
      <c r="AI30" s="100">
        <v>974.39999999999986</v>
      </c>
      <c r="AJ30" s="100">
        <v>3.9814040431249609</v>
      </c>
      <c r="AK30" s="100">
        <v>554.2114428029945</v>
      </c>
      <c r="AL30" s="100">
        <v>11.362939321503699</v>
      </c>
      <c r="AM30" s="100">
        <v>1581.7211535533147</v>
      </c>
      <c r="AN30" s="100">
        <v>7.4465370298054392</v>
      </c>
      <c r="AO30" s="100">
        <v>1036.557954548917</v>
      </c>
      <c r="AP30" s="100">
        <v>5.8794938550468833E-4</v>
      </c>
      <c r="AQ30" s="100">
        <v>8.1842554462252609E-2</v>
      </c>
      <c r="AR30" s="100">
        <v>7.8900149091821392</v>
      </c>
      <c r="AS30" s="100">
        <v>1098.2900753581537</v>
      </c>
      <c r="AT30" s="100">
        <v>14.140122721115642</v>
      </c>
      <c r="AU30" s="100">
        <v>1968.3050827792972</v>
      </c>
      <c r="AV30" s="100">
        <v>8.7548039218728366</v>
      </c>
      <c r="AW30" s="100">
        <v>1218.6687059246988</v>
      </c>
      <c r="AX30" s="100">
        <v>6.8286676494606522E-4</v>
      </c>
      <c r="AY30" s="100">
        <v>9.5055053680492274E-2</v>
      </c>
      <c r="AZ30" s="100">
        <v>6.7347992575409679</v>
      </c>
      <c r="BA30" s="100">
        <v>937.48405664970267</v>
      </c>
      <c r="BB30" s="100">
        <v>4.0365526435139882</v>
      </c>
      <c r="BC30" s="100">
        <v>561.88812797714706</v>
      </c>
      <c r="BD30" s="100">
        <v>5.6303262468885702</v>
      </c>
      <c r="BE30" s="100">
        <v>783.74141356688892</v>
      </c>
      <c r="BF30" s="100">
        <v>7.9806573305170483</v>
      </c>
      <c r="BG30" s="100">
        <v>1110.907500407973</v>
      </c>
      <c r="BH30" s="100">
        <v>9.9649183263427581</v>
      </c>
      <c r="BI30" s="100">
        <v>1387.1166310269118</v>
      </c>
      <c r="BJ30" s="100">
        <v>14.661137594126631</v>
      </c>
      <c r="BK30" s="100">
        <v>2040.8303531024269</v>
      </c>
      <c r="BL30" s="100">
        <v>6</v>
      </c>
      <c r="BM30" s="100">
        <v>835.19999999999993</v>
      </c>
      <c r="BN30" s="100">
        <v>7.0256726062573707</v>
      </c>
      <c r="BO30" s="100">
        <v>977.97362679102594</v>
      </c>
      <c r="BP30" s="100">
        <v>1.8263761017098215</v>
      </c>
      <c r="BQ30" s="100">
        <v>254.23155335800712</v>
      </c>
      <c r="BR30" s="100">
        <v>6.2711503363526789E-4</v>
      </c>
      <c r="BS30" s="100">
        <v>8.7294412682029282E-2</v>
      </c>
      <c r="BT30" s="100">
        <v>6.0005387588482799</v>
      </c>
      <c r="BU30" s="100">
        <v>835.27499523168046</v>
      </c>
      <c r="BV30" s="100">
        <v>6.8382401009429632</v>
      </c>
      <c r="BW30" s="100">
        <v>951.88302205126035</v>
      </c>
      <c r="BX30" s="100">
        <v>10.535305170357494</v>
      </c>
      <c r="BY30" s="100">
        <v>1466.5144797137632</v>
      </c>
      <c r="BZ30" s="100">
        <v>13</v>
      </c>
      <c r="CA30" s="100">
        <v>1809.6</v>
      </c>
      <c r="CB30" s="100">
        <v>3.0733318819985995</v>
      </c>
      <c r="CC30" s="100">
        <v>427.80779797420502</v>
      </c>
      <c r="CD30" s="100">
        <v>5.7300828972997315E-4</v>
      </c>
      <c r="CE30" s="100">
        <v>7.9762753930412253E-2</v>
      </c>
      <c r="CF30" s="100">
        <v>10.316926557682661</v>
      </c>
      <c r="CG30" s="100">
        <v>1436.1161768294264</v>
      </c>
      <c r="CH30" s="100">
        <v>4.7638500235056558</v>
      </c>
      <c r="CI30" s="100">
        <v>663.12792327198724</v>
      </c>
      <c r="CJ30" s="100">
        <v>9</v>
      </c>
      <c r="CK30" s="100">
        <v>1252.8</v>
      </c>
      <c r="CL30" s="100">
        <v>5.6037191001261917</v>
      </c>
      <c r="CM30" s="100">
        <v>780.03769873756585</v>
      </c>
      <c r="CN30" s="100">
        <v>13.840671303792835</v>
      </c>
      <c r="CO30" s="100">
        <v>1926.6214454879625</v>
      </c>
      <c r="CP30" s="100">
        <v>8</v>
      </c>
      <c r="CQ30" s="100">
        <v>1113.5999999999999</v>
      </c>
      <c r="CR30" s="100">
        <v>8.1397325692802784</v>
      </c>
      <c r="CS30" s="100">
        <v>1133.0507736438146</v>
      </c>
      <c r="CT30" s="100">
        <v>5.7903480853076648</v>
      </c>
      <c r="CU30" s="100">
        <v>806.0164534748269</v>
      </c>
    </row>
    <row r="31" spans="2:99">
      <c r="C31" s="99" t="s">
        <v>197</v>
      </c>
      <c r="D31" s="100">
        <v>5</v>
      </c>
      <c r="E31" s="100">
        <v>1704</v>
      </c>
      <c r="F31" s="100">
        <v>6.7889008547222227</v>
      </c>
      <c r="G31" s="100">
        <v>2313.6574112893336</v>
      </c>
      <c r="H31" s="100">
        <v>5.2058148438980432</v>
      </c>
      <c r="I31" s="100">
        <v>1774.1416988004532</v>
      </c>
      <c r="J31" s="100">
        <v>6.9649805946179447E-4</v>
      </c>
      <c r="K31" s="100">
        <v>0.23736653866457957</v>
      </c>
      <c r="L31" s="100">
        <v>12.015356683141734</v>
      </c>
      <c r="M31" s="100">
        <v>4094.8335576147033</v>
      </c>
      <c r="N31" s="100">
        <v>2.0511518225226042</v>
      </c>
      <c r="O31" s="100">
        <v>699.03254111570357</v>
      </c>
      <c r="P31" s="100">
        <v>9</v>
      </c>
      <c r="Q31" s="100">
        <v>3067.2000000000003</v>
      </c>
      <c r="R31" s="100">
        <v>6.9912725143782408</v>
      </c>
      <c r="S31" s="100">
        <v>2382.6256729001047</v>
      </c>
      <c r="T31" s="100">
        <v>1.9836374490194733</v>
      </c>
      <c r="U31" s="100">
        <v>676.02364262583649</v>
      </c>
      <c r="V31" s="100">
        <v>6.1002415154285154</v>
      </c>
      <c r="W31" s="100">
        <v>2078.962308458038</v>
      </c>
      <c r="X31" s="100">
        <v>10.916829619214671</v>
      </c>
      <c r="Y31" s="100">
        <v>3720.4555342283597</v>
      </c>
      <c r="Z31" s="100">
        <v>2.4592637024269095</v>
      </c>
      <c r="AA31" s="100">
        <v>838.11706978709083</v>
      </c>
      <c r="AB31" s="100">
        <v>9.1208582100356175</v>
      </c>
      <c r="AC31" s="100">
        <v>3108.3884779801388</v>
      </c>
      <c r="AD31" s="100">
        <v>11</v>
      </c>
      <c r="AE31" s="100">
        <v>3748.8</v>
      </c>
      <c r="AF31" s="100">
        <v>3.994462512756801</v>
      </c>
      <c r="AG31" s="100">
        <v>1361.3128243475178</v>
      </c>
      <c r="AH31" s="100">
        <v>8</v>
      </c>
      <c r="AI31" s="100">
        <v>2726.4</v>
      </c>
      <c r="AJ31" s="100">
        <v>3.5938301411728442</v>
      </c>
      <c r="AK31" s="100">
        <v>1224.7773121117054</v>
      </c>
      <c r="AL31" s="100">
        <v>11.205410033403451</v>
      </c>
      <c r="AM31" s="100">
        <v>3818.8037393838963</v>
      </c>
      <c r="AN31" s="100">
        <v>7.4465370298054392</v>
      </c>
      <c r="AO31" s="100">
        <v>2537.779819757694</v>
      </c>
      <c r="AP31" s="100">
        <v>5.8519496715209954E-4</v>
      </c>
      <c r="AQ31" s="100">
        <v>0.19943444480543554</v>
      </c>
      <c r="AR31" s="100">
        <v>6.8362536912166521</v>
      </c>
      <c r="AS31" s="100">
        <v>2329.7952579666353</v>
      </c>
      <c r="AT31" s="100">
        <v>13.140122721115642</v>
      </c>
      <c r="AU31" s="100">
        <v>4478.1538233562105</v>
      </c>
      <c r="AV31" s="100">
        <v>7.9589126562480343</v>
      </c>
      <c r="AW31" s="100">
        <v>2712.3974332493303</v>
      </c>
      <c r="AX31" s="100">
        <v>6.7936380927307455E-4</v>
      </c>
      <c r="AY31" s="100">
        <v>0.2315271862002638</v>
      </c>
      <c r="AZ31" s="100">
        <v>5.8263957136114604</v>
      </c>
      <c r="BA31" s="100">
        <v>1985.6356591987858</v>
      </c>
      <c r="BB31" s="100">
        <v>4.0774179256330623</v>
      </c>
      <c r="BC31" s="100">
        <v>1389.5840290557476</v>
      </c>
      <c r="BD31" s="100">
        <v>5.7543432424141381</v>
      </c>
      <c r="BE31" s="100">
        <v>1961.0801770147384</v>
      </c>
      <c r="BF31" s="100">
        <v>8.1819667624628956</v>
      </c>
      <c r="BG31" s="100">
        <v>2788.4142726473551</v>
      </c>
      <c r="BH31" s="100">
        <v>9.0928685650031973</v>
      </c>
      <c r="BI31" s="100">
        <v>3098.8496069530897</v>
      </c>
      <c r="BJ31" s="100">
        <v>12.550395087851522</v>
      </c>
      <c r="BK31" s="100">
        <v>4277.1746459397991</v>
      </c>
      <c r="BL31" s="100">
        <v>6</v>
      </c>
      <c r="BM31" s="100">
        <v>2044.8000000000002</v>
      </c>
      <c r="BN31" s="100">
        <v>6.2450423166732181</v>
      </c>
      <c r="BO31" s="100">
        <v>2128.3104215222329</v>
      </c>
      <c r="BP31" s="100">
        <v>2.0872869733826533</v>
      </c>
      <c r="BQ31" s="100">
        <v>711.34740052880829</v>
      </c>
      <c r="BR31" s="100">
        <v>6.290993383214139E-4</v>
      </c>
      <c r="BS31" s="100">
        <v>0.21439705449993787</v>
      </c>
      <c r="BT31" s="100">
        <v>7.0005877369253966</v>
      </c>
      <c r="BU31" s="100">
        <v>2385.8003007441753</v>
      </c>
      <c r="BV31" s="100">
        <v>6.8382401009429632</v>
      </c>
      <c r="BW31" s="100">
        <v>2330.4722264013621</v>
      </c>
      <c r="BX31" s="100">
        <v>9.5775501548704494</v>
      </c>
      <c r="BY31" s="100">
        <v>3264.0290927798492</v>
      </c>
      <c r="BZ31" s="100">
        <v>11</v>
      </c>
      <c r="CA31" s="100">
        <v>3748.8</v>
      </c>
      <c r="CB31" s="100">
        <v>3.5123792937126854</v>
      </c>
      <c r="CC31" s="100">
        <v>1197.0188632972831</v>
      </c>
      <c r="CD31" s="100">
        <v>5.0986283043769434E-4</v>
      </c>
      <c r="CE31" s="100">
        <v>0.17376125261316624</v>
      </c>
      <c r="CF31" s="100">
        <v>9.3169265576826614</v>
      </c>
      <c r="CG31" s="100">
        <v>3175.2085708582513</v>
      </c>
      <c r="CH31" s="100">
        <v>4.7638500235056558</v>
      </c>
      <c r="CI31" s="100">
        <v>1623.5200880107275</v>
      </c>
      <c r="CJ31" s="100">
        <v>10</v>
      </c>
      <c r="CK31" s="100">
        <v>3408</v>
      </c>
      <c r="CL31" s="100">
        <v>5.6037191001261917</v>
      </c>
      <c r="CM31" s="100">
        <v>1909.7474693230063</v>
      </c>
      <c r="CN31" s="100">
        <v>12.96338272404569</v>
      </c>
      <c r="CO31" s="100">
        <v>4417.9208323547709</v>
      </c>
      <c r="CP31" s="100">
        <v>7</v>
      </c>
      <c r="CQ31" s="100">
        <v>2385.6</v>
      </c>
      <c r="CR31" s="100">
        <v>7.2353178393602455</v>
      </c>
      <c r="CS31" s="100">
        <v>2465.7963196539718</v>
      </c>
      <c r="CT31" s="100">
        <v>5.7903480853076648</v>
      </c>
      <c r="CU31" s="100">
        <v>1973.3506274728522</v>
      </c>
    </row>
    <row r="32" spans="2:99">
      <c r="C32" s="99" t="s">
        <v>198</v>
      </c>
      <c r="D32" s="100">
        <v>6</v>
      </c>
      <c r="E32" s="100">
        <v>5040</v>
      </c>
      <c r="F32" s="100">
        <v>6.7889008547222227</v>
      </c>
      <c r="G32" s="100">
        <v>5702.6767179666667</v>
      </c>
      <c r="H32" s="100">
        <v>5.2058148438980432</v>
      </c>
      <c r="I32" s="100">
        <v>4372.8844688743566</v>
      </c>
      <c r="J32" s="100">
        <v>6.8824989777434222E-4</v>
      </c>
      <c r="K32" s="100">
        <v>0.57812991413044745</v>
      </c>
      <c r="L32" s="100">
        <v>9.847410292879923</v>
      </c>
      <c r="M32" s="100">
        <v>8271.8246460191349</v>
      </c>
      <c r="N32" s="100">
        <v>1.7947578447072783</v>
      </c>
      <c r="O32" s="100">
        <v>1507.5965895541137</v>
      </c>
      <c r="P32" s="100">
        <v>9</v>
      </c>
      <c r="Q32" s="100">
        <v>7560</v>
      </c>
      <c r="R32" s="100">
        <v>6.9912725143782408</v>
      </c>
      <c r="S32" s="100">
        <v>5872.6689120777219</v>
      </c>
      <c r="T32" s="100">
        <v>1.9836374490194733</v>
      </c>
      <c r="U32" s="100">
        <v>1666.2554571763576</v>
      </c>
      <c r="V32" s="100">
        <v>5.5764238165173543</v>
      </c>
      <c r="W32" s="100">
        <v>4684.1960058745772</v>
      </c>
      <c r="X32" s="100">
        <v>9.7425723811042459</v>
      </c>
      <c r="Y32" s="100">
        <v>8183.7608001275667</v>
      </c>
      <c r="Z32" s="100">
        <v>2.0571172098208916</v>
      </c>
      <c r="AA32" s="100">
        <v>1727.978456249549</v>
      </c>
      <c r="AB32" s="100">
        <v>8.1087723890320564</v>
      </c>
      <c r="AC32" s="100">
        <v>6811.3688067869271</v>
      </c>
      <c r="AD32" s="100">
        <v>9</v>
      </c>
      <c r="AE32" s="100">
        <v>7560</v>
      </c>
      <c r="AF32" s="100">
        <v>3.6406623049747502</v>
      </c>
      <c r="AG32" s="100">
        <v>3058.1563361787903</v>
      </c>
      <c r="AH32" s="100">
        <v>7</v>
      </c>
      <c r="AI32" s="100">
        <v>5880</v>
      </c>
      <c r="AJ32" s="100">
        <v>3.5938301411728442</v>
      </c>
      <c r="AK32" s="100">
        <v>3018.8173185851892</v>
      </c>
      <c r="AL32" s="100">
        <v>10.205410033403451</v>
      </c>
      <c r="AM32" s="100">
        <v>8572.5444280588981</v>
      </c>
      <c r="AN32" s="100">
        <v>6.619144026493724</v>
      </c>
      <c r="AO32" s="100">
        <v>5560.080982254728</v>
      </c>
      <c r="AP32" s="100">
        <v>5.8519496715209954E-4</v>
      </c>
      <c r="AQ32" s="100">
        <v>0.49156377240776361</v>
      </c>
      <c r="AR32" s="100">
        <v>6.70783209536072</v>
      </c>
      <c r="AS32" s="100">
        <v>5634.5789601030046</v>
      </c>
      <c r="AT32" s="100">
        <v>13.292988629766759</v>
      </c>
      <c r="AU32" s="100">
        <v>11166.110449004078</v>
      </c>
      <c r="AV32" s="100">
        <v>8.7548039218728366</v>
      </c>
      <c r="AW32" s="100">
        <v>7354.0352943731832</v>
      </c>
      <c r="AX32" s="100">
        <v>6.7936380927307455E-4</v>
      </c>
      <c r="AY32" s="100">
        <v>0.57066559978938258</v>
      </c>
      <c r="AZ32" s="100">
        <v>5.8263957136114604</v>
      </c>
      <c r="BA32" s="100">
        <v>4894.1723994336271</v>
      </c>
      <c r="BB32" s="100">
        <v>3.6652367715706857</v>
      </c>
      <c r="BC32" s="100">
        <v>3078.798888119376</v>
      </c>
      <c r="BD32" s="100">
        <v>5.7476210109762311</v>
      </c>
      <c r="BE32" s="100">
        <v>4828.0016492200339</v>
      </c>
      <c r="BF32" s="100">
        <v>7.3300303192584915</v>
      </c>
      <c r="BG32" s="100">
        <v>6157.2254681771328</v>
      </c>
      <c r="BH32" s="100">
        <v>8.3449424541995096</v>
      </c>
      <c r="BI32" s="100">
        <v>7009.7516615275881</v>
      </c>
      <c r="BJ32" s="100">
        <v>11.439652581576413</v>
      </c>
      <c r="BK32" s="100">
        <v>9609.3081685241868</v>
      </c>
      <c r="BL32" s="100">
        <v>6</v>
      </c>
      <c r="BM32" s="100">
        <v>5040</v>
      </c>
      <c r="BN32" s="100">
        <v>6.2450423166732181</v>
      </c>
      <c r="BO32" s="100">
        <v>5245.8355460055036</v>
      </c>
      <c r="BP32" s="100">
        <v>2.0872869733826533</v>
      </c>
      <c r="BQ32" s="100">
        <v>1753.3210576414288</v>
      </c>
      <c r="BR32" s="100">
        <v>6.2513072894912209E-4</v>
      </c>
      <c r="BS32" s="100">
        <v>0.5251098123172625</v>
      </c>
      <c r="BT32" s="100">
        <v>6.0005387588482799</v>
      </c>
      <c r="BU32" s="100">
        <v>5040.4525574325553</v>
      </c>
      <c r="BV32" s="100">
        <v>7.4598982919377779</v>
      </c>
      <c r="BW32" s="100">
        <v>6266.3145652277335</v>
      </c>
      <c r="BX32" s="100">
        <v>10.535305170357494</v>
      </c>
      <c r="BY32" s="100">
        <v>8849.656343100296</v>
      </c>
      <c r="BZ32" s="100">
        <v>12</v>
      </c>
      <c r="CA32" s="100">
        <v>10080</v>
      </c>
      <c r="CB32" s="100">
        <v>3.0733318819985995</v>
      </c>
      <c r="CC32" s="100">
        <v>2581.5987808788236</v>
      </c>
      <c r="CD32" s="100">
        <v>5.6965174965892761E-4</v>
      </c>
      <c r="CE32" s="100">
        <v>0.47850746971349917</v>
      </c>
      <c r="CF32" s="100">
        <v>9.2905160112091068</v>
      </c>
      <c r="CG32" s="100">
        <v>7804.0334494156496</v>
      </c>
      <c r="CH32" s="100">
        <v>5.4444000268636064</v>
      </c>
      <c r="CI32" s="100">
        <v>4573.2960225654297</v>
      </c>
      <c r="CJ32" s="100">
        <v>10</v>
      </c>
      <c r="CK32" s="100">
        <v>8400</v>
      </c>
      <c r="CL32" s="100">
        <v>5.6037191001261917</v>
      </c>
      <c r="CM32" s="100">
        <v>4707.1240441060008</v>
      </c>
      <c r="CN32" s="100">
        <v>14.086094144298546</v>
      </c>
      <c r="CO32" s="100">
        <v>11832.319081210779</v>
      </c>
      <c r="CP32" s="100">
        <v>7</v>
      </c>
      <c r="CQ32" s="100">
        <v>5880</v>
      </c>
      <c r="CR32" s="100">
        <v>7.2353178393602455</v>
      </c>
      <c r="CS32" s="100">
        <v>6077.6669850626058</v>
      </c>
      <c r="CT32" s="100">
        <v>5.7903480853076648</v>
      </c>
      <c r="CU32" s="100">
        <v>4863.8923916584381</v>
      </c>
    </row>
    <row r="33" spans="2:99">
      <c r="C33" s="99" t="s">
        <v>199</v>
      </c>
      <c r="D33" s="100">
        <v>6</v>
      </c>
      <c r="E33" s="100">
        <v>2844</v>
      </c>
      <c r="F33" s="100">
        <v>6.7889008547222227</v>
      </c>
      <c r="G33" s="100">
        <v>3217.9390051383334</v>
      </c>
      <c r="H33" s="100">
        <v>5.2058148438980432</v>
      </c>
      <c r="I33" s="100">
        <v>2467.5562360076724</v>
      </c>
      <c r="J33" s="100">
        <v>6.0406818955649716E-4</v>
      </c>
      <c r="K33" s="100">
        <v>0.28632832184977963</v>
      </c>
      <c r="L33" s="100">
        <v>12.015356683141734</v>
      </c>
      <c r="M33" s="100">
        <v>5695.2790678091815</v>
      </c>
      <c r="N33" s="100">
        <v>2.0511518225226042</v>
      </c>
      <c r="O33" s="100">
        <v>972.24596387571444</v>
      </c>
      <c r="P33" s="100">
        <v>9</v>
      </c>
      <c r="Q33" s="100">
        <v>4266</v>
      </c>
      <c r="R33" s="100">
        <v>5.9925192980384914</v>
      </c>
      <c r="S33" s="100">
        <v>2840.4541472702449</v>
      </c>
      <c r="T33" s="100">
        <v>1.9836374490194733</v>
      </c>
      <c r="U33" s="100">
        <v>940.24415083523036</v>
      </c>
      <c r="V33" s="100">
        <v>6.0397298121681722</v>
      </c>
      <c r="W33" s="100">
        <v>2862.8319309677136</v>
      </c>
      <c r="X33" s="100">
        <v>10.916829619214671</v>
      </c>
      <c r="Y33" s="100">
        <v>5174.5772395077538</v>
      </c>
      <c r="Z33" s="100">
        <v>2.0504908174222054</v>
      </c>
      <c r="AA33" s="100">
        <v>971.93264745812542</v>
      </c>
      <c r="AB33" s="100">
        <v>9.1208582100356175</v>
      </c>
      <c r="AC33" s="100">
        <v>4323.2867915568822</v>
      </c>
      <c r="AD33" s="100">
        <v>9</v>
      </c>
      <c r="AE33" s="100">
        <v>4266</v>
      </c>
      <c r="AF33" s="100">
        <v>3.2721963504563791</v>
      </c>
      <c r="AG33" s="100">
        <v>1551.0210701163237</v>
      </c>
      <c r="AH33" s="100">
        <v>8</v>
      </c>
      <c r="AI33" s="100">
        <v>3792</v>
      </c>
      <c r="AJ33" s="100">
        <v>3.9946121710754356</v>
      </c>
      <c r="AK33" s="100">
        <v>1893.4461690897565</v>
      </c>
      <c r="AL33" s="100">
        <v>11.362939321503699</v>
      </c>
      <c r="AM33" s="100">
        <v>5386.0332383927534</v>
      </c>
      <c r="AN33" s="100">
        <v>7.4465370298054392</v>
      </c>
      <c r="AO33" s="100">
        <v>3529.658552127778</v>
      </c>
      <c r="AP33" s="100">
        <v>6.5972154722240633E-4</v>
      </c>
      <c r="AQ33" s="100">
        <v>0.31270801338342058</v>
      </c>
      <c r="AR33" s="100">
        <v>7.7615933133262089</v>
      </c>
      <c r="AS33" s="100">
        <v>3678.995230516623</v>
      </c>
      <c r="AT33" s="100">
        <v>13.140122721115642</v>
      </c>
      <c r="AU33" s="100">
        <v>6228.4181698088141</v>
      </c>
      <c r="AV33" s="100">
        <v>7.1630213906232312</v>
      </c>
      <c r="AW33" s="100">
        <v>3395.2721391554114</v>
      </c>
      <c r="AX33" s="100">
        <v>6.7936380927307455E-4</v>
      </c>
      <c r="AY33" s="100">
        <v>0.32201844559543735</v>
      </c>
      <c r="AZ33" s="100">
        <v>5.8263957136114604</v>
      </c>
      <c r="BA33" s="100">
        <v>2761.7115682518324</v>
      </c>
      <c r="BB33" s="100">
        <v>4.0774179256330623</v>
      </c>
      <c r="BC33" s="100">
        <v>1932.6960967500715</v>
      </c>
      <c r="BD33" s="100">
        <v>6.4146769111111483</v>
      </c>
      <c r="BE33" s="100">
        <v>3040.5568558666841</v>
      </c>
      <c r="BF33" s="100">
        <v>7.2293756032855692</v>
      </c>
      <c r="BG33" s="100">
        <v>3426.7240359573598</v>
      </c>
      <c r="BH33" s="100">
        <v>9.3411158660749383</v>
      </c>
      <c r="BI33" s="100">
        <v>4427.6889205195212</v>
      </c>
      <c r="BJ33" s="100">
        <v>13.439652581576413</v>
      </c>
      <c r="BK33" s="100">
        <v>6370.3953236672196</v>
      </c>
      <c r="BL33" s="100">
        <v>6</v>
      </c>
      <c r="BM33" s="100">
        <v>2844</v>
      </c>
      <c r="BN33" s="100">
        <v>7.0256726062573707</v>
      </c>
      <c r="BO33" s="100">
        <v>3330.1688153659939</v>
      </c>
      <c r="BP33" s="100">
        <v>1.8263761017098215</v>
      </c>
      <c r="BQ33" s="100">
        <v>865.70227221045536</v>
      </c>
      <c r="BR33" s="100">
        <v>5.7389279406924937E-4</v>
      </c>
      <c r="BS33" s="100">
        <v>0.27202518438882423</v>
      </c>
      <c r="BT33" s="100">
        <v>6.0005877369253966</v>
      </c>
      <c r="BU33" s="100">
        <v>2844.2785873026378</v>
      </c>
      <c r="BV33" s="100">
        <v>6.8382401009429632</v>
      </c>
      <c r="BW33" s="100">
        <v>3241.3258078469644</v>
      </c>
      <c r="BX33" s="100">
        <v>9.5775501548704494</v>
      </c>
      <c r="BY33" s="100">
        <v>4539.7587734085928</v>
      </c>
      <c r="BZ33" s="100">
        <v>13</v>
      </c>
      <c r="CA33" s="100">
        <v>6162</v>
      </c>
      <c r="CB33" s="100">
        <v>3.0733318819985995</v>
      </c>
      <c r="CC33" s="100">
        <v>1456.7593120673362</v>
      </c>
      <c r="CD33" s="100">
        <v>5.7166567370155489E-4</v>
      </c>
      <c r="CE33" s="100">
        <v>0.270969529334537</v>
      </c>
      <c r="CF33" s="100">
        <v>8.3169265576826614</v>
      </c>
      <c r="CG33" s="100">
        <v>3942.2231883415816</v>
      </c>
      <c r="CH33" s="100">
        <v>4.7638500235056558</v>
      </c>
      <c r="CI33" s="100">
        <v>2258.064911141681</v>
      </c>
      <c r="CJ33" s="100">
        <v>10</v>
      </c>
      <c r="CK33" s="100">
        <v>4740</v>
      </c>
      <c r="CL33" s="100">
        <v>5.0433471901135718</v>
      </c>
      <c r="CM33" s="100">
        <v>2390.546568113833</v>
      </c>
      <c r="CN33" s="100">
        <v>12.840671303792835</v>
      </c>
      <c r="CO33" s="100">
        <v>6086.4781979978034</v>
      </c>
      <c r="CP33" s="100">
        <v>7</v>
      </c>
      <c r="CQ33" s="100">
        <v>3318</v>
      </c>
      <c r="CR33" s="100">
        <v>7.2353178393602455</v>
      </c>
      <c r="CS33" s="100">
        <v>3429.5406558567565</v>
      </c>
      <c r="CT33" s="100">
        <v>5.0665545746442069</v>
      </c>
      <c r="CU33" s="100">
        <v>2401.5468683813542</v>
      </c>
    </row>
    <row r="34" spans="2:99">
      <c r="C34" s="99" t="s">
        <v>200</v>
      </c>
      <c r="D34" s="100">
        <v>6</v>
      </c>
      <c r="E34" s="100">
        <v>3290.3999999999996</v>
      </c>
      <c r="F34" s="100">
        <v>6.7889008547222227</v>
      </c>
      <c r="G34" s="100">
        <v>3723.0332287296669</v>
      </c>
      <c r="H34" s="100">
        <v>5.2058148438980432</v>
      </c>
      <c r="I34" s="100">
        <v>2854.8688603936866</v>
      </c>
      <c r="J34" s="100">
        <v>6.8412581693061609E-4</v>
      </c>
      <c r="K34" s="100">
        <v>0.37517459800474984</v>
      </c>
      <c r="L34" s="100">
        <v>11.015356683141734</v>
      </c>
      <c r="M34" s="100">
        <v>6040.8216050349265</v>
      </c>
      <c r="N34" s="100">
        <v>2.3075458003379294</v>
      </c>
      <c r="O34" s="100">
        <v>1265.4581169053204</v>
      </c>
      <c r="P34" s="100">
        <v>8</v>
      </c>
      <c r="Q34" s="100">
        <v>4387.2</v>
      </c>
      <c r="R34" s="100">
        <v>5.9925192980384914</v>
      </c>
      <c r="S34" s="100">
        <v>3286.2975830443083</v>
      </c>
      <c r="T34" s="100">
        <v>1.9836374490194733</v>
      </c>
      <c r="U34" s="100">
        <v>1087.826777042279</v>
      </c>
      <c r="V34" s="100">
        <v>6.0358051789949654</v>
      </c>
      <c r="W34" s="100">
        <v>3310.0355601608389</v>
      </c>
      <c r="X34" s="100">
        <v>10.742572381104246</v>
      </c>
      <c r="Y34" s="100">
        <v>5891.2266937975683</v>
      </c>
      <c r="Z34" s="100">
        <v>2.0637436022195779</v>
      </c>
      <c r="AA34" s="100">
        <v>1131.7569914572164</v>
      </c>
      <c r="AB34" s="100">
        <v>8.0966865680284954</v>
      </c>
      <c r="AC34" s="100">
        <v>4440.2229139068268</v>
      </c>
      <c r="AD34" s="100">
        <v>9</v>
      </c>
      <c r="AE34" s="100">
        <v>4935.5999999999995</v>
      </c>
      <c r="AF34" s="100">
        <v>3.279529223824539</v>
      </c>
      <c r="AG34" s="100">
        <v>1798.4938263453771</v>
      </c>
      <c r="AH34" s="100">
        <v>8</v>
      </c>
      <c r="AI34" s="100">
        <v>4387.2</v>
      </c>
      <c r="AJ34" s="100">
        <v>3.9549877872240131</v>
      </c>
      <c r="AK34" s="100">
        <v>2168.9153025136488</v>
      </c>
      <c r="AL34" s="100">
        <v>11.047880745303205</v>
      </c>
      <c r="AM34" s="100">
        <v>6058.657800724277</v>
      </c>
      <c r="AN34" s="100">
        <v>6.619144026493724</v>
      </c>
      <c r="AO34" s="100">
        <v>3629.9385841291582</v>
      </c>
      <c r="AP34" s="100">
        <v>5.9070380385727722E-4</v>
      </c>
      <c r="AQ34" s="100">
        <v>0.32394196603533082</v>
      </c>
      <c r="AR34" s="100">
        <v>7.6331717174702778</v>
      </c>
      <c r="AS34" s="100">
        <v>4186.0313698607006</v>
      </c>
      <c r="AT34" s="100">
        <v>12.834390903813407</v>
      </c>
      <c r="AU34" s="100">
        <v>7038.3799716512722</v>
      </c>
      <c r="AV34" s="100">
        <v>7.9589126562480343</v>
      </c>
      <c r="AW34" s="100">
        <v>4364.667700686422</v>
      </c>
      <c r="AX34" s="100">
        <v>6.8286676494606522E-4</v>
      </c>
      <c r="AY34" s="100">
        <v>0.37448413389642216</v>
      </c>
      <c r="AZ34" s="100">
        <v>5.7512008236045782</v>
      </c>
      <c r="BA34" s="100">
        <v>3153.9585316647504</v>
      </c>
      <c r="BB34" s="100">
        <v>4.0365526435139882</v>
      </c>
      <c r="BC34" s="100">
        <v>2213.6454697030708</v>
      </c>
      <c r="BD34" s="100">
        <v>6.5431753942619855</v>
      </c>
      <c r="BE34" s="100">
        <v>3588.2773862132726</v>
      </c>
      <c r="BF34" s="100">
        <v>7.3300303192584915</v>
      </c>
      <c r="BG34" s="100">
        <v>4019.7886270813565</v>
      </c>
      <c r="BH34" s="100">
        <v>8.3449424541995096</v>
      </c>
      <c r="BI34" s="100">
        <v>4576.3664418830112</v>
      </c>
      <c r="BJ34" s="100">
        <v>13.661137594126631</v>
      </c>
      <c r="BK34" s="100">
        <v>7491.7678566190443</v>
      </c>
      <c r="BL34" s="100">
        <v>6</v>
      </c>
      <c r="BM34" s="100">
        <v>3290.3999999999996</v>
      </c>
      <c r="BN34" s="100">
        <v>7.0256726062573707</v>
      </c>
      <c r="BO34" s="100">
        <v>3852.8788572715421</v>
      </c>
      <c r="BP34" s="100">
        <v>2.0872869733826533</v>
      </c>
      <c r="BQ34" s="100">
        <v>1144.6681762030471</v>
      </c>
      <c r="BR34" s="100">
        <v>6.2513072894912209E-4</v>
      </c>
      <c r="BS34" s="100">
        <v>0.34282169175569854</v>
      </c>
      <c r="BT34" s="100">
        <v>6.0004897807711641</v>
      </c>
      <c r="BU34" s="100">
        <v>3290.6685957749064</v>
      </c>
      <c r="BV34" s="100">
        <v>6.8382401009429632</v>
      </c>
      <c r="BW34" s="100">
        <v>3750.0908713571207</v>
      </c>
      <c r="BX34" s="100">
        <v>11.49306018584454</v>
      </c>
      <c r="BY34" s="100">
        <v>6302.7942059171455</v>
      </c>
      <c r="BZ34" s="100">
        <v>11</v>
      </c>
      <c r="CA34" s="100">
        <v>6032.4</v>
      </c>
      <c r="CB34" s="100">
        <v>3.0733318819985995</v>
      </c>
      <c r="CC34" s="100">
        <v>1685.4152040880319</v>
      </c>
      <c r="CD34" s="100">
        <v>5.0986283043769434E-4</v>
      </c>
      <c r="CE34" s="100">
        <v>0.27960877621203156</v>
      </c>
      <c r="CF34" s="100">
        <v>8.3433371041562179</v>
      </c>
      <c r="CG34" s="100">
        <v>4575.4860679192698</v>
      </c>
      <c r="CH34" s="100">
        <v>4.7638500235056558</v>
      </c>
      <c r="CI34" s="100">
        <v>2612.4953528905016</v>
      </c>
      <c r="CJ34" s="100">
        <v>9</v>
      </c>
      <c r="CK34" s="100">
        <v>4935.5999999999995</v>
      </c>
      <c r="CL34" s="100">
        <v>5.0433471901135718</v>
      </c>
      <c r="CM34" s="100">
        <v>2765.7715990582828</v>
      </c>
      <c r="CN34" s="100">
        <v>12.717959883539979</v>
      </c>
      <c r="CO34" s="100">
        <v>6974.5292001333246</v>
      </c>
      <c r="CP34" s="100">
        <v>7</v>
      </c>
      <c r="CQ34" s="100">
        <v>3838.7999999999997</v>
      </c>
      <c r="CR34" s="100">
        <v>8.1397325692802784</v>
      </c>
      <c r="CS34" s="100">
        <v>4463.8293409933049</v>
      </c>
      <c r="CT34" s="100">
        <v>5.0665545746442069</v>
      </c>
      <c r="CU34" s="100">
        <v>2778.4985287348832</v>
      </c>
    </row>
    <row r="35" spans="2:99">
      <c r="C35" s="99" t="s">
        <v>201</v>
      </c>
      <c r="D35" s="100">
        <v>5</v>
      </c>
      <c r="E35" s="100">
        <v>2513.9999999999995</v>
      </c>
      <c r="F35" s="100">
        <v>5.9402882478819441</v>
      </c>
      <c r="G35" s="100">
        <v>2986.7769310350409</v>
      </c>
      <c r="H35" s="100">
        <v>4.3381790365817032</v>
      </c>
      <c r="I35" s="100">
        <v>2181.2364195932801</v>
      </c>
      <c r="J35" s="100">
        <v>5.9994410871277103E-4</v>
      </c>
      <c r="K35" s="100">
        <v>0.30165189786078123</v>
      </c>
      <c r="L35" s="100">
        <v>10.847410292879923</v>
      </c>
      <c r="M35" s="100">
        <v>5454.077895260024</v>
      </c>
      <c r="N35" s="100">
        <v>2.0511518225226042</v>
      </c>
      <c r="O35" s="100">
        <v>1031.3191363643652</v>
      </c>
      <c r="P35" s="100">
        <v>8</v>
      </c>
      <c r="Q35" s="100">
        <v>4022.3999999999992</v>
      </c>
      <c r="R35" s="100">
        <v>5.9925192980384914</v>
      </c>
      <c r="S35" s="100">
        <v>3013.0387030537527</v>
      </c>
      <c r="T35" s="100">
        <v>1.70026067058812</v>
      </c>
      <c r="U35" s="100">
        <v>854.8910651717066</v>
      </c>
      <c r="V35" s="100">
        <v>5.5198367464302196</v>
      </c>
      <c r="W35" s="100">
        <v>2775.3739161051139</v>
      </c>
      <c r="X35" s="100">
        <v>9.0910868573250951</v>
      </c>
      <c r="Y35" s="100">
        <v>4570.9984718630567</v>
      </c>
      <c r="Z35" s="100">
        <v>2.0571172098208916</v>
      </c>
      <c r="AA35" s="100">
        <v>1034.3185330979441</v>
      </c>
      <c r="AB35" s="100">
        <v>10.096686568028495</v>
      </c>
      <c r="AC35" s="100">
        <v>5076.6140064047268</v>
      </c>
      <c r="AD35" s="100">
        <v>10</v>
      </c>
      <c r="AE35" s="100">
        <v>5027.9999999999991</v>
      </c>
      <c r="AF35" s="100">
        <v>3.279529223824539</v>
      </c>
      <c r="AG35" s="100">
        <v>1648.9472937389778</v>
      </c>
      <c r="AH35" s="100">
        <v>8</v>
      </c>
      <c r="AI35" s="100">
        <v>4022.3999999999992</v>
      </c>
      <c r="AJ35" s="100">
        <v>3.968195915174487</v>
      </c>
      <c r="AK35" s="100">
        <v>1995.2089061497315</v>
      </c>
      <c r="AL35" s="100">
        <v>12.520468609603945</v>
      </c>
      <c r="AM35" s="100">
        <v>6295.2916169088621</v>
      </c>
      <c r="AN35" s="100">
        <v>6.619144026493724</v>
      </c>
      <c r="AO35" s="100">
        <v>3328.1056165210439</v>
      </c>
      <c r="AP35" s="100">
        <v>5.8519496715209954E-4</v>
      </c>
      <c r="AQ35" s="100">
        <v>0.29423602948407557</v>
      </c>
      <c r="AR35" s="100">
        <v>6.8362536912166521</v>
      </c>
      <c r="AS35" s="100">
        <v>3437.2683559437319</v>
      </c>
      <c r="AT35" s="100">
        <v>12.140122721115642</v>
      </c>
      <c r="AU35" s="100">
        <v>6104.053704176943</v>
      </c>
      <c r="AV35" s="100">
        <v>7.9589126562480343</v>
      </c>
      <c r="AW35" s="100">
        <v>4001.741283561511</v>
      </c>
      <c r="AX35" s="100">
        <v>6.8636972061905568E-4</v>
      </c>
      <c r="AY35" s="100">
        <v>0.34510669552726114</v>
      </c>
      <c r="AZ35" s="100">
        <v>5.7512008236045782</v>
      </c>
      <c r="BA35" s="100">
        <v>2891.7037741083814</v>
      </c>
      <c r="BB35" s="100">
        <v>4.4487337975763648</v>
      </c>
      <c r="BC35" s="100">
        <v>2236.823353421396</v>
      </c>
      <c r="BD35" s="100">
        <v>6.2906599155855805</v>
      </c>
      <c r="BE35" s="100">
        <v>3162.9438055564292</v>
      </c>
      <c r="BF35" s="100">
        <v>7.432938073983145</v>
      </c>
      <c r="BG35" s="100">
        <v>3737.2812635987248</v>
      </c>
      <c r="BH35" s="100">
        <v>9.3411158660749383</v>
      </c>
      <c r="BI35" s="100">
        <v>4696.713057462478</v>
      </c>
      <c r="BJ35" s="100">
        <v>13.550395087851522</v>
      </c>
      <c r="BK35" s="100">
        <v>6813.1386501717434</v>
      </c>
      <c r="BL35" s="100">
        <v>6</v>
      </c>
      <c r="BM35" s="100">
        <v>3016.7999999999993</v>
      </c>
      <c r="BN35" s="100">
        <v>7.0256726062573707</v>
      </c>
      <c r="BO35" s="100">
        <v>3532.5081864262052</v>
      </c>
      <c r="BP35" s="100">
        <v>1.8263761017098215</v>
      </c>
      <c r="BQ35" s="100">
        <v>918.30190393969804</v>
      </c>
      <c r="BR35" s="100">
        <v>6.2711503363526789E-4</v>
      </c>
      <c r="BS35" s="100">
        <v>0.31531343891181263</v>
      </c>
      <c r="BT35" s="100">
        <v>7.0005877369253966</v>
      </c>
      <c r="BU35" s="100">
        <v>3519.8955141260885</v>
      </c>
      <c r="BV35" s="100">
        <v>7.4598982919377779</v>
      </c>
      <c r="BW35" s="100">
        <v>3750.8368611863139</v>
      </c>
      <c r="BX35" s="100">
        <v>10.535305170357494</v>
      </c>
      <c r="BY35" s="100">
        <v>5297.1514396557468</v>
      </c>
      <c r="BZ35" s="100">
        <v>11</v>
      </c>
      <c r="CA35" s="100">
        <v>5530.7999999999993</v>
      </c>
      <c r="CB35" s="100">
        <v>3.0733318819985995</v>
      </c>
      <c r="CC35" s="100">
        <v>1545.2712702688955</v>
      </c>
      <c r="CD35" s="100">
        <v>5.6965174965892761E-4</v>
      </c>
      <c r="CE35" s="100">
        <v>0.28642089972850876</v>
      </c>
      <c r="CF35" s="100">
        <v>8.2905160112091068</v>
      </c>
      <c r="CG35" s="100">
        <v>4168.4714504359381</v>
      </c>
      <c r="CH35" s="100">
        <v>4.7638500235056558</v>
      </c>
      <c r="CI35" s="100">
        <v>2395.2637918186433</v>
      </c>
      <c r="CJ35" s="100">
        <v>9</v>
      </c>
      <c r="CK35" s="100">
        <v>4525.1999999999989</v>
      </c>
      <c r="CL35" s="100">
        <v>5.6037191001261917</v>
      </c>
      <c r="CM35" s="100">
        <v>2817.5499635434485</v>
      </c>
      <c r="CN35" s="100">
        <v>12.840671303792835</v>
      </c>
      <c r="CO35" s="100">
        <v>6456.2895315470359</v>
      </c>
      <c r="CP35" s="100">
        <v>7</v>
      </c>
      <c r="CQ35" s="100">
        <v>3519.5999999999995</v>
      </c>
      <c r="CR35" s="100">
        <v>8.1397325692802784</v>
      </c>
      <c r="CS35" s="100">
        <v>4092.6575358341233</v>
      </c>
      <c r="CT35" s="100">
        <v>5.0665545746442069</v>
      </c>
      <c r="CU35" s="100">
        <v>2547.4636401311068</v>
      </c>
    </row>
    <row r="36" spans="2:99">
      <c r="C36" s="99" t="s">
        <v>202</v>
      </c>
      <c r="D36" s="100">
        <v>6</v>
      </c>
      <c r="E36" s="100">
        <v>4564.7999999999993</v>
      </c>
      <c r="F36" s="100">
        <v>5.9402882478819441</v>
      </c>
      <c r="G36" s="100">
        <v>4519.3712989885826</v>
      </c>
      <c r="H36" s="100">
        <v>4.3381790365817032</v>
      </c>
      <c r="I36" s="100">
        <v>3300.4866110313596</v>
      </c>
      <c r="J36" s="100">
        <v>5.9582002786904501E-4</v>
      </c>
      <c r="K36" s="100">
        <v>0.45329987720276943</v>
      </c>
      <c r="L36" s="100">
        <v>10.847410292879923</v>
      </c>
      <c r="M36" s="100">
        <v>8252.7097508230454</v>
      </c>
      <c r="N36" s="100">
        <v>2.0511518225226042</v>
      </c>
      <c r="O36" s="100">
        <v>1560.5163065751972</v>
      </c>
      <c r="P36" s="100">
        <v>9</v>
      </c>
      <c r="Q36" s="100">
        <v>6847.2</v>
      </c>
      <c r="R36" s="100">
        <v>5.9925192980384914</v>
      </c>
      <c r="S36" s="100">
        <v>4559.1086819476841</v>
      </c>
      <c r="T36" s="100">
        <v>2.2670142274508267</v>
      </c>
      <c r="U36" s="100">
        <v>1724.7444242445888</v>
      </c>
      <c r="V36" s="100">
        <v>5.5926344300072026</v>
      </c>
      <c r="W36" s="100">
        <v>4254.8762743494799</v>
      </c>
      <c r="X36" s="100">
        <v>9.9168296192146705</v>
      </c>
      <c r="Y36" s="100">
        <v>7544.7239742985212</v>
      </c>
      <c r="Z36" s="100">
        <v>2.0571172098208916</v>
      </c>
      <c r="AA36" s="100">
        <v>1565.0547732317343</v>
      </c>
      <c r="AB36" s="100">
        <v>9.0966865680284954</v>
      </c>
      <c r="AC36" s="100">
        <v>6920.7591409560791</v>
      </c>
      <c r="AD36" s="100">
        <v>9</v>
      </c>
      <c r="AE36" s="100">
        <v>6847.2</v>
      </c>
      <c r="AF36" s="100">
        <v>3.6333294316065903</v>
      </c>
      <c r="AG36" s="100">
        <v>2764.2370315662938</v>
      </c>
      <c r="AH36" s="100">
        <v>7</v>
      </c>
      <c r="AI36" s="100">
        <v>5325.5999999999995</v>
      </c>
      <c r="AJ36" s="100">
        <v>3.968195915174487</v>
      </c>
      <c r="AK36" s="100">
        <v>3019.0034522647497</v>
      </c>
      <c r="AL36" s="100">
        <v>10.520468609603945</v>
      </c>
      <c r="AM36" s="100">
        <v>8003.9725181866806</v>
      </c>
      <c r="AN36" s="100">
        <v>6.619144026493724</v>
      </c>
      <c r="AO36" s="100">
        <v>5035.8447753564251</v>
      </c>
      <c r="AP36" s="100">
        <v>5.9345822220986623E-4</v>
      </c>
      <c r="AQ36" s="100">
        <v>0.45150301545726618</v>
      </c>
      <c r="AR36" s="100">
        <v>6.70783209536072</v>
      </c>
      <c r="AS36" s="100">
        <v>5103.3186581504351</v>
      </c>
      <c r="AT36" s="100">
        <v>13.292988629766759</v>
      </c>
      <c r="AU36" s="100">
        <v>10113.305749526549</v>
      </c>
      <c r="AV36" s="100">
        <v>7.9589126562480343</v>
      </c>
      <c r="AW36" s="100">
        <v>6055.140748873504</v>
      </c>
      <c r="AX36" s="100">
        <v>6.120525048130441E-4</v>
      </c>
      <c r="AY36" s="100">
        <v>0.46564954566176392</v>
      </c>
      <c r="AZ36" s="100">
        <v>5.7512008236045782</v>
      </c>
      <c r="BA36" s="100">
        <v>4375.513586598363</v>
      </c>
      <c r="BB36" s="100">
        <v>4.0365526435139882</v>
      </c>
      <c r="BC36" s="100">
        <v>3071.0092511854423</v>
      </c>
      <c r="BD36" s="100">
        <v>6.2906599155855805</v>
      </c>
      <c r="BE36" s="100">
        <v>4785.9340637775094</v>
      </c>
      <c r="BF36" s="100">
        <v>7.2316286420372968</v>
      </c>
      <c r="BG36" s="100">
        <v>5501.8230708619749</v>
      </c>
      <c r="BH36" s="100">
        <v>8.3449424541995096</v>
      </c>
      <c r="BI36" s="100">
        <v>6348.8322191549869</v>
      </c>
      <c r="BJ36" s="100">
        <v>12.550395087851522</v>
      </c>
      <c r="BK36" s="100">
        <v>9548.3405828374362</v>
      </c>
      <c r="BL36" s="100">
        <v>6</v>
      </c>
      <c r="BM36" s="100">
        <v>4564.7999999999993</v>
      </c>
      <c r="BN36" s="100">
        <v>6.2450423166732181</v>
      </c>
      <c r="BO36" s="100">
        <v>4751.2281945249842</v>
      </c>
      <c r="BP36" s="100">
        <v>2.0872869733826533</v>
      </c>
      <c r="BQ36" s="100">
        <v>1588.0079293495226</v>
      </c>
      <c r="BR36" s="100">
        <v>6.2314642426297597E-4</v>
      </c>
      <c r="BS36" s="100">
        <v>0.47408979957927211</v>
      </c>
      <c r="BT36" s="100">
        <v>6.0005387588482799</v>
      </c>
      <c r="BU36" s="100">
        <v>4565.2098877317712</v>
      </c>
      <c r="BV36" s="100">
        <v>6.2165819099481485</v>
      </c>
      <c r="BW36" s="100">
        <v>4729.5755170885514</v>
      </c>
      <c r="BX36" s="100">
        <v>10.535305170357494</v>
      </c>
      <c r="BY36" s="100">
        <v>8015.2601736079814</v>
      </c>
      <c r="BZ36" s="100">
        <v>10</v>
      </c>
      <c r="CA36" s="100">
        <v>7608</v>
      </c>
      <c r="CB36" s="100">
        <v>3.0733318819985995</v>
      </c>
      <c r="CC36" s="100">
        <v>2338.1908958245344</v>
      </c>
      <c r="CD36" s="100">
        <v>5.7166567370155489E-4</v>
      </c>
      <c r="CE36" s="100">
        <v>0.43492324455214293</v>
      </c>
      <c r="CF36" s="100">
        <v>8.3169265576826614</v>
      </c>
      <c r="CG36" s="100">
        <v>6327.5177250849683</v>
      </c>
      <c r="CH36" s="100">
        <v>4.7638500235056558</v>
      </c>
      <c r="CI36" s="100">
        <v>3624.3370978831026</v>
      </c>
      <c r="CJ36" s="100">
        <v>9</v>
      </c>
      <c r="CK36" s="100">
        <v>6847.2</v>
      </c>
      <c r="CL36" s="100">
        <v>5.6037191001261917</v>
      </c>
      <c r="CM36" s="100">
        <v>4263.309491376006</v>
      </c>
      <c r="CN36" s="100">
        <v>12.840671303792835</v>
      </c>
      <c r="CO36" s="100">
        <v>9769.1827279255886</v>
      </c>
      <c r="CP36" s="100">
        <v>6</v>
      </c>
      <c r="CQ36" s="100">
        <v>4564.7999999999993</v>
      </c>
      <c r="CR36" s="100">
        <v>8.1397325692802784</v>
      </c>
      <c r="CS36" s="100">
        <v>6192.7085387084353</v>
      </c>
      <c r="CT36" s="100">
        <v>5.0665545746442069</v>
      </c>
      <c r="CU36" s="100">
        <v>3854.6347203893124</v>
      </c>
    </row>
    <row r="37" spans="2:99">
      <c r="B37" s="99" t="s">
        <v>128</v>
      </c>
      <c r="C37" s="99" t="s">
        <v>203</v>
      </c>
      <c r="D37" s="100">
        <v>21</v>
      </c>
      <c r="E37" s="100">
        <v>18068.399999999998</v>
      </c>
      <c r="F37" s="100">
        <v>14.426414316284722</v>
      </c>
      <c r="G37" s="100">
        <v>12412.486877731375</v>
      </c>
      <c r="H37" s="100">
        <v>13.882172917061448</v>
      </c>
      <c r="I37" s="100">
        <v>11944.221577839669</v>
      </c>
      <c r="J37" s="100">
        <v>8.8305789061571217E-4</v>
      </c>
      <c r="K37" s="100">
        <v>0.75978300908575869</v>
      </c>
      <c r="L37" s="100">
        <v>18.343571122094488</v>
      </c>
      <c r="M37" s="100">
        <v>15782.808593450098</v>
      </c>
      <c r="N37" s="100">
        <v>3.5895156894145566</v>
      </c>
      <c r="O37" s="100">
        <v>3088.4192991722844</v>
      </c>
      <c r="P37" s="100">
        <v>16</v>
      </c>
      <c r="Q37" s="100">
        <v>13766.4</v>
      </c>
      <c r="R37" s="100">
        <v>16.978804677775727</v>
      </c>
      <c r="S37" s="100">
        <v>14608.563544758235</v>
      </c>
      <c r="T37" s="100">
        <v>3.1171445627448868</v>
      </c>
      <c r="U37" s="100">
        <v>2681.9911817857005</v>
      </c>
      <c r="V37" s="100">
        <v>7.885104528425031</v>
      </c>
      <c r="W37" s="100">
        <v>6784.3439362568961</v>
      </c>
      <c r="X37" s="100">
        <v>15.045543428662548</v>
      </c>
      <c r="Y37" s="100">
        <v>12945.185566021255</v>
      </c>
      <c r="Z37" s="100">
        <v>4.3507211022806453</v>
      </c>
      <c r="AA37" s="100">
        <v>3743.3604364022672</v>
      </c>
      <c r="AB37" s="100">
        <v>17.096686568028495</v>
      </c>
      <c r="AC37" s="100">
        <v>14709.989123131718</v>
      </c>
      <c r="AD37" s="100">
        <v>13</v>
      </c>
      <c r="AE37" s="100">
        <v>11185.199999999999</v>
      </c>
      <c r="AF37" s="100">
        <v>3.8918022856025605</v>
      </c>
      <c r="AG37" s="100">
        <v>3348.5066865324429</v>
      </c>
      <c r="AH37" s="100">
        <v>19</v>
      </c>
      <c r="AI37" s="100">
        <v>16347.6</v>
      </c>
      <c r="AJ37" s="100">
        <v>6.7385839320295711</v>
      </c>
      <c r="AK37" s="100">
        <v>5797.8776151182428</v>
      </c>
      <c r="AL37" s="100">
        <v>16.787646440501234</v>
      </c>
      <c r="AM37" s="100">
        <v>14444.090997407262</v>
      </c>
      <c r="AN37" s="100">
        <v>15.720467062922593</v>
      </c>
      <c r="AO37" s="100">
        <v>13525.889860938598</v>
      </c>
      <c r="AP37" s="100">
        <v>7.0119510706164628E-4</v>
      </c>
      <c r="AQ37" s="100">
        <v>0.60330827011584043</v>
      </c>
      <c r="AR37" s="100">
        <v>11.206108610052574</v>
      </c>
      <c r="AS37" s="100">
        <v>9641.7358480892344</v>
      </c>
      <c r="AT37" s="100">
        <v>19.070061360557823</v>
      </c>
      <c r="AU37" s="100">
        <v>16407.88079462395</v>
      </c>
      <c r="AV37" s="100">
        <v>7.9589126562480343</v>
      </c>
      <c r="AW37" s="100">
        <v>6847.848449435809</v>
      </c>
      <c r="AX37" s="100">
        <v>9.5561493845917737E-4</v>
      </c>
      <c r="AY37" s="100">
        <v>0.82221109305027618</v>
      </c>
      <c r="AZ37" s="100">
        <v>16.432523544584964</v>
      </c>
      <c r="BA37" s="100">
        <v>14138.543257760903</v>
      </c>
      <c r="BB37" s="100">
        <v>5.2322308235820429</v>
      </c>
      <c r="BC37" s="100">
        <v>4501.8114006099895</v>
      </c>
      <c r="BD37" s="100">
        <v>13.786763753173631</v>
      </c>
      <c r="BE37" s="100">
        <v>11862.131533230591</v>
      </c>
      <c r="BF37" s="100">
        <v>10.562888026785712</v>
      </c>
      <c r="BG37" s="100">
        <v>9088.3088582464261</v>
      </c>
      <c r="BH37" s="100">
        <v>16.075635070896602</v>
      </c>
      <c r="BI37" s="100">
        <v>13831.476414999437</v>
      </c>
      <c r="BJ37" s="100">
        <v>12.664455037650653</v>
      </c>
      <c r="BK37" s="100">
        <v>10896.49711439462</v>
      </c>
      <c r="BL37" s="100">
        <v>21</v>
      </c>
      <c r="BM37" s="100">
        <v>18068.399999999998</v>
      </c>
      <c r="BN37" s="100">
        <v>11.709454343762284</v>
      </c>
      <c r="BO37" s="100">
        <v>10074.814517373068</v>
      </c>
      <c r="BP37" s="100">
        <v>4.4354848184381375</v>
      </c>
      <c r="BQ37" s="100">
        <v>3816.2911377841733</v>
      </c>
      <c r="BR37" s="100">
        <v>1.0862721428679752E-3</v>
      </c>
      <c r="BS37" s="100">
        <v>0.93462855172360582</v>
      </c>
      <c r="BT37" s="100">
        <v>17.000293868462698</v>
      </c>
      <c r="BU37" s="100">
        <v>14627.052844425305</v>
      </c>
      <c r="BV37" s="100">
        <v>8.0815564829325925</v>
      </c>
      <c r="BW37" s="100">
        <v>6953.3711979152022</v>
      </c>
      <c r="BX37" s="100">
        <v>18.197345294253854</v>
      </c>
      <c r="BY37" s="100">
        <v>15656.995891176015</v>
      </c>
      <c r="BZ37" s="100">
        <v>13</v>
      </c>
      <c r="CA37" s="100">
        <v>11185.199999999999</v>
      </c>
      <c r="CB37" s="100">
        <v>5.7076163522831127</v>
      </c>
      <c r="CC37" s="100">
        <v>4910.8331095043904</v>
      </c>
      <c r="CD37" s="100">
        <v>9.9824380442069672E-4</v>
      </c>
      <c r="CE37" s="100">
        <v>0.8588889693235674</v>
      </c>
      <c r="CF37" s="100">
        <v>22.211284371788441</v>
      </c>
      <c r="CG37" s="100">
        <v>19110.589073486775</v>
      </c>
      <c r="CH37" s="100">
        <v>10.208250050369262</v>
      </c>
      <c r="CI37" s="100">
        <v>8783.1783433377132</v>
      </c>
      <c r="CJ37" s="100">
        <v>17</v>
      </c>
      <c r="CK37" s="100">
        <v>14626.8</v>
      </c>
      <c r="CL37" s="100">
        <v>6.7244629201514297</v>
      </c>
      <c r="CM37" s="100">
        <v>5785.7278964982897</v>
      </c>
      <c r="CN37" s="100">
        <v>14.104402782275701</v>
      </c>
      <c r="CO37" s="100">
        <v>12135.428153870012</v>
      </c>
      <c r="CP37" s="100">
        <v>12</v>
      </c>
      <c r="CQ37" s="100">
        <v>10324.799999999999</v>
      </c>
      <c r="CR37" s="100">
        <v>10.852976759040368</v>
      </c>
      <c r="CS37" s="100">
        <v>9337.9012034783318</v>
      </c>
      <c r="CT37" s="100">
        <v>13.196341678698751</v>
      </c>
      <c r="CU37" s="100">
        <v>11354.132380352405</v>
      </c>
    </row>
    <row r="38" spans="2:99">
      <c r="C38" s="99" t="s">
        <v>204</v>
      </c>
      <c r="D38" s="100">
        <v>17</v>
      </c>
      <c r="E38" s="100">
        <v>21114</v>
      </c>
      <c r="F38" s="100">
        <v>13.577801709444445</v>
      </c>
      <c r="G38" s="100">
        <v>16863.629723130001</v>
      </c>
      <c r="H38" s="100">
        <v>14.749808724377788</v>
      </c>
      <c r="I38" s="100">
        <v>18319.262435677214</v>
      </c>
      <c r="J38" s="100">
        <v>8.8305789061571217E-4</v>
      </c>
      <c r="K38" s="100">
        <v>1.0967579001447145</v>
      </c>
      <c r="L38" s="100">
        <v>17.175624731832677</v>
      </c>
      <c r="M38" s="100">
        <v>21332.125916936184</v>
      </c>
      <c r="N38" s="100">
        <v>3.5895156894145566</v>
      </c>
      <c r="O38" s="100">
        <v>4458.1784862528793</v>
      </c>
      <c r="P38" s="100">
        <v>19</v>
      </c>
      <c r="Q38" s="100">
        <v>23598</v>
      </c>
      <c r="R38" s="100">
        <v>16.978804677775727</v>
      </c>
      <c r="S38" s="100">
        <v>21087.675409797452</v>
      </c>
      <c r="T38" s="100">
        <v>3.4005213411762401</v>
      </c>
      <c r="U38" s="100">
        <v>4223.4475057408899</v>
      </c>
      <c r="V38" s="100">
        <v>7.359324512927266</v>
      </c>
      <c r="W38" s="100">
        <v>9140.2810450556644</v>
      </c>
      <c r="X38" s="100">
        <v>16.045543428662548</v>
      </c>
      <c r="Y38" s="100">
        <v>19928.564938398886</v>
      </c>
      <c r="Z38" s="100">
        <v>4.3507211022806453</v>
      </c>
      <c r="AA38" s="100">
        <v>5403.5956090325617</v>
      </c>
      <c r="AB38" s="100">
        <v>17.108772389032058</v>
      </c>
      <c r="AC38" s="100">
        <v>21249.095307177817</v>
      </c>
      <c r="AD38" s="100">
        <v>11</v>
      </c>
      <c r="AE38" s="100">
        <v>13662</v>
      </c>
      <c r="AF38" s="100">
        <v>3.8918022856025605</v>
      </c>
      <c r="AG38" s="100">
        <v>4833.6184387183803</v>
      </c>
      <c r="AH38" s="100">
        <v>16</v>
      </c>
      <c r="AI38" s="100">
        <v>19872</v>
      </c>
      <c r="AJ38" s="100">
        <v>7.1129497060312135</v>
      </c>
      <c r="AK38" s="100">
        <v>8834.2835348907665</v>
      </c>
      <c r="AL38" s="100">
        <v>14.787646440501232</v>
      </c>
      <c r="AM38" s="100">
        <v>18366.25687910253</v>
      </c>
      <c r="AN38" s="100">
        <v>14.065681056299164</v>
      </c>
      <c r="AO38" s="100">
        <v>17469.57587192356</v>
      </c>
      <c r="AP38" s="100">
        <v>7.0119510706164628E-4</v>
      </c>
      <c r="AQ38" s="100">
        <v>0.87088432297056473</v>
      </c>
      <c r="AR38" s="100">
        <v>11.206108610052574</v>
      </c>
      <c r="AS38" s="100">
        <v>13917.986893685296</v>
      </c>
      <c r="AT38" s="100">
        <v>17.070061360557823</v>
      </c>
      <c r="AU38" s="100">
        <v>21201.016209812817</v>
      </c>
      <c r="AV38" s="100">
        <v>7.9589126562480343</v>
      </c>
      <c r="AW38" s="100">
        <v>9884.9695190600578</v>
      </c>
      <c r="AX38" s="100">
        <v>8.81297722653166E-4</v>
      </c>
      <c r="AY38" s="100">
        <v>1.0945717715352321</v>
      </c>
      <c r="AZ38" s="100">
        <v>15.524120000655458</v>
      </c>
      <c r="BA38" s="100">
        <v>19280.957040814079</v>
      </c>
      <c r="BB38" s="100">
        <v>5.2322308235820429</v>
      </c>
      <c r="BC38" s="100">
        <v>6498.4306828888975</v>
      </c>
      <c r="BD38" s="100">
        <v>12.997931601325785</v>
      </c>
      <c r="BE38" s="100">
        <v>16143.431048846625</v>
      </c>
      <c r="BF38" s="100">
        <v>9.8161123770576921</v>
      </c>
      <c r="BG38" s="100">
        <v>12191.611572305654</v>
      </c>
      <c r="BH38" s="100">
        <v>17.447363641968106</v>
      </c>
      <c r="BI38" s="100">
        <v>21669.625643324387</v>
      </c>
      <c r="BJ38" s="100">
        <v>12.77519754392576</v>
      </c>
      <c r="BK38" s="100">
        <v>15866.795349555794</v>
      </c>
      <c r="BL38" s="100">
        <v>18</v>
      </c>
      <c r="BM38" s="100">
        <v>22356</v>
      </c>
      <c r="BN38" s="100">
        <v>11.709454343762284</v>
      </c>
      <c r="BO38" s="100">
        <v>14543.142294952757</v>
      </c>
      <c r="BP38" s="100">
        <v>4.1745739467653067</v>
      </c>
      <c r="BQ38" s="100">
        <v>5184.8208418825106</v>
      </c>
      <c r="BR38" s="100">
        <v>1.0882564475541211E-3</v>
      </c>
      <c r="BS38" s="100">
        <v>1.3516145078622184</v>
      </c>
      <c r="BT38" s="100">
        <v>15.000293868462698</v>
      </c>
      <c r="BU38" s="100">
        <v>18630.364984630673</v>
      </c>
      <c r="BV38" s="100">
        <v>8.0815564829325925</v>
      </c>
      <c r="BW38" s="100">
        <v>10037.29315180228</v>
      </c>
      <c r="BX38" s="100">
        <v>19.155100309740899</v>
      </c>
      <c r="BY38" s="100">
        <v>23790.634584698197</v>
      </c>
      <c r="BZ38" s="100">
        <v>13</v>
      </c>
      <c r="CA38" s="100">
        <v>16146</v>
      </c>
      <c r="CB38" s="100">
        <v>6.146663763997199</v>
      </c>
      <c r="CC38" s="100">
        <v>7634.1563948845214</v>
      </c>
      <c r="CD38" s="100">
        <v>8.1350658264332419E-4</v>
      </c>
      <c r="CE38" s="100">
        <v>1.0103751756430086</v>
      </c>
      <c r="CF38" s="100">
        <v>19.211284371788441</v>
      </c>
      <c r="CG38" s="100">
        <v>23860.415189761243</v>
      </c>
      <c r="CH38" s="100">
        <v>9.5277000470113116</v>
      </c>
      <c r="CI38" s="100">
        <v>11833.403458388049</v>
      </c>
      <c r="CJ38" s="100">
        <v>17</v>
      </c>
      <c r="CK38" s="100">
        <v>21114</v>
      </c>
      <c r="CL38" s="100">
        <v>6.7244629201514297</v>
      </c>
      <c r="CM38" s="100">
        <v>8351.7829468280761</v>
      </c>
      <c r="CN38" s="100">
        <v>11</v>
      </c>
      <c r="CO38" s="100">
        <v>13662</v>
      </c>
      <c r="CP38" s="100">
        <v>13</v>
      </c>
      <c r="CQ38" s="100">
        <v>16146</v>
      </c>
      <c r="CR38" s="100">
        <v>11.757391488960401</v>
      </c>
      <c r="CS38" s="100">
        <v>14602.680229288819</v>
      </c>
      <c r="CT38" s="100">
        <v>12.489354016710942</v>
      </c>
      <c r="CU38" s="100">
        <v>15511.77768875499</v>
      </c>
    </row>
    <row r="39" spans="2:99">
      <c r="C39" s="99" t="s">
        <v>205</v>
      </c>
      <c r="D39" s="100">
        <v>17</v>
      </c>
      <c r="E39" s="100">
        <v>24194.400000000001</v>
      </c>
      <c r="F39" s="100">
        <v>14.426414316284722</v>
      </c>
      <c r="G39" s="100">
        <v>20531.672854936416</v>
      </c>
      <c r="H39" s="100">
        <v>14.749808724377788</v>
      </c>
      <c r="I39" s="100">
        <v>20991.927776534467</v>
      </c>
      <c r="J39" s="100">
        <v>8.8305789061571217E-4</v>
      </c>
      <c r="K39" s="100">
        <v>1.2567679899242816</v>
      </c>
      <c r="L39" s="100">
        <v>15.175624731832679</v>
      </c>
      <c r="M39" s="100">
        <v>21597.94911834427</v>
      </c>
      <c r="N39" s="100">
        <v>3.3331217115992313</v>
      </c>
      <c r="O39" s="100">
        <v>4743.6988199480265</v>
      </c>
      <c r="P39" s="100">
        <v>18</v>
      </c>
      <c r="Q39" s="100">
        <v>25617.600000000002</v>
      </c>
      <c r="R39" s="100">
        <v>15.980051461435979</v>
      </c>
      <c r="S39" s="100">
        <v>22742.809239915685</v>
      </c>
      <c r="T39" s="100">
        <v>3.1171445627448868</v>
      </c>
      <c r="U39" s="100">
        <v>4436.320141698523</v>
      </c>
      <c r="V39" s="100">
        <v>6.7769574273423672</v>
      </c>
      <c r="W39" s="100">
        <v>9644.9658105936578</v>
      </c>
      <c r="X39" s="100">
        <v>15.045543428662548</v>
      </c>
      <c r="Y39" s="100">
        <v>21412.817407672537</v>
      </c>
      <c r="Z39" s="100">
        <v>3.9552010020733142</v>
      </c>
      <c r="AA39" s="100">
        <v>5629.0420661507405</v>
      </c>
      <c r="AB39" s="100">
        <v>16.084600747024933</v>
      </c>
      <c r="AC39" s="100">
        <v>22891.603783165883</v>
      </c>
      <c r="AD39" s="100">
        <v>11</v>
      </c>
      <c r="AE39" s="100">
        <v>15655.2</v>
      </c>
      <c r="AF39" s="100">
        <v>3.5380020778205097</v>
      </c>
      <c r="AG39" s="100">
        <v>5035.2845571541493</v>
      </c>
      <c r="AH39" s="100">
        <v>16</v>
      </c>
      <c r="AI39" s="100">
        <v>22771.200000000001</v>
      </c>
      <c r="AJ39" s="100">
        <v>6.7385839320295711</v>
      </c>
      <c r="AK39" s="100">
        <v>9590.3526520644864</v>
      </c>
      <c r="AL39" s="100">
        <v>14.630117152400986</v>
      </c>
      <c r="AM39" s="100">
        <v>20821.582731297083</v>
      </c>
      <c r="AN39" s="100">
        <v>12.410895049675732</v>
      </c>
      <c r="AO39" s="100">
        <v>17663.185834698503</v>
      </c>
      <c r="AP39" s="100">
        <v>7.6194959536900837E-4</v>
      </c>
      <c r="AQ39" s="100">
        <v>1.0844066641291727</v>
      </c>
      <c r="AR39" s="100">
        <v>9.3554293658334604</v>
      </c>
      <c r="AS39" s="100">
        <v>13314.647073454182</v>
      </c>
      <c r="AT39" s="100">
        <v>17.070061360557823</v>
      </c>
      <c r="AU39" s="100">
        <v>24294.111328345894</v>
      </c>
      <c r="AV39" s="100">
        <v>8.7548039218728366</v>
      </c>
      <c r="AW39" s="100">
        <v>12459.836941609421</v>
      </c>
      <c r="AX39" s="100">
        <v>9.5211198278618702E-4</v>
      </c>
      <c r="AY39" s="100">
        <v>1.3550457739013013</v>
      </c>
      <c r="AZ39" s="100">
        <v>16.432523544584964</v>
      </c>
      <c r="BA39" s="100">
        <v>23386.76750865332</v>
      </c>
      <c r="BB39" s="100">
        <v>5.6444119776444195</v>
      </c>
      <c r="BC39" s="100">
        <v>8033.1271265835385</v>
      </c>
      <c r="BD39" s="100">
        <v>12.997931601325785</v>
      </c>
      <c r="BE39" s="100">
        <v>18498.656255006859</v>
      </c>
      <c r="BF39" s="100">
        <v>9.7109515835813109</v>
      </c>
      <c r="BG39" s="100">
        <v>13820.626293752923</v>
      </c>
      <c r="BH39" s="100">
        <v>15.951511420360731</v>
      </c>
      <c r="BI39" s="100">
        <v>22702.191053457394</v>
      </c>
      <c r="BJ39" s="100">
        <v>12.664455037650653</v>
      </c>
      <c r="BK39" s="100">
        <v>18024.052409584408</v>
      </c>
      <c r="BL39" s="100">
        <v>17</v>
      </c>
      <c r="BM39" s="100">
        <v>24194.400000000001</v>
      </c>
      <c r="BN39" s="100">
        <v>12.490084633346436</v>
      </c>
      <c r="BO39" s="100">
        <v>17775.888450178649</v>
      </c>
      <c r="BP39" s="100">
        <v>4.1745739467653067</v>
      </c>
      <c r="BQ39" s="100">
        <v>5941.2536410363846</v>
      </c>
      <c r="BR39" s="100">
        <v>9.2858972885606573E-4</v>
      </c>
      <c r="BS39" s="100">
        <v>1.3215689021079529</v>
      </c>
      <c r="BT39" s="100">
        <v>15.000293868462698</v>
      </c>
      <c r="BU39" s="100">
        <v>21348.418233596112</v>
      </c>
      <c r="BV39" s="100">
        <v>6.8382401009429632</v>
      </c>
      <c r="BW39" s="100">
        <v>9732.1833116620255</v>
      </c>
      <c r="BX39" s="100">
        <v>18.197345294253854</v>
      </c>
      <c r="BY39" s="100">
        <v>25898.461822782087</v>
      </c>
      <c r="BZ39" s="100">
        <v>12</v>
      </c>
      <c r="CA39" s="100">
        <v>17078.400000000001</v>
      </c>
      <c r="CB39" s="100">
        <v>5.2685689405690272</v>
      </c>
      <c r="CC39" s="100">
        <v>7498.2273162178399</v>
      </c>
      <c r="CD39" s="100">
        <v>8.1216396661490592E-4</v>
      </c>
      <c r="CE39" s="100">
        <v>1.1558717572863342</v>
      </c>
      <c r="CF39" s="100">
        <v>20.237694918261997</v>
      </c>
      <c r="CG39" s="100">
        <v>28802.287407670476</v>
      </c>
      <c r="CH39" s="100">
        <v>10.208250050369262</v>
      </c>
      <c r="CI39" s="100">
        <v>14528.381471685534</v>
      </c>
      <c r="CJ39" s="100">
        <v>15</v>
      </c>
      <c r="CK39" s="100">
        <v>21348</v>
      </c>
      <c r="CL39" s="100">
        <v>6.8438373445828207</v>
      </c>
      <c r="CM39" s="100">
        <v>9740.1493088102707</v>
      </c>
      <c r="CN39" s="100">
        <v>12.104402782275701</v>
      </c>
      <c r="CO39" s="100">
        <v>17226.986039734777</v>
      </c>
      <c r="CP39" s="100">
        <v>11</v>
      </c>
      <c r="CQ39" s="100">
        <v>15655.2</v>
      </c>
      <c r="CR39" s="100">
        <v>10.852976759040368</v>
      </c>
      <c r="CS39" s="100">
        <v>15445.956523466253</v>
      </c>
      <c r="CT39" s="100">
        <v>10.856902659951873</v>
      </c>
      <c r="CU39" s="100">
        <v>15451.543865643505</v>
      </c>
    </row>
    <row r="40" spans="2:99">
      <c r="C40" s="99" t="s">
        <v>206</v>
      </c>
      <c r="D40" s="100">
        <v>18</v>
      </c>
      <c r="E40" s="100">
        <v>13046.4</v>
      </c>
      <c r="F40" s="100">
        <v>15.275026923124999</v>
      </c>
      <c r="G40" s="100">
        <v>11071.339513880999</v>
      </c>
      <c r="H40" s="100">
        <v>13.882172917061448</v>
      </c>
      <c r="I40" s="100">
        <v>10061.798930286137</v>
      </c>
      <c r="J40" s="100">
        <v>9.7136367967728325E-4</v>
      </c>
      <c r="K40" s="100">
        <v>0.70404439503009486</v>
      </c>
      <c r="L40" s="100">
        <v>18.175624731832677</v>
      </c>
      <c r="M40" s="100">
        <v>13173.692805632323</v>
      </c>
      <c r="N40" s="100">
        <v>4.1023036450452084</v>
      </c>
      <c r="O40" s="100">
        <v>2973.349681928767</v>
      </c>
      <c r="P40" s="100">
        <v>17</v>
      </c>
      <c r="Q40" s="100">
        <v>12321.599999999999</v>
      </c>
      <c r="R40" s="100">
        <v>17.977557894115478</v>
      </c>
      <c r="S40" s="100">
        <v>13030.133961654898</v>
      </c>
      <c r="T40" s="100">
        <v>3.6838981196075933</v>
      </c>
      <c r="U40" s="100">
        <v>2670.0893570915832</v>
      </c>
      <c r="V40" s="100">
        <v>6.7184080406686277</v>
      </c>
      <c r="W40" s="100">
        <v>4869.5021478766212</v>
      </c>
      <c r="X40" s="100">
        <v>15.045543428662548</v>
      </c>
      <c r="Y40" s="100">
        <v>10905.009877094613</v>
      </c>
      <c r="Z40" s="100">
        <v>4.7462412024879779</v>
      </c>
      <c r="AA40" s="100">
        <v>3440.0756235632862</v>
      </c>
      <c r="AB40" s="100">
        <v>18.084600747024933</v>
      </c>
      <c r="AC40" s="100">
        <v>13107.71862144367</v>
      </c>
      <c r="AD40" s="100">
        <v>12</v>
      </c>
      <c r="AE40" s="100">
        <v>8697.5999999999985</v>
      </c>
      <c r="AF40" s="100">
        <v>3.8918022856025605</v>
      </c>
      <c r="AG40" s="100">
        <v>2820.7782966047357</v>
      </c>
      <c r="AH40" s="100">
        <v>19</v>
      </c>
      <c r="AI40" s="100">
        <v>13771.199999999999</v>
      </c>
      <c r="AJ40" s="100">
        <v>8.2360470280361415</v>
      </c>
      <c r="AK40" s="100">
        <v>5969.4868859205953</v>
      </c>
      <c r="AL40" s="100">
        <v>16.787646440501234</v>
      </c>
      <c r="AM40" s="100">
        <v>12167.686140075293</v>
      </c>
      <c r="AN40" s="100">
        <v>13.238288052987448</v>
      </c>
      <c r="AO40" s="100">
        <v>9595.111180805301</v>
      </c>
      <c r="AP40" s="100">
        <v>7.6745843207418627E-4</v>
      </c>
      <c r="AQ40" s="100">
        <v>0.55625387156737016</v>
      </c>
      <c r="AR40" s="100">
        <v>10.280768987943018</v>
      </c>
      <c r="AS40" s="100">
        <v>7451.5013624610992</v>
      </c>
      <c r="AT40" s="100">
        <v>19.070061360557823</v>
      </c>
      <c r="AU40" s="100">
        <v>13821.98047413231</v>
      </c>
      <c r="AV40" s="100">
        <v>8.7548039218728366</v>
      </c>
      <c r="AW40" s="100">
        <v>6345.4818825734319</v>
      </c>
      <c r="AX40" s="100">
        <v>1.1007464143982099E-3</v>
      </c>
      <c r="AY40" s="100">
        <v>0.79782100115582244</v>
      </c>
      <c r="AZ40" s="100">
        <v>16.357328654578087</v>
      </c>
      <c r="BA40" s="100">
        <v>11855.791808838196</v>
      </c>
      <c r="BB40" s="100">
        <v>5.6444119776444195</v>
      </c>
      <c r="BC40" s="100">
        <v>4091.0698013966748</v>
      </c>
      <c r="BD40" s="100">
        <v>13.910780748699199</v>
      </c>
      <c r="BE40" s="100">
        <v>10082.533886657178</v>
      </c>
      <c r="BF40" s="100">
        <v>9.8161123770576921</v>
      </c>
      <c r="BG40" s="100">
        <v>7114.7182508914148</v>
      </c>
      <c r="BH40" s="100">
        <v>17.447363641968106</v>
      </c>
      <c r="BI40" s="100">
        <v>12645.849167698483</v>
      </c>
      <c r="BJ40" s="100">
        <v>13.664455037650653</v>
      </c>
      <c r="BK40" s="100">
        <v>9903.9970112891915</v>
      </c>
      <c r="BL40" s="100">
        <v>20</v>
      </c>
      <c r="BM40" s="100">
        <v>14496</v>
      </c>
      <c r="BN40" s="100">
        <v>13.270714922930589</v>
      </c>
      <c r="BO40" s="100">
        <v>9618.6141761400904</v>
      </c>
      <c r="BP40" s="100">
        <v>4.4354848184381375</v>
      </c>
      <c r="BQ40" s="100">
        <v>3214.8393964039619</v>
      </c>
      <c r="BR40" s="100">
        <v>1.0330499033019567E-3</v>
      </c>
      <c r="BS40" s="100">
        <v>0.74875456991325817</v>
      </c>
      <c r="BT40" s="100">
        <v>16.000293868462698</v>
      </c>
      <c r="BU40" s="100">
        <v>11597.012995861764</v>
      </c>
      <c r="BV40" s="100">
        <v>8.7032146739274072</v>
      </c>
      <c r="BW40" s="100">
        <v>6308.0899956625844</v>
      </c>
      <c r="BX40" s="100">
        <v>19.155100309740899</v>
      </c>
      <c r="BY40" s="100">
        <v>13883.616704500202</v>
      </c>
      <c r="BZ40" s="100">
        <v>14</v>
      </c>
      <c r="CA40" s="100">
        <v>10147.199999999999</v>
      </c>
      <c r="CB40" s="100">
        <v>6.146663763997199</v>
      </c>
      <c r="CC40" s="100">
        <v>4455.10189614517</v>
      </c>
      <c r="CD40" s="100">
        <v>8.7598073392139398E-4</v>
      </c>
      <c r="CE40" s="100">
        <v>0.63491083594622633</v>
      </c>
      <c r="CF40" s="100">
        <v>20.211284371788441</v>
      </c>
      <c r="CG40" s="100">
        <v>14649.138912672261</v>
      </c>
      <c r="CH40" s="100">
        <v>10.888800053727213</v>
      </c>
      <c r="CI40" s="100">
        <v>7892.2022789414832</v>
      </c>
      <c r="CJ40" s="100">
        <v>17</v>
      </c>
      <c r="CK40" s="100">
        <v>12321.599999999999</v>
      </c>
      <c r="CL40" s="100">
        <v>7.8452067401766676</v>
      </c>
      <c r="CM40" s="100">
        <v>5686.2058452800484</v>
      </c>
      <c r="CN40" s="100">
        <v>13.227114202528556</v>
      </c>
      <c r="CO40" s="100">
        <v>9587.0123739926967</v>
      </c>
      <c r="CP40" s="100">
        <v>11</v>
      </c>
      <c r="CQ40" s="100">
        <v>7972.7999999999993</v>
      </c>
      <c r="CR40" s="100">
        <v>12.661806218880431</v>
      </c>
      <c r="CS40" s="100">
        <v>9177.2771474445362</v>
      </c>
      <c r="CT40" s="100">
        <v>13.196341678698751</v>
      </c>
      <c r="CU40" s="100">
        <v>9564.708448720854</v>
      </c>
    </row>
    <row r="41" spans="2:99">
      <c r="C41" s="99" t="s">
        <v>207</v>
      </c>
      <c r="D41" s="100">
        <v>19</v>
      </c>
      <c r="E41" s="100">
        <v>12540</v>
      </c>
      <c r="F41" s="100">
        <v>16.972252136805555</v>
      </c>
      <c r="G41" s="100">
        <v>11201.686410291666</v>
      </c>
      <c r="H41" s="100">
        <v>13.014537109745108</v>
      </c>
      <c r="I41" s="100">
        <v>8589.5944924317719</v>
      </c>
      <c r="J41" s="100">
        <v>9.7136367967728325E-4</v>
      </c>
      <c r="K41" s="100">
        <v>0.64110002858700699</v>
      </c>
      <c r="L41" s="100">
        <v>19.175624731832677</v>
      </c>
      <c r="M41" s="100">
        <v>12655.912323009567</v>
      </c>
      <c r="N41" s="100">
        <v>3.5895156894145566</v>
      </c>
      <c r="O41" s="100">
        <v>2369.0803550136075</v>
      </c>
      <c r="P41" s="100">
        <v>18</v>
      </c>
      <c r="Q41" s="100">
        <v>11880</v>
      </c>
      <c r="R41" s="100">
        <v>19.975064326794975</v>
      </c>
      <c r="S41" s="100">
        <v>13183.542455684683</v>
      </c>
      <c r="T41" s="100">
        <v>3.6838981196075933</v>
      </c>
      <c r="U41" s="100">
        <v>2431.3727589410114</v>
      </c>
      <c r="V41" s="100">
        <v>7.9436539150987695</v>
      </c>
      <c r="W41" s="100">
        <v>5242.8115839651882</v>
      </c>
      <c r="X41" s="100">
        <v>16.219800666772972</v>
      </c>
      <c r="Y41" s="100">
        <v>10705.068440070161</v>
      </c>
      <c r="Z41" s="100">
        <v>4.8125051264748393</v>
      </c>
      <c r="AA41" s="100">
        <v>3176.253383473394</v>
      </c>
      <c r="AB41" s="100">
        <v>18.084600747024933</v>
      </c>
      <c r="AC41" s="100">
        <v>11935.836493036455</v>
      </c>
      <c r="AD41" s="100">
        <v>12</v>
      </c>
      <c r="AE41" s="100">
        <v>7920</v>
      </c>
      <c r="AF41" s="100">
        <v>4.2456024933846113</v>
      </c>
      <c r="AG41" s="100">
        <v>2802.0976456338435</v>
      </c>
      <c r="AH41" s="100">
        <v>17</v>
      </c>
      <c r="AI41" s="100">
        <v>11220</v>
      </c>
      <c r="AJ41" s="100">
        <v>8.0201787894401875</v>
      </c>
      <c r="AK41" s="100">
        <v>5293.3180010305241</v>
      </c>
      <c r="AL41" s="100">
        <v>15.630117152400986</v>
      </c>
      <c r="AM41" s="100">
        <v>10315.87732058465</v>
      </c>
      <c r="AN41" s="100">
        <v>14.893074059610878</v>
      </c>
      <c r="AO41" s="100">
        <v>9829.4288793431806</v>
      </c>
      <c r="AP41" s="100">
        <v>7.6470401372159737E-4</v>
      </c>
      <c r="AQ41" s="100">
        <v>0.50470464905625423</v>
      </c>
      <c r="AR41" s="100">
        <v>10.152347392087085</v>
      </c>
      <c r="AS41" s="100">
        <v>6700.5492787774765</v>
      </c>
      <c r="AT41" s="100">
        <v>17.070061360557823</v>
      </c>
      <c r="AU41" s="100">
        <v>11266.240497968163</v>
      </c>
      <c r="AV41" s="100">
        <v>8.7548039218728366</v>
      </c>
      <c r="AW41" s="100">
        <v>5778.1705884360717</v>
      </c>
      <c r="AX41" s="100">
        <v>1.0972434587252194E-3</v>
      </c>
      <c r="AY41" s="100">
        <v>0.72418068275864478</v>
      </c>
      <c r="AZ41" s="100">
        <v>15.599314890662338</v>
      </c>
      <c r="BA41" s="100">
        <v>10295.547827837143</v>
      </c>
      <c r="BB41" s="100">
        <v>5.2117981825225055</v>
      </c>
      <c r="BC41" s="100">
        <v>3439.7868004648535</v>
      </c>
      <c r="BD41" s="100">
        <v>13.786763753173631</v>
      </c>
      <c r="BE41" s="100">
        <v>9099.2640770945964</v>
      </c>
      <c r="BF41" s="100">
        <v>9.7132046223330395</v>
      </c>
      <c r="BG41" s="100">
        <v>6410.7150507398064</v>
      </c>
      <c r="BH41" s="100">
        <v>16.075635070896602</v>
      </c>
      <c r="BI41" s="100">
        <v>10609.919146791757</v>
      </c>
      <c r="BJ41" s="100">
        <v>12.664455037650653</v>
      </c>
      <c r="BK41" s="100">
        <v>8358.5403248494313</v>
      </c>
      <c r="BL41" s="100">
        <v>22</v>
      </c>
      <c r="BM41" s="100">
        <v>14520</v>
      </c>
      <c r="BN41" s="100">
        <v>11.709454343762284</v>
      </c>
      <c r="BO41" s="100">
        <v>7728.2398668831074</v>
      </c>
      <c r="BP41" s="100">
        <v>5.2182174334566325</v>
      </c>
      <c r="BQ41" s="100">
        <v>3444.0235060813775</v>
      </c>
      <c r="BR41" s="100">
        <v>1.1394943824339936E-3</v>
      </c>
      <c r="BS41" s="100">
        <v>0.75206629240643574</v>
      </c>
      <c r="BT41" s="100">
        <v>15.000293868462698</v>
      </c>
      <c r="BU41" s="100">
        <v>9900.1939531853805</v>
      </c>
      <c r="BV41" s="100">
        <v>7.4598982919377779</v>
      </c>
      <c r="BW41" s="100">
        <v>4923.532872678933</v>
      </c>
      <c r="BX41" s="100">
        <v>19.155100309740899</v>
      </c>
      <c r="BY41" s="100">
        <v>12642.366204428994</v>
      </c>
      <c r="BZ41" s="100">
        <v>14</v>
      </c>
      <c r="CA41" s="100">
        <v>9240</v>
      </c>
      <c r="CB41" s="100">
        <v>5.2685689405690272</v>
      </c>
      <c r="CC41" s="100">
        <v>3477.2555007755582</v>
      </c>
      <c r="CD41" s="100">
        <v>9.9891511243490575E-4</v>
      </c>
      <c r="CE41" s="100">
        <v>0.65928397420703777</v>
      </c>
      <c r="CF41" s="100">
        <v>23.211284371788441</v>
      </c>
      <c r="CG41" s="100">
        <v>15319.447685380372</v>
      </c>
      <c r="CH41" s="100">
        <v>10.208250050369262</v>
      </c>
      <c r="CI41" s="100">
        <v>6737.4450332437127</v>
      </c>
      <c r="CJ41" s="100">
        <v>18</v>
      </c>
      <c r="CK41" s="100">
        <v>11880</v>
      </c>
      <c r="CL41" s="100">
        <v>7.2848348301640478</v>
      </c>
      <c r="CM41" s="100">
        <v>4807.9909879082716</v>
      </c>
      <c r="CN41" s="100">
        <v>13.104402782275701</v>
      </c>
      <c r="CO41" s="100">
        <v>8648.9058363019631</v>
      </c>
      <c r="CP41" s="100">
        <v>14</v>
      </c>
      <c r="CQ41" s="100">
        <v>9240</v>
      </c>
      <c r="CR41" s="100">
        <v>10.852976759040368</v>
      </c>
      <c r="CS41" s="100">
        <v>7162.9646609666434</v>
      </c>
      <c r="CT41" s="100">
        <v>13.752076702605706</v>
      </c>
      <c r="CU41" s="100">
        <v>9076.3706237197657</v>
      </c>
    </row>
    <row r="42" spans="2:99">
      <c r="C42" s="99" t="s">
        <v>208</v>
      </c>
      <c r="D42" s="100">
        <v>19</v>
      </c>
      <c r="E42" s="100">
        <v>16074</v>
      </c>
      <c r="F42" s="100">
        <v>15.275026923124999</v>
      </c>
      <c r="G42" s="100">
        <v>12922.672776963749</v>
      </c>
      <c r="H42" s="100">
        <v>13.014537109745108</v>
      </c>
      <c r="I42" s="100">
        <v>11010.298394844362</v>
      </c>
      <c r="J42" s="100">
        <v>9.7136367967728325E-4</v>
      </c>
      <c r="K42" s="100">
        <v>0.82177367300698168</v>
      </c>
      <c r="L42" s="100">
        <v>17.007678341570866</v>
      </c>
      <c r="M42" s="100">
        <v>14388.495876968953</v>
      </c>
      <c r="N42" s="100">
        <v>3.8459096672298823</v>
      </c>
      <c r="O42" s="100">
        <v>3253.6395784764804</v>
      </c>
      <c r="P42" s="100">
        <v>17</v>
      </c>
      <c r="Q42" s="100">
        <v>14382</v>
      </c>
      <c r="R42" s="100">
        <v>16.978804677775727</v>
      </c>
      <c r="S42" s="100">
        <v>14364.068757398265</v>
      </c>
      <c r="T42" s="100">
        <v>3.4005213411762401</v>
      </c>
      <c r="U42" s="100">
        <v>2876.8410546350992</v>
      </c>
      <c r="V42" s="100">
        <v>7.9436539150987695</v>
      </c>
      <c r="W42" s="100">
        <v>6720.3312121735589</v>
      </c>
      <c r="X42" s="100">
        <v>17.045543428662548</v>
      </c>
      <c r="Y42" s="100">
        <v>14420.529740648515</v>
      </c>
      <c r="Z42" s="100">
        <v>3.9552010020733142</v>
      </c>
      <c r="AA42" s="100">
        <v>3346.1000477540238</v>
      </c>
      <c r="AB42" s="100">
        <v>18.084600747024933</v>
      </c>
      <c r="AC42" s="100">
        <v>15299.572231983093</v>
      </c>
      <c r="AD42" s="100">
        <v>12</v>
      </c>
      <c r="AE42" s="100">
        <v>10152</v>
      </c>
      <c r="AF42" s="100">
        <v>3.8918022856025605</v>
      </c>
      <c r="AG42" s="100">
        <v>3292.4647336197663</v>
      </c>
      <c r="AH42" s="100">
        <v>18</v>
      </c>
      <c r="AI42" s="100">
        <v>15228</v>
      </c>
      <c r="AJ42" s="100">
        <v>7.4873154800328567</v>
      </c>
      <c r="AK42" s="100">
        <v>6334.2688961077965</v>
      </c>
      <c r="AL42" s="100">
        <v>16.787646440501234</v>
      </c>
      <c r="AM42" s="100">
        <v>14202.348888664044</v>
      </c>
      <c r="AN42" s="100">
        <v>14.893074059610878</v>
      </c>
      <c r="AO42" s="100">
        <v>12599.540654430803</v>
      </c>
      <c r="AP42" s="100">
        <v>7.6470401372159737E-4</v>
      </c>
      <c r="AQ42" s="100">
        <v>0.64693959560847136</v>
      </c>
      <c r="AR42" s="100">
        <v>11.077687014196643</v>
      </c>
      <c r="AS42" s="100">
        <v>9371.7232140103606</v>
      </c>
      <c r="AT42" s="100">
        <v>16.222927269208938</v>
      </c>
      <c r="AU42" s="100">
        <v>13724.596469750762</v>
      </c>
      <c r="AV42" s="100">
        <v>7.9589126562480343</v>
      </c>
      <c r="AW42" s="100">
        <v>6733.2401071858367</v>
      </c>
      <c r="AX42" s="100">
        <v>1.0299321542651888E-3</v>
      </c>
      <c r="AY42" s="100">
        <v>0.87132260250834981</v>
      </c>
      <c r="AZ42" s="100">
        <v>16.357328654578087</v>
      </c>
      <c r="BA42" s="100">
        <v>13838.300041773062</v>
      </c>
      <c r="BB42" s="100">
        <v>5.2117981825225055</v>
      </c>
      <c r="BC42" s="100">
        <v>4409.1812624140393</v>
      </c>
      <c r="BD42" s="100">
        <v>13.789004496986269</v>
      </c>
      <c r="BE42" s="100">
        <v>11665.497804450384</v>
      </c>
      <c r="BF42" s="100">
        <v>8.9641759338532889</v>
      </c>
      <c r="BG42" s="100">
        <v>7583.6928400398829</v>
      </c>
      <c r="BH42" s="100">
        <v>17.447363641968106</v>
      </c>
      <c r="BI42" s="100">
        <v>14760.469641105017</v>
      </c>
      <c r="BJ42" s="100">
        <v>13.77519754392576</v>
      </c>
      <c r="BK42" s="100">
        <v>11653.817122161194</v>
      </c>
      <c r="BL42" s="100">
        <v>22</v>
      </c>
      <c r="BM42" s="100">
        <v>18612</v>
      </c>
      <c r="BN42" s="100">
        <v>11.709454343762284</v>
      </c>
      <c r="BO42" s="100">
        <v>9906.1983748228922</v>
      </c>
      <c r="BP42" s="100">
        <v>4.1745739467653067</v>
      </c>
      <c r="BQ42" s="100">
        <v>3531.6895589634496</v>
      </c>
      <c r="BR42" s="100">
        <v>1.1414786871201397E-3</v>
      </c>
      <c r="BS42" s="100">
        <v>0.96569096930363818</v>
      </c>
      <c r="BT42" s="100">
        <v>15.000293868462698</v>
      </c>
      <c r="BU42" s="100">
        <v>12690.248612719442</v>
      </c>
      <c r="BV42" s="100">
        <v>7.4598982919377779</v>
      </c>
      <c r="BW42" s="100">
        <v>6311.0739549793598</v>
      </c>
      <c r="BX42" s="100">
        <v>17.239590278766808</v>
      </c>
      <c r="BY42" s="100">
        <v>14584.693375836719</v>
      </c>
      <c r="BZ42" s="100">
        <v>12</v>
      </c>
      <c r="CA42" s="100">
        <v>10152</v>
      </c>
      <c r="CB42" s="100">
        <v>6.146663763997199</v>
      </c>
      <c r="CC42" s="100">
        <v>5200.0775443416305</v>
      </c>
      <c r="CD42" s="100">
        <v>9.975724964064877E-4</v>
      </c>
      <c r="CE42" s="100">
        <v>0.84394633195988855</v>
      </c>
      <c r="CF42" s="100">
        <v>19.237694918261997</v>
      </c>
      <c r="CG42" s="100">
        <v>16275.089900849649</v>
      </c>
      <c r="CH42" s="100">
        <v>10.888800053727213</v>
      </c>
      <c r="CI42" s="100">
        <v>9211.9248454532226</v>
      </c>
      <c r="CJ42" s="100">
        <v>17</v>
      </c>
      <c r="CK42" s="100">
        <v>14382</v>
      </c>
      <c r="CL42" s="100">
        <v>6.7244629201514297</v>
      </c>
      <c r="CM42" s="100">
        <v>5688.8956304481098</v>
      </c>
      <c r="CN42" s="100">
        <v>14.227114202528556</v>
      </c>
      <c r="CO42" s="100">
        <v>12036.138615339158</v>
      </c>
      <c r="CP42" s="100">
        <v>13</v>
      </c>
      <c r="CQ42" s="100">
        <v>10998</v>
      </c>
      <c r="CR42" s="100">
        <v>10.852976759040368</v>
      </c>
      <c r="CS42" s="100">
        <v>9181.6183381481515</v>
      </c>
      <c r="CT42" s="100">
        <v>12.472548168035292</v>
      </c>
      <c r="CU42" s="100">
        <v>10551.775750157856</v>
      </c>
    </row>
    <row r="43" spans="2:99">
      <c r="C43" s="99" t="s">
        <v>209</v>
      </c>
      <c r="D43" s="100">
        <v>17</v>
      </c>
      <c r="E43" s="100">
        <v>17380.8</v>
      </c>
      <c r="F43" s="100">
        <v>15.275026923124999</v>
      </c>
      <c r="G43" s="100">
        <v>15617.187526202999</v>
      </c>
      <c r="H43" s="100">
        <v>14.749808724377788</v>
      </c>
      <c r="I43" s="100">
        <v>15080.204439803851</v>
      </c>
      <c r="J43" s="100">
        <v>1.1050343580198416E-3</v>
      </c>
      <c r="K43" s="100">
        <v>1.129787127639486</v>
      </c>
      <c r="L43" s="100">
        <v>17.007678341570866</v>
      </c>
      <c r="M43" s="100">
        <v>17388.650336422052</v>
      </c>
      <c r="N43" s="100">
        <v>3.8459096672298823</v>
      </c>
      <c r="O43" s="100">
        <v>3932.0580437758317</v>
      </c>
      <c r="P43" s="100">
        <v>19</v>
      </c>
      <c r="Q43" s="100">
        <v>19425.599999999999</v>
      </c>
      <c r="R43" s="100">
        <v>17.977557894115478</v>
      </c>
      <c r="S43" s="100">
        <v>18380.255190943662</v>
      </c>
      <c r="T43" s="100">
        <v>3.1171445627448868</v>
      </c>
      <c r="U43" s="100">
        <v>3186.9686009503721</v>
      </c>
      <c r="V43" s="100">
        <v>6.6987848748025884</v>
      </c>
      <c r="W43" s="100">
        <v>6848.8376559981662</v>
      </c>
      <c r="X43" s="100">
        <v>16.045543428662548</v>
      </c>
      <c r="Y43" s="100">
        <v>16404.963601464588</v>
      </c>
      <c r="Z43" s="100">
        <v>4.3507211022806453</v>
      </c>
      <c r="AA43" s="100">
        <v>4448.1772549717316</v>
      </c>
      <c r="AB43" s="100">
        <v>17.096686568028495</v>
      </c>
      <c r="AC43" s="100">
        <v>17479.652347152332</v>
      </c>
      <c r="AD43" s="100">
        <v>13</v>
      </c>
      <c r="AE43" s="100">
        <v>13291.199999999999</v>
      </c>
      <c r="AF43" s="100">
        <v>4.2456024933846113</v>
      </c>
      <c r="AG43" s="100">
        <v>4340.7039892364264</v>
      </c>
      <c r="AH43" s="100">
        <v>19</v>
      </c>
      <c r="AI43" s="100">
        <v>19425.599999999999</v>
      </c>
      <c r="AJ43" s="100">
        <v>7.1129497060312135</v>
      </c>
      <c r="AK43" s="100">
        <v>7272.2797794463122</v>
      </c>
      <c r="AL43" s="100">
        <v>16.787646440501234</v>
      </c>
      <c r="AM43" s="100">
        <v>17163.689720768463</v>
      </c>
      <c r="AN43" s="100">
        <v>13.238288052987448</v>
      </c>
      <c r="AO43" s="100">
        <v>13534.825705374367</v>
      </c>
      <c r="AP43" s="100">
        <v>7.6470401372159737E-4</v>
      </c>
      <c r="AQ43" s="100">
        <v>0.78183338362896115</v>
      </c>
      <c r="AR43" s="100">
        <v>10.152347392087085</v>
      </c>
      <c r="AS43" s="100">
        <v>10379.759973669836</v>
      </c>
      <c r="AT43" s="100">
        <v>16.070061360557823</v>
      </c>
      <c r="AU43" s="100">
        <v>16430.030735034317</v>
      </c>
      <c r="AV43" s="100">
        <v>8.7548039218728366</v>
      </c>
      <c r="AW43" s="100">
        <v>8950.9115297227872</v>
      </c>
      <c r="AX43" s="100">
        <v>1.0937405030522287E-3</v>
      </c>
      <c r="AY43" s="100">
        <v>1.1182402903205986</v>
      </c>
      <c r="AZ43" s="100">
        <v>15.599314890662338</v>
      </c>
      <c r="BA43" s="100">
        <v>15948.739544213175</v>
      </c>
      <c r="BB43" s="100">
        <v>5.2526634646415804</v>
      </c>
      <c r="BC43" s="100">
        <v>5370.3231262495519</v>
      </c>
      <c r="BD43" s="100">
        <v>12.082841710139736</v>
      </c>
      <c r="BE43" s="100">
        <v>12353.497364446865</v>
      </c>
      <c r="BF43" s="100">
        <v>9.0648306498262095</v>
      </c>
      <c r="BG43" s="100">
        <v>9267.8828563823172</v>
      </c>
      <c r="BH43" s="100">
        <v>16.823561181700292</v>
      </c>
      <c r="BI43" s="100">
        <v>17200.408952170379</v>
      </c>
      <c r="BJ43" s="100">
        <v>13.664455037650653</v>
      </c>
      <c r="BK43" s="100">
        <v>13970.538830494026</v>
      </c>
      <c r="BL43" s="100">
        <v>21</v>
      </c>
      <c r="BM43" s="100">
        <v>21470.399999999998</v>
      </c>
      <c r="BN43" s="100">
        <v>11.709454343762284</v>
      </c>
      <c r="BO43" s="100">
        <v>11971.746121062559</v>
      </c>
      <c r="BP43" s="100">
        <v>4.9573065617838008</v>
      </c>
      <c r="BQ43" s="100">
        <v>5068.3502287677575</v>
      </c>
      <c r="BR43" s="100">
        <v>1.1927166220000122E-3</v>
      </c>
      <c r="BS43" s="100">
        <v>1.2194334743328124</v>
      </c>
      <c r="BT43" s="100">
        <v>17.000244890385581</v>
      </c>
      <c r="BU43" s="100">
        <v>17381.050375930219</v>
      </c>
      <c r="BV43" s="100">
        <v>7.4598982919377779</v>
      </c>
      <c r="BW43" s="100">
        <v>7627.0000136771841</v>
      </c>
      <c r="BX43" s="100">
        <v>18.197345294253854</v>
      </c>
      <c r="BY43" s="100">
        <v>18604.965828845139</v>
      </c>
      <c r="BZ43" s="100">
        <v>12</v>
      </c>
      <c r="CA43" s="100">
        <v>12268.8</v>
      </c>
      <c r="CB43" s="100">
        <v>5.7076163522831127</v>
      </c>
      <c r="CC43" s="100">
        <v>5835.466958574254</v>
      </c>
      <c r="CD43" s="100">
        <v>8.7396680987876648E-4</v>
      </c>
      <c r="CE43" s="100">
        <v>0.89354366642005079</v>
      </c>
      <c r="CF43" s="100">
        <v>19.237694918261997</v>
      </c>
      <c r="CG43" s="100">
        <v>19668.619284431064</v>
      </c>
      <c r="CH43" s="100">
        <v>10.888800053727213</v>
      </c>
      <c r="CI43" s="100">
        <v>11132.709174930702</v>
      </c>
      <c r="CJ43" s="100">
        <v>16</v>
      </c>
      <c r="CK43" s="100">
        <v>16358.4</v>
      </c>
      <c r="CL43" s="100">
        <v>7.2848348301640478</v>
      </c>
      <c r="CM43" s="100">
        <v>7448.0151303597222</v>
      </c>
      <c r="CN43" s="100">
        <v>10.981691362022845</v>
      </c>
      <c r="CO43" s="100">
        <v>11227.681248532157</v>
      </c>
      <c r="CP43" s="100">
        <v>12</v>
      </c>
      <c r="CQ43" s="100">
        <v>12268.8</v>
      </c>
      <c r="CR43" s="100">
        <v>12.661806218880431</v>
      </c>
      <c r="CS43" s="100">
        <v>12945.430678183351</v>
      </c>
      <c r="CT43" s="100">
        <v>12.304489681278788</v>
      </c>
      <c r="CU43" s="100">
        <v>12580.110250139433</v>
      </c>
    </row>
    <row r="44" spans="2:99">
      <c r="C44" s="99" t="s">
        <v>210</v>
      </c>
      <c r="D44" s="100">
        <v>18</v>
      </c>
      <c r="E44" s="100">
        <v>18403.2</v>
      </c>
      <c r="F44" s="100">
        <v>15.275026923124999</v>
      </c>
      <c r="G44" s="100">
        <v>15617.187526202999</v>
      </c>
      <c r="H44" s="100">
        <v>13.882172917061448</v>
      </c>
      <c r="I44" s="100">
        <v>14193.133590403624</v>
      </c>
      <c r="J44" s="100">
        <v>1.0167285689582704E-3</v>
      </c>
      <c r="K44" s="100">
        <v>1.0395032889029356</v>
      </c>
      <c r="L44" s="100">
        <v>17.175624731832677</v>
      </c>
      <c r="M44" s="100">
        <v>17560.358725825728</v>
      </c>
      <c r="N44" s="100">
        <v>3.8459096672298823</v>
      </c>
      <c r="O44" s="100">
        <v>3932.0580437758317</v>
      </c>
      <c r="P44" s="100">
        <v>17</v>
      </c>
      <c r="Q44" s="100">
        <v>17380.8</v>
      </c>
      <c r="R44" s="100">
        <v>17.977557894115478</v>
      </c>
      <c r="S44" s="100">
        <v>18380.255190943662</v>
      </c>
      <c r="T44" s="100">
        <v>3.6838981196075933</v>
      </c>
      <c r="U44" s="100">
        <v>3766.4174374868035</v>
      </c>
      <c r="V44" s="100">
        <v>7.359324512927266</v>
      </c>
      <c r="W44" s="100">
        <v>7524.1733820168365</v>
      </c>
      <c r="X44" s="100">
        <v>17.045543428662548</v>
      </c>
      <c r="Y44" s="100">
        <v>17427.363601464589</v>
      </c>
      <c r="Z44" s="100">
        <v>3.9552010020733142</v>
      </c>
      <c r="AA44" s="100">
        <v>4043.7975045197563</v>
      </c>
      <c r="AB44" s="100">
        <v>18.096686568028495</v>
      </c>
      <c r="AC44" s="100">
        <v>18502.052347152334</v>
      </c>
      <c r="AD44" s="100">
        <v>13</v>
      </c>
      <c r="AE44" s="100">
        <v>13291.199999999999</v>
      </c>
      <c r="AF44" s="100">
        <v>3.5380020778205097</v>
      </c>
      <c r="AG44" s="100">
        <v>3617.253324363689</v>
      </c>
      <c r="AH44" s="100">
        <v>18</v>
      </c>
      <c r="AI44" s="100">
        <v>18403.2</v>
      </c>
      <c r="AJ44" s="100">
        <v>6.7385839320295711</v>
      </c>
      <c r="AK44" s="100">
        <v>6889.5282121070331</v>
      </c>
      <c r="AL44" s="100">
        <v>16.787646440501234</v>
      </c>
      <c r="AM44" s="100">
        <v>17163.689720768463</v>
      </c>
      <c r="AN44" s="100">
        <v>14.893074059610878</v>
      </c>
      <c r="AO44" s="100">
        <v>15226.678918546162</v>
      </c>
      <c r="AP44" s="100">
        <v>7.6470401372159737E-4</v>
      </c>
      <c r="AQ44" s="100">
        <v>0.78183338362896115</v>
      </c>
      <c r="AR44" s="100">
        <v>11.206108610052574</v>
      </c>
      <c r="AS44" s="100">
        <v>11457.125442917752</v>
      </c>
      <c r="AT44" s="100">
        <v>17.070061360557823</v>
      </c>
      <c r="AU44" s="100">
        <v>17452.430735034319</v>
      </c>
      <c r="AV44" s="100">
        <v>8.7548039218728366</v>
      </c>
      <c r="AW44" s="100">
        <v>8950.9115297227872</v>
      </c>
      <c r="AX44" s="100">
        <v>9.5211198278618702E-4</v>
      </c>
      <c r="AY44" s="100">
        <v>0.97343929120059758</v>
      </c>
      <c r="AZ44" s="100">
        <v>16.357328654578087</v>
      </c>
      <c r="BA44" s="100">
        <v>16723.732816440635</v>
      </c>
      <c r="BB44" s="100">
        <v>5.6444119776444195</v>
      </c>
      <c r="BC44" s="100">
        <v>5770.8468059436545</v>
      </c>
      <c r="BD44" s="100">
        <v>12.209099449477938</v>
      </c>
      <c r="BE44" s="100">
        <v>12482.583277146243</v>
      </c>
      <c r="BF44" s="100">
        <v>9.8138593383059618</v>
      </c>
      <c r="BG44" s="100">
        <v>10033.689787484014</v>
      </c>
      <c r="BH44" s="100">
        <v>14.579782849289225</v>
      </c>
      <c r="BI44" s="100">
        <v>14906.369985113304</v>
      </c>
      <c r="BJ44" s="100">
        <v>11.77519754392576</v>
      </c>
      <c r="BK44" s="100">
        <v>12038.961968909696</v>
      </c>
      <c r="BL44" s="100">
        <v>19</v>
      </c>
      <c r="BM44" s="100">
        <v>19425.599999999999</v>
      </c>
      <c r="BN44" s="100">
        <v>12.490084633346436</v>
      </c>
      <c r="BO44" s="100">
        <v>12769.862529133396</v>
      </c>
      <c r="BP44" s="100">
        <v>4.69639569011097</v>
      </c>
      <c r="BQ44" s="100">
        <v>4801.5949535694554</v>
      </c>
      <c r="BR44" s="100">
        <v>1.1434629918062854E-3</v>
      </c>
      <c r="BS44" s="100">
        <v>1.1690765628227462</v>
      </c>
      <c r="BT44" s="100">
        <v>17.000293868462698</v>
      </c>
      <c r="BU44" s="100">
        <v>17381.100451116261</v>
      </c>
      <c r="BV44" s="100">
        <v>8.0815564829325925</v>
      </c>
      <c r="BW44" s="100">
        <v>8262.5833481502832</v>
      </c>
      <c r="BX44" s="100">
        <v>19.155100309740899</v>
      </c>
      <c r="BY44" s="100">
        <v>19584.174556679096</v>
      </c>
      <c r="BZ44" s="100">
        <v>12</v>
      </c>
      <c r="CA44" s="100">
        <v>12268.8</v>
      </c>
      <c r="CB44" s="100">
        <v>5.2685689405690272</v>
      </c>
      <c r="CC44" s="100">
        <v>5386.5848848377736</v>
      </c>
      <c r="CD44" s="100">
        <v>8.7463811789297561E-4</v>
      </c>
      <c r="CE44" s="100">
        <v>0.89423001173377825</v>
      </c>
      <c r="CF44" s="100">
        <v>19.211284371788441</v>
      </c>
      <c r="CG44" s="100">
        <v>19641.617141716502</v>
      </c>
      <c r="CH44" s="100">
        <v>9.5277000470113116</v>
      </c>
      <c r="CI44" s="100">
        <v>9741.1205280643644</v>
      </c>
      <c r="CJ44" s="100">
        <v>17</v>
      </c>
      <c r="CK44" s="100">
        <v>17380.8</v>
      </c>
      <c r="CL44" s="100">
        <v>6.7244629201514297</v>
      </c>
      <c r="CM44" s="100">
        <v>6875.0908895628218</v>
      </c>
      <c r="CN44" s="100">
        <v>13.104402782275701</v>
      </c>
      <c r="CO44" s="100">
        <v>13397.941404598676</v>
      </c>
      <c r="CP44" s="100">
        <v>11</v>
      </c>
      <c r="CQ44" s="100">
        <v>11246.4</v>
      </c>
      <c r="CR44" s="100">
        <v>11.757391488960401</v>
      </c>
      <c r="CS44" s="100">
        <v>12020.757058313115</v>
      </c>
      <c r="CT44" s="100">
        <v>11.748754657371835</v>
      </c>
      <c r="CU44" s="100">
        <v>12011.926761696965</v>
      </c>
    </row>
    <row r="45" spans="2:99">
      <c r="C45" s="99" t="s">
        <v>211</v>
      </c>
      <c r="D45" s="100">
        <v>20</v>
      </c>
      <c r="E45" s="100">
        <v>24984</v>
      </c>
      <c r="F45" s="100">
        <v>14.426414316284722</v>
      </c>
      <c r="G45" s="100">
        <v>18021.476763902876</v>
      </c>
      <c r="H45" s="100">
        <v>14.749808724377788</v>
      </c>
      <c r="I45" s="100">
        <v>18425.461058492732</v>
      </c>
      <c r="J45" s="100">
        <v>1.0208526498019965E-3</v>
      </c>
      <c r="K45" s="100">
        <v>1.2752491301326541</v>
      </c>
      <c r="L45" s="100">
        <v>19.007678341570866</v>
      </c>
      <c r="M45" s="100">
        <v>23744.391784290328</v>
      </c>
      <c r="N45" s="100">
        <v>3.3331217115992313</v>
      </c>
      <c r="O45" s="100">
        <v>4163.73564212976</v>
      </c>
      <c r="P45" s="100">
        <v>18</v>
      </c>
      <c r="Q45" s="100">
        <v>22485.600000000002</v>
      </c>
      <c r="R45" s="100">
        <v>18.976311110455224</v>
      </c>
      <c r="S45" s="100">
        <v>23705.207839180668</v>
      </c>
      <c r="T45" s="100">
        <v>3.1171445627448868</v>
      </c>
      <c r="U45" s="100">
        <v>3893.9369877809127</v>
      </c>
      <c r="V45" s="100">
        <v>6.7769574273423672</v>
      </c>
      <c r="W45" s="100">
        <v>8465.7752182360855</v>
      </c>
      <c r="X45" s="100">
        <v>14.045543428662548</v>
      </c>
      <c r="Y45" s="100">
        <v>17545.692851085256</v>
      </c>
      <c r="Z45" s="100">
        <v>4.3507211022806453</v>
      </c>
      <c r="AA45" s="100">
        <v>5434.9208009689828</v>
      </c>
      <c r="AB45" s="100">
        <v>17.096686568028495</v>
      </c>
      <c r="AC45" s="100">
        <v>21357.180860781198</v>
      </c>
      <c r="AD45" s="100">
        <v>11</v>
      </c>
      <c r="AE45" s="100">
        <v>13741.2</v>
      </c>
      <c r="AF45" s="100">
        <v>3.5380020778205097</v>
      </c>
      <c r="AG45" s="100">
        <v>4419.6721956133806</v>
      </c>
      <c r="AH45" s="100">
        <v>16</v>
      </c>
      <c r="AI45" s="100">
        <v>19987.2</v>
      </c>
      <c r="AJ45" s="100">
        <v>6.8706652115343116</v>
      </c>
      <c r="AK45" s="100">
        <v>8582.8349822486616</v>
      </c>
      <c r="AL45" s="100">
        <v>15.787646440501232</v>
      </c>
      <c r="AM45" s="100">
        <v>19721.92793347414</v>
      </c>
      <c r="AN45" s="100">
        <v>12.410895049675732</v>
      </c>
      <c r="AO45" s="100">
        <v>15503.690096054925</v>
      </c>
      <c r="AP45" s="100">
        <v>7.6194959536900837E-4</v>
      </c>
      <c r="AQ45" s="100">
        <v>0.95182743453496532</v>
      </c>
      <c r="AR45" s="100">
        <v>11.077687014196643</v>
      </c>
      <c r="AS45" s="100">
        <v>13838.246618134446</v>
      </c>
      <c r="AT45" s="100">
        <v>18.222927269208938</v>
      </c>
      <c r="AU45" s="100">
        <v>22764.080744695806</v>
      </c>
      <c r="AV45" s="100">
        <v>7.9589126562480343</v>
      </c>
      <c r="AW45" s="100">
        <v>9942.273690185044</v>
      </c>
      <c r="AX45" s="100">
        <v>9.5561493845917737E-4</v>
      </c>
      <c r="AY45" s="100">
        <v>1.1937541811232044</v>
      </c>
      <c r="AZ45" s="100">
        <v>16.432523544584964</v>
      </c>
      <c r="BA45" s="100">
        <v>20527.508411895538</v>
      </c>
      <c r="BB45" s="100">
        <v>5.6648446187039569</v>
      </c>
      <c r="BC45" s="100">
        <v>7076.5238976849832</v>
      </c>
      <c r="BD45" s="100">
        <v>12.209099449477938</v>
      </c>
      <c r="BE45" s="100">
        <v>15251.60703228784</v>
      </c>
      <c r="BF45" s="100">
        <v>9.8138593383059618</v>
      </c>
      <c r="BG45" s="100">
        <v>12259.473085411808</v>
      </c>
      <c r="BH45" s="100">
        <v>16.699437531164421</v>
      </c>
      <c r="BI45" s="100">
        <v>20860.937363930596</v>
      </c>
      <c r="BJ45" s="100">
        <v>12.664455037650653</v>
      </c>
      <c r="BK45" s="100">
        <v>15820.437233033195</v>
      </c>
      <c r="BL45" s="100">
        <v>20</v>
      </c>
      <c r="BM45" s="100">
        <v>24984</v>
      </c>
      <c r="BN45" s="100">
        <v>11.709454343762284</v>
      </c>
      <c r="BO45" s="100">
        <v>14627.450366227846</v>
      </c>
      <c r="BP45" s="100">
        <v>4.69639569011097</v>
      </c>
      <c r="BQ45" s="100">
        <v>5866.7374960866237</v>
      </c>
      <c r="BR45" s="100">
        <v>1.1394943824339936E-3</v>
      </c>
      <c r="BS45" s="100">
        <v>1.4234563825365447</v>
      </c>
      <c r="BT45" s="100">
        <v>14.000293868462698</v>
      </c>
      <c r="BU45" s="100">
        <v>17489.167100483603</v>
      </c>
      <c r="BV45" s="100">
        <v>8.0815564829325925</v>
      </c>
      <c r="BW45" s="100">
        <v>10095.480358479395</v>
      </c>
      <c r="BX45" s="100">
        <v>17.239590278766808</v>
      </c>
      <c r="BY45" s="100">
        <v>21535.696176235499</v>
      </c>
      <c r="BZ45" s="100">
        <v>13</v>
      </c>
      <c r="CA45" s="100">
        <v>16239.6</v>
      </c>
      <c r="CB45" s="100">
        <v>5.7076163522831127</v>
      </c>
      <c r="CC45" s="100">
        <v>7129.9543472720643</v>
      </c>
      <c r="CD45" s="100">
        <v>8.7530942590718485E-4</v>
      </c>
      <c r="CE45" s="100">
        <v>1.0934365348432553</v>
      </c>
      <c r="CF45" s="100">
        <v>19.211284371788441</v>
      </c>
      <c r="CG45" s="100">
        <v>23998.73643723812</v>
      </c>
      <c r="CH45" s="100">
        <v>10.888800053727213</v>
      </c>
      <c r="CI45" s="100">
        <v>13602.289027116034</v>
      </c>
      <c r="CJ45" s="100">
        <v>15</v>
      </c>
      <c r="CK45" s="100">
        <v>18738</v>
      </c>
      <c r="CL45" s="100">
        <v>6.7244629201514297</v>
      </c>
      <c r="CM45" s="100">
        <v>8400.199079853166</v>
      </c>
      <c r="CN45" s="100">
        <v>11.104402782275701</v>
      </c>
      <c r="CO45" s="100">
        <v>13871.619955618806</v>
      </c>
      <c r="CP45" s="100">
        <v>13</v>
      </c>
      <c r="CQ45" s="100">
        <v>16239.6</v>
      </c>
      <c r="CR45" s="100">
        <v>9.9485620291203389</v>
      </c>
      <c r="CS45" s="100">
        <v>12427.743686777128</v>
      </c>
      <c r="CT45" s="100">
        <v>10.856902659951873</v>
      </c>
      <c r="CU45" s="100">
        <v>13562.44280281188</v>
      </c>
    </row>
    <row r="46" spans="2:99">
      <c r="C46" s="99" t="s">
        <v>212</v>
      </c>
      <c r="D46" s="100">
        <v>18</v>
      </c>
      <c r="E46" s="100">
        <v>21816</v>
      </c>
      <c r="F46" s="100">
        <v>13.577801709444445</v>
      </c>
      <c r="G46" s="100">
        <v>16456.295671846667</v>
      </c>
      <c r="H46" s="100">
        <v>14.749808724377788</v>
      </c>
      <c r="I46" s="100">
        <v>17876.768173945879</v>
      </c>
      <c r="J46" s="100">
        <v>1.0167285689582704E-3</v>
      </c>
      <c r="K46" s="100">
        <v>1.2322750255774237</v>
      </c>
      <c r="L46" s="100">
        <v>16.175624731832677</v>
      </c>
      <c r="M46" s="100">
        <v>19604.857174981204</v>
      </c>
      <c r="N46" s="100">
        <v>3.5895156894145566</v>
      </c>
      <c r="O46" s="100">
        <v>4350.4930155704424</v>
      </c>
      <c r="P46" s="100">
        <v>15</v>
      </c>
      <c r="Q46" s="100">
        <v>18180</v>
      </c>
      <c r="R46" s="100">
        <v>15.980051461435979</v>
      </c>
      <c r="S46" s="100">
        <v>19367.822371260405</v>
      </c>
      <c r="T46" s="100">
        <v>3.4005213411762401</v>
      </c>
      <c r="U46" s="100">
        <v>4121.4318655056031</v>
      </c>
      <c r="V46" s="100">
        <v>6.778919743928971</v>
      </c>
      <c r="W46" s="100">
        <v>8216.0507296419128</v>
      </c>
      <c r="X46" s="100">
        <v>14.045543428662548</v>
      </c>
      <c r="Y46" s="100">
        <v>17023.198635539007</v>
      </c>
      <c r="Z46" s="100">
        <v>3.9552010020733142</v>
      </c>
      <c r="AA46" s="100">
        <v>4793.7036145128568</v>
      </c>
      <c r="AB46" s="100">
        <v>15.084600747024933</v>
      </c>
      <c r="AC46" s="100">
        <v>18282.536105394218</v>
      </c>
      <c r="AD46" s="100">
        <v>11</v>
      </c>
      <c r="AE46" s="100">
        <v>13332</v>
      </c>
      <c r="AF46" s="100">
        <v>3.8918022856025605</v>
      </c>
      <c r="AG46" s="100">
        <v>4716.8643701503033</v>
      </c>
      <c r="AH46" s="100">
        <v>16</v>
      </c>
      <c r="AI46" s="100">
        <v>19392</v>
      </c>
      <c r="AJ46" s="100">
        <v>7.4873154800328567</v>
      </c>
      <c r="AK46" s="100">
        <v>9074.6263617998229</v>
      </c>
      <c r="AL46" s="100">
        <v>14.787646440501232</v>
      </c>
      <c r="AM46" s="100">
        <v>17922.627485887493</v>
      </c>
      <c r="AN46" s="100">
        <v>13.238288052987448</v>
      </c>
      <c r="AO46" s="100">
        <v>16044.805120220786</v>
      </c>
      <c r="AP46" s="100">
        <v>8.2821292038154847E-4</v>
      </c>
      <c r="AQ46" s="100">
        <v>1.0037940595024368</v>
      </c>
      <c r="AR46" s="100">
        <v>11.077687014196643</v>
      </c>
      <c r="AS46" s="100">
        <v>13426.156661206331</v>
      </c>
      <c r="AT46" s="100">
        <v>15.070061360557821</v>
      </c>
      <c r="AU46" s="100">
        <v>18264.91436899608</v>
      </c>
      <c r="AV46" s="100">
        <v>7.9589126562480343</v>
      </c>
      <c r="AW46" s="100">
        <v>9646.2021393726172</v>
      </c>
      <c r="AX46" s="100">
        <v>8.81297722653166E-4</v>
      </c>
      <c r="AY46" s="100">
        <v>1.0681328398556371</v>
      </c>
      <c r="AZ46" s="100">
        <v>14.690911346732831</v>
      </c>
      <c r="BA46" s="100">
        <v>17805.38455224019</v>
      </c>
      <c r="BB46" s="100">
        <v>5.6444119776444195</v>
      </c>
      <c r="BC46" s="100">
        <v>6841.0273169050361</v>
      </c>
      <c r="BD46" s="100">
        <v>12.209099449477938</v>
      </c>
      <c r="BE46" s="100">
        <v>14797.428532767261</v>
      </c>
      <c r="BF46" s="100">
        <v>8.9641759338532889</v>
      </c>
      <c r="BG46" s="100">
        <v>10864.581231830187</v>
      </c>
      <c r="BH46" s="100">
        <v>16.699437531164421</v>
      </c>
      <c r="BI46" s="100">
        <v>20239.718287771277</v>
      </c>
      <c r="BJ46" s="100">
        <v>12.664455037650653</v>
      </c>
      <c r="BK46" s="100">
        <v>15349.319505632591</v>
      </c>
      <c r="BL46" s="100">
        <v>20</v>
      </c>
      <c r="BM46" s="100">
        <v>24240</v>
      </c>
      <c r="BN46" s="100">
        <v>12.490084633346436</v>
      </c>
      <c r="BO46" s="100">
        <v>15137.982575615881</v>
      </c>
      <c r="BP46" s="100">
        <v>4.69639569011097</v>
      </c>
      <c r="BQ46" s="100">
        <v>5692.0315764144952</v>
      </c>
      <c r="BR46" s="100">
        <v>1.0350342079881026E-3</v>
      </c>
      <c r="BS46" s="100">
        <v>1.2544614600815804</v>
      </c>
      <c r="BT46" s="100">
        <v>15.000244890385583</v>
      </c>
      <c r="BU46" s="100">
        <v>18180.296807147326</v>
      </c>
      <c r="BV46" s="100">
        <v>7.4598982919377779</v>
      </c>
      <c r="BW46" s="100">
        <v>9041.3967298285861</v>
      </c>
      <c r="BX46" s="100">
        <v>18.197345294253854</v>
      </c>
      <c r="BY46" s="100">
        <v>22055.182496635669</v>
      </c>
      <c r="BZ46" s="100">
        <v>12</v>
      </c>
      <c r="CA46" s="100">
        <v>14544</v>
      </c>
      <c r="CB46" s="100">
        <v>5.7076163522831127</v>
      </c>
      <c r="CC46" s="100">
        <v>6917.6310189671321</v>
      </c>
      <c r="CD46" s="100">
        <v>9.9824380442069672E-4</v>
      </c>
      <c r="CE46" s="100">
        <v>1.2098714909578845</v>
      </c>
      <c r="CF46" s="100">
        <v>19.211284371788441</v>
      </c>
      <c r="CG46" s="100">
        <v>23284.076658607592</v>
      </c>
      <c r="CH46" s="100">
        <v>10.208250050369262</v>
      </c>
      <c r="CI46" s="100">
        <v>12372.399061047545</v>
      </c>
      <c r="CJ46" s="100">
        <v>17</v>
      </c>
      <c r="CK46" s="100">
        <v>20604</v>
      </c>
      <c r="CL46" s="100">
        <v>6.7244629201514297</v>
      </c>
      <c r="CM46" s="100">
        <v>8150.0490592235328</v>
      </c>
      <c r="CN46" s="100">
        <v>10.981691362022845</v>
      </c>
      <c r="CO46" s="100">
        <v>13309.809930771688</v>
      </c>
      <c r="CP46" s="100">
        <v>12</v>
      </c>
      <c r="CQ46" s="100">
        <v>14544</v>
      </c>
      <c r="CR46" s="100">
        <v>11.757391488960401</v>
      </c>
      <c r="CS46" s="100">
        <v>14249.958484620007</v>
      </c>
      <c r="CT46" s="100">
        <v>13.196341678698751</v>
      </c>
      <c r="CU46" s="100">
        <v>15993.966114582887</v>
      </c>
    </row>
    <row r="47" spans="2:99">
      <c r="C47" s="99" t="s">
        <v>213</v>
      </c>
      <c r="D47" s="100">
        <v>18</v>
      </c>
      <c r="E47" s="100">
        <v>27496.799999999999</v>
      </c>
      <c r="F47" s="100">
        <v>13.577801709444445</v>
      </c>
      <c r="G47" s="100">
        <v>20741.449891347333</v>
      </c>
      <c r="H47" s="100">
        <v>14.749808724377788</v>
      </c>
      <c r="I47" s="100">
        <v>22531.807807359506</v>
      </c>
      <c r="J47" s="100">
        <v>9.7136367967728325E-4</v>
      </c>
      <c r="K47" s="100">
        <v>1.4838551570750178</v>
      </c>
      <c r="L47" s="100">
        <v>15.007678341570866</v>
      </c>
      <c r="M47" s="100">
        <v>22925.729434583653</v>
      </c>
      <c r="N47" s="100">
        <v>3.5895156894145566</v>
      </c>
      <c r="O47" s="100">
        <v>5483.3441671496767</v>
      </c>
      <c r="P47" s="100">
        <v>15</v>
      </c>
      <c r="Q47" s="100">
        <v>22914</v>
      </c>
      <c r="R47" s="100">
        <v>17.977557894115478</v>
      </c>
      <c r="S47" s="100">
        <v>27462.517439050804</v>
      </c>
      <c r="T47" s="100">
        <v>3.1171445627448868</v>
      </c>
      <c r="U47" s="100">
        <v>4761.7500340490888</v>
      </c>
      <c r="V47" s="100">
        <v>7.359324512927266</v>
      </c>
      <c r="W47" s="100">
        <v>11242.104125947692</v>
      </c>
      <c r="X47" s="100">
        <v>15.871286190552123</v>
      </c>
      <c r="Y47" s="100">
        <v>24244.97678468742</v>
      </c>
      <c r="Z47" s="100">
        <v>4.3507211022806453</v>
      </c>
      <c r="AA47" s="100">
        <v>6646.1615558439134</v>
      </c>
      <c r="AB47" s="100">
        <v>17.084600747024933</v>
      </c>
      <c r="AC47" s="100">
        <v>26098.436101155286</v>
      </c>
      <c r="AD47" s="100">
        <v>12</v>
      </c>
      <c r="AE47" s="100">
        <v>18331.199999999997</v>
      </c>
      <c r="AF47" s="100">
        <v>3.5380020778205097</v>
      </c>
      <c r="AG47" s="100">
        <v>5404.6519740786107</v>
      </c>
      <c r="AH47" s="100">
        <v>18</v>
      </c>
      <c r="AI47" s="100">
        <v>27496.799999999999</v>
      </c>
      <c r="AJ47" s="100">
        <v>6.3642181580279278</v>
      </c>
      <c r="AK47" s="100">
        <v>9721.9796582034614</v>
      </c>
      <c r="AL47" s="100">
        <v>13.787646440501232</v>
      </c>
      <c r="AM47" s="100">
        <v>21062.00870250968</v>
      </c>
      <c r="AN47" s="100">
        <v>12.410895049675732</v>
      </c>
      <c r="AO47" s="100">
        <v>18958.883277884648</v>
      </c>
      <c r="AP47" s="100">
        <v>8.2821292038154847E-4</v>
      </c>
      <c r="AQ47" s="100">
        <v>1.2651780571748534</v>
      </c>
      <c r="AR47" s="100">
        <v>9.3554293658334604</v>
      </c>
      <c r="AS47" s="100">
        <v>14291.353899247193</v>
      </c>
      <c r="AT47" s="100">
        <v>15.917195451906704</v>
      </c>
      <c r="AU47" s="100">
        <v>24315.107772332678</v>
      </c>
      <c r="AV47" s="100">
        <v>7.9589126562480343</v>
      </c>
      <c r="AW47" s="100">
        <v>12158.034973684496</v>
      </c>
      <c r="AX47" s="100">
        <v>9.5561493845917737E-4</v>
      </c>
      <c r="AY47" s="100">
        <v>1.4597973799902393</v>
      </c>
      <c r="AZ47" s="100">
        <v>13.857702692810204</v>
      </c>
      <c r="BA47" s="100">
        <v>21169.026633536865</v>
      </c>
      <c r="BB47" s="100">
        <v>5.6444119776444195</v>
      </c>
      <c r="BC47" s="100">
        <v>8622.4037370496153</v>
      </c>
      <c r="BD47" s="100">
        <v>11.291768814479253</v>
      </c>
      <c r="BE47" s="100">
        <v>17249.306040998505</v>
      </c>
      <c r="BF47" s="100">
        <v>8.318055000098191</v>
      </c>
      <c r="BG47" s="100">
        <v>12706.660818149996</v>
      </c>
      <c r="BH47" s="100">
        <v>16.699437531164421</v>
      </c>
      <c r="BI47" s="100">
        <v>25510.060772606768</v>
      </c>
      <c r="BJ47" s="100">
        <v>10.664455037650653</v>
      </c>
      <c r="BK47" s="100">
        <v>16291.021515515136</v>
      </c>
      <c r="BL47" s="100">
        <v>17</v>
      </c>
      <c r="BM47" s="100">
        <v>25969.199999999997</v>
      </c>
      <c r="BN47" s="100">
        <v>12.490084633346436</v>
      </c>
      <c r="BO47" s="100">
        <v>19079.853285900015</v>
      </c>
      <c r="BP47" s="100">
        <v>4.4354848184381375</v>
      </c>
      <c r="BQ47" s="100">
        <v>6775.6466086460987</v>
      </c>
      <c r="BR47" s="100">
        <v>1.0882564475541211E-3</v>
      </c>
      <c r="BS47" s="100">
        <v>1.6624205492836752</v>
      </c>
      <c r="BT47" s="100">
        <v>16.000293868462698</v>
      </c>
      <c r="BU47" s="100">
        <v>24442.048913463615</v>
      </c>
      <c r="BV47" s="100">
        <v>7.4598982919377779</v>
      </c>
      <c r="BW47" s="100">
        <v>11395.740630764149</v>
      </c>
      <c r="BX47" s="100">
        <v>18.197345294253854</v>
      </c>
      <c r="BY47" s="100">
        <v>27798.264671502184</v>
      </c>
      <c r="BZ47" s="100">
        <v>13</v>
      </c>
      <c r="CA47" s="100">
        <v>19858.8</v>
      </c>
      <c r="CB47" s="100">
        <v>5.7076163522831127</v>
      </c>
      <c r="CC47" s="100">
        <v>8718.9547397476817</v>
      </c>
      <c r="CD47" s="100">
        <v>8.7530942590718485E-4</v>
      </c>
      <c r="CE47" s="100">
        <v>1.3371226790158155</v>
      </c>
      <c r="CF47" s="100">
        <v>20.211284371788441</v>
      </c>
      <c r="CG47" s="100">
        <v>30874.758006344022</v>
      </c>
      <c r="CH47" s="100">
        <v>8.847150043653361</v>
      </c>
      <c r="CI47" s="100">
        <v>13514.906406684873</v>
      </c>
      <c r="CJ47" s="100">
        <v>17</v>
      </c>
      <c r="CK47" s="100">
        <v>25969.199999999997</v>
      </c>
      <c r="CL47" s="100">
        <v>6.1640910101388098</v>
      </c>
      <c r="CM47" s="100">
        <v>9416.2654270880448</v>
      </c>
      <c r="CN47" s="100">
        <v>12.104402782275701</v>
      </c>
      <c r="CO47" s="100">
        <v>18490.685690204358</v>
      </c>
      <c r="CP47" s="100">
        <v>12</v>
      </c>
      <c r="CQ47" s="100">
        <v>18331.199999999997</v>
      </c>
      <c r="CR47" s="100">
        <v>9.9485620291203389</v>
      </c>
      <c r="CS47" s="100">
        <v>15197.423355684228</v>
      </c>
      <c r="CT47" s="100">
        <v>11.58069617061533</v>
      </c>
      <c r="CU47" s="100">
        <v>17690.671470231977</v>
      </c>
    </row>
    <row r="48" spans="2:99">
      <c r="C48" s="99" t="s">
        <v>214</v>
      </c>
      <c r="D48" s="100">
        <v>18</v>
      </c>
      <c r="E48" s="100">
        <v>15616.800000000001</v>
      </c>
      <c r="F48" s="100">
        <v>15.275026923124999</v>
      </c>
      <c r="G48" s="100">
        <v>13252.613358503249</v>
      </c>
      <c r="H48" s="100">
        <v>13.014537109745108</v>
      </c>
      <c r="I48" s="100">
        <v>11291.412396414857</v>
      </c>
      <c r="J48" s="100">
        <v>8.8305789061571217E-4</v>
      </c>
      <c r="K48" s="100">
        <v>0.76614102589819189</v>
      </c>
      <c r="L48" s="100">
        <v>17.175624731832677</v>
      </c>
      <c r="M48" s="100">
        <v>14901.57201733803</v>
      </c>
      <c r="N48" s="100">
        <v>4.1023036450452084</v>
      </c>
      <c r="O48" s="100">
        <v>3559.158642441223</v>
      </c>
      <c r="P48" s="100">
        <v>18</v>
      </c>
      <c r="Q48" s="100">
        <v>15616.800000000001</v>
      </c>
      <c r="R48" s="100">
        <v>16.978804677775727</v>
      </c>
      <c r="S48" s="100">
        <v>14730.810938438221</v>
      </c>
      <c r="T48" s="100">
        <v>3.1171445627448868</v>
      </c>
      <c r="U48" s="100">
        <v>2704.4346226374637</v>
      </c>
      <c r="V48" s="100">
        <v>7.9436539150987695</v>
      </c>
      <c r="W48" s="100">
        <v>6891.9141367396924</v>
      </c>
      <c r="X48" s="100">
        <v>15.045543428662548</v>
      </c>
      <c r="Y48" s="100">
        <v>13053.513478707626</v>
      </c>
      <c r="Z48" s="100">
        <v>4.7462412024879779</v>
      </c>
      <c r="AA48" s="100">
        <v>4117.8388672785695</v>
      </c>
      <c r="AB48" s="100">
        <v>16.108772389032058</v>
      </c>
      <c r="AC48" s="100">
        <v>13975.970924724214</v>
      </c>
      <c r="AD48" s="100">
        <v>12</v>
      </c>
      <c r="AE48" s="100">
        <v>10411.200000000001</v>
      </c>
      <c r="AF48" s="100">
        <v>3.5380020778205097</v>
      </c>
      <c r="AG48" s="100">
        <v>3069.5706027170745</v>
      </c>
      <c r="AH48" s="100">
        <v>20</v>
      </c>
      <c r="AI48" s="100">
        <v>17352</v>
      </c>
      <c r="AJ48" s="100">
        <v>7.8616812540344991</v>
      </c>
      <c r="AK48" s="100">
        <v>6820.794656000332</v>
      </c>
      <c r="AL48" s="100">
        <v>14.787646440501232</v>
      </c>
      <c r="AM48" s="100">
        <v>12829.762051778869</v>
      </c>
      <c r="AN48" s="100">
        <v>15.720467062922593</v>
      </c>
      <c r="AO48" s="100">
        <v>13639.077223791643</v>
      </c>
      <c r="AP48" s="100">
        <v>8.3647617543931537E-4</v>
      </c>
      <c r="AQ48" s="100">
        <v>0.72572672981115005</v>
      </c>
      <c r="AR48" s="100">
        <v>10.152347392087085</v>
      </c>
      <c r="AS48" s="100">
        <v>8808.1765973747551</v>
      </c>
      <c r="AT48" s="100">
        <v>16.070061360557823</v>
      </c>
      <c r="AU48" s="100">
        <v>13942.385236419967</v>
      </c>
      <c r="AV48" s="100">
        <v>7.9589126562480343</v>
      </c>
      <c r="AW48" s="100">
        <v>6905.1526205607952</v>
      </c>
      <c r="AX48" s="100">
        <v>1.0299321542651888E-3</v>
      </c>
      <c r="AY48" s="100">
        <v>0.89356913704047791</v>
      </c>
      <c r="AZ48" s="100">
        <v>14.690911346732831</v>
      </c>
      <c r="BA48" s="100">
        <v>12745.834684425405</v>
      </c>
      <c r="BB48" s="100">
        <v>5.2117981825225055</v>
      </c>
      <c r="BC48" s="100">
        <v>4521.7561031565256</v>
      </c>
      <c r="BD48" s="100">
        <v>13.784523009360997</v>
      </c>
      <c r="BE48" s="100">
        <v>11959.452162921601</v>
      </c>
      <c r="BF48" s="100">
        <v>9.0670836885779416</v>
      </c>
      <c r="BG48" s="100">
        <v>7866.6018082102219</v>
      </c>
      <c r="BH48" s="100">
        <v>17.571487292503978</v>
      </c>
      <c r="BI48" s="100">
        <v>15245.022374976452</v>
      </c>
      <c r="BJ48" s="100">
        <v>13.664455037650653</v>
      </c>
      <c r="BK48" s="100">
        <v>11855.281190665706</v>
      </c>
      <c r="BL48" s="100">
        <v>18</v>
      </c>
      <c r="BM48" s="100">
        <v>15616.800000000001</v>
      </c>
      <c r="BN48" s="100">
        <v>13.270714922930589</v>
      </c>
      <c r="BO48" s="100">
        <v>11513.67226713458</v>
      </c>
      <c r="BP48" s="100">
        <v>4.9573065617838008</v>
      </c>
      <c r="BQ48" s="100">
        <v>4300.9591730036254</v>
      </c>
      <c r="BR48" s="100">
        <v>1.1394943824339936E-3</v>
      </c>
      <c r="BS48" s="100">
        <v>0.98862532619973287</v>
      </c>
      <c r="BT48" s="100">
        <v>15.000293868462698</v>
      </c>
      <c r="BU48" s="100">
        <v>13014.254960278238</v>
      </c>
      <c r="BV48" s="100">
        <v>7.4598982919377779</v>
      </c>
      <c r="BW48" s="100">
        <v>6472.2077580852165</v>
      </c>
      <c r="BX48" s="100">
        <v>18.197345294253854</v>
      </c>
      <c r="BY48" s="100">
        <v>15788.016777294644</v>
      </c>
      <c r="BZ48" s="100">
        <v>12</v>
      </c>
      <c r="CA48" s="100">
        <v>10411.200000000001</v>
      </c>
      <c r="CB48" s="100">
        <v>5.7076163522831127</v>
      </c>
      <c r="CC48" s="100">
        <v>4951.9279472408289</v>
      </c>
      <c r="CD48" s="100">
        <v>9.3711226917104541E-4</v>
      </c>
      <c r="CE48" s="100">
        <v>0.81303860473279899</v>
      </c>
      <c r="CF48" s="100">
        <v>22.237694918261997</v>
      </c>
      <c r="CG48" s="100">
        <v>19293.42411108411</v>
      </c>
      <c r="CH48" s="100">
        <v>10.208250050369262</v>
      </c>
      <c r="CI48" s="100">
        <v>8856.677743700373</v>
      </c>
      <c r="CJ48" s="100">
        <v>18</v>
      </c>
      <c r="CK48" s="100">
        <v>15616.800000000001</v>
      </c>
      <c r="CL48" s="100">
        <v>7.2848348301640478</v>
      </c>
      <c r="CM48" s="100">
        <v>6320.3226986503278</v>
      </c>
      <c r="CN48" s="100">
        <v>14.104402782275701</v>
      </c>
      <c r="CO48" s="100">
        <v>12236.979853902398</v>
      </c>
      <c r="CP48" s="100">
        <v>12</v>
      </c>
      <c r="CQ48" s="100">
        <v>10411.200000000001</v>
      </c>
      <c r="CR48" s="100">
        <v>12.661806218880431</v>
      </c>
      <c r="CS48" s="100">
        <v>10985.383075500662</v>
      </c>
      <c r="CT48" s="100">
        <v>13.196341678698751</v>
      </c>
      <c r="CU48" s="100">
        <v>11449.146040439036</v>
      </c>
    </row>
    <row r="49" spans="2:99">
      <c r="B49" s="99" t="s">
        <v>129</v>
      </c>
      <c r="C49" s="99" t="s">
        <v>215</v>
      </c>
      <c r="D49" s="100">
        <v>7.9792970048581857</v>
      </c>
      <c r="E49" s="100">
        <v>7861.2034091862843</v>
      </c>
      <c r="F49" s="100">
        <v>6.8166168780786672E-4</v>
      </c>
      <c r="G49" s="100">
        <v>0.67157309482831029</v>
      </c>
      <c r="H49" s="100">
        <v>6.5104936943860139</v>
      </c>
      <c r="I49" s="100">
        <v>6414.1383877091002</v>
      </c>
      <c r="J49" s="100">
        <v>2.7187726106494301</v>
      </c>
      <c r="K49" s="100">
        <v>2678.5347760118184</v>
      </c>
      <c r="L49" s="100">
        <v>7.4694860029315597</v>
      </c>
      <c r="M49" s="100">
        <v>7358.9376100881718</v>
      </c>
      <c r="N49" s="100">
        <v>1.2029587687845837</v>
      </c>
      <c r="O49" s="100">
        <v>1185.1549790065719</v>
      </c>
      <c r="P49" s="100">
        <v>11.798278876641762</v>
      </c>
      <c r="Q49" s="100">
        <v>11623.664349267463</v>
      </c>
      <c r="R49" s="100">
        <v>7.0745119092500941</v>
      </c>
      <c r="S49" s="100">
        <v>6969.8091329931922</v>
      </c>
      <c r="T49" s="100">
        <v>8.7549140635590046</v>
      </c>
      <c r="U49" s="100">
        <v>8625.3413354183303</v>
      </c>
      <c r="V49" s="100">
        <v>1.8188643321215496</v>
      </c>
      <c r="W49" s="100">
        <v>1791.9451400061505</v>
      </c>
      <c r="X49" s="100">
        <v>6.7691763246803625</v>
      </c>
      <c r="Y49" s="100">
        <v>6668.9925150750923</v>
      </c>
      <c r="Z49" s="100">
        <v>10.209525525806509</v>
      </c>
      <c r="AA49" s="100">
        <v>10058.424548024572</v>
      </c>
      <c r="AB49" s="100">
        <v>6</v>
      </c>
      <c r="AC49" s="100">
        <v>5911.2</v>
      </c>
      <c r="AD49" s="100">
        <v>7.241849830682126</v>
      </c>
      <c r="AE49" s="100">
        <v>7134.6704531880296</v>
      </c>
      <c r="AF49" s="100">
        <v>10</v>
      </c>
      <c r="AG49" s="100">
        <v>9852</v>
      </c>
      <c r="AH49" s="100">
        <v>7.4967223978239188</v>
      </c>
      <c r="AI49" s="100">
        <v>7385.7709063361244</v>
      </c>
      <c r="AJ49" s="100">
        <v>5.1181353271482894</v>
      </c>
      <c r="AK49" s="100">
        <v>5042.3869243064946</v>
      </c>
      <c r="AL49" s="100">
        <v>6.1503643006908009</v>
      </c>
      <c r="AM49" s="100">
        <v>6059.3389090405763</v>
      </c>
      <c r="AN49" s="100">
        <v>4.6327850361944689</v>
      </c>
      <c r="AO49" s="100">
        <v>4564.2198176587908</v>
      </c>
      <c r="AP49" s="100">
        <v>2.4522158657633115</v>
      </c>
      <c r="AQ49" s="100">
        <v>2415.9230709500143</v>
      </c>
      <c r="AR49" s="100">
        <v>2.0875111765181358</v>
      </c>
      <c r="AS49" s="100">
        <v>2056.6160111056674</v>
      </c>
      <c r="AT49" s="100">
        <v>10.612042197778775</v>
      </c>
      <c r="AU49" s="100">
        <v>10454.983973251648</v>
      </c>
      <c r="AV49" s="100">
        <v>4.8700652313899546</v>
      </c>
      <c r="AW49" s="100">
        <v>4797.9882659653831</v>
      </c>
      <c r="AX49" s="100">
        <v>1.1207405981157279</v>
      </c>
      <c r="AY49" s="100">
        <v>1104.1536372636151</v>
      </c>
      <c r="AZ49" s="100">
        <v>7.5476559031478283</v>
      </c>
      <c r="BA49" s="100">
        <v>7435.9505957812398</v>
      </c>
      <c r="BB49" s="100">
        <v>6.1644455082950618</v>
      </c>
      <c r="BC49" s="100">
        <v>6073.2117147722947</v>
      </c>
      <c r="BD49" s="100">
        <v>10.773355915700357</v>
      </c>
      <c r="BE49" s="100">
        <v>10613.910248147991</v>
      </c>
      <c r="BF49" s="100">
        <v>2.1641210716176791</v>
      </c>
      <c r="BG49" s="100">
        <v>2132.0920797577373</v>
      </c>
      <c r="BH49" s="100">
        <v>8.8241740745871891</v>
      </c>
      <c r="BI49" s="100">
        <v>8693.5762982832985</v>
      </c>
      <c r="BJ49" s="100">
        <v>10</v>
      </c>
      <c r="BK49" s="100">
        <v>9852</v>
      </c>
      <c r="BL49" s="100">
        <v>2.4610052612453504</v>
      </c>
      <c r="BM49" s="100">
        <v>2424.5823833789191</v>
      </c>
      <c r="BN49" s="100">
        <v>10.019501390784594</v>
      </c>
      <c r="BO49" s="100">
        <v>9871.212770200982</v>
      </c>
      <c r="BP49" s="100">
        <v>1.1819014463738293</v>
      </c>
      <c r="BQ49" s="100">
        <v>1164.4093049674966</v>
      </c>
      <c r="BR49" s="100">
        <v>6.7101629776014766</v>
      </c>
      <c r="BS49" s="100">
        <v>6610.852565532974</v>
      </c>
      <c r="BT49" s="100">
        <v>10</v>
      </c>
      <c r="BU49" s="100">
        <v>9852</v>
      </c>
      <c r="BV49" s="100">
        <v>3.6502903498108061</v>
      </c>
      <c r="BW49" s="100">
        <v>3596.2660526336058</v>
      </c>
      <c r="BX49" s="100">
        <v>6</v>
      </c>
      <c r="BY49" s="100">
        <v>5911.2</v>
      </c>
      <c r="BZ49" s="100">
        <v>11</v>
      </c>
      <c r="CA49" s="100">
        <v>10837.199999999999</v>
      </c>
      <c r="CB49" s="100">
        <v>3.1220486910385552</v>
      </c>
      <c r="CC49" s="100">
        <v>3075.8423704111842</v>
      </c>
      <c r="CD49" s="100">
        <v>3.274495491296654</v>
      </c>
      <c r="CE49" s="100">
        <v>3226.0329580254634</v>
      </c>
      <c r="CF49" s="100">
        <v>8.6963543719588294</v>
      </c>
      <c r="CG49" s="100">
        <v>8567.6483272538389</v>
      </c>
      <c r="CH49" s="100">
        <v>5.2914157622030809</v>
      </c>
      <c r="CI49" s="100">
        <v>5213.1028089224747</v>
      </c>
      <c r="CJ49" s="100">
        <v>2.1497669685127399</v>
      </c>
      <c r="CK49" s="100">
        <v>2117.9504173787514</v>
      </c>
      <c r="CL49" s="100">
        <v>3.9577098333843987</v>
      </c>
      <c r="CM49" s="100">
        <v>3899.1357278503092</v>
      </c>
      <c r="CN49" s="100">
        <v>8.9340340541797616</v>
      </c>
      <c r="CO49" s="100">
        <v>8801.8103501779005</v>
      </c>
      <c r="CP49" s="100">
        <v>7</v>
      </c>
      <c r="CQ49" s="100">
        <v>6896.4</v>
      </c>
      <c r="CR49" s="100">
        <v>9</v>
      </c>
      <c r="CS49" s="100">
        <v>8866.7999999999993</v>
      </c>
      <c r="CT49" s="100">
        <v>8.1500697040779091</v>
      </c>
      <c r="CU49" s="100">
        <v>8029.4486724575554</v>
      </c>
    </row>
    <row r="50" spans="2:99">
      <c r="C50" s="99" t="s">
        <v>216</v>
      </c>
      <c r="D50" s="100">
        <v>9</v>
      </c>
      <c r="E50" s="100">
        <v>2538</v>
      </c>
      <c r="F50" s="100">
        <v>9.3347386752430559</v>
      </c>
      <c r="G50" s="100">
        <v>2632.3963064185418</v>
      </c>
      <c r="H50" s="100">
        <v>6.073450651214384</v>
      </c>
      <c r="I50" s="100">
        <v>1712.7130836424562</v>
      </c>
      <c r="J50" s="100">
        <v>5.5457921943178386E-4</v>
      </c>
      <c r="K50" s="100">
        <v>0.15639133987976306</v>
      </c>
      <c r="L50" s="100">
        <v>7.839731951309056</v>
      </c>
      <c r="M50" s="100">
        <v>2210.8044102691538</v>
      </c>
      <c r="N50" s="100">
        <v>1.7947578447072783</v>
      </c>
      <c r="O50" s="100">
        <v>506.1217122074525</v>
      </c>
      <c r="P50" s="100">
        <v>11</v>
      </c>
      <c r="Q50" s="100">
        <v>3102</v>
      </c>
      <c r="R50" s="100">
        <v>8.9887789470577388</v>
      </c>
      <c r="S50" s="100">
        <v>2534.8356630702824</v>
      </c>
      <c r="T50" s="100">
        <v>2.8337677843135332</v>
      </c>
      <c r="U50" s="100">
        <v>799.1225151764163</v>
      </c>
      <c r="V50" s="100">
        <v>4.3264656784820827</v>
      </c>
      <c r="W50" s="100">
        <v>1220.0633213319472</v>
      </c>
      <c r="X50" s="100">
        <v>5.871286190552123</v>
      </c>
      <c r="Y50" s="100">
        <v>1655.7027057356986</v>
      </c>
      <c r="Z50" s="100">
        <v>3.9552010020733142</v>
      </c>
      <c r="AA50" s="100">
        <v>1115.3666825846747</v>
      </c>
      <c r="AB50" s="100">
        <v>6.0483432840142477</v>
      </c>
      <c r="AC50" s="100">
        <v>1705.6328060920177</v>
      </c>
      <c r="AD50" s="100">
        <v>9</v>
      </c>
      <c r="AE50" s="100">
        <v>2538</v>
      </c>
      <c r="AF50" s="100">
        <v>3.5380020778205097</v>
      </c>
      <c r="AG50" s="100">
        <v>997.71658594538371</v>
      </c>
      <c r="AH50" s="100">
        <v>10</v>
      </c>
      <c r="AI50" s="100">
        <v>2820</v>
      </c>
      <c r="AJ50" s="100">
        <v>2.9949261920131427</v>
      </c>
      <c r="AK50" s="100">
        <v>844.5691861477062</v>
      </c>
      <c r="AL50" s="100">
        <v>9.9451757286014786</v>
      </c>
      <c r="AM50" s="100">
        <v>2804.539555465617</v>
      </c>
      <c r="AN50" s="100">
        <v>7.4465370298054392</v>
      </c>
      <c r="AO50" s="100">
        <v>2099.9234424051338</v>
      </c>
      <c r="AP50" s="100">
        <v>7.5368634031124169E-4</v>
      </c>
      <c r="AQ50" s="100">
        <v>0.21253954796777016</v>
      </c>
      <c r="AR50" s="100">
        <v>6.9910637381906238</v>
      </c>
      <c r="AS50" s="100">
        <v>1971.4799741697559</v>
      </c>
      <c r="AT50" s="100">
        <v>10.764329543255586</v>
      </c>
      <c r="AU50" s="100">
        <v>3035.5409311980752</v>
      </c>
      <c r="AV50" s="100">
        <v>7.1630213906232312</v>
      </c>
      <c r="AW50" s="100">
        <v>2019.9720321557511</v>
      </c>
      <c r="AX50" s="100">
        <v>5.3423233333404227E-4</v>
      </c>
      <c r="AY50" s="100">
        <v>0.15065351800019991</v>
      </c>
      <c r="AZ50" s="100">
        <v>9.6164645331901859</v>
      </c>
      <c r="BA50" s="100">
        <v>2711.8429983596325</v>
      </c>
      <c r="BB50" s="100">
        <v>2.7000473357895864</v>
      </c>
      <c r="BC50" s="100">
        <v>761.41334869266336</v>
      </c>
      <c r="BD50" s="100">
        <v>9.4526260568566141</v>
      </c>
      <c r="BE50" s="100">
        <v>2665.6405480335652</v>
      </c>
      <c r="BF50" s="100">
        <v>5.0981004267160479</v>
      </c>
      <c r="BG50" s="100">
        <v>1437.6643203339256</v>
      </c>
      <c r="BH50" s="100">
        <v>7.3519532499125475</v>
      </c>
      <c r="BI50" s="100">
        <v>2073.2508164753385</v>
      </c>
      <c r="BJ50" s="100">
        <v>10.664455037650653</v>
      </c>
      <c r="BK50" s="100">
        <v>3007.376320617484</v>
      </c>
      <c r="BL50" s="100">
        <v>11</v>
      </c>
      <c r="BM50" s="100">
        <v>3102</v>
      </c>
      <c r="BN50" s="100">
        <v>7.8063028958415224</v>
      </c>
      <c r="BO50" s="100">
        <v>2201.3774166273092</v>
      </c>
      <c r="BP50" s="100">
        <v>1.8263761017098215</v>
      </c>
      <c r="BQ50" s="100">
        <v>515.03806068216966</v>
      </c>
      <c r="BR50" s="100">
        <v>6.0727198677380865E-4</v>
      </c>
      <c r="BS50" s="100">
        <v>0.17125070027021405</v>
      </c>
      <c r="BT50" s="100">
        <v>10.000244890385583</v>
      </c>
      <c r="BU50" s="100">
        <v>2820.0690590887343</v>
      </c>
      <c r="BV50" s="100">
        <v>3.7299491459688889</v>
      </c>
      <c r="BW50" s="100">
        <v>1051.8456591632266</v>
      </c>
      <c r="BX50" s="100">
        <v>7.6620401238963591</v>
      </c>
      <c r="BY50" s="100">
        <v>2160.6953149387732</v>
      </c>
      <c r="BZ50" s="100">
        <v>10</v>
      </c>
      <c r="CA50" s="100">
        <v>2820</v>
      </c>
      <c r="CB50" s="100">
        <v>3.0733318819985995</v>
      </c>
      <c r="CC50" s="100">
        <v>866.67959072360509</v>
      </c>
      <c r="CD50" s="100">
        <v>5.6159605348841816E-4</v>
      </c>
      <c r="CE50" s="100">
        <v>0.15837008708373393</v>
      </c>
      <c r="CF50" s="100">
        <v>7.1056421858942205</v>
      </c>
      <c r="CG50" s="100">
        <v>2003.7910964221701</v>
      </c>
      <c r="CH50" s="100">
        <v>4.7638500235056558</v>
      </c>
      <c r="CI50" s="100">
        <v>1343.405706628595</v>
      </c>
      <c r="CJ50" s="100">
        <v>6</v>
      </c>
      <c r="CK50" s="100">
        <v>1692</v>
      </c>
      <c r="CL50" s="100">
        <v>3.3622314600757148</v>
      </c>
      <c r="CM50" s="100">
        <v>948.14927174135153</v>
      </c>
      <c r="CN50" s="100">
        <v>9.8589799417699897</v>
      </c>
      <c r="CO50" s="100">
        <v>2780.2323435791373</v>
      </c>
      <c r="CP50" s="100">
        <v>8</v>
      </c>
      <c r="CQ50" s="100">
        <v>2256</v>
      </c>
      <c r="CR50" s="100">
        <v>9.0441472992003078</v>
      </c>
      <c r="CS50" s="100">
        <v>2550.449538374487</v>
      </c>
      <c r="CT50" s="100">
        <v>6.5141415959711235</v>
      </c>
      <c r="CU50" s="100">
        <v>1836.9879300638568</v>
      </c>
    </row>
    <row r="51" spans="2:99">
      <c r="C51" s="99" t="s">
        <v>217</v>
      </c>
      <c r="D51" s="100">
        <v>10</v>
      </c>
      <c r="E51" s="100">
        <v>8544</v>
      </c>
      <c r="F51" s="100">
        <v>7.6375134615624996</v>
      </c>
      <c r="G51" s="100">
        <v>6525.4915015589995</v>
      </c>
      <c r="H51" s="100">
        <v>6.073450651214384</v>
      </c>
      <c r="I51" s="100">
        <v>5189.15623639757</v>
      </c>
      <c r="J51" s="100">
        <v>4.6627343037021268E-4</v>
      </c>
      <c r="K51" s="100">
        <v>0.39838401890830971</v>
      </c>
      <c r="L51" s="100">
        <v>6.671785561047245</v>
      </c>
      <c r="M51" s="100">
        <v>5700.3735833587662</v>
      </c>
      <c r="N51" s="100">
        <v>2.0511518225226042</v>
      </c>
      <c r="O51" s="100">
        <v>1752.5041171633129</v>
      </c>
      <c r="P51" s="100">
        <v>10</v>
      </c>
      <c r="Q51" s="100">
        <v>8544</v>
      </c>
      <c r="R51" s="100">
        <v>8.9887789470577388</v>
      </c>
      <c r="S51" s="100">
        <v>7680.0127323661318</v>
      </c>
      <c r="T51" s="100">
        <v>2.5503910058821799</v>
      </c>
      <c r="U51" s="100">
        <v>2179.0540754257345</v>
      </c>
      <c r="V51" s="100">
        <v>4.3245033618954789</v>
      </c>
      <c r="W51" s="100">
        <v>3694.855672403497</v>
      </c>
      <c r="X51" s="100">
        <v>5.871286190552123</v>
      </c>
      <c r="Y51" s="100">
        <v>5016.4269212077334</v>
      </c>
      <c r="Z51" s="100">
        <v>3.559680901865983</v>
      </c>
      <c r="AA51" s="100">
        <v>3041.3913625542959</v>
      </c>
      <c r="AB51" s="100">
        <v>6.0483432840142477</v>
      </c>
      <c r="AC51" s="100">
        <v>5167.7045018617728</v>
      </c>
      <c r="AD51" s="100">
        <v>10</v>
      </c>
      <c r="AE51" s="100">
        <v>8544</v>
      </c>
      <c r="AF51" s="100">
        <v>3.8918022856025605</v>
      </c>
      <c r="AG51" s="100">
        <v>3325.1558728188274</v>
      </c>
      <c r="AH51" s="100">
        <v>9</v>
      </c>
      <c r="AI51" s="100">
        <v>7689.5999999999995</v>
      </c>
      <c r="AJ51" s="100">
        <v>2.9949261920131427</v>
      </c>
      <c r="AK51" s="100">
        <v>2558.864938456029</v>
      </c>
      <c r="AL51" s="100">
        <v>8.9451757286014786</v>
      </c>
      <c r="AM51" s="100">
        <v>7642.7581425171029</v>
      </c>
      <c r="AN51" s="100">
        <v>8.2739300331171552</v>
      </c>
      <c r="AO51" s="100">
        <v>7069.2458202952976</v>
      </c>
      <c r="AP51" s="100">
        <v>6.2391410863875038E-4</v>
      </c>
      <c r="AQ51" s="100">
        <v>0.53307221442094832</v>
      </c>
      <c r="AR51" s="100">
        <v>6.9910637381906238</v>
      </c>
      <c r="AS51" s="100">
        <v>5973.1648579100683</v>
      </c>
      <c r="AT51" s="100">
        <v>10.764329543255586</v>
      </c>
      <c r="AU51" s="100">
        <v>9197.0431617575723</v>
      </c>
      <c r="AV51" s="100">
        <v>6.3671301249984271</v>
      </c>
      <c r="AW51" s="100">
        <v>5440.0759787986563</v>
      </c>
      <c r="AX51" s="100">
        <v>5.3423233333404227E-4</v>
      </c>
      <c r="AY51" s="100">
        <v>0.45644810560060572</v>
      </c>
      <c r="AZ51" s="100">
        <v>8.7080609892606766</v>
      </c>
      <c r="BA51" s="100">
        <v>7440.1673092243218</v>
      </c>
      <c r="BB51" s="100">
        <v>2.6365480528505589</v>
      </c>
      <c r="BC51" s="100">
        <v>2252.6666563555177</v>
      </c>
      <c r="BD51" s="100">
        <v>8.6637939050087667</v>
      </c>
      <c r="BE51" s="100">
        <v>7402.3455124394904</v>
      </c>
      <c r="BF51" s="100">
        <v>5.7464743992228753</v>
      </c>
      <c r="BG51" s="100">
        <v>4909.7877266960249</v>
      </c>
      <c r="BH51" s="100">
        <v>5.9802246788410409</v>
      </c>
      <c r="BI51" s="100">
        <v>5109.5039656017852</v>
      </c>
      <c r="BJ51" s="100">
        <v>10.553712531375544</v>
      </c>
      <c r="BK51" s="100">
        <v>9017.0919868072633</v>
      </c>
      <c r="BL51" s="100">
        <v>9</v>
      </c>
      <c r="BM51" s="100">
        <v>7689.5999999999995</v>
      </c>
      <c r="BN51" s="100">
        <v>7.8063028958415224</v>
      </c>
      <c r="BO51" s="100">
        <v>6669.7051942069966</v>
      </c>
      <c r="BP51" s="100">
        <v>2.0872869733826533</v>
      </c>
      <c r="BQ51" s="100">
        <v>1783.3779900581389</v>
      </c>
      <c r="BR51" s="100">
        <v>5.5404974720779025E-4</v>
      </c>
      <c r="BS51" s="100">
        <v>0.473380104014336</v>
      </c>
      <c r="BT51" s="100">
        <v>10.000293868462698</v>
      </c>
      <c r="BU51" s="100">
        <v>8544.2510812145283</v>
      </c>
      <c r="BV51" s="100">
        <v>3.7299491459688889</v>
      </c>
      <c r="BW51" s="100">
        <v>3186.8685503158185</v>
      </c>
      <c r="BX51" s="100">
        <v>5.7465300929222698</v>
      </c>
      <c r="BY51" s="100">
        <v>4909.8353113927869</v>
      </c>
      <c r="BZ51" s="100">
        <v>12</v>
      </c>
      <c r="CA51" s="100">
        <v>10252.799999999999</v>
      </c>
      <c r="CB51" s="100">
        <v>2.1952370585704282</v>
      </c>
      <c r="CC51" s="100">
        <v>1875.6105428425738</v>
      </c>
      <c r="CD51" s="100">
        <v>4.997932102245576E-4</v>
      </c>
      <c r="CE51" s="100">
        <v>0.42702331881586203</v>
      </c>
      <c r="CF51" s="100">
        <v>8.1056421858942205</v>
      </c>
      <c r="CG51" s="100">
        <v>6925.4606836280218</v>
      </c>
      <c r="CH51" s="100">
        <v>4.7638500235056558</v>
      </c>
      <c r="CI51" s="100">
        <v>4070.2334600832323</v>
      </c>
      <c r="CJ51" s="100">
        <v>7</v>
      </c>
      <c r="CK51" s="100">
        <v>5980.8</v>
      </c>
      <c r="CL51" s="100">
        <v>3.3622314600757148</v>
      </c>
      <c r="CM51" s="100">
        <v>2872.6905594886907</v>
      </c>
      <c r="CN51" s="100">
        <v>9.7362685215171343</v>
      </c>
      <c r="CO51" s="100">
        <v>8318.6678247842392</v>
      </c>
      <c r="CP51" s="100">
        <v>8</v>
      </c>
      <c r="CQ51" s="100">
        <v>6835.2</v>
      </c>
      <c r="CR51" s="100">
        <v>8.1397325692802784</v>
      </c>
      <c r="CS51" s="100">
        <v>6954.5875071930695</v>
      </c>
      <c r="CT51" s="100">
        <v>6.5141415959711235</v>
      </c>
      <c r="CU51" s="100">
        <v>5565.6825795977275</v>
      </c>
    </row>
    <row r="52" spans="2:99">
      <c r="C52" s="99" t="s">
        <v>218</v>
      </c>
      <c r="D52" s="100">
        <v>9</v>
      </c>
      <c r="E52" s="100">
        <v>4860</v>
      </c>
      <c r="F52" s="100">
        <v>8.4861260684027773</v>
      </c>
      <c r="G52" s="100">
        <v>4582.5080769374999</v>
      </c>
      <c r="H52" s="100">
        <v>6.073450651214384</v>
      </c>
      <c r="I52" s="100">
        <v>3279.6633516557672</v>
      </c>
      <c r="J52" s="100">
        <v>5.5457921943178386E-4</v>
      </c>
      <c r="K52" s="100">
        <v>0.29947277849316328</v>
      </c>
      <c r="L52" s="100">
        <v>6.671785561047245</v>
      </c>
      <c r="M52" s="100">
        <v>3602.7642029655121</v>
      </c>
      <c r="N52" s="100">
        <v>1.7947578447072783</v>
      </c>
      <c r="O52" s="100">
        <v>969.16923614193024</v>
      </c>
      <c r="P52" s="100">
        <v>11</v>
      </c>
      <c r="Q52" s="100">
        <v>5940</v>
      </c>
      <c r="R52" s="100">
        <v>9.9875321633974874</v>
      </c>
      <c r="S52" s="100">
        <v>5393.2673682346431</v>
      </c>
      <c r="T52" s="100">
        <v>3.1171445627448868</v>
      </c>
      <c r="U52" s="100">
        <v>1683.258063882239</v>
      </c>
      <c r="V52" s="100">
        <v>4.3264656784820827</v>
      </c>
      <c r="W52" s="100">
        <v>2336.2914663803249</v>
      </c>
      <c r="X52" s="100">
        <v>6.871286190552123</v>
      </c>
      <c r="Y52" s="100">
        <v>3710.4945428981464</v>
      </c>
      <c r="Z52" s="100">
        <v>3.9552010020733142</v>
      </c>
      <c r="AA52" s="100">
        <v>2135.8085411195898</v>
      </c>
      <c r="AB52" s="100">
        <v>6.0483432840142477</v>
      </c>
      <c r="AC52" s="100">
        <v>3266.1053733676936</v>
      </c>
      <c r="AD52" s="100">
        <v>10</v>
      </c>
      <c r="AE52" s="100">
        <v>5400</v>
      </c>
      <c r="AF52" s="100">
        <v>3.5380020778205097</v>
      </c>
      <c r="AG52" s="100">
        <v>1910.5211220230751</v>
      </c>
      <c r="AH52" s="100">
        <v>10</v>
      </c>
      <c r="AI52" s="100">
        <v>5400</v>
      </c>
      <c r="AJ52" s="100">
        <v>2.9949261920131427</v>
      </c>
      <c r="AK52" s="100">
        <v>1617.2601436870971</v>
      </c>
      <c r="AL52" s="100">
        <v>9.9451757286014786</v>
      </c>
      <c r="AM52" s="100">
        <v>5370.3948934447981</v>
      </c>
      <c r="AN52" s="100">
        <v>8.2739300331171552</v>
      </c>
      <c r="AO52" s="100">
        <v>4467.9222178832642</v>
      </c>
      <c r="AP52" s="100">
        <v>7.5644075866383069E-4</v>
      </c>
      <c r="AQ52" s="100">
        <v>0.40847800967846859</v>
      </c>
      <c r="AR52" s="100">
        <v>8.0448249561561092</v>
      </c>
      <c r="AS52" s="100">
        <v>4344.2054763242986</v>
      </c>
      <c r="AT52" s="100">
        <v>10.917195451906704</v>
      </c>
      <c r="AU52" s="100">
        <v>5895.2855440296198</v>
      </c>
      <c r="AV52" s="100">
        <v>7.1630213906232312</v>
      </c>
      <c r="AW52" s="100">
        <v>3868.031550936545</v>
      </c>
      <c r="AX52" s="100">
        <v>5.3423233333404227E-4</v>
      </c>
      <c r="AY52" s="100">
        <v>0.28848546000038283</v>
      </c>
      <c r="AZ52" s="100">
        <v>8.7080609892606766</v>
      </c>
      <c r="BA52" s="100">
        <v>4702.352934200765</v>
      </c>
      <c r="BB52" s="100">
        <v>3.1122284898519634</v>
      </c>
      <c r="BC52" s="100">
        <v>1680.6033845200602</v>
      </c>
      <c r="BD52" s="100">
        <v>9.4548668006692491</v>
      </c>
      <c r="BE52" s="100">
        <v>5105.6280723613945</v>
      </c>
      <c r="BF52" s="100">
        <v>5.1183777754816084</v>
      </c>
      <c r="BG52" s="100">
        <v>2763.9239987600686</v>
      </c>
      <c r="BH52" s="100">
        <v>6.6040271391088599</v>
      </c>
      <c r="BI52" s="100">
        <v>3566.1746551187844</v>
      </c>
      <c r="BJ52" s="100">
        <v>10.553712531375544</v>
      </c>
      <c r="BK52" s="100">
        <v>5699.0047669427931</v>
      </c>
      <c r="BL52" s="100">
        <v>11</v>
      </c>
      <c r="BM52" s="100">
        <v>5940</v>
      </c>
      <c r="BN52" s="100">
        <v>7.8063028958415224</v>
      </c>
      <c r="BO52" s="100">
        <v>4215.4035637544221</v>
      </c>
      <c r="BP52" s="100">
        <v>1.8263761017098215</v>
      </c>
      <c r="BQ52" s="100">
        <v>986.2430949233036</v>
      </c>
      <c r="BR52" s="100">
        <v>5.5603405189393604E-4</v>
      </c>
      <c r="BS52" s="100">
        <v>0.30025838802272548</v>
      </c>
      <c r="BT52" s="100">
        <v>10.000293868462698</v>
      </c>
      <c r="BU52" s="100">
        <v>5400.1586889698574</v>
      </c>
      <c r="BV52" s="100">
        <v>3.7299491459688889</v>
      </c>
      <c r="BW52" s="100">
        <v>2014.1725388232001</v>
      </c>
      <c r="BX52" s="100">
        <v>6.7042851084093149</v>
      </c>
      <c r="BY52" s="100">
        <v>3620.3139585410299</v>
      </c>
      <c r="BZ52" s="100">
        <v>11</v>
      </c>
      <c r="CA52" s="100">
        <v>5940</v>
      </c>
      <c r="CB52" s="100">
        <v>2.6342844702845136</v>
      </c>
      <c r="CC52" s="100">
        <v>1422.5136139536373</v>
      </c>
      <c r="CD52" s="100">
        <v>4.3866167497490607E-4</v>
      </c>
      <c r="CE52" s="100">
        <v>0.23687730448644928</v>
      </c>
      <c r="CF52" s="100">
        <v>8.1056421858942205</v>
      </c>
      <c r="CG52" s="100">
        <v>4377.0467803828788</v>
      </c>
      <c r="CH52" s="100">
        <v>5.4444000268636064</v>
      </c>
      <c r="CI52" s="100">
        <v>2939.9760145063474</v>
      </c>
      <c r="CJ52" s="100">
        <v>7</v>
      </c>
      <c r="CK52" s="100">
        <v>3780</v>
      </c>
      <c r="CL52" s="100">
        <v>2.8018595500630958</v>
      </c>
      <c r="CM52" s="100">
        <v>1513.0041570340718</v>
      </c>
      <c r="CN52" s="100">
        <v>8.8589799417699897</v>
      </c>
      <c r="CO52" s="100">
        <v>4783.8491685557947</v>
      </c>
      <c r="CP52" s="100">
        <v>8</v>
      </c>
      <c r="CQ52" s="100">
        <v>4320</v>
      </c>
      <c r="CR52" s="100">
        <v>8.1397325692802784</v>
      </c>
      <c r="CS52" s="100">
        <v>4395.4555874113503</v>
      </c>
      <c r="CT52" s="100">
        <v>6.5141415959711235</v>
      </c>
      <c r="CU52" s="100">
        <v>3517.6364618244065</v>
      </c>
    </row>
    <row r="53" spans="2:99">
      <c r="C53" s="99" t="s">
        <v>219</v>
      </c>
      <c r="D53" s="100">
        <v>11</v>
      </c>
      <c r="E53" s="100">
        <v>4474.8</v>
      </c>
      <c r="F53" s="100">
        <v>7.6375134615624996</v>
      </c>
      <c r="G53" s="100">
        <v>3106.9404761636247</v>
      </c>
      <c r="H53" s="100">
        <v>6.073450651214384</v>
      </c>
      <c r="I53" s="100">
        <v>2470.6797249140113</v>
      </c>
      <c r="J53" s="100">
        <v>5.5457921943178386E-4</v>
      </c>
      <c r="K53" s="100">
        <v>0.22560282646484969</v>
      </c>
      <c r="L53" s="100">
        <v>7.839731951309056</v>
      </c>
      <c r="M53" s="100">
        <v>3189.2029577925241</v>
      </c>
      <c r="N53" s="100">
        <v>1.7947578447072783</v>
      </c>
      <c r="O53" s="100">
        <v>730.10749122692084</v>
      </c>
      <c r="P53" s="100">
        <v>12</v>
      </c>
      <c r="Q53" s="100">
        <v>4881.6000000000004</v>
      </c>
      <c r="R53" s="100">
        <v>8.9887789470577388</v>
      </c>
      <c r="S53" s="100">
        <v>3656.6352756630881</v>
      </c>
      <c r="T53" s="100">
        <v>2.8337677843135332</v>
      </c>
      <c r="U53" s="100">
        <v>1152.7767346587452</v>
      </c>
      <c r="V53" s="100">
        <v>4.9088327640669824</v>
      </c>
      <c r="W53" s="100">
        <v>1996.9131684224485</v>
      </c>
      <c r="X53" s="100">
        <v>6.871286190552123</v>
      </c>
      <c r="Y53" s="100">
        <v>2795.2392223166039</v>
      </c>
      <c r="Z53" s="100">
        <v>4.3507211022806453</v>
      </c>
      <c r="AA53" s="100">
        <v>1769.8733444077666</v>
      </c>
      <c r="AB53" s="100">
        <v>6.0362574630106858</v>
      </c>
      <c r="AC53" s="100">
        <v>2455.5495359527472</v>
      </c>
      <c r="AD53" s="100">
        <v>10</v>
      </c>
      <c r="AE53" s="100">
        <v>4068</v>
      </c>
      <c r="AF53" s="100">
        <v>3.8918022856025605</v>
      </c>
      <c r="AG53" s="100">
        <v>1583.1851697831216</v>
      </c>
      <c r="AH53" s="100">
        <v>9</v>
      </c>
      <c r="AI53" s="100">
        <v>3661.2000000000003</v>
      </c>
      <c r="AJ53" s="100">
        <v>2.9949261920131427</v>
      </c>
      <c r="AK53" s="100">
        <v>1218.3359749109466</v>
      </c>
      <c r="AL53" s="100">
        <v>9.9451757286014786</v>
      </c>
      <c r="AM53" s="100">
        <v>4045.6974863950818</v>
      </c>
      <c r="AN53" s="100">
        <v>7.4465370298054392</v>
      </c>
      <c r="AO53" s="100">
        <v>3029.2512637248528</v>
      </c>
      <c r="AP53" s="100">
        <v>6.9017743365129048E-4</v>
      </c>
      <c r="AQ53" s="100">
        <v>0.280764180009345</v>
      </c>
      <c r="AR53" s="100">
        <v>7.9164033603001798</v>
      </c>
      <c r="AS53" s="100">
        <v>3220.3928869701131</v>
      </c>
      <c r="AT53" s="100">
        <v>12.764329543255586</v>
      </c>
      <c r="AU53" s="100">
        <v>5192.5292581963722</v>
      </c>
      <c r="AV53" s="100">
        <v>7.1630213906232312</v>
      </c>
      <c r="AW53" s="100">
        <v>2913.9171017055305</v>
      </c>
      <c r="AX53" s="100">
        <v>4.9569982093114668E-4</v>
      </c>
      <c r="AY53" s="100">
        <v>0.20165068715479048</v>
      </c>
      <c r="AZ53" s="100">
        <v>7.9500472253449326</v>
      </c>
      <c r="BA53" s="100">
        <v>3234.0792112703189</v>
      </c>
      <c r="BB53" s="100">
        <v>3.0487292069129355</v>
      </c>
      <c r="BC53" s="100">
        <v>1240.2230413721823</v>
      </c>
      <c r="BD53" s="100">
        <v>9.4548668006692491</v>
      </c>
      <c r="BE53" s="100">
        <v>3846.2398145122506</v>
      </c>
      <c r="BF53" s="100">
        <v>4.9974457107431247</v>
      </c>
      <c r="BG53" s="100">
        <v>2032.9609151303032</v>
      </c>
      <c r="BH53" s="100">
        <v>6.6040271391088599</v>
      </c>
      <c r="BI53" s="100">
        <v>2686.5182401894845</v>
      </c>
      <c r="BJ53" s="100">
        <v>10.664455037650653</v>
      </c>
      <c r="BK53" s="100">
        <v>4338.3003093162852</v>
      </c>
      <c r="BL53" s="100">
        <v>11</v>
      </c>
      <c r="BM53" s="100">
        <v>4474.8</v>
      </c>
      <c r="BN53" s="100">
        <v>7.0256726062573707</v>
      </c>
      <c r="BO53" s="100">
        <v>2858.0436162254987</v>
      </c>
      <c r="BP53" s="100">
        <v>2.0872869733826533</v>
      </c>
      <c r="BQ53" s="100">
        <v>849.10834077206346</v>
      </c>
      <c r="BR53" s="100">
        <v>5.0281181232791764E-4</v>
      </c>
      <c r="BS53" s="100">
        <v>0.20454384525499691</v>
      </c>
      <c r="BT53" s="100">
        <v>11.000244890385583</v>
      </c>
      <c r="BU53" s="100">
        <v>4474.8996214088547</v>
      </c>
      <c r="BV53" s="100">
        <v>3.7299491459688889</v>
      </c>
      <c r="BW53" s="100">
        <v>1517.3433125801441</v>
      </c>
      <c r="BX53" s="100">
        <v>7.6620401238963591</v>
      </c>
      <c r="BY53" s="100">
        <v>3116.917922401039</v>
      </c>
      <c r="BZ53" s="100">
        <v>10</v>
      </c>
      <c r="CA53" s="100">
        <v>4068</v>
      </c>
      <c r="CB53" s="100">
        <v>3.0733318819985995</v>
      </c>
      <c r="CC53" s="100">
        <v>1250.2314095970303</v>
      </c>
      <c r="CD53" s="100">
        <v>5.6159605348841816E-4</v>
      </c>
      <c r="CE53" s="100">
        <v>0.22845727455908851</v>
      </c>
      <c r="CF53" s="100">
        <v>7.1056421858942205</v>
      </c>
      <c r="CG53" s="100">
        <v>2890.5752412217689</v>
      </c>
      <c r="CH53" s="100">
        <v>5.4444000268636064</v>
      </c>
      <c r="CI53" s="100">
        <v>2214.7819309281153</v>
      </c>
      <c r="CJ53" s="100">
        <v>8</v>
      </c>
      <c r="CK53" s="100">
        <v>3254.4</v>
      </c>
      <c r="CL53" s="100">
        <v>3.3622314600757148</v>
      </c>
      <c r="CM53" s="100">
        <v>1367.7557579588008</v>
      </c>
      <c r="CN53" s="100">
        <v>8.7362685215171343</v>
      </c>
      <c r="CO53" s="100">
        <v>3553.9140345531705</v>
      </c>
      <c r="CP53" s="100">
        <v>8</v>
      </c>
      <c r="CQ53" s="100">
        <v>3254.4</v>
      </c>
      <c r="CR53" s="100">
        <v>7.2353178393602455</v>
      </c>
      <c r="CS53" s="100">
        <v>2943.3272970517478</v>
      </c>
      <c r="CT53" s="100">
        <v>7.2379351066345814</v>
      </c>
      <c r="CU53" s="100">
        <v>2944.392001378948</v>
      </c>
    </row>
    <row r="54" spans="2:99">
      <c r="C54" s="99" t="s">
        <v>220</v>
      </c>
      <c r="D54" s="100">
        <v>11</v>
      </c>
      <c r="E54" s="100">
        <v>3682.8</v>
      </c>
      <c r="F54" s="100">
        <v>8.4861260684027773</v>
      </c>
      <c r="G54" s="100">
        <v>2841.1550077012498</v>
      </c>
      <c r="H54" s="100">
        <v>6.073450651214384</v>
      </c>
      <c r="I54" s="100">
        <v>2033.3912780265757</v>
      </c>
      <c r="J54" s="100">
        <v>5.5870330027550999E-4</v>
      </c>
      <c r="K54" s="100">
        <v>0.18705386493224074</v>
      </c>
      <c r="L54" s="100">
        <v>6.839731951309056</v>
      </c>
      <c r="M54" s="100">
        <v>2289.9422572982721</v>
      </c>
      <c r="N54" s="100">
        <v>2.0511518225226042</v>
      </c>
      <c r="O54" s="100">
        <v>686.72563018056792</v>
      </c>
      <c r="P54" s="100">
        <v>11</v>
      </c>
      <c r="Q54" s="100">
        <v>3682.8</v>
      </c>
      <c r="R54" s="100">
        <v>10.986285379737236</v>
      </c>
      <c r="S54" s="100">
        <v>3678.2083451360268</v>
      </c>
      <c r="T54" s="100">
        <v>2.8337677843135332</v>
      </c>
      <c r="U54" s="100">
        <v>948.74545418817092</v>
      </c>
      <c r="V54" s="100">
        <v>4.3264656784820827</v>
      </c>
      <c r="W54" s="100">
        <v>1448.5007091558014</v>
      </c>
      <c r="X54" s="100">
        <v>6.871286190552123</v>
      </c>
      <c r="Y54" s="100">
        <v>2300.506616596851</v>
      </c>
      <c r="Z54" s="100">
        <v>4.3507211022806453</v>
      </c>
      <c r="AA54" s="100">
        <v>1456.6214250435601</v>
      </c>
      <c r="AB54" s="100">
        <v>6.0483432840142477</v>
      </c>
      <c r="AC54" s="100">
        <v>2024.9853314879701</v>
      </c>
      <c r="AD54" s="100">
        <v>11</v>
      </c>
      <c r="AE54" s="100">
        <v>3682.8</v>
      </c>
      <c r="AF54" s="100">
        <v>3.5380020778205097</v>
      </c>
      <c r="AG54" s="100">
        <v>1184.5230956543066</v>
      </c>
      <c r="AH54" s="100">
        <v>9</v>
      </c>
      <c r="AI54" s="100">
        <v>3013.2000000000003</v>
      </c>
      <c r="AJ54" s="100">
        <v>3.3692919660147855</v>
      </c>
      <c r="AK54" s="100">
        <v>1128.0389502217502</v>
      </c>
      <c r="AL54" s="100">
        <v>8.9451757286014786</v>
      </c>
      <c r="AM54" s="100">
        <v>2994.8448339357751</v>
      </c>
      <c r="AN54" s="100">
        <v>7.4465370298054392</v>
      </c>
      <c r="AO54" s="100">
        <v>2493.1005975788612</v>
      </c>
      <c r="AP54" s="100">
        <v>7.509319219586528E-4</v>
      </c>
      <c r="AQ54" s="100">
        <v>0.25141200747175696</v>
      </c>
      <c r="AR54" s="100">
        <v>6.065724116081066</v>
      </c>
      <c r="AS54" s="100">
        <v>2030.804434063941</v>
      </c>
      <c r="AT54" s="100">
        <v>10.764329543255586</v>
      </c>
      <c r="AU54" s="100">
        <v>3603.8975310819706</v>
      </c>
      <c r="AV54" s="100">
        <v>6.3671301249984271</v>
      </c>
      <c r="AW54" s="100">
        <v>2131.7151658494736</v>
      </c>
      <c r="AX54" s="100">
        <v>5.3423233333404227E-4</v>
      </c>
      <c r="AY54" s="100">
        <v>0.17886098520023735</v>
      </c>
      <c r="AZ54" s="100">
        <v>7.9500472253449326</v>
      </c>
      <c r="BA54" s="100">
        <v>2661.6758110454834</v>
      </c>
      <c r="BB54" s="100">
        <v>3.0487292069129355</v>
      </c>
      <c r="BC54" s="100">
        <v>1020.7145384744508</v>
      </c>
      <c r="BD54" s="100">
        <v>10.372197435667932</v>
      </c>
      <c r="BE54" s="100">
        <v>3472.6117014616239</v>
      </c>
      <c r="BF54" s="100">
        <v>5.0981004267160479</v>
      </c>
      <c r="BG54" s="100">
        <v>1706.8440228645329</v>
      </c>
      <c r="BH54" s="100">
        <v>6.6040271391088599</v>
      </c>
      <c r="BI54" s="100">
        <v>2211.0282861736464</v>
      </c>
      <c r="BJ54" s="100">
        <v>10.664455037650653</v>
      </c>
      <c r="BK54" s="100">
        <v>3570.4595466054384</v>
      </c>
      <c r="BL54" s="100">
        <v>12</v>
      </c>
      <c r="BM54" s="100">
        <v>4017.6000000000004</v>
      </c>
      <c r="BN54" s="100">
        <v>7.8063028958415224</v>
      </c>
      <c r="BO54" s="100">
        <v>2613.5502095277416</v>
      </c>
      <c r="BP54" s="100">
        <v>1.8263761017098215</v>
      </c>
      <c r="BQ54" s="100">
        <v>611.47071885244827</v>
      </c>
      <c r="BR54" s="100">
        <v>5.5603405189393604E-4</v>
      </c>
      <c r="BS54" s="100">
        <v>0.1861602005740898</v>
      </c>
      <c r="BT54" s="100">
        <v>11.000244890385583</v>
      </c>
      <c r="BU54" s="100">
        <v>3682.8819893010932</v>
      </c>
      <c r="BV54" s="100">
        <v>3.7299491459688889</v>
      </c>
      <c r="BW54" s="100">
        <v>1248.7869740703841</v>
      </c>
      <c r="BX54" s="100">
        <v>6.7042851084093149</v>
      </c>
      <c r="BY54" s="100">
        <v>2244.5946542954389</v>
      </c>
      <c r="BZ54" s="100">
        <v>12</v>
      </c>
      <c r="CA54" s="100">
        <v>4017.6000000000004</v>
      </c>
      <c r="CB54" s="100">
        <v>2.6342844702845136</v>
      </c>
      <c r="CC54" s="100">
        <v>881.95844065125516</v>
      </c>
      <c r="CD54" s="100">
        <v>5.6226736150262729E-4</v>
      </c>
      <c r="CE54" s="100">
        <v>0.18824711263107963</v>
      </c>
      <c r="CF54" s="100">
        <v>8.1056421858942205</v>
      </c>
      <c r="CG54" s="100">
        <v>2713.7690038373853</v>
      </c>
      <c r="CH54" s="100">
        <v>4.7638500235056558</v>
      </c>
      <c r="CI54" s="100">
        <v>1594.9369878696937</v>
      </c>
      <c r="CJ54" s="100">
        <v>6</v>
      </c>
      <c r="CK54" s="100">
        <v>2008.8000000000002</v>
      </c>
      <c r="CL54" s="100">
        <v>2.8018595500630958</v>
      </c>
      <c r="CM54" s="100">
        <v>938.06257736112457</v>
      </c>
      <c r="CN54" s="100">
        <v>9.7362685215171343</v>
      </c>
      <c r="CO54" s="100">
        <v>3259.7027010039365</v>
      </c>
      <c r="CP54" s="100">
        <v>9</v>
      </c>
      <c r="CQ54" s="100">
        <v>3013.2000000000003</v>
      </c>
      <c r="CR54" s="100">
        <v>8.1397325692802784</v>
      </c>
      <c r="CS54" s="100">
        <v>2725.1824641950375</v>
      </c>
      <c r="CT54" s="100">
        <v>6.5141415959711235</v>
      </c>
      <c r="CU54" s="100">
        <v>2180.9346063311323</v>
      </c>
    </row>
    <row r="55" spans="2:99">
      <c r="C55" s="99" t="s">
        <v>221</v>
      </c>
      <c r="D55" s="100">
        <v>9</v>
      </c>
      <c r="E55" s="100">
        <v>5972.4000000000005</v>
      </c>
      <c r="F55" s="100">
        <v>8.4861260684027773</v>
      </c>
      <c r="G55" s="100">
        <v>5631.3932589920832</v>
      </c>
      <c r="H55" s="100">
        <v>5.2058148438980432</v>
      </c>
      <c r="I55" s="100">
        <v>3454.5787304107416</v>
      </c>
      <c r="J55" s="100">
        <v>5.5870330027550999E-4</v>
      </c>
      <c r="K55" s="100">
        <v>0.37075551006282842</v>
      </c>
      <c r="L55" s="100">
        <v>6.839731951309056</v>
      </c>
      <c r="M55" s="100">
        <v>4538.8461228886899</v>
      </c>
      <c r="N55" s="100">
        <v>1.7947578447072783</v>
      </c>
      <c r="O55" s="100">
        <v>1191.0013057477499</v>
      </c>
      <c r="P55" s="100">
        <v>10</v>
      </c>
      <c r="Q55" s="100">
        <v>6636</v>
      </c>
      <c r="R55" s="100">
        <v>8.9887789470577388</v>
      </c>
      <c r="S55" s="100">
        <v>5964.9537092675155</v>
      </c>
      <c r="T55" s="100">
        <v>2.8337677843135332</v>
      </c>
      <c r="U55" s="100">
        <v>1880.4883016704607</v>
      </c>
      <c r="V55" s="100">
        <v>3.7421362763105792</v>
      </c>
      <c r="W55" s="100">
        <v>2483.2816329597003</v>
      </c>
      <c r="X55" s="100">
        <v>6.871286190552123</v>
      </c>
      <c r="Y55" s="100">
        <v>4559.7855160503887</v>
      </c>
      <c r="Z55" s="100">
        <v>3.9552010020733142</v>
      </c>
      <c r="AA55" s="100">
        <v>2624.6713849758512</v>
      </c>
      <c r="AB55" s="100">
        <v>6.0483432840142477</v>
      </c>
      <c r="AC55" s="100">
        <v>4013.680603271855</v>
      </c>
      <c r="AD55" s="100">
        <v>10</v>
      </c>
      <c r="AE55" s="100">
        <v>6636</v>
      </c>
      <c r="AF55" s="100">
        <v>3.5380020778205097</v>
      </c>
      <c r="AG55" s="100">
        <v>2347.8181788416905</v>
      </c>
      <c r="AH55" s="100">
        <v>10</v>
      </c>
      <c r="AI55" s="100">
        <v>6636</v>
      </c>
      <c r="AJ55" s="100">
        <v>3.3692919660147855</v>
      </c>
      <c r="AK55" s="100">
        <v>2235.8621486474117</v>
      </c>
      <c r="AL55" s="100">
        <v>9.9451757286014786</v>
      </c>
      <c r="AM55" s="100">
        <v>6599.6186134999416</v>
      </c>
      <c r="AN55" s="100">
        <v>8.2739300331171552</v>
      </c>
      <c r="AO55" s="100">
        <v>5490.5799699765448</v>
      </c>
      <c r="AP55" s="100">
        <v>6.8742301529870148E-4</v>
      </c>
      <c r="AQ55" s="100">
        <v>0.45617391295221832</v>
      </c>
      <c r="AR55" s="100">
        <v>6.9910637381906238</v>
      </c>
      <c r="AS55" s="100">
        <v>4639.2698966632979</v>
      </c>
      <c r="AT55" s="100">
        <v>10.764329543255586</v>
      </c>
      <c r="AU55" s="100">
        <v>7143.2090849044071</v>
      </c>
      <c r="AV55" s="100">
        <v>7.9589126562480343</v>
      </c>
      <c r="AW55" s="100">
        <v>5281.5344386861962</v>
      </c>
      <c r="AX55" s="100">
        <v>4.6341807320102131E-4</v>
      </c>
      <c r="AY55" s="100">
        <v>0.30752423337619778</v>
      </c>
      <c r="AZ55" s="100">
        <v>8.7080609892606766</v>
      </c>
      <c r="BA55" s="100">
        <v>5778.6692724733848</v>
      </c>
      <c r="BB55" s="100">
        <v>3.0487292069129355</v>
      </c>
      <c r="BC55" s="100">
        <v>2023.136701707424</v>
      </c>
      <c r="BD55" s="100">
        <v>10.243698952517097</v>
      </c>
      <c r="BE55" s="100">
        <v>6797.7186248903454</v>
      </c>
      <c r="BF55" s="100">
        <v>4.9974457107431247</v>
      </c>
      <c r="BG55" s="100">
        <v>3316.3049736491375</v>
      </c>
      <c r="BH55" s="100">
        <v>6.7281507896447295</v>
      </c>
      <c r="BI55" s="100">
        <v>4464.8008640082426</v>
      </c>
      <c r="BJ55" s="100">
        <v>9.6644550376506526</v>
      </c>
      <c r="BK55" s="100">
        <v>6413.3323629849729</v>
      </c>
      <c r="BL55" s="100">
        <v>9</v>
      </c>
      <c r="BM55" s="100">
        <v>5972.4000000000005</v>
      </c>
      <c r="BN55" s="100">
        <v>7.8063028958415224</v>
      </c>
      <c r="BO55" s="100">
        <v>5180.2626016804343</v>
      </c>
      <c r="BP55" s="100">
        <v>2.0872869733826533</v>
      </c>
      <c r="BQ55" s="100">
        <v>1385.1236355367289</v>
      </c>
      <c r="BR55" s="100">
        <v>5.0082750764177174E-4</v>
      </c>
      <c r="BS55" s="100">
        <v>0.33234913407107974</v>
      </c>
      <c r="BT55" s="100">
        <v>11.000293868462698</v>
      </c>
      <c r="BU55" s="100">
        <v>7299.7950111118471</v>
      </c>
      <c r="BV55" s="100">
        <v>3.7299491459688889</v>
      </c>
      <c r="BW55" s="100">
        <v>2475.1942532649546</v>
      </c>
      <c r="BX55" s="100">
        <v>6.7042851084093149</v>
      </c>
      <c r="BY55" s="100">
        <v>4448.9635979404211</v>
      </c>
      <c r="BZ55" s="100">
        <v>12</v>
      </c>
      <c r="CA55" s="100">
        <v>7963.2000000000007</v>
      </c>
      <c r="CB55" s="100">
        <v>2.6342844702845136</v>
      </c>
      <c r="CC55" s="100">
        <v>1748.1111744808034</v>
      </c>
      <c r="CD55" s="100">
        <v>4.997932102245576E-4</v>
      </c>
      <c r="CE55" s="100">
        <v>0.33166277430501645</v>
      </c>
      <c r="CF55" s="100">
        <v>8.1056421858942205</v>
      </c>
      <c r="CG55" s="100">
        <v>5378.9041545594046</v>
      </c>
      <c r="CH55" s="100">
        <v>5.4444000268636064</v>
      </c>
      <c r="CI55" s="100">
        <v>3612.9038578266891</v>
      </c>
      <c r="CJ55" s="100">
        <v>6</v>
      </c>
      <c r="CK55" s="100">
        <v>3981.6000000000004</v>
      </c>
      <c r="CL55" s="100">
        <v>3.3622314600757148</v>
      </c>
      <c r="CM55" s="100">
        <v>2231.1767969062444</v>
      </c>
      <c r="CN55" s="100">
        <v>9.8589799417699897</v>
      </c>
      <c r="CO55" s="100">
        <v>6542.4190893585655</v>
      </c>
      <c r="CP55" s="100">
        <v>8</v>
      </c>
      <c r="CQ55" s="100">
        <v>5308.8</v>
      </c>
      <c r="CR55" s="100">
        <v>8.1397325692802784</v>
      </c>
      <c r="CS55" s="100">
        <v>5401.5265329743934</v>
      </c>
      <c r="CT55" s="100">
        <v>6.5141415959711235</v>
      </c>
      <c r="CU55" s="100">
        <v>4322.7843630864381</v>
      </c>
    </row>
    <row r="56" spans="2:99">
      <c r="C56" s="99" t="s">
        <v>222</v>
      </c>
      <c r="D56" s="100">
        <v>10.873058853757287</v>
      </c>
      <c r="E56" s="100">
        <v>10672.994570848152</v>
      </c>
      <c r="F56" s="100">
        <v>7.3382777874400684</v>
      </c>
      <c r="G56" s="100">
        <v>7203.2534761511706</v>
      </c>
      <c r="H56" s="100">
        <v>4.9810514819773744</v>
      </c>
      <c r="I56" s="100">
        <v>4889.4001347089907</v>
      </c>
      <c r="J56" s="100">
        <v>0.3686068226801793</v>
      </c>
      <c r="K56" s="100">
        <v>361.82445714286399</v>
      </c>
      <c r="L56" s="100">
        <v>6.1133911542138231</v>
      </c>
      <c r="M56" s="100">
        <v>6000.9047569762879</v>
      </c>
      <c r="N56" s="100">
        <v>6.5623505061405742</v>
      </c>
      <c r="O56" s="100">
        <v>6441.6032568275868</v>
      </c>
      <c r="P56" s="100">
        <v>7.2418778325914168</v>
      </c>
      <c r="Q56" s="100">
        <v>7108.6272804717337</v>
      </c>
      <c r="R56" s="100">
        <v>0.60470150153335511</v>
      </c>
      <c r="S56" s="100">
        <v>593.57499390514135</v>
      </c>
      <c r="T56" s="100">
        <v>8.1357858773744933</v>
      </c>
      <c r="U56" s="100">
        <v>7986.0874172308022</v>
      </c>
      <c r="V56" s="100">
        <v>6</v>
      </c>
      <c r="W56" s="100">
        <v>5889.5999999999995</v>
      </c>
      <c r="X56" s="100">
        <v>5.2635027791468678</v>
      </c>
      <c r="Y56" s="100">
        <v>5166.6543280105652</v>
      </c>
      <c r="Z56" s="100">
        <v>0.47926252359370647</v>
      </c>
      <c r="AA56" s="100">
        <v>470.44409315958222</v>
      </c>
      <c r="AB56" s="100">
        <v>6.1622790096372979</v>
      </c>
      <c r="AC56" s="100">
        <v>6048.8930758599708</v>
      </c>
      <c r="AD56" s="100">
        <v>3.8639076812568809</v>
      </c>
      <c r="AE56" s="100">
        <v>3792.8117799217539</v>
      </c>
      <c r="AF56" s="100">
        <v>9.5577507283732963</v>
      </c>
      <c r="AG56" s="100">
        <v>9381.888114971227</v>
      </c>
      <c r="AH56" s="100">
        <v>4.6315955129634592</v>
      </c>
      <c r="AI56" s="100">
        <v>4546.3741555249308</v>
      </c>
      <c r="AJ56" s="100">
        <v>8.6573929228872437</v>
      </c>
      <c r="AK56" s="100">
        <v>8498.0968931061179</v>
      </c>
      <c r="AL56" s="100">
        <v>2.1612816507576129</v>
      </c>
      <c r="AM56" s="100">
        <v>2121.5140683836726</v>
      </c>
      <c r="AN56" s="100">
        <v>9.6976339453126741</v>
      </c>
      <c r="AO56" s="100">
        <v>9519.1974807189199</v>
      </c>
      <c r="AP56" s="100">
        <v>8.6739475169590445</v>
      </c>
      <c r="AQ56" s="100">
        <v>8514.346882646998</v>
      </c>
      <c r="AR56" s="100">
        <v>4.7819399487669342E-4</v>
      </c>
      <c r="AS56" s="100">
        <v>0.46939522537096223</v>
      </c>
      <c r="AT56" s="100">
        <v>7.6198529259637748</v>
      </c>
      <c r="AU56" s="100">
        <v>7479.6476321260407</v>
      </c>
      <c r="AV56" s="100">
        <v>5.4668130003719543E-4</v>
      </c>
      <c r="AW56" s="100">
        <v>0.53662236411651099</v>
      </c>
      <c r="AX56" s="100">
        <v>4.073826995469485E-4</v>
      </c>
      <c r="AY56" s="100">
        <v>0.39988685787528461</v>
      </c>
      <c r="AZ56" s="100">
        <v>7.7097891213452128</v>
      </c>
      <c r="BA56" s="100">
        <v>7567.9290015124598</v>
      </c>
      <c r="BB56" s="100">
        <v>0.40414771970319846</v>
      </c>
      <c r="BC56" s="100">
        <v>396.71140166065959</v>
      </c>
      <c r="BD56" s="100">
        <v>11.177141104791113</v>
      </c>
      <c r="BE56" s="100">
        <v>10971.481708462956</v>
      </c>
      <c r="BF56" s="100">
        <v>2.7383276685924693</v>
      </c>
      <c r="BG56" s="100">
        <v>2687.9424394903676</v>
      </c>
      <c r="BH56" s="100">
        <v>8.0468610618566512</v>
      </c>
      <c r="BI56" s="100">
        <v>7898.798818318488</v>
      </c>
      <c r="BJ56" s="100">
        <v>9.4283393370018587</v>
      </c>
      <c r="BK56" s="100">
        <v>9254.8578932010241</v>
      </c>
      <c r="BL56" s="100">
        <v>4.7530872609530966E-4</v>
      </c>
      <c r="BM56" s="100">
        <v>0.46656304553515593</v>
      </c>
      <c r="BN56" s="100">
        <v>7.5667545037452575</v>
      </c>
      <c r="BO56" s="100">
        <v>7427.5262208763443</v>
      </c>
      <c r="BP56" s="100">
        <v>4.7789401864799244</v>
      </c>
      <c r="BQ56" s="100">
        <v>4691.0076870486937</v>
      </c>
      <c r="BR56" s="100">
        <v>5.3245145129375864</v>
      </c>
      <c r="BS56" s="100">
        <v>5226.5434458995342</v>
      </c>
      <c r="BT56" s="100">
        <v>0.52214109692611976</v>
      </c>
      <c r="BU56" s="100">
        <v>512.53370074267912</v>
      </c>
      <c r="BV56" s="100">
        <v>7.1919194718737325</v>
      </c>
      <c r="BW56" s="100">
        <v>7059.5881535912549</v>
      </c>
      <c r="BX56" s="100">
        <v>2.7528237252785468</v>
      </c>
      <c r="BY56" s="100">
        <v>2702.1717687334212</v>
      </c>
      <c r="BZ56" s="100">
        <v>9.1395511822437321</v>
      </c>
      <c r="CA56" s="100">
        <v>8971.3834404904464</v>
      </c>
      <c r="CB56" s="100">
        <v>4.8081778553937236</v>
      </c>
      <c r="CC56" s="100">
        <v>4719.707382854479</v>
      </c>
      <c r="CD56" s="100">
        <v>3.9371312763905526</v>
      </c>
      <c r="CE56" s="100">
        <v>3864.6880609049663</v>
      </c>
      <c r="CF56" s="100">
        <v>6.0969274735174208</v>
      </c>
      <c r="CG56" s="100">
        <v>5984.7440080046999</v>
      </c>
      <c r="CH56" s="100">
        <v>4.6290482362610863</v>
      </c>
      <c r="CI56" s="100">
        <v>4543.8737487138815</v>
      </c>
      <c r="CJ56" s="100">
        <v>4.8516543213846841</v>
      </c>
      <c r="CK56" s="100">
        <v>4762.3838818712056</v>
      </c>
      <c r="CL56" s="100">
        <v>6.0494441363350147</v>
      </c>
      <c r="CM56" s="100">
        <v>5938.1343642264501</v>
      </c>
      <c r="CN56" s="100">
        <v>5.6821691840269102</v>
      </c>
      <c r="CO56" s="100">
        <v>5577.6172710408146</v>
      </c>
      <c r="CP56" s="100">
        <v>3.7024178776428407</v>
      </c>
      <c r="CQ56" s="100">
        <v>3634.2933886942119</v>
      </c>
      <c r="CR56" s="100">
        <v>4.3473175919572649</v>
      </c>
      <c r="CS56" s="100">
        <v>4267.3269482652504</v>
      </c>
      <c r="CT56" s="100">
        <v>4.679076072817284</v>
      </c>
      <c r="CU56" s="100">
        <v>4592.9810730774452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8.4861260684027773</v>
      </c>
      <c r="G57" s="100">
        <v>11975.621107729999</v>
      </c>
      <c r="H57" s="100">
        <v>5.2058148438980432</v>
      </c>
      <c r="I57" s="100">
        <v>7346.4459077089186</v>
      </c>
      <c r="J57" s="100">
        <v>5.5457921943178386E-4</v>
      </c>
      <c r="K57" s="100">
        <v>0.78262219446213344</v>
      </c>
      <c r="L57" s="100">
        <v>5.671785561047245</v>
      </c>
      <c r="M57" s="100">
        <v>8004.0237837498726</v>
      </c>
      <c r="N57" s="100">
        <v>1.7947578447072783</v>
      </c>
      <c r="O57" s="100">
        <v>2532.7622704509113</v>
      </c>
      <c r="P57" s="100">
        <v>10</v>
      </c>
      <c r="Q57" s="100">
        <v>14112</v>
      </c>
      <c r="R57" s="100">
        <v>8.9887789470577388</v>
      </c>
      <c r="S57" s="100">
        <v>12684.964850087881</v>
      </c>
      <c r="T57" s="100">
        <v>2.5503910058821799</v>
      </c>
      <c r="U57" s="100">
        <v>3599.1117875009322</v>
      </c>
      <c r="V57" s="100">
        <v>4.3245033618954789</v>
      </c>
      <c r="W57" s="100">
        <v>6102.7391443069</v>
      </c>
      <c r="X57" s="100">
        <v>6.871286190552123</v>
      </c>
      <c r="Y57" s="100">
        <v>9696.7590721071556</v>
      </c>
      <c r="Z57" s="100">
        <v>3.559680901865983</v>
      </c>
      <c r="AA57" s="100">
        <v>5023.4216887132752</v>
      </c>
      <c r="AB57" s="100">
        <v>5.0483432840142477</v>
      </c>
      <c r="AC57" s="100">
        <v>7124.2220424009065</v>
      </c>
      <c r="AD57" s="100">
        <v>10</v>
      </c>
      <c r="AE57" s="100">
        <v>14112</v>
      </c>
      <c r="AF57" s="100">
        <v>3.1842018700384584</v>
      </c>
      <c r="AG57" s="100">
        <v>4493.5456789982727</v>
      </c>
      <c r="AH57" s="100">
        <v>8</v>
      </c>
      <c r="AI57" s="100">
        <v>11289.6</v>
      </c>
      <c r="AJ57" s="100">
        <v>2.9949261920131427</v>
      </c>
      <c r="AK57" s="100">
        <v>4226.4398421689475</v>
      </c>
      <c r="AL57" s="100">
        <v>9.1027050167017265</v>
      </c>
      <c r="AM57" s="100">
        <v>12845.737319569476</v>
      </c>
      <c r="AN57" s="100">
        <v>7.4465370298054392</v>
      </c>
      <c r="AO57" s="100">
        <v>10508.553056461436</v>
      </c>
      <c r="AP57" s="100">
        <v>6.2115969028616149E-4</v>
      </c>
      <c r="AQ57" s="100">
        <v>0.87658055493183107</v>
      </c>
      <c r="AR57" s="100">
        <v>6.9910637381906238</v>
      </c>
      <c r="AS57" s="100">
        <v>9865.7891473346081</v>
      </c>
      <c r="AT57" s="100">
        <v>10.764329543255586</v>
      </c>
      <c r="AU57" s="100">
        <v>15190.621851442284</v>
      </c>
      <c r="AV57" s="100">
        <v>6.3671301249984271</v>
      </c>
      <c r="AW57" s="100">
        <v>8985.29403239778</v>
      </c>
      <c r="AX57" s="100">
        <v>4.6341807320102131E-4</v>
      </c>
      <c r="AY57" s="100">
        <v>0.65397558490128127</v>
      </c>
      <c r="AZ57" s="100">
        <v>7.0416436814154242</v>
      </c>
      <c r="BA57" s="100">
        <v>9937.1675632134466</v>
      </c>
      <c r="BB57" s="100">
        <v>2.6161154117910215</v>
      </c>
      <c r="BC57" s="100">
        <v>3691.8620691194897</v>
      </c>
      <c r="BD57" s="100">
        <v>7.7509447576353532</v>
      </c>
      <c r="BE57" s="100">
        <v>10938.133241975011</v>
      </c>
      <c r="BF57" s="100">
        <v>4.2484170222633733</v>
      </c>
      <c r="BG57" s="100">
        <v>5995.3661018180728</v>
      </c>
      <c r="BH57" s="100">
        <v>5.9802246788410409</v>
      </c>
      <c r="BI57" s="100">
        <v>8439.2930667804776</v>
      </c>
      <c r="BJ57" s="100">
        <v>10.553712531375544</v>
      </c>
      <c r="BK57" s="100">
        <v>14893.399124277168</v>
      </c>
      <c r="BL57" s="100">
        <v>9</v>
      </c>
      <c r="BM57" s="100">
        <v>12700.800000000001</v>
      </c>
      <c r="BN57" s="100">
        <v>7.0256726062573707</v>
      </c>
      <c r="BO57" s="100">
        <v>9914.6291819504022</v>
      </c>
      <c r="BP57" s="100">
        <v>1.56546523003699</v>
      </c>
      <c r="BQ57" s="100">
        <v>2209.1845326282005</v>
      </c>
      <c r="BR57" s="100">
        <v>4.9884320295562573E-4</v>
      </c>
      <c r="BS57" s="100">
        <v>0.70396752801097906</v>
      </c>
      <c r="BT57" s="100">
        <v>10.000244890385583</v>
      </c>
      <c r="BU57" s="100">
        <v>14112.345589312134</v>
      </c>
      <c r="BV57" s="100">
        <v>3.1082909549740743</v>
      </c>
      <c r="BW57" s="100">
        <v>4386.4201956594134</v>
      </c>
      <c r="BX57" s="100">
        <v>6.7042851084093149</v>
      </c>
      <c r="BY57" s="100">
        <v>9461.0871449872247</v>
      </c>
      <c r="BZ57" s="100">
        <v>9</v>
      </c>
      <c r="CA57" s="100">
        <v>12700.800000000001</v>
      </c>
      <c r="CB57" s="100">
        <v>2.6342844702845136</v>
      </c>
      <c r="CC57" s="100">
        <v>3717.5022444655056</v>
      </c>
      <c r="CD57" s="100">
        <v>4.9912190221034836E-4</v>
      </c>
      <c r="CE57" s="100">
        <v>0.70436082839924363</v>
      </c>
      <c r="CF57" s="100">
        <v>7.1056421858942205</v>
      </c>
      <c r="CG57" s="100">
        <v>10027.482252733924</v>
      </c>
      <c r="CH57" s="100">
        <v>4.7638500235056558</v>
      </c>
      <c r="CI57" s="100">
        <v>6722.7451531711813</v>
      </c>
      <c r="CJ57" s="100">
        <v>6</v>
      </c>
      <c r="CK57" s="100">
        <v>8467.2000000000007</v>
      </c>
      <c r="CL57" s="100">
        <v>2.8018595500630958</v>
      </c>
      <c r="CM57" s="100">
        <v>3953.9841970490411</v>
      </c>
      <c r="CN57" s="100">
        <v>9.7362685215171343</v>
      </c>
      <c r="CO57" s="100">
        <v>13739.822137564981</v>
      </c>
      <c r="CP57" s="100">
        <v>7</v>
      </c>
      <c r="CQ57" s="100">
        <v>9878.4</v>
      </c>
      <c r="CR57" s="100">
        <v>6.3309031094402153</v>
      </c>
      <c r="CS57" s="100">
        <v>8934.1704680420316</v>
      </c>
      <c r="CT57" s="100">
        <v>5.7903480853076648</v>
      </c>
      <c r="CU57" s="100">
        <v>8171.3392179861767</v>
      </c>
    </row>
    <row r="58" spans="2:99">
      <c r="C58" s="99" t="s">
        <v>224</v>
      </c>
      <c r="D58" s="100">
        <v>7.0927084487628322</v>
      </c>
      <c r="E58" s="100">
        <v>8349.5363858836063</v>
      </c>
      <c r="F58" s="100">
        <v>6.8166168780786672E-4</v>
      </c>
      <c r="G58" s="100">
        <v>0.80245213888742073</v>
      </c>
      <c r="H58" s="100">
        <v>7.5104936943860139</v>
      </c>
      <c r="I58" s="100">
        <v>8841.3531770312165</v>
      </c>
      <c r="J58" s="100">
        <v>2.7187726106494301</v>
      </c>
      <c r="K58" s="100">
        <v>3200.5391172565091</v>
      </c>
      <c r="L58" s="100">
        <v>6.586857503664449</v>
      </c>
      <c r="M58" s="100">
        <v>7754.0486533137901</v>
      </c>
      <c r="N58" s="100">
        <v>1.0322142116320308</v>
      </c>
      <c r="O58" s="100">
        <v>1215.1225699332267</v>
      </c>
      <c r="P58" s="100">
        <v>11.63862310131341</v>
      </c>
      <c r="Q58" s="100">
        <v>13700.987114866146</v>
      </c>
      <c r="R58" s="100">
        <v>7.0745119092500941</v>
      </c>
      <c r="S58" s="100">
        <v>8328.1154195692106</v>
      </c>
      <c r="T58" s="100">
        <v>8.7549140635590046</v>
      </c>
      <c r="U58" s="100">
        <v>10306.28483562166</v>
      </c>
      <c r="V58" s="100">
        <v>1.8188643321215496</v>
      </c>
      <c r="W58" s="100">
        <v>2141.1670917734882</v>
      </c>
      <c r="X58" s="100">
        <v>5.7691763246803625</v>
      </c>
      <c r="Y58" s="100">
        <v>6791.4743694137233</v>
      </c>
      <c r="Z58" s="100">
        <v>10.25143063096781</v>
      </c>
      <c r="AA58" s="100">
        <v>12067.984138775308</v>
      </c>
      <c r="AB58" s="100">
        <v>5</v>
      </c>
      <c r="AC58" s="100">
        <v>5886</v>
      </c>
      <c r="AD58" s="100">
        <v>5.7934798645457013</v>
      </c>
      <c r="AE58" s="100">
        <v>6820.0844965431997</v>
      </c>
      <c r="AF58" s="100">
        <v>9</v>
      </c>
      <c r="AG58" s="100">
        <v>10594.800000000001</v>
      </c>
      <c r="AH58" s="100">
        <v>5.9973779182591347</v>
      </c>
      <c r="AI58" s="100">
        <v>7060.113285374654</v>
      </c>
      <c r="AJ58" s="100">
        <v>5.1181353271482894</v>
      </c>
      <c r="AK58" s="100">
        <v>6025.0689071189663</v>
      </c>
      <c r="AL58" s="100">
        <v>5.4669904895029342</v>
      </c>
      <c r="AM58" s="100">
        <v>6435.7412042428541</v>
      </c>
      <c r="AN58" s="100">
        <v>4.6327850361944689</v>
      </c>
      <c r="AO58" s="100">
        <v>5453.7145446081286</v>
      </c>
      <c r="AP58" s="100">
        <v>2.4522158657633115</v>
      </c>
      <c r="AQ58" s="100">
        <v>2886.7485171765707</v>
      </c>
      <c r="AR58" s="100">
        <v>2.1282668532520983</v>
      </c>
      <c r="AS58" s="100">
        <v>2505.3957396483702</v>
      </c>
      <c r="AT58" s="100">
        <v>10.612042197778775</v>
      </c>
      <c r="AU58" s="100">
        <v>12492.496075225175</v>
      </c>
      <c r="AV58" s="100">
        <v>4.3289468723466271</v>
      </c>
      <c r="AW58" s="100">
        <v>5096.0362581264499</v>
      </c>
      <c r="AX58" s="100">
        <v>1.1124332248739979</v>
      </c>
      <c r="AY58" s="100">
        <v>1309.5563923216703</v>
      </c>
      <c r="AZ58" s="100">
        <v>8.2004229233406871</v>
      </c>
      <c r="BA58" s="100">
        <v>9653.5378653566568</v>
      </c>
      <c r="BB58" s="100">
        <v>5.3560026959312514</v>
      </c>
      <c r="BC58" s="100">
        <v>6305.0863736502697</v>
      </c>
      <c r="BD58" s="100">
        <v>10.615948938366754</v>
      </c>
      <c r="BE58" s="100">
        <v>12497.095090245344</v>
      </c>
      <c r="BF58" s="100">
        <v>2.5554520607645661</v>
      </c>
      <c r="BG58" s="100">
        <v>3008.2781659320472</v>
      </c>
      <c r="BH58" s="100">
        <v>7.9890088895046274</v>
      </c>
      <c r="BI58" s="100">
        <v>9404.6612647248476</v>
      </c>
      <c r="BJ58" s="100">
        <v>9</v>
      </c>
      <c r="BK58" s="100">
        <v>10594.800000000001</v>
      </c>
      <c r="BL58" s="100">
        <v>2.4610052612453504</v>
      </c>
      <c r="BM58" s="100">
        <v>2897.0953935380267</v>
      </c>
      <c r="BN58" s="100">
        <v>10.019501390784594</v>
      </c>
      <c r="BO58" s="100">
        <v>11794.957037231625</v>
      </c>
      <c r="BP58" s="100">
        <v>1.0103264232904514</v>
      </c>
      <c r="BQ58" s="100">
        <v>1189.3562654975194</v>
      </c>
      <c r="BR58" s="100">
        <v>7.5013531660868296</v>
      </c>
      <c r="BS58" s="100">
        <v>8830.5929471174168</v>
      </c>
      <c r="BT58" s="100">
        <v>10</v>
      </c>
      <c r="BU58" s="100">
        <v>11772</v>
      </c>
      <c r="BV58" s="100">
        <v>3.061187073492182</v>
      </c>
      <c r="BW58" s="100">
        <v>3603.6294229149967</v>
      </c>
      <c r="BX58" s="100">
        <v>6</v>
      </c>
      <c r="BY58" s="100">
        <v>7063.2000000000007</v>
      </c>
      <c r="BZ58" s="100">
        <v>10</v>
      </c>
      <c r="CA58" s="100">
        <v>11772</v>
      </c>
      <c r="CB58" s="100">
        <v>2.6017072425321293</v>
      </c>
      <c r="CC58" s="100">
        <v>3062.7297659088226</v>
      </c>
      <c r="CD58" s="100">
        <v>3.274495491296654</v>
      </c>
      <c r="CE58" s="100">
        <v>3854.7360923544211</v>
      </c>
      <c r="CF58" s="100">
        <v>8.6963543719588294</v>
      </c>
      <c r="CG58" s="100">
        <v>10237.348366669934</v>
      </c>
      <c r="CH58" s="100">
        <v>5.2914157622030809</v>
      </c>
      <c r="CI58" s="100">
        <v>6229.0546352654674</v>
      </c>
      <c r="CJ58" s="100">
        <v>1.8426574015823485</v>
      </c>
      <c r="CK58" s="100">
        <v>2169.1762931427406</v>
      </c>
      <c r="CL58" s="100">
        <v>3.9577098333843987</v>
      </c>
      <c r="CM58" s="100">
        <v>4659.0160158601147</v>
      </c>
      <c r="CN58" s="100">
        <v>9.9340340541797616</v>
      </c>
      <c r="CO58" s="100">
        <v>11694.344888580415</v>
      </c>
      <c r="CP58" s="100">
        <v>8</v>
      </c>
      <c r="CQ58" s="100">
        <v>9417.6</v>
      </c>
      <c r="CR58" s="100">
        <v>8</v>
      </c>
      <c r="CS58" s="100">
        <v>9417.6</v>
      </c>
      <c r="CT58" s="100">
        <v>8.1182802111302035</v>
      </c>
      <c r="CU58" s="100">
        <v>9556.839464542476</v>
      </c>
    </row>
    <row r="59" spans="2:99">
      <c r="C59" s="99" t="s">
        <v>225</v>
      </c>
      <c r="D59" s="100">
        <v>10</v>
      </c>
      <c r="E59" s="100">
        <v>3035.9999999999995</v>
      </c>
      <c r="F59" s="100">
        <v>8.4861260684027773</v>
      </c>
      <c r="G59" s="100">
        <v>2576.387874367083</v>
      </c>
      <c r="H59" s="100">
        <v>6.073450651214384</v>
      </c>
      <c r="I59" s="100">
        <v>1843.8996177086867</v>
      </c>
      <c r="J59" s="100">
        <v>6.4700908933708117E-4</v>
      </c>
      <c r="K59" s="100">
        <v>0.19643195952273781</v>
      </c>
      <c r="L59" s="100">
        <v>7.839731951309056</v>
      </c>
      <c r="M59" s="100">
        <v>2380.142620417429</v>
      </c>
      <c r="N59" s="100">
        <v>2.0511518225226042</v>
      </c>
      <c r="O59" s="100">
        <v>622.7296933178626</v>
      </c>
      <c r="P59" s="100">
        <v>11</v>
      </c>
      <c r="Q59" s="100">
        <v>3339.5999999999995</v>
      </c>
      <c r="R59" s="100">
        <v>9.9875321633974874</v>
      </c>
      <c r="S59" s="100">
        <v>3032.214764807477</v>
      </c>
      <c r="T59" s="100">
        <v>3.1171445627448868</v>
      </c>
      <c r="U59" s="100">
        <v>946.36508924934753</v>
      </c>
      <c r="V59" s="100">
        <v>4.3264656784820827</v>
      </c>
      <c r="W59" s="100">
        <v>1313.5149799871601</v>
      </c>
      <c r="X59" s="100">
        <v>6.871286190552123</v>
      </c>
      <c r="Y59" s="100">
        <v>2086.1224874516242</v>
      </c>
      <c r="Z59" s="100">
        <v>3.559680901865983</v>
      </c>
      <c r="AA59" s="100">
        <v>1080.7191218065122</v>
      </c>
      <c r="AB59" s="100">
        <v>6.0483432840142477</v>
      </c>
      <c r="AC59" s="100">
        <v>1836.2770210267254</v>
      </c>
      <c r="AD59" s="100">
        <v>11</v>
      </c>
      <c r="AE59" s="100">
        <v>3339.5999999999995</v>
      </c>
      <c r="AF59" s="100">
        <v>3.5380020778205097</v>
      </c>
      <c r="AG59" s="100">
        <v>1074.1374308263066</v>
      </c>
      <c r="AH59" s="100">
        <v>10</v>
      </c>
      <c r="AI59" s="100">
        <v>3035.9999999999995</v>
      </c>
      <c r="AJ59" s="100">
        <v>3.3692919660147855</v>
      </c>
      <c r="AK59" s="100">
        <v>1022.9170408820888</v>
      </c>
      <c r="AL59" s="100">
        <v>9.9451757286014786</v>
      </c>
      <c r="AM59" s="100">
        <v>3019.3553512034086</v>
      </c>
      <c r="AN59" s="100">
        <v>7.4465370298054392</v>
      </c>
      <c r="AO59" s="100">
        <v>2260.768642248931</v>
      </c>
      <c r="AP59" s="100">
        <v>6.8466859694611259E-4</v>
      </c>
      <c r="AQ59" s="100">
        <v>0.20786538603283977</v>
      </c>
      <c r="AR59" s="100">
        <v>7.9164033603001798</v>
      </c>
      <c r="AS59" s="100">
        <v>2403.4200601871344</v>
      </c>
      <c r="AT59" s="100">
        <v>12.917195451906704</v>
      </c>
      <c r="AU59" s="100">
        <v>3921.6605391988746</v>
      </c>
      <c r="AV59" s="100">
        <v>6.3671301249984271</v>
      </c>
      <c r="AW59" s="100">
        <v>1933.0607059495223</v>
      </c>
      <c r="AX59" s="100">
        <v>4.2488556079812572E-4</v>
      </c>
      <c r="AY59" s="100">
        <v>0.12899525625831096</v>
      </c>
      <c r="AZ59" s="100">
        <v>8.7832558792675588</v>
      </c>
      <c r="BA59" s="100">
        <v>2666.5964849456304</v>
      </c>
      <c r="BB59" s="100">
        <v>3.0487292069129355</v>
      </c>
      <c r="BC59" s="100">
        <v>925.59418721876716</v>
      </c>
      <c r="BD59" s="100">
        <v>10.24145820870446</v>
      </c>
      <c r="BE59" s="100">
        <v>3109.3067121626736</v>
      </c>
      <c r="BF59" s="100">
        <v>5.1183777754816084</v>
      </c>
      <c r="BG59" s="100">
        <v>1553.9394926362161</v>
      </c>
      <c r="BH59" s="100">
        <v>6.7281507896447295</v>
      </c>
      <c r="BI59" s="100">
        <v>2042.6665797361397</v>
      </c>
      <c r="BJ59" s="100">
        <v>10.553712531375544</v>
      </c>
      <c r="BK59" s="100">
        <v>3204.1071245256148</v>
      </c>
      <c r="BL59" s="100">
        <v>12</v>
      </c>
      <c r="BM59" s="100">
        <v>3643.2</v>
      </c>
      <c r="BN59" s="100">
        <v>7.8063028958415224</v>
      </c>
      <c r="BO59" s="100">
        <v>2369.9935591774861</v>
      </c>
      <c r="BP59" s="100">
        <v>2.0872869733826533</v>
      </c>
      <c r="BQ59" s="100">
        <v>633.70032511897352</v>
      </c>
      <c r="BR59" s="100">
        <v>5.5206544252164424E-4</v>
      </c>
      <c r="BS59" s="100">
        <v>0.16760706834957118</v>
      </c>
      <c r="BT59" s="100">
        <v>11.000293868462698</v>
      </c>
      <c r="BU59" s="100">
        <v>3339.6892184652747</v>
      </c>
      <c r="BV59" s="100">
        <v>4.3516073369637036</v>
      </c>
      <c r="BW59" s="100">
        <v>1321.1479875021803</v>
      </c>
      <c r="BX59" s="100">
        <v>6.7042851084093149</v>
      </c>
      <c r="BY59" s="100">
        <v>2035.4209589130678</v>
      </c>
      <c r="BZ59" s="100">
        <v>12</v>
      </c>
      <c r="CA59" s="100">
        <v>3643.2</v>
      </c>
      <c r="CB59" s="100">
        <v>3.0733318819985995</v>
      </c>
      <c r="CC59" s="100">
        <v>933.06355937477474</v>
      </c>
      <c r="CD59" s="100">
        <v>5.6226736150262729E-4</v>
      </c>
      <c r="CE59" s="100">
        <v>0.17070437095219762</v>
      </c>
      <c r="CF59" s="100">
        <v>8.1056421858942205</v>
      </c>
      <c r="CG59" s="100">
        <v>2460.8729676374851</v>
      </c>
      <c r="CH59" s="100">
        <v>5.4444000268636064</v>
      </c>
      <c r="CI59" s="100">
        <v>1652.9198481557908</v>
      </c>
      <c r="CJ59" s="100">
        <v>7</v>
      </c>
      <c r="CK59" s="100">
        <v>2125.1999999999998</v>
      </c>
      <c r="CL59" s="100">
        <v>3.4965276875610298</v>
      </c>
      <c r="CM59" s="100">
        <v>1061.5458059435286</v>
      </c>
      <c r="CN59" s="100">
        <v>10.736268521517134</v>
      </c>
      <c r="CO59" s="100">
        <v>3259.5311231326018</v>
      </c>
      <c r="CP59" s="100">
        <v>8</v>
      </c>
      <c r="CQ59" s="100">
        <v>2428.7999999999997</v>
      </c>
      <c r="CR59" s="100">
        <v>8.1397325692802784</v>
      </c>
      <c r="CS59" s="100">
        <v>2471.2228080334921</v>
      </c>
      <c r="CT59" s="100">
        <v>5.7903480853076648</v>
      </c>
      <c r="CU59" s="100">
        <v>1757.9496786994068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7.6375134615624996</v>
      </c>
      <c r="G60" s="100">
        <v>4976.6037715541252</v>
      </c>
      <c r="H60" s="100">
        <v>6.073450651214384</v>
      </c>
      <c r="I60" s="100">
        <v>3957.4604443312928</v>
      </c>
      <c r="J60" s="100">
        <v>5.5457921943178386E-4</v>
      </c>
      <c r="K60" s="100">
        <v>0.36136381938175038</v>
      </c>
      <c r="L60" s="100">
        <v>6.671785561047245</v>
      </c>
      <c r="M60" s="100">
        <v>4347.3354715783853</v>
      </c>
      <c r="N60" s="100">
        <v>1.7947578447072783</v>
      </c>
      <c r="O60" s="100">
        <v>1169.4642116112625</v>
      </c>
      <c r="P60" s="100">
        <v>11</v>
      </c>
      <c r="Q60" s="100">
        <v>7167.6</v>
      </c>
      <c r="R60" s="100">
        <v>9.9875321633974874</v>
      </c>
      <c r="S60" s="100">
        <v>6507.875957669803</v>
      </c>
      <c r="T60" s="100">
        <v>2.5503910058821799</v>
      </c>
      <c r="U60" s="100">
        <v>1661.8347794328286</v>
      </c>
      <c r="V60" s="100">
        <v>4.2659539752217412</v>
      </c>
      <c r="W60" s="100">
        <v>2779.6956102544868</v>
      </c>
      <c r="X60" s="100">
        <v>6.871286190552123</v>
      </c>
      <c r="Y60" s="100">
        <v>4477.3300817637637</v>
      </c>
      <c r="Z60" s="100">
        <v>3.9552010020733142</v>
      </c>
      <c r="AA60" s="100">
        <v>2577.2089729509717</v>
      </c>
      <c r="AB60" s="100">
        <v>5.0483432840142477</v>
      </c>
      <c r="AC60" s="100">
        <v>3289.5004838636837</v>
      </c>
      <c r="AD60" s="100">
        <v>9</v>
      </c>
      <c r="AE60" s="100">
        <v>5864.4000000000005</v>
      </c>
      <c r="AF60" s="100">
        <v>3.1842018700384584</v>
      </c>
      <c r="AG60" s="100">
        <v>2074.8259385170595</v>
      </c>
      <c r="AH60" s="100">
        <v>9</v>
      </c>
      <c r="AI60" s="100">
        <v>5864.4000000000005</v>
      </c>
      <c r="AJ60" s="100">
        <v>3.3692919660147855</v>
      </c>
      <c r="AK60" s="100">
        <v>2195.4306450552344</v>
      </c>
      <c r="AL60" s="100">
        <v>9.1027050167017265</v>
      </c>
      <c r="AM60" s="100">
        <v>5931.3225888828456</v>
      </c>
      <c r="AN60" s="100">
        <v>7.4465370298054392</v>
      </c>
      <c r="AO60" s="100">
        <v>4852.163528621224</v>
      </c>
      <c r="AP60" s="100">
        <v>6.9017743365129048E-4</v>
      </c>
      <c r="AQ60" s="100">
        <v>0.44971961576718089</v>
      </c>
      <c r="AR60" s="100">
        <v>6.065724116081066</v>
      </c>
      <c r="AS60" s="100">
        <v>3952.4258340384226</v>
      </c>
      <c r="AT60" s="100">
        <v>10.917195451906704</v>
      </c>
      <c r="AU60" s="100">
        <v>7113.6445564624082</v>
      </c>
      <c r="AV60" s="100">
        <v>6.3671301249984271</v>
      </c>
      <c r="AW60" s="100">
        <v>4148.8219894489748</v>
      </c>
      <c r="AX60" s="100">
        <v>4.2488556079812572E-4</v>
      </c>
      <c r="AY60" s="100">
        <v>0.27685543141605873</v>
      </c>
      <c r="AZ60" s="100">
        <v>7.8748523353380504</v>
      </c>
      <c r="BA60" s="100">
        <v>5131.2537817062739</v>
      </c>
      <c r="BB60" s="100">
        <v>3.0487292069129355</v>
      </c>
      <c r="BC60" s="100">
        <v>1986.5519512244689</v>
      </c>
      <c r="BD60" s="100">
        <v>10.24145820870446</v>
      </c>
      <c r="BE60" s="100">
        <v>6673.3341687918264</v>
      </c>
      <c r="BF60" s="100">
        <v>5.0177230595086852</v>
      </c>
      <c r="BG60" s="100">
        <v>3269.5483455758595</v>
      </c>
      <c r="BH60" s="100">
        <v>7.3519532499125475</v>
      </c>
      <c r="BI60" s="100">
        <v>4790.5327376430159</v>
      </c>
      <c r="BJ60" s="100">
        <v>10.664455037650653</v>
      </c>
      <c r="BK60" s="100">
        <v>6948.9589025331652</v>
      </c>
      <c r="BL60" s="100">
        <v>10</v>
      </c>
      <c r="BM60" s="100">
        <v>6516</v>
      </c>
      <c r="BN60" s="100">
        <v>7.0256726062573707</v>
      </c>
      <c r="BO60" s="100">
        <v>4577.928270237303</v>
      </c>
      <c r="BP60" s="100">
        <v>2.0872869733826533</v>
      </c>
      <c r="BQ60" s="100">
        <v>1360.076191856137</v>
      </c>
      <c r="BR60" s="100">
        <v>5.5603405189393604E-4</v>
      </c>
      <c r="BS60" s="100">
        <v>0.36231178821408871</v>
      </c>
      <c r="BT60" s="100">
        <v>9.0002938684626983</v>
      </c>
      <c r="BU60" s="100">
        <v>5864.5914846902942</v>
      </c>
      <c r="BV60" s="100">
        <v>4.3516073369637036</v>
      </c>
      <c r="BW60" s="100">
        <v>2835.5073407655495</v>
      </c>
      <c r="BX60" s="100">
        <v>7.6620401238963591</v>
      </c>
      <c r="BY60" s="100">
        <v>4992.5853447308682</v>
      </c>
      <c r="BZ60" s="100">
        <v>11</v>
      </c>
      <c r="CA60" s="100">
        <v>7167.6</v>
      </c>
      <c r="CB60" s="100">
        <v>2.6342844702845136</v>
      </c>
      <c r="CC60" s="100">
        <v>1716.4997608373892</v>
      </c>
      <c r="CD60" s="100">
        <v>4.9912190221034836E-4</v>
      </c>
      <c r="CE60" s="100">
        <v>0.32522783148026302</v>
      </c>
      <c r="CF60" s="100">
        <v>8.1056421858942205</v>
      </c>
      <c r="CG60" s="100">
        <v>5281.6364483286743</v>
      </c>
      <c r="CH60" s="100">
        <v>4.7638500235056558</v>
      </c>
      <c r="CI60" s="100">
        <v>3104.1246753162854</v>
      </c>
      <c r="CJ60" s="100">
        <v>6</v>
      </c>
      <c r="CK60" s="100">
        <v>3909.6000000000004</v>
      </c>
      <c r="CL60" s="100">
        <v>3.3622314600757148</v>
      </c>
      <c r="CM60" s="100">
        <v>2190.8300193853361</v>
      </c>
      <c r="CN60" s="100">
        <v>9.8589799417699897</v>
      </c>
      <c r="CO60" s="100">
        <v>6424.1113300573252</v>
      </c>
      <c r="CP60" s="100">
        <v>8</v>
      </c>
      <c r="CQ60" s="100">
        <v>5212.8</v>
      </c>
      <c r="CR60" s="100">
        <v>7.2353178393602455</v>
      </c>
      <c r="CS60" s="100">
        <v>4714.5331041271365</v>
      </c>
      <c r="CT60" s="100">
        <v>7.2379351066345814</v>
      </c>
      <c r="CU60" s="100">
        <v>4716.2385154830936</v>
      </c>
    </row>
    <row r="61" spans="2:99">
      <c r="C61" s="99" t="s">
        <v>227</v>
      </c>
      <c r="D61" s="100">
        <v>9</v>
      </c>
      <c r="E61" s="100">
        <v>8564.4</v>
      </c>
      <c r="F61" s="100">
        <v>8.4861260684027773</v>
      </c>
      <c r="G61" s="100">
        <v>8075.3975666920824</v>
      </c>
      <c r="H61" s="100">
        <v>5.2058148438980432</v>
      </c>
      <c r="I61" s="100">
        <v>4953.8534054533775</v>
      </c>
      <c r="J61" s="100">
        <v>5.5457921943178386E-4</v>
      </c>
      <c r="K61" s="100">
        <v>0.52773758521128544</v>
      </c>
      <c r="L61" s="100">
        <v>6.671785561047245</v>
      </c>
      <c r="M61" s="100">
        <v>6348.8711398925579</v>
      </c>
      <c r="N61" s="100">
        <v>1.7947578447072783</v>
      </c>
      <c r="O61" s="100">
        <v>1707.8915650234458</v>
      </c>
      <c r="P61" s="100">
        <v>12</v>
      </c>
      <c r="Q61" s="100">
        <v>11419.199999999999</v>
      </c>
      <c r="R61" s="100">
        <v>8.9887789470577388</v>
      </c>
      <c r="S61" s="100">
        <v>8553.7220460201443</v>
      </c>
      <c r="T61" s="100">
        <v>2.8337677843135332</v>
      </c>
      <c r="U61" s="100">
        <v>2696.6134235527579</v>
      </c>
      <c r="V61" s="100">
        <v>4.3264656784820827</v>
      </c>
      <c r="W61" s="100">
        <v>4117.0647396435497</v>
      </c>
      <c r="X61" s="100">
        <v>6.871286190552123</v>
      </c>
      <c r="Y61" s="100">
        <v>6538.7159389293993</v>
      </c>
      <c r="Z61" s="100">
        <v>3.9552010020733142</v>
      </c>
      <c r="AA61" s="100">
        <v>3763.7692735729652</v>
      </c>
      <c r="AB61" s="100">
        <v>6.0483432840142477</v>
      </c>
      <c r="AC61" s="100">
        <v>5755.6034690679571</v>
      </c>
      <c r="AD61" s="100">
        <v>9</v>
      </c>
      <c r="AE61" s="100">
        <v>8564.4</v>
      </c>
      <c r="AF61" s="100">
        <v>3.5380020778205097</v>
      </c>
      <c r="AG61" s="100">
        <v>3366.7627772539968</v>
      </c>
      <c r="AH61" s="100">
        <v>9</v>
      </c>
      <c r="AI61" s="100">
        <v>8564.4</v>
      </c>
      <c r="AJ61" s="100">
        <v>2.9949261920131427</v>
      </c>
      <c r="AK61" s="100">
        <v>2849.9717643197064</v>
      </c>
      <c r="AL61" s="100">
        <v>10.102705016701726</v>
      </c>
      <c r="AM61" s="100">
        <v>9613.7340938933612</v>
      </c>
      <c r="AN61" s="100">
        <v>7.4465370298054392</v>
      </c>
      <c r="AO61" s="100">
        <v>7086.1246375628552</v>
      </c>
      <c r="AP61" s="100">
        <v>7.509319219586528E-4</v>
      </c>
      <c r="AQ61" s="100">
        <v>0.71458681693585391</v>
      </c>
      <c r="AR61" s="100">
        <v>6.9910637381906238</v>
      </c>
      <c r="AS61" s="100">
        <v>6652.6962532621974</v>
      </c>
      <c r="AT61" s="100">
        <v>11.764329543255586</v>
      </c>
      <c r="AU61" s="100">
        <v>11194.935993362014</v>
      </c>
      <c r="AV61" s="100">
        <v>7.1630213906232312</v>
      </c>
      <c r="AW61" s="100">
        <v>6816.3311553170661</v>
      </c>
      <c r="AX61" s="100">
        <v>4.2488556079812572E-4</v>
      </c>
      <c r="AY61" s="100">
        <v>0.4043210996554964</v>
      </c>
      <c r="AZ61" s="100">
        <v>7.8748523353380504</v>
      </c>
      <c r="BA61" s="100">
        <v>7493.7094823076877</v>
      </c>
      <c r="BB61" s="100">
        <v>2.6365480528505589</v>
      </c>
      <c r="BC61" s="100">
        <v>2508.9391270925917</v>
      </c>
      <c r="BD61" s="100">
        <v>8.6637939050087667</v>
      </c>
      <c r="BE61" s="100">
        <v>8244.4662800063415</v>
      </c>
      <c r="BF61" s="100">
        <v>4.9974457107431247</v>
      </c>
      <c r="BG61" s="100">
        <v>4755.5693383431571</v>
      </c>
      <c r="BH61" s="100">
        <v>7.3519532499125475</v>
      </c>
      <c r="BI61" s="100">
        <v>6996.1187126167797</v>
      </c>
      <c r="BJ61" s="100">
        <v>10.553712531375544</v>
      </c>
      <c r="BK61" s="100">
        <v>10042.912844856966</v>
      </c>
      <c r="BL61" s="100">
        <v>9</v>
      </c>
      <c r="BM61" s="100">
        <v>8564.4</v>
      </c>
      <c r="BN61" s="100">
        <v>7.0256726062573707</v>
      </c>
      <c r="BO61" s="100">
        <v>6685.6300521145131</v>
      </c>
      <c r="BP61" s="100">
        <v>1.8263761017098215</v>
      </c>
      <c r="BQ61" s="100">
        <v>1737.9794983870659</v>
      </c>
      <c r="BR61" s="100">
        <v>5.5404974720779025E-4</v>
      </c>
      <c r="BS61" s="100">
        <v>0.52723373944293317</v>
      </c>
      <c r="BT61" s="100">
        <v>9.0002938684626983</v>
      </c>
      <c r="BU61" s="100">
        <v>8564.6796452291037</v>
      </c>
      <c r="BV61" s="100">
        <v>3.7299491459688889</v>
      </c>
      <c r="BW61" s="100">
        <v>3549.4196073039943</v>
      </c>
      <c r="BX61" s="100">
        <v>6.7042851084093149</v>
      </c>
      <c r="BY61" s="100">
        <v>6379.7977091623034</v>
      </c>
      <c r="BZ61" s="100">
        <v>11</v>
      </c>
      <c r="CA61" s="100">
        <v>10467.599999999999</v>
      </c>
      <c r="CB61" s="100">
        <v>2.6342844702845136</v>
      </c>
      <c r="CC61" s="100">
        <v>2506.7851019227428</v>
      </c>
      <c r="CD61" s="100">
        <v>4.997932102245576E-4</v>
      </c>
      <c r="CE61" s="100">
        <v>0.47560321884968898</v>
      </c>
      <c r="CF61" s="100">
        <v>7.1056421858942205</v>
      </c>
      <c r="CG61" s="100">
        <v>6761.7291040969394</v>
      </c>
      <c r="CH61" s="100">
        <v>4.7638500235056558</v>
      </c>
      <c r="CI61" s="100">
        <v>4533.2796823679819</v>
      </c>
      <c r="CJ61" s="100">
        <v>6</v>
      </c>
      <c r="CK61" s="100">
        <v>5709.5999999999995</v>
      </c>
      <c r="CL61" s="100">
        <v>3.3622314600757148</v>
      </c>
      <c r="CM61" s="100">
        <v>3199.4994574080501</v>
      </c>
      <c r="CN61" s="100">
        <v>8.8589799417699897</v>
      </c>
      <c r="CO61" s="100">
        <v>8430.2053125883212</v>
      </c>
      <c r="CP61" s="100">
        <v>8</v>
      </c>
      <c r="CQ61" s="100">
        <v>7612.7999999999993</v>
      </c>
      <c r="CR61" s="100">
        <v>7.2353178393602455</v>
      </c>
      <c r="CS61" s="100">
        <v>6885.1284559352089</v>
      </c>
      <c r="CT61" s="100">
        <v>6.5141415959711235</v>
      </c>
      <c r="CU61" s="100">
        <v>6198.8571427261204</v>
      </c>
    </row>
    <row r="62" spans="2:99">
      <c r="C62" s="99" t="s">
        <v>228</v>
      </c>
      <c r="D62" s="100">
        <v>9.6984470830058296</v>
      </c>
      <c r="E62" s="100">
        <v>16188.647870953331</v>
      </c>
      <c r="F62" s="100">
        <v>7.3382777874400684</v>
      </c>
      <c r="G62" s="100">
        <v>12249.053282794963</v>
      </c>
      <c r="H62" s="100">
        <v>4.9810514819773744</v>
      </c>
      <c r="I62" s="100">
        <v>8314.3711337166333</v>
      </c>
      <c r="J62" s="100">
        <v>0.30717235223348277</v>
      </c>
      <c r="K62" s="100">
        <v>512.73209034812942</v>
      </c>
      <c r="L62" s="100">
        <v>5.1417389427672786</v>
      </c>
      <c r="M62" s="100">
        <v>8582.5906432671418</v>
      </c>
      <c r="N62" s="100">
        <v>6.5623505061405742</v>
      </c>
      <c r="O62" s="100">
        <v>10953.875464849847</v>
      </c>
      <c r="P62" s="100">
        <v>5.9819890952612678</v>
      </c>
      <c r="Q62" s="100">
        <v>9985.1361978101086</v>
      </c>
      <c r="R62" s="100">
        <v>0.60470150153335511</v>
      </c>
      <c r="S62" s="100">
        <v>1009.3677463594764</v>
      </c>
      <c r="T62" s="100">
        <v>9.1697323467181171</v>
      </c>
      <c r="U62" s="100">
        <v>15306.117233141882</v>
      </c>
      <c r="V62" s="100">
        <v>6</v>
      </c>
      <c r="W62" s="100">
        <v>10015.200000000001</v>
      </c>
      <c r="X62" s="100">
        <v>4.3862523159557227</v>
      </c>
      <c r="Y62" s="100">
        <v>7321.5323657932922</v>
      </c>
      <c r="Z62" s="100">
        <v>0.47744027114543791</v>
      </c>
      <c r="AA62" s="100">
        <v>796.94330059596496</v>
      </c>
      <c r="AB62" s="100">
        <v>6.1217092572279732</v>
      </c>
      <c r="AC62" s="100">
        <v>10218.357092164933</v>
      </c>
      <c r="AD62" s="100">
        <v>3.4775169131311925</v>
      </c>
      <c r="AE62" s="100">
        <v>5804.6712313985863</v>
      </c>
      <c r="AF62" s="100">
        <v>8.4183130462799731</v>
      </c>
      <c r="AG62" s="100">
        <v>14051.848136850531</v>
      </c>
      <c r="AH62" s="100">
        <v>3.9889349175356927</v>
      </c>
      <c r="AI62" s="100">
        <v>6658.3301643505783</v>
      </c>
      <c r="AJ62" s="100">
        <v>7.6573929228872446</v>
      </c>
      <c r="AK62" s="100">
        <v>12781.720266883389</v>
      </c>
      <c r="AL62" s="100">
        <v>2.1494083098083556</v>
      </c>
      <c r="AM62" s="100">
        <v>3587.7923507321075</v>
      </c>
      <c r="AN62" s="100">
        <v>8.6976339453126741</v>
      </c>
      <c r="AO62" s="100">
        <v>14518.090581515917</v>
      </c>
      <c r="AP62" s="100">
        <v>8.6739475169590445</v>
      </c>
      <c r="AQ62" s="100">
        <v>14478.553195308037</v>
      </c>
      <c r="AR62" s="100">
        <v>4.1235237051762802E-4</v>
      </c>
      <c r="AS62" s="100">
        <v>0.68829857686802476</v>
      </c>
      <c r="AT62" s="100">
        <v>6.9271476762447719</v>
      </c>
      <c r="AU62" s="100">
        <v>11562.794901187774</v>
      </c>
      <c r="AV62" s="100">
        <v>5.4668130003719543E-4</v>
      </c>
      <c r="AW62" s="100">
        <v>0.91252042602208661</v>
      </c>
      <c r="AX62" s="100">
        <v>3.4918517104024155E-4</v>
      </c>
      <c r="AY62" s="100">
        <v>0.58285988750037121</v>
      </c>
      <c r="AZ62" s="100">
        <v>6.9388288567111678</v>
      </c>
      <c r="BA62" s="100">
        <v>11582.293127622281</v>
      </c>
      <c r="BB62" s="100">
        <v>0.40414771970319846</v>
      </c>
      <c r="BC62" s="100">
        <v>674.60337372857884</v>
      </c>
      <c r="BD62" s="100">
        <v>10.177141104791113</v>
      </c>
      <c r="BE62" s="100">
        <v>16987.683932117328</v>
      </c>
      <c r="BF62" s="100">
        <v>2.0166974695805653</v>
      </c>
      <c r="BG62" s="100">
        <v>3366.2714162238794</v>
      </c>
      <c r="BH62" s="100">
        <v>7.8723842182138757</v>
      </c>
      <c r="BI62" s="100">
        <v>13140.583737042602</v>
      </c>
      <c r="BJ62" s="100">
        <v>8.4855054033016746</v>
      </c>
      <c r="BK62" s="100">
        <v>14164.005619191155</v>
      </c>
      <c r="BL62" s="100">
        <v>5.2483149580310866E-4</v>
      </c>
      <c r="BM62" s="100">
        <v>0.87604873279454898</v>
      </c>
      <c r="BN62" s="100">
        <v>7.5667267735643593</v>
      </c>
      <c r="BO62" s="100">
        <v>12630.380330433629</v>
      </c>
      <c r="BP62" s="100">
        <v>4.0562637592355628</v>
      </c>
      <c r="BQ62" s="100">
        <v>6770.7154669160018</v>
      </c>
      <c r="BR62" s="100">
        <v>5.4076946524731371</v>
      </c>
      <c r="BS62" s="100">
        <v>9026.5239139081605</v>
      </c>
      <c r="BT62" s="100">
        <v>0.52214109692611976</v>
      </c>
      <c r="BU62" s="100">
        <v>871.5579189890791</v>
      </c>
      <c r="BV62" s="100">
        <v>6.1599328932281106</v>
      </c>
      <c r="BW62" s="100">
        <v>10282.159985376362</v>
      </c>
      <c r="BX62" s="100">
        <v>3.4137426330664669</v>
      </c>
      <c r="BY62" s="100">
        <v>5698.2192031145469</v>
      </c>
      <c r="BZ62" s="100">
        <v>9.1395511822437321</v>
      </c>
      <c r="CA62" s="100">
        <v>15255.738833401238</v>
      </c>
      <c r="CB62" s="100">
        <v>4.8060404942999861</v>
      </c>
      <c r="CC62" s="100">
        <v>8022.2427930855374</v>
      </c>
      <c r="CD62" s="100">
        <v>3.9332391231966422</v>
      </c>
      <c r="CE62" s="100">
        <v>6565.3627444398353</v>
      </c>
      <c r="CF62" s="100">
        <v>6.0932965728158628</v>
      </c>
      <c r="CG62" s="100">
        <v>10170.930639344238</v>
      </c>
      <c r="CH62" s="100">
        <v>4.1747273887684315</v>
      </c>
      <c r="CI62" s="100">
        <v>6968.4549573322665</v>
      </c>
      <c r="CJ62" s="100">
        <v>4.8516543213846841</v>
      </c>
      <c r="CK62" s="100">
        <v>8098.3813932553148</v>
      </c>
      <c r="CL62" s="100">
        <v>5.063363552667945</v>
      </c>
      <c r="CM62" s="100">
        <v>8451.7664421133341</v>
      </c>
      <c r="CN62" s="100">
        <v>5.4566437033675772</v>
      </c>
      <c r="CO62" s="100">
        <v>9108.2296696611593</v>
      </c>
      <c r="CP62" s="100">
        <v>3.6986918150669248</v>
      </c>
      <c r="CQ62" s="100">
        <v>6173.8563777097106</v>
      </c>
      <c r="CR62" s="100">
        <v>4.2699805449210508</v>
      </c>
      <c r="CS62" s="100">
        <v>7127.451525582218</v>
      </c>
      <c r="CT62" s="100">
        <v>5.2279865755312853</v>
      </c>
      <c r="CU62" s="100">
        <v>8726.5551918768215</v>
      </c>
    </row>
    <row r="63" spans="2:99">
      <c r="C63" s="99" t="s">
        <v>229</v>
      </c>
      <c r="D63" s="100">
        <v>10</v>
      </c>
      <c r="E63" s="100">
        <v>7956</v>
      </c>
      <c r="F63" s="100">
        <v>7.6375134615624996</v>
      </c>
      <c r="G63" s="100">
        <v>6076.4057100191249</v>
      </c>
      <c r="H63" s="100">
        <v>6.073450651214384</v>
      </c>
      <c r="I63" s="100">
        <v>4832.0373381061636</v>
      </c>
      <c r="J63" s="100">
        <v>5.5457921943178386E-4</v>
      </c>
      <c r="K63" s="100">
        <v>0.44122322697992727</v>
      </c>
      <c r="L63" s="100">
        <v>7.839731951309056</v>
      </c>
      <c r="M63" s="100">
        <v>6237.2907404614853</v>
      </c>
      <c r="N63" s="100">
        <v>1.7947578447072783</v>
      </c>
      <c r="O63" s="100">
        <v>1427.9093412491106</v>
      </c>
      <c r="P63" s="100">
        <v>11</v>
      </c>
      <c r="Q63" s="100">
        <v>8751.6</v>
      </c>
      <c r="R63" s="100">
        <v>8.9887789470577388</v>
      </c>
      <c r="S63" s="100">
        <v>7151.4725302791376</v>
      </c>
      <c r="T63" s="100">
        <v>2.8337677843135332</v>
      </c>
      <c r="U63" s="100">
        <v>2254.545649199847</v>
      </c>
      <c r="V63" s="100">
        <v>4.3264656784820827</v>
      </c>
      <c r="W63" s="100">
        <v>3442.136093800345</v>
      </c>
      <c r="X63" s="100">
        <v>6.871286190552123</v>
      </c>
      <c r="Y63" s="100">
        <v>5466.7952932032695</v>
      </c>
      <c r="Z63" s="100">
        <v>3.9552010020733142</v>
      </c>
      <c r="AA63" s="100">
        <v>3146.7579172495289</v>
      </c>
      <c r="AB63" s="100">
        <v>6.0483432840142477</v>
      </c>
      <c r="AC63" s="100">
        <v>4812.061916761736</v>
      </c>
      <c r="AD63" s="100">
        <v>10</v>
      </c>
      <c r="AE63" s="100">
        <v>7956</v>
      </c>
      <c r="AF63" s="100">
        <v>3.5380020778205097</v>
      </c>
      <c r="AG63" s="100">
        <v>2814.8344531139974</v>
      </c>
      <c r="AH63" s="100">
        <v>8</v>
      </c>
      <c r="AI63" s="100">
        <v>6364.8</v>
      </c>
      <c r="AJ63" s="100">
        <v>3.3692919660147855</v>
      </c>
      <c r="AK63" s="100">
        <v>2680.6086881613633</v>
      </c>
      <c r="AL63" s="100">
        <v>8.9451757286014786</v>
      </c>
      <c r="AM63" s="100">
        <v>7116.7818096753363</v>
      </c>
      <c r="AN63" s="100">
        <v>7.4465370298054392</v>
      </c>
      <c r="AO63" s="100">
        <v>5924.4648609132073</v>
      </c>
      <c r="AP63" s="100">
        <v>7.509319219586528E-4</v>
      </c>
      <c r="AQ63" s="100">
        <v>0.59744143711030417</v>
      </c>
      <c r="AR63" s="100">
        <v>6.1941457119369963</v>
      </c>
      <c r="AS63" s="100">
        <v>4928.0623284170742</v>
      </c>
      <c r="AT63" s="100">
        <v>11.917195451906704</v>
      </c>
      <c r="AU63" s="100">
        <v>9481.3207015369735</v>
      </c>
      <c r="AV63" s="100">
        <v>7.1630213906232312</v>
      </c>
      <c r="AW63" s="100">
        <v>5698.8998183798431</v>
      </c>
      <c r="AX63" s="100">
        <v>4.6341807320102131E-4</v>
      </c>
      <c r="AY63" s="100">
        <v>0.36869541903873254</v>
      </c>
      <c r="AZ63" s="100">
        <v>8.7832558792675588</v>
      </c>
      <c r="BA63" s="100">
        <v>6987.9583775452702</v>
      </c>
      <c r="BB63" s="100">
        <v>2.6365480528505589</v>
      </c>
      <c r="BC63" s="100">
        <v>2097.6376308479048</v>
      </c>
      <c r="BD63" s="100">
        <v>10.369956691855299</v>
      </c>
      <c r="BE63" s="100">
        <v>8250.337544040076</v>
      </c>
      <c r="BF63" s="100">
        <v>4.9974457107431247</v>
      </c>
      <c r="BG63" s="100">
        <v>3975.9678074672302</v>
      </c>
      <c r="BH63" s="100">
        <v>6.6040271391088599</v>
      </c>
      <c r="BI63" s="100">
        <v>5254.1639918750088</v>
      </c>
      <c r="BJ63" s="100">
        <v>10.664455037650653</v>
      </c>
      <c r="BK63" s="100">
        <v>8484.6404279548588</v>
      </c>
      <c r="BL63" s="100">
        <v>10</v>
      </c>
      <c r="BM63" s="100">
        <v>7956</v>
      </c>
      <c r="BN63" s="100">
        <v>7.8063028958415224</v>
      </c>
      <c r="BO63" s="100">
        <v>6210.6945839315158</v>
      </c>
      <c r="BP63" s="100">
        <v>1.8263761017098215</v>
      </c>
      <c r="BQ63" s="100">
        <v>1453.064826520334</v>
      </c>
      <c r="BR63" s="100">
        <v>5.5603405189393604E-4</v>
      </c>
      <c r="BS63" s="100">
        <v>0.44238069168681554</v>
      </c>
      <c r="BT63" s="100">
        <v>11.000293868462698</v>
      </c>
      <c r="BU63" s="100">
        <v>8751.8338017489223</v>
      </c>
      <c r="BV63" s="100">
        <v>3.7299491459688889</v>
      </c>
      <c r="BW63" s="100">
        <v>2967.547540532848</v>
      </c>
      <c r="BX63" s="100">
        <v>6.7042851084093149</v>
      </c>
      <c r="BY63" s="100">
        <v>5333.9292322504507</v>
      </c>
      <c r="BZ63" s="100">
        <v>10</v>
      </c>
      <c r="CA63" s="100">
        <v>7956</v>
      </c>
      <c r="CB63" s="100">
        <v>2.6342844702845136</v>
      </c>
      <c r="CC63" s="100">
        <v>2095.836724558359</v>
      </c>
      <c r="CD63" s="100">
        <v>4.997932102245576E-4</v>
      </c>
      <c r="CE63" s="100">
        <v>0.39763547805465804</v>
      </c>
      <c r="CF63" s="100">
        <v>8.1056421858942205</v>
      </c>
      <c r="CG63" s="100">
        <v>6448.8489230974419</v>
      </c>
      <c r="CH63" s="100">
        <v>4.7638500235056558</v>
      </c>
      <c r="CI63" s="100">
        <v>3790.1190787010996</v>
      </c>
      <c r="CJ63" s="100">
        <v>7</v>
      </c>
      <c r="CK63" s="100">
        <v>5569.2</v>
      </c>
      <c r="CL63" s="100">
        <v>3.3622314600757148</v>
      </c>
      <c r="CM63" s="100">
        <v>2674.9913496362387</v>
      </c>
      <c r="CN63" s="100">
        <v>8.8589799417699897</v>
      </c>
      <c r="CO63" s="100">
        <v>7048.2044416722038</v>
      </c>
      <c r="CP63" s="100">
        <v>8</v>
      </c>
      <c r="CQ63" s="100">
        <v>6364.8</v>
      </c>
      <c r="CR63" s="100">
        <v>7.2353178393602455</v>
      </c>
      <c r="CS63" s="100">
        <v>5756.418872995012</v>
      </c>
      <c r="CT63" s="100">
        <v>6.5141415959711235</v>
      </c>
      <c r="CU63" s="100">
        <v>5182.6510537546264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8.4861260684027773</v>
      </c>
      <c r="G64" s="100">
        <v>8564.1984282320809</v>
      </c>
      <c r="H64" s="100">
        <v>5.2058148438980432</v>
      </c>
      <c r="I64" s="100">
        <v>5253.7083404619043</v>
      </c>
      <c r="J64" s="100">
        <v>4.6627343037021268E-4</v>
      </c>
      <c r="K64" s="100">
        <v>0.47056314592961856</v>
      </c>
      <c r="L64" s="100">
        <v>6.839731951309056</v>
      </c>
      <c r="M64" s="100">
        <v>6902.6574852610984</v>
      </c>
      <c r="N64" s="100">
        <v>1.7947578447072783</v>
      </c>
      <c r="O64" s="100">
        <v>1811.2696168785849</v>
      </c>
      <c r="P64" s="100">
        <v>10</v>
      </c>
      <c r="Q64" s="100">
        <v>10091.999999999998</v>
      </c>
      <c r="R64" s="100">
        <v>7.9900257307179894</v>
      </c>
      <c r="S64" s="100">
        <v>8063.5339674405932</v>
      </c>
      <c r="T64" s="100">
        <v>2.5503910058821799</v>
      </c>
      <c r="U64" s="100">
        <v>2573.8546031362957</v>
      </c>
      <c r="V64" s="100">
        <v>4.3264656784820827</v>
      </c>
      <c r="W64" s="100">
        <v>4366.2691627241175</v>
      </c>
      <c r="X64" s="100">
        <v>5.871286190552123</v>
      </c>
      <c r="Y64" s="100">
        <v>5925.3020235052018</v>
      </c>
      <c r="Z64" s="100">
        <v>3.559680901865983</v>
      </c>
      <c r="AA64" s="100">
        <v>3592.4299661631494</v>
      </c>
      <c r="AB64" s="100">
        <v>5.0483432840142477</v>
      </c>
      <c r="AC64" s="100">
        <v>5094.7880422271783</v>
      </c>
      <c r="AD64" s="100">
        <v>9</v>
      </c>
      <c r="AE64" s="100">
        <v>9082.7999999999993</v>
      </c>
      <c r="AF64" s="100">
        <v>3.1842018700384584</v>
      </c>
      <c r="AG64" s="100">
        <v>3213.4965272428117</v>
      </c>
      <c r="AH64" s="100">
        <v>9</v>
      </c>
      <c r="AI64" s="100">
        <v>9082.7999999999993</v>
      </c>
      <c r="AJ64" s="100">
        <v>2.9949261920131427</v>
      </c>
      <c r="AK64" s="100">
        <v>3022.479512979663</v>
      </c>
      <c r="AL64" s="100">
        <v>9.9451757286014786</v>
      </c>
      <c r="AM64" s="100">
        <v>10036.67134530461</v>
      </c>
      <c r="AN64" s="100">
        <v>7.4465370298054392</v>
      </c>
      <c r="AO64" s="100">
        <v>7515.0451704796478</v>
      </c>
      <c r="AP64" s="100">
        <v>6.1840527193357249E-4</v>
      </c>
      <c r="AQ64" s="100">
        <v>0.62409460043536125</v>
      </c>
      <c r="AR64" s="100">
        <v>6.9910637381906238</v>
      </c>
      <c r="AS64" s="100">
        <v>7055.381524581976</v>
      </c>
      <c r="AT64" s="100">
        <v>9.7643295432555863</v>
      </c>
      <c r="AU64" s="100">
        <v>9854.1613750535362</v>
      </c>
      <c r="AV64" s="100">
        <v>7.1630213906232312</v>
      </c>
      <c r="AW64" s="100">
        <v>7228.9211874169632</v>
      </c>
      <c r="AX64" s="100">
        <v>5.3423233333404227E-4</v>
      </c>
      <c r="AY64" s="100">
        <v>0.53914727080071534</v>
      </c>
      <c r="AZ64" s="100">
        <v>8.7832558792675588</v>
      </c>
      <c r="BA64" s="100">
        <v>8864.0618333568182</v>
      </c>
      <c r="BB64" s="100">
        <v>2.6161154117910215</v>
      </c>
      <c r="BC64" s="100">
        <v>2640.1836735794982</v>
      </c>
      <c r="BD64" s="100">
        <v>9.4526260568566141</v>
      </c>
      <c r="BE64" s="100">
        <v>9539.5902165796924</v>
      </c>
      <c r="BF64" s="100">
        <v>5.0981004267160479</v>
      </c>
      <c r="BG64" s="100">
        <v>5145.002950641835</v>
      </c>
      <c r="BH64" s="100">
        <v>5.9802246788410409</v>
      </c>
      <c r="BI64" s="100">
        <v>6035.2427458863776</v>
      </c>
      <c r="BJ64" s="100">
        <v>9.5537125313755435</v>
      </c>
      <c r="BK64" s="100">
        <v>9641.6066866641977</v>
      </c>
      <c r="BL64" s="100">
        <v>10</v>
      </c>
      <c r="BM64" s="100">
        <v>10091.999999999998</v>
      </c>
      <c r="BN64" s="100">
        <v>7.0256726062573707</v>
      </c>
      <c r="BO64" s="100">
        <v>7090.3087942349375</v>
      </c>
      <c r="BP64" s="100">
        <v>1.8263761017098215</v>
      </c>
      <c r="BQ64" s="100">
        <v>1843.1787618455514</v>
      </c>
      <c r="BR64" s="100">
        <v>4.9884320295562573E-4</v>
      </c>
      <c r="BS64" s="100">
        <v>0.50343256042281737</v>
      </c>
      <c r="BT64" s="100">
        <v>9.0002448903855825</v>
      </c>
      <c r="BU64" s="100">
        <v>9083.047143377129</v>
      </c>
      <c r="BV64" s="100">
        <v>3.7299491459688889</v>
      </c>
      <c r="BW64" s="100">
        <v>3764.2646781118019</v>
      </c>
      <c r="BX64" s="100">
        <v>5.7465300929222698</v>
      </c>
      <c r="BY64" s="100">
        <v>5799.3981697771533</v>
      </c>
      <c r="BZ64" s="100">
        <v>11</v>
      </c>
      <c r="CA64" s="100">
        <v>11101.199999999997</v>
      </c>
      <c r="CB64" s="100">
        <v>2.6342844702845136</v>
      </c>
      <c r="CC64" s="100">
        <v>2658.5198874111306</v>
      </c>
      <c r="CD64" s="100">
        <v>4.997932102245576E-4</v>
      </c>
      <c r="CE64" s="100">
        <v>0.5043913077586234</v>
      </c>
      <c r="CF64" s="100">
        <v>8.1056421858942205</v>
      </c>
      <c r="CG64" s="100">
        <v>8180.2140940044455</v>
      </c>
      <c r="CH64" s="100">
        <v>4.7638500235056558</v>
      </c>
      <c r="CI64" s="100">
        <v>4807.6774437219074</v>
      </c>
      <c r="CJ64" s="100">
        <v>7</v>
      </c>
      <c r="CK64" s="100">
        <v>7064.3999999999987</v>
      </c>
      <c r="CL64" s="100">
        <v>3.3622314600757148</v>
      </c>
      <c r="CM64" s="100">
        <v>3393.1639895084109</v>
      </c>
      <c r="CN64" s="100">
        <v>8.7362685215171343</v>
      </c>
      <c r="CO64" s="100">
        <v>8816.6421919150907</v>
      </c>
      <c r="CP64" s="100">
        <v>8</v>
      </c>
      <c r="CQ64" s="100">
        <v>8073.5999999999985</v>
      </c>
      <c r="CR64" s="100">
        <v>7.2353178393602455</v>
      </c>
      <c r="CS64" s="100">
        <v>7301.8827634823583</v>
      </c>
      <c r="CT64" s="100">
        <v>6.5141415959711235</v>
      </c>
      <c r="CU64" s="100">
        <v>6574.0716986540565</v>
      </c>
    </row>
    <row r="65" spans="2:99">
      <c r="C65" s="99" t="s">
        <v>231</v>
      </c>
      <c r="D65" s="100">
        <v>10</v>
      </c>
      <c r="E65" s="100">
        <v>10260</v>
      </c>
      <c r="F65" s="100">
        <v>7.6375134615624996</v>
      </c>
      <c r="G65" s="100">
        <v>7836.0888115631242</v>
      </c>
      <c r="H65" s="100">
        <v>5.2058148438980432</v>
      </c>
      <c r="I65" s="100">
        <v>5341.1660298393926</v>
      </c>
      <c r="J65" s="100">
        <v>4.6627343037021268E-4</v>
      </c>
      <c r="K65" s="100">
        <v>0.47839653955983819</v>
      </c>
      <c r="L65" s="100">
        <v>6.839731951309056</v>
      </c>
      <c r="M65" s="100">
        <v>7017.5649820430917</v>
      </c>
      <c r="N65" s="100">
        <v>1.538363866891953</v>
      </c>
      <c r="O65" s="100">
        <v>1578.3613274311438</v>
      </c>
      <c r="P65" s="100">
        <v>12</v>
      </c>
      <c r="Q65" s="100">
        <v>12312</v>
      </c>
      <c r="R65" s="100">
        <v>8.9887789470577388</v>
      </c>
      <c r="S65" s="100">
        <v>9222.4871996812399</v>
      </c>
      <c r="T65" s="100">
        <v>2.5503910058821799</v>
      </c>
      <c r="U65" s="100">
        <v>2616.7011720351165</v>
      </c>
      <c r="V65" s="100">
        <v>4.9068704474803786</v>
      </c>
      <c r="W65" s="100">
        <v>5034.4490791148683</v>
      </c>
      <c r="X65" s="100">
        <v>6.871286190552123</v>
      </c>
      <c r="Y65" s="100">
        <v>7049.9396315064778</v>
      </c>
      <c r="Z65" s="100">
        <v>3.559680901865983</v>
      </c>
      <c r="AA65" s="100">
        <v>3652.2326053144984</v>
      </c>
      <c r="AB65" s="100">
        <v>6.0362574630106858</v>
      </c>
      <c r="AC65" s="100">
        <v>6193.2001570489638</v>
      </c>
      <c r="AD65" s="100">
        <v>10</v>
      </c>
      <c r="AE65" s="100">
        <v>10260</v>
      </c>
      <c r="AF65" s="100">
        <v>3.5380020778205097</v>
      </c>
      <c r="AG65" s="100">
        <v>3629.9901318438428</v>
      </c>
      <c r="AH65" s="100">
        <v>8</v>
      </c>
      <c r="AI65" s="100">
        <v>8208</v>
      </c>
      <c r="AJ65" s="100">
        <v>3.3692919660147855</v>
      </c>
      <c r="AK65" s="100">
        <v>3456.8935571311699</v>
      </c>
      <c r="AL65" s="100">
        <v>8.9451757286014786</v>
      </c>
      <c r="AM65" s="100">
        <v>9177.7502975451171</v>
      </c>
      <c r="AN65" s="100">
        <v>7.4465370298054392</v>
      </c>
      <c r="AO65" s="100">
        <v>7640.1469925803804</v>
      </c>
      <c r="AP65" s="100">
        <v>7.509319219586528E-4</v>
      </c>
      <c r="AQ65" s="100">
        <v>0.77045615192957773</v>
      </c>
      <c r="AR65" s="100">
        <v>6.9910637381906238</v>
      </c>
      <c r="AS65" s="100">
        <v>7172.8313953835795</v>
      </c>
      <c r="AT65" s="100">
        <v>11.764329543255586</v>
      </c>
      <c r="AU65" s="100">
        <v>12070.202111380231</v>
      </c>
      <c r="AV65" s="100">
        <v>7.1630213906232312</v>
      </c>
      <c r="AW65" s="100">
        <v>7349.2599467794353</v>
      </c>
      <c r="AX65" s="100">
        <v>4.2488556079812572E-4</v>
      </c>
      <c r="AY65" s="100">
        <v>0.43593258537887697</v>
      </c>
      <c r="AZ65" s="100">
        <v>7.8748523353380504</v>
      </c>
      <c r="BA65" s="100">
        <v>8079.5984960568394</v>
      </c>
      <c r="BB65" s="100">
        <v>2.6365480528505589</v>
      </c>
      <c r="BC65" s="100">
        <v>2705.0983022246733</v>
      </c>
      <c r="BD65" s="100">
        <v>8.6660346488214035</v>
      </c>
      <c r="BE65" s="100">
        <v>8891.3515496907603</v>
      </c>
      <c r="BF65" s="100">
        <v>5.0981004267160479</v>
      </c>
      <c r="BG65" s="100">
        <v>5230.651037810665</v>
      </c>
      <c r="BH65" s="100">
        <v>5.8561010283051704</v>
      </c>
      <c r="BI65" s="100">
        <v>6008.3596550411048</v>
      </c>
      <c r="BJ65" s="100">
        <v>10.664455037650653</v>
      </c>
      <c r="BK65" s="100">
        <v>10941.730868629569</v>
      </c>
      <c r="BL65" s="100">
        <v>11</v>
      </c>
      <c r="BM65" s="100">
        <v>11286</v>
      </c>
      <c r="BN65" s="100">
        <v>7.0256726062573707</v>
      </c>
      <c r="BO65" s="100">
        <v>7208.3400940200627</v>
      </c>
      <c r="BP65" s="100">
        <v>1.8263761017098215</v>
      </c>
      <c r="BQ65" s="100">
        <v>1873.8618803542768</v>
      </c>
      <c r="BR65" s="100">
        <v>5.5206544252164424E-4</v>
      </c>
      <c r="BS65" s="100">
        <v>0.56641914402720694</v>
      </c>
      <c r="BT65" s="100">
        <v>9.0002448903855825</v>
      </c>
      <c r="BU65" s="100">
        <v>9234.2512575356068</v>
      </c>
      <c r="BV65" s="100">
        <v>3.7299491459688889</v>
      </c>
      <c r="BW65" s="100">
        <v>3826.9278237640801</v>
      </c>
      <c r="BX65" s="100">
        <v>6.7042851084093149</v>
      </c>
      <c r="BY65" s="100">
        <v>6878.5965212279571</v>
      </c>
      <c r="BZ65" s="100">
        <v>10</v>
      </c>
      <c r="CA65" s="100">
        <v>10260</v>
      </c>
      <c r="CB65" s="100">
        <v>2.6342844702845136</v>
      </c>
      <c r="CC65" s="100">
        <v>2702.7758665119109</v>
      </c>
      <c r="CD65" s="100">
        <v>4.9912190221034836E-4</v>
      </c>
      <c r="CE65" s="100">
        <v>0.51209907166781743</v>
      </c>
      <c r="CF65" s="100">
        <v>8.1056421858942205</v>
      </c>
      <c r="CG65" s="100">
        <v>8316.3888827274695</v>
      </c>
      <c r="CH65" s="100">
        <v>4.7638500235056558</v>
      </c>
      <c r="CI65" s="100">
        <v>4887.7101241168029</v>
      </c>
      <c r="CJ65" s="100">
        <v>6</v>
      </c>
      <c r="CK65" s="100">
        <v>6156</v>
      </c>
      <c r="CL65" s="100">
        <v>2.8018595500630958</v>
      </c>
      <c r="CM65" s="100">
        <v>2874.7078983647361</v>
      </c>
      <c r="CN65" s="100">
        <v>8.7362685215171343</v>
      </c>
      <c r="CO65" s="100">
        <v>8963.4115030765806</v>
      </c>
      <c r="CP65" s="100">
        <v>8</v>
      </c>
      <c r="CQ65" s="100">
        <v>8208</v>
      </c>
      <c r="CR65" s="100">
        <v>7.2353178393602455</v>
      </c>
      <c r="CS65" s="100">
        <v>7423.4361031836115</v>
      </c>
      <c r="CT65" s="100">
        <v>5.7903480853076648</v>
      </c>
      <c r="CU65" s="100">
        <v>5940.8971355256645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7.6375134615624996</v>
      </c>
      <c r="G66" s="100">
        <v>9091.6960246439976</v>
      </c>
      <c r="H66" s="100">
        <v>5.2058148438980432</v>
      </c>
      <c r="I66" s="100">
        <v>6197.0019901762298</v>
      </c>
      <c r="J66" s="100">
        <v>5.5870330027550999E-4</v>
      </c>
      <c r="K66" s="100">
        <v>0.66508040864796703</v>
      </c>
      <c r="L66" s="100">
        <v>6.671785561047245</v>
      </c>
      <c r="M66" s="100">
        <v>7942.0935318706397</v>
      </c>
      <c r="N66" s="100">
        <v>1.538363866891953</v>
      </c>
      <c r="O66" s="100">
        <v>1831.2683471481807</v>
      </c>
      <c r="P66" s="100">
        <v>11</v>
      </c>
      <c r="Q66" s="100">
        <v>13094.399999999998</v>
      </c>
      <c r="R66" s="100">
        <v>8.9887789470577388</v>
      </c>
      <c r="S66" s="100">
        <v>10700.242458577532</v>
      </c>
      <c r="T66" s="100">
        <v>2.2670142274508267</v>
      </c>
      <c r="U66" s="100">
        <v>2698.6537363574639</v>
      </c>
      <c r="V66" s="100">
        <v>4.2659539752217412</v>
      </c>
      <c r="W66" s="100">
        <v>5078.1916121039603</v>
      </c>
      <c r="X66" s="100">
        <v>6.871286190552123</v>
      </c>
      <c r="Y66" s="100">
        <v>8179.5790812332461</v>
      </c>
      <c r="Z66" s="100">
        <v>3.9552010020733142</v>
      </c>
      <c r="AA66" s="100">
        <v>4708.2712728680726</v>
      </c>
      <c r="AB66" s="100">
        <v>6.0483432840142477</v>
      </c>
      <c r="AC66" s="100">
        <v>7199.9478452905596</v>
      </c>
      <c r="AD66" s="100">
        <v>10</v>
      </c>
      <c r="AE66" s="100">
        <v>11903.999999999998</v>
      </c>
      <c r="AF66" s="100">
        <v>3.1842018700384584</v>
      </c>
      <c r="AG66" s="100">
        <v>3790.4739060937804</v>
      </c>
      <c r="AH66" s="100">
        <v>8</v>
      </c>
      <c r="AI66" s="100">
        <v>9523.1999999999989</v>
      </c>
      <c r="AJ66" s="100">
        <v>2.9949261920131427</v>
      </c>
      <c r="AK66" s="100">
        <v>3565.1601389724447</v>
      </c>
      <c r="AL66" s="100">
        <v>9.1027050167017265</v>
      </c>
      <c r="AM66" s="100">
        <v>10835.860051881735</v>
      </c>
      <c r="AN66" s="100">
        <v>7.4465370298054392</v>
      </c>
      <c r="AO66" s="100">
        <v>8864.3576802803946</v>
      </c>
      <c r="AP66" s="100">
        <v>7.5368634031124169E-4</v>
      </c>
      <c r="AQ66" s="100">
        <v>0.89718821950650196</v>
      </c>
      <c r="AR66" s="100">
        <v>6.065724116081066</v>
      </c>
      <c r="AS66" s="100">
        <v>7220.6379877829004</v>
      </c>
      <c r="AT66" s="100">
        <v>9.7643295432555863</v>
      </c>
      <c r="AU66" s="100">
        <v>11623.457888291448</v>
      </c>
      <c r="AV66" s="100">
        <v>6.3671301249984271</v>
      </c>
      <c r="AW66" s="100">
        <v>7579.4317007981272</v>
      </c>
      <c r="AX66" s="100">
        <v>4.9569982093114668E-4</v>
      </c>
      <c r="AY66" s="100">
        <v>0.59008106683643691</v>
      </c>
      <c r="AZ66" s="100">
        <v>7.1168385714223055</v>
      </c>
      <c r="BA66" s="100">
        <v>8471.8846354211109</v>
      </c>
      <c r="BB66" s="100">
        <v>3.0487292069129355</v>
      </c>
      <c r="BC66" s="100">
        <v>3629.207247909158</v>
      </c>
      <c r="BD66" s="100">
        <v>9.4548668006692491</v>
      </c>
      <c r="BE66" s="100">
        <v>11255.073439516673</v>
      </c>
      <c r="BF66" s="100">
        <v>5.0981004267160479</v>
      </c>
      <c r="BG66" s="100">
        <v>6068.7787479627823</v>
      </c>
      <c r="BH66" s="100">
        <v>6.7281507896447295</v>
      </c>
      <c r="BI66" s="100">
        <v>8009.1906999930852</v>
      </c>
      <c r="BJ66" s="100">
        <v>10.553712531375544</v>
      </c>
      <c r="BK66" s="100">
        <v>12563.139397349445</v>
      </c>
      <c r="BL66" s="100">
        <v>11</v>
      </c>
      <c r="BM66" s="100">
        <v>13094.399999999998</v>
      </c>
      <c r="BN66" s="100">
        <v>7.0256726062573707</v>
      </c>
      <c r="BO66" s="100">
        <v>8363.3606704887734</v>
      </c>
      <c r="BP66" s="100">
        <v>1.8263761017098215</v>
      </c>
      <c r="BQ66" s="100">
        <v>2174.1181114753713</v>
      </c>
      <c r="BR66" s="100">
        <v>4.9884320295562573E-4</v>
      </c>
      <c r="BS66" s="100">
        <v>0.59382294879837683</v>
      </c>
      <c r="BT66" s="100">
        <v>10.000244890385583</v>
      </c>
      <c r="BU66" s="100">
        <v>11904.291517514996</v>
      </c>
      <c r="BV66" s="100">
        <v>3.7299491459688889</v>
      </c>
      <c r="BW66" s="100">
        <v>4440.1314633613647</v>
      </c>
      <c r="BX66" s="100">
        <v>6.7042851084093149</v>
      </c>
      <c r="BY66" s="100">
        <v>7980.7809930504473</v>
      </c>
      <c r="BZ66" s="100">
        <v>10</v>
      </c>
      <c r="CA66" s="100">
        <v>11903.999999999998</v>
      </c>
      <c r="CB66" s="100">
        <v>2.6342844702845136</v>
      </c>
      <c r="CC66" s="100">
        <v>3135.8522334266845</v>
      </c>
      <c r="CD66" s="100">
        <v>5.0046451823876673E-4</v>
      </c>
      <c r="CE66" s="100">
        <v>0.59575296251142784</v>
      </c>
      <c r="CF66" s="100">
        <v>8.1056421858942205</v>
      </c>
      <c r="CG66" s="100">
        <v>9648.9564580884798</v>
      </c>
      <c r="CH66" s="100">
        <v>4.7638500235056558</v>
      </c>
      <c r="CI66" s="100">
        <v>5670.8870679811316</v>
      </c>
      <c r="CJ66" s="100">
        <v>7</v>
      </c>
      <c r="CK66" s="100">
        <v>8332.7999999999993</v>
      </c>
      <c r="CL66" s="100">
        <v>3.4816058845071063</v>
      </c>
      <c r="CM66" s="100">
        <v>4144.5036449172585</v>
      </c>
      <c r="CN66" s="100">
        <v>9.7362685215171343</v>
      </c>
      <c r="CO66" s="100">
        <v>11590.054048013995</v>
      </c>
      <c r="CP66" s="100">
        <v>8</v>
      </c>
      <c r="CQ66" s="100">
        <v>9523.1999999999989</v>
      </c>
      <c r="CR66" s="100">
        <v>8.1397325692802784</v>
      </c>
      <c r="CS66" s="100">
        <v>9689.5376504712422</v>
      </c>
      <c r="CT66" s="100">
        <v>5.7903480853076648</v>
      </c>
      <c r="CU66" s="100">
        <v>6892.830360750243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7.6375134615624996</v>
      </c>
      <c r="G67" s="100">
        <v>8578.4551200269998</v>
      </c>
      <c r="H67" s="100">
        <v>5.2058148438980432</v>
      </c>
      <c r="I67" s="100">
        <v>5847.1712326662819</v>
      </c>
      <c r="J67" s="100">
        <v>5.5457921943178386E-4</v>
      </c>
      <c r="K67" s="100">
        <v>0.62290337926577966</v>
      </c>
      <c r="L67" s="100">
        <v>6.839731951309056</v>
      </c>
      <c r="M67" s="100">
        <v>7682.3869277103322</v>
      </c>
      <c r="N67" s="100">
        <v>1.538363866891953</v>
      </c>
      <c r="O67" s="100">
        <v>1727.8902952930416</v>
      </c>
      <c r="P67" s="100">
        <v>10</v>
      </c>
      <c r="Q67" s="100">
        <v>11232</v>
      </c>
      <c r="R67" s="100">
        <v>9.9875321633974874</v>
      </c>
      <c r="S67" s="100">
        <v>11217.996125928059</v>
      </c>
      <c r="T67" s="100">
        <v>2.2670142274508267</v>
      </c>
      <c r="U67" s="100">
        <v>2546.3103802727687</v>
      </c>
      <c r="V67" s="100">
        <v>4.3264656784820827</v>
      </c>
      <c r="W67" s="100">
        <v>4859.4862500710751</v>
      </c>
      <c r="X67" s="100">
        <v>6.871286190552123</v>
      </c>
      <c r="Y67" s="100">
        <v>7717.828649228145</v>
      </c>
      <c r="Z67" s="100">
        <v>3.1641608016586513</v>
      </c>
      <c r="AA67" s="100">
        <v>3553.9854124229973</v>
      </c>
      <c r="AB67" s="100">
        <v>6.0483432840142477</v>
      </c>
      <c r="AC67" s="100">
        <v>6793.4991766048033</v>
      </c>
      <c r="AD67" s="100">
        <v>10</v>
      </c>
      <c r="AE67" s="100">
        <v>11232</v>
      </c>
      <c r="AF67" s="100">
        <v>3.1842018700384584</v>
      </c>
      <c r="AG67" s="100">
        <v>3576.4955404271968</v>
      </c>
      <c r="AH67" s="100">
        <v>9</v>
      </c>
      <c r="AI67" s="100">
        <v>10108.800000000001</v>
      </c>
      <c r="AJ67" s="100">
        <v>2.6205604180114999</v>
      </c>
      <c r="AK67" s="100">
        <v>2943.4134615105168</v>
      </c>
      <c r="AL67" s="100">
        <v>8.9451757286014786</v>
      </c>
      <c r="AM67" s="100">
        <v>10047.22137836518</v>
      </c>
      <c r="AN67" s="100">
        <v>7.4465370298054392</v>
      </c>
      <c r="AO67" s="100">
        <v>8363.9503918774699</v>
      </c>
      <c r="AP67" s="100">
        <v>6.2115969028616149E-4</v>
      </c>
      <c r="AQ67" s="100">
        <v>0.69768656412941665</v>
      </c>
      <c r="AR67" s="100">
        <v>6.065724116081066</v>
      </c>
      <c r="AS67" s="100">
        <v>6813.021327182254</v>
      </c>
      <c r="AT67" s="100">
        <v>11.764329543255586</v>
      </c>
      <c r="AU67" s="100">
        <v>13213.694942984675</v>
      </c>
      <c r="AV67" s="100">
        <v>6.3671301249984271</v>
      </c>
      <c r="AW67" s="100">
        <v>7151.5605563982335</v>
      </c>
      <c r="AX67" s="100">
        <v>4.6341807320102131E-4</v>
      </c>
      <c r="AY67" s="100">
        <v>0.5205111798193871</v>
      </c>
      <c r="AZ67" s="100">
        <v>7.8748523353380504</v>
      </c>
      <c r="BA67" s="100">
        <v>8845.0341430516983</v>
      </c>
      <c r="BB67" s="100">
        <v>2.6365480528505589</v>
      </c>
      <c r="BC67" s="100">
        <v>2961.3707729617481</v>
      </c>
      <c r="BD67" s="100">
        <v>8.6637939050087667</v>
      </c>
      <c r="BE67" s="100">
        <v>9731.1733141058467</v>
      </c>
      <c r="BF67" s="100">
        <v>5.0981004267160479</v>
      </c>
      <c r="BG67" s="100">
        <v>5726.1863992874651</v>
      </c>
      <c r="BH67" s="100">
        <v>5.8561010283051704</v>
      </c>
      <c r="BI67" s="100">
        <v>6577.5726749923679</v>
      </c>
      <c r="BJ67" s="100">
        <v>10.664455037650653</v>
      </c>
      <c r="BK67" s="100">
        <v>11978.315898289213</v>
      </c>
      <c r="BL67" s="100">
        <v>9</v>
      </c>
      <c r="BM67" s="100">
        <v>10108.800000000001</v>
      </c>
      <c r="BN67" s="100">
        <v>7.8063028958415224</v>
      </c>
      <c r="BO67" s="100">
        <v>8768.0394126091978</v>
      </c>
      <c r="BP67" s="100">
        <v>1.8263761017098215</v>
      </c>
      <c r="BQ67" s="100">
        <v>2051.3856374404713</v>
      </c>
      <c r="BR67" s="100">
        <v>4.9884320295562573E-4</v>
      </c>
      <c r="BS67" s="100">
        <v>0.56030068555975887</v>
      </c>
      <c r="BT67" s="100">
        <v>10.000244890385583</v>
      </c>
      <c r="BU67" s="100">
        <v>11232.275060881087</v>
      </c>
      <c r="BV67" s="100">
        <v>3.7299491459688889</v>
      </c>
      <c r="BW67" s="100">
        <v>4189.4788807522564</v>
      </c>
      <c r="BX67" s="100">
        <v>5.7465300929222698</v>
      </c>
      <c r="BY67" s="100">
        <v>6454.5026003702933</v>
      </c>
      <c r="BZ67" s="100">
        <v>11</v>
      </c>
      <c r="CA67" s="100">
        <v>12355.2</v>
      </c>
      <c r="CB67" s="100">
        <v>2.6342844702845136</v>
      </c>
      <c r="CC67" s="100">
        <v>2958.8283170235659</v>
      </c>
      <c r="CD67" s="100">
        <v>4.997932102245576E-4</v>
      </c>
      <c r="CE67" s="100">
        <v>0.56136773372422311</v>
      </c>
      <c r="CF67" s="100">
        <v>7.1056421858942205</v>
      </c>
      <c r="CG67" s="100">
        <v>7981.0573031963886</v>
      </c>
      <c r="CH67" s="100">
        <v>4.7638500235056558</v>
      </c>
      <c r="CI67" s="100">
        <v>5350.7563464015529</v>
      </c>
      <c r="CJ67" s="100">
        <v>7</v>
      </c>
      <c r="CK67" s="100">
        <v>7862.4000000000005</v>
      </c>
      <c r="CL67" s="100">
        <v>2.9212339744944869</v>
      </c>
      <c r="CM67" s="100">
        <v>3281.1300001522077</v>
      </c>
      <c r="CN67" s="100">
        <v>8.7362685215171343</v>
      </c>
      <c r="CO67" s="100">
        <v>9812.5768033680451</v>
      </c>
      <c r="CP67" s="100">
        <v>7</v>
      </c>
      <c r="CQ67" s="100">
        <v>7862.4000000000005</v>
      </c>
      <c r="CR67" s="100">
        <v>7.2353178393602455</v>
      </c>
      <c r="CS67" s="100">
        <v>8126.7089971694277</v>
      </c>
      <c r="CT67" s="100">
        <v>6.5141415959711235</v>
      </c>
      <c r="CU67" s="100">
        <v>7316.6838405947665</v>
      </c>
    </row>
    <row r="68" spans="2:99">
      <c r="C68" s="99" t="s">
        <v>234</v>
      </c>
      <c r="D68" s="100">
        <v>10</v>
      </c>
      <c r="E68" s="100">
        <v>10332</v>
      </c>
      <c r="F68" s="100">
        <v>7.6375134615624996</v>
      </c>
      <c r="G68" s="100">
        <v>7891.0789084863745</v>
      </c>
      <c r="H68" s="100">
        <v>5.2058148438980432</v>
      </c>
      <c r="I68" s="100">
        <v>5378.647896715458</v>
      </c>
      <c r="J68" s="100">
        <v>5.5457921943178386E-4</v>
      </c>
      <c r="K68" s="100">
        <v>0.57299124951691915</v>
      </c>
      <c r="L68" s="100">
        <v>6.671785561047245</v>
      </c>
      <c r="M68" s="100">
        <v>6893.2888416740134</v>
      </c>
      <c r="N68" s="100">
        <v>1.7947578447072783</v>
      </c>
      <c r="O68" s="100">
        <v>1854.34380515156</v>
      </c>
      <c r="P68" s="100">
        <v>11</v>
      </c>
      <c r="Q68" s="100">
        <v>11365.2</v>
      </c>
      <c r="R68" s="100">
        <v>8.9887789470577388</v>
      </c>
      <c r="S68" s="100">
        <v>9287.2064081000553</v>
      </c>
      <c r="T68" s="100">
        <v>2.5503910058821799</v>
      </c>
      <c r="U68" s="100">
        <v>2635.0639872774686</v>
      </c>
      <c r="V68" s="100">
        <v>4.3264656784820827</v>
      </c>
      <c r="W68" s="100">
        <v>4470.1043390076884</v>
      </c>
      <c r="X68" s="100">
        <v>5.871286190552123</v>
      </c>
      <c r="Y68" s="100">
        <v>6066.2128920784535</v>
      </c>
      <c r="Z68" s="100">
        <v>3.1641608016586513</v>
      </c>
      <c r="AA68" s="100">
        <v>3269.2109402737187</v>
      </c>
      <c r="AB68" s="100">
        <v>6.0362574630106858</v>
      </c>
      <c r="AC68" s="100">
        <v>6236.6612107826404</v>
      </c>
      <c r="AD68" s="100">
        <v>9</v>
      </c>
      <c r="AE68" s="100">
        <v>9298.8000000000011</v>
      </c>
      <c r="AF68" s="100">
        <v>3.5380020778205097</v>
      </c>
      <c r="AG68" s="100">
        <v>3655.4637468041506</v>
      </c>
      <c r="AH68" s="100">
        <v>10</v>
      </c>
      <c r="AI68" s="100">
        <v>10332</v>
      </c>
      <c r="AJ68" s="100">
        <v>2.9949261920131427</v>
      </c>
      <c r="AK68" s="100">
        <v>3094.357741587979</v>
      </c>
      <c r="AL68" s="100">
        <v>9.9451757286014786</v>
      </c>
      <c r="AM68" s="100">
        <v>10275.355562791048</v>
      </c>
      <c r="AN68" s="100">
        <v>8.2739300331171552</v>
      </c>
      <c r="AO68" s="100">
        <v>8548.6245102166449</v>
      </c>
      <c r="AP68" s="100">
        <v>6.8742301529870148E-4</v>
      </c>
      <c r="AQ68" s="100">
        <v>0.71024545940661843</v>
      </c>
      <c r="AR68" s="100">
        <v>6.9910637381906238</v>
      </c>
      <c r="AS68" s="100">
        <v>7223.167054298553</v>
      </c>
      <c r="AT68" s="100">
        <v>10.764329543255586</v>
      </c>
      <c r="AU68" s="100">
        <v>11121.705284091673</v>
      </c>
      <c r="AV68" s="100">
        <v>7.1630213906232312</v>
      </c>
      <c r="AW68" s="100">
        <v>7400.8337007919226</v>
      </c>
      <c r="AX68" s="100">
        <v>5.307293776610517E-4</v>
      </c>
      <c r="AY68" s="100">
        <v>0.54834959299939867</v>
      </c>
      <c r="AZ68" s="100">
        <v>7.8748523353380504</v>
      </c>
      <c r="BA68" s="100">
        <v>8136.2974328712744</v>
      </c>
      <c r="BB68" s="100">
        <v>3.0487292069129355</v>
      </c>
      <c r="BC68" s="100">
        <v>3149.947016582445</v>
      </c>
      <c r="BD68" s="100">
        <v>9.4548668006692491</v>
      </c>
      <c r="BE68" s="100">
        <v>9768.7683784514684</v>
      </c>
      <c r="BF68" s="100">
        <v>5.0177230595086852</v>
      </c>
      <c r="BG68" s="100">
        <v>5184.3114650843736</v>
      </c>
      <c r="BH68" s="100">
        <v>6.6040271391088599</v>
      </c>
      <c r="BI68" s="100">
        <v>6823.2808401272741</v>
      </c>
      <c r="BJ68" s="100">
        <v>10.553712531375544</v>
      </c>
      <c r="BK68" s="100">
        <v>10904.095787417213</v>
      </c>
      <c r="BL68" s="100">
        <v>11</v>
      </c>
      <c r="BM68" s="100">
        <v>11365.2</v>
      </c>
      <c r="BN68" s="100">
        <v>7.8063028958415224</v>
      </c>
      <c r="BO68" s="100">
        <v>8065.4721519834611</v>
      </c>
      <c r="BP68" s="100">
        <v>1.56546523003699</v>
      </c>
      <c r="BQ68" s="100">
        <v>1617.4386756742181</v>
      </c>
      <c r="BR68" s="100">
        <v>4.4958957276189907E-4</v>
      </c>
      <c r="BS68" s="100">
        <v>0.46451594657759415</v>
      </c>
      <c r="BT68" s="100">
        <v>10.000293868462698</v>
      </c>
      <c r="BU68" s="100">
        <v>10332.30362489566</v>
      </c>
      <c r="BV68" s="100">
        <v>4.3516073369637036</v>
      </c>
      <c r="BW68" s="100">
        <v>4496.0807005508987</v>
      </c>
      <c r="BX68" s="100">
        <v>6.7042851084093149</v>
      </c>
      <c r="BY68" s="100">
        <v>6926.8673740085042</v>
      </c>
      <c r="BZ68" s="100">
        <v>10</v>
      </c>
      <c r="CA68" s="100">
        <v>10332</v>
      </c>
      <c r="CB68" s="100">
        <v>2.1952370585704282</v>
      </c>
      <c r="CC68" s="100">
        <v>2268.1189289149665</v>
      </c>
      <c r="CD68" s="100">
        <v>4.9912190221034836E-4</v>
      </c>
      <c r="CE68" s="100">
        <v>0.51569274936373199</v>
      </c>
      <c r="CF68" s="100">
        <v>8.1056421858942205</v>
      </c>
      <c r="CG68" s="100">
        <v>8374.7495064659088</v>
      </c>
      <c r="CH68" s="100">
        <v>4.7638500235056558</v>
      </c>
      <c r="CI68" s="100">
        <v>4922.0098442860435</v>
      </c>
      <c r="CJ68" s="100">
        <v>7</v>
      </c>
      <c r="CK68" s="100">
        <v>7232.4000000000005</v>
      </c>
      <c r="CL68" s="100">
        <v>3.3622314600757148</v>
      </c>
      <c r="CM68" s="100">
        <v>3473.8575445502288</v>
      </c>
      <c r="CN68" s="100">
        <v>8.8589799417699897</v>
      </c>
      <c r="CO68" s="100">
        <v>9153.0980758367532</v>
      </c>
      <c r="CP68" s="100">
        <v>7</v>
      </c>
      <c r="CQ68" s="100">
        <v>7232.4000000000005</v>
      </c>
      <c r="CR68" s="100">
        <v>8.1397325692802784</v>
      </c>
      <c r="CS68" s="100">
        <v>8409.9716905803834</v>
      </c>
      <c r="CT68" s="100">
        <v>5.7903480853076648</v>
      </c>
      <c r="CU68" s="100">
        <v>5982.5876417398795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9.3347386752430559</v>
      </c>
      <c r="G69" s="100">
        <v>7079.4658113043333</v>
      </c>
      <c r="H69" s="100">
        <v>5.2058148438980432</v>
      </c>
      <c r="I69" s="100">
        <v>3948.089977612276</v>
      </c>
      <c r="J69" s="100">
        <v>5.5457921943178386E-4</v>
      </c>
      <c r="K69" s="100">
        <v>0.42059288001706485</v>
      </c>
      <c r="L69" s="100">
        <v>6.671785561047245</v>
      </c>
      <c r="M69" s="100">
        <v>5059.8821694982307</v>
      </c>
      <c r="N69" s="100">
        <v>1.7947578447072783</v>
      </c>
      <c r="O69" s="100">
        <v>1361.1443494259997</v>
      </c>
      <c r="P69" s="100">
        <v>11</v>
      </c>
      <c r="Q69" s="100">
        <v>8342.4</v>
      </c>
      <c r="R69" s="100">
        <v>7.9900257307179894</v>
      </c>
      <c r="S69" s="100">
        <v>6059.6355141765225</v>
      </c>
      <c r="T69" s="100">
        <v>2.5503910058821799</v>
      </c>
      <c r="U69" s="100">
        <v>1934.2165388610451</v>
      </c>
      <c r="V69" s="100">
        <v>4.3245033618954789</v>
      </c>
      <c r="W69" s="100">
        <v>3279.7033496615313</v>
      </c>
      <c r="X69" s="100">
        <v>6.871286190552123</v>
      </c>
      <c r="Y69" s="100">
        <v>5211.1834469147298</v>
      </c>
      <c r="Z69" s="100">
        <v>3.559680901865983</v>
      </c>
      <c r="AA69" s="100">
        <v>2699.6619959751615</v>
      </c>
      <c r="AB69" s="100">
        <v>6.0362574630106858</v>
      </c>
      <c r="AC69" s="100">
        <v>4577.8976599473035</v>
      </c>
      <c r="AD69" s="100">
        <v>10</v>
      </c>
      <c r="AE69" s="100">
        <v>7584</v>
      </c>
      <c r="AF69" s="100">
        <v>3.1842018700384584</v>
      </c>
      <c r="AG69" s="100">
        <v>2414.8986982371666</v>
      </c>
      <c r="AH69" s="100">
        <v>9</v>
      </c>
      <c r="AI69" s="100">
        <v>6825.5999999999995</v>
      </c>
      <c r="AJ69" s="100">
        <v>3.3692919660147855</v>
      </c>
      <c r="AK69" s="100">
        <v>2555.2710270256134</v>
      </c>
      <c r="AL69" s="100">
        <v>8.9451757286014786</v>
      </c>
      <c r="AM69" s="100">
        <v>6784.0212725713609</v>
      </c>
      <c r="AN69" s="100">
        <v>7.4465370298054392</v>
      </c>
      <c r="AO69" s="100">
        <v>5647.4536834044447</v>
      </c>
      <c r="AP69" s="100">
        <v>6.8466859694611259E-4</v>
      </c>
      <c r="AQ69" s="100">
        <v>0.51925266392393177</v>
      </c>
      <c r="AR69" s="100">
        <v>6.9910637381906238</v>
      </c>
      <c r="AS69" s="100">
        <v>5302.0227390437685</v>
      </c>
      <c r="AT69" s="100">
        <v>11.764329543255586</v>
      </c>
      <c r="AU69" s="100">
        <v>8922.0675256050363</v>
      </c>
      <c r="AV69" s="100">
        <v>7.1630213906232312</v>
      </c>
      <c r="AW69" s="100">
        <v>5432.4354226486585</v>
      </c>
      <c r="AX69" s="100">
        <v>5.3423233333404227E-4</v>
      </c>
      <c r="AY69" s="100">
        <v>0.40516180160053766</v>
      </c>
      <c r="AZ69" s="100">
        <v>8.7832558792675588</v>
      </c>
      <c r="BA69" s="100">
        <v>6661.2212588365164</v>
      </c>
      <c r="BB69" s="100">
        <v>3.0691618479724725</v>
      </c>
      <c r="BC69" s="100">
        <v>2327.652345502323</v>
      </c>
      <c r="BD69" s="100">
        <v>9.5811245400074512</v>
      </c>
      <c r="BE69" s="100">
        <v>7266.3248511416505</v>
      </c>
      <c r="BF69" s="100">
        <v>5.0177230595086852</v>
      </c>
      <c r="BG69" s="100">
        <v>3805.441168331387</v>
      </c>
      <c r="BH69" s="100">
        <v>6.6040271391088599</v>
      </c>
      <c r="BI69" s="100">
        <v>5008.4941823001591</v>
      </c>
      <c r="BJ69" s="100">
        <v>9.5537125313755435</v>
      </c>
      <c r="BK69" s="100">
        <v>7245.535583795212</v>
      </c>
      <c r="BL69" s="100">
        <v>10</v>
      </c>
      <c r="BM69" s="100">
        <v>7584</v>
      </c>
      <c r="BN69" s="100">
        <v>7.0256726062573707</v>
      </c>
      <c r="BO69" s="100">
        <v>5328.2701045855902</v>
      </c>
      <c r="BP69" s="100">
        <v>1.56546523003699</v>
      </c>
      <c r="BQ69" s="100">
        <v>1187.2488304600531</v>
      </c>
      <c r="BR69" s="100">
        <v>5.0281181232791764E-4</v>
      </c>
      <c r="BS69" s="100">
        <v>0.38133247846949275</v>
      </c>
      <c r="BT69" s="100">
        <v>10.000244890385583</v>
      </c>
      <c r="BU69" s="100">
        <v>7584.1857248684255</v>
      </c>
      <c r="BV69" s="100">
        <v>3.7299491459688889</v>
      </c>
      <c r="BW69" s="100">
        <v>2828.7934323028053</v>
      </c>
      <c r="BX69" s="100">
        <v>7.6620401238963591</v>
      </c>
      <c r="BY69" s="100">
        <v>5810.8912299629983</v>
      </c>
      <c r="BZ69" s="100">
        <v>10</v>
      </c>
      <c r="CA69" s="100">
        <v>7584</v>
      </c>
      <c r="CB69" s="100">
        <v>2.6342844702845136</v>
      </c>
      <c r="CC69" s="100">
        <v>1997.841342263775</v>
      </c>
      <c r="CD69" s="100">
        <v>4.997932102245576E-4</v>
      </c>
      <c r="CE69" s="100">
        <v>0.37904317063430448</v>
      </c>
      <c r="CF69" s="100">
        <v>8.1320527323677751</v>
      </c>
      <c r="CG69" s="100">
        <v>6167.3487922277209</v>
      </c>
      <c r="CH69" s="100">
        <v>5.4444000268636064</v>
      </c>
      <c r="CI69" s="100">
        <v>4129.0329803733594</v>
      </c>
      <c r="CJ69" s="100">
        <v>7</v>
      </c>
      <c r="CK69" s="100">
        <v>5308.8</v>
      </c>
      <c r="CL69" s="100">
        <v>3.3622314600757148</v>
      </c>
      <c r="CM69" s="100">
        <v>2549.9163393214221</v>
      </c>
      <c r="CN69" s="100">
        <v>9.8589799417699897</v>
      </c>
      <c r="CO69" s="100">
        <v>7477.0503878383597</v>
      </c>
      <c r="CP69" s="100">
        <v>9</v>
      </c>
      <c r="CQ69" s="100">
        <v>6825.5999999999995</v>
      </c>
      <c r="CR69" s="100">
        <v>8.1397325692802784</v>
      </c>
      <c r="CS69" s="100">
        <v>6173.1731805421632</v>
      </c>
      <c r="CT69" s="100">
        <v>5.7903480853076648</v>
      </c>
      <c r="CU69" s="100">
        <v>4391.3999878973327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8.4861260684027773</v>
      </c>
      <c r="G70" s="100">
        <v>4541.7746718091657</v>
      </c>
      <c r="H70" s="100">
        <v>6.073450651214384</v>
      </c>
      <c r="I70" s="100">
        <v>3250.5107885299381</v>
      </c>
      <c r="J70" s="100">
        <v>5.5870330027550999E-4</v>
      </c>
      <c r="K70" s="100">
        <v>0.2990180063074529</v>
      </c>
      <c r="L70" s="100">
        <v>6.839731951309056</v>
      </c>
      <c r="M70" s="100">
        <v>3660.6245403406065</v>
      </c>
      <c r="N70" s="100">
        <v>1.7947578447072783</v>
      </c>
      <c r="O70" s="100">
        <v>960.55439848733522</v>
      </c>
      <c r="P70" s="100">
        <v>11</v>
      </c>
      <c r="Q70" s="100">
        <v>5887.1999999999989</v>
      </c>
      <c r="R70" s="100">
        <v>8.9887789470577388</v>
      </c>
      <c r="S70" s="100">
        <v>4810.7944924653011</v>
      </c>
      <c r="T70" s="100">
        <v>2.8337677843135332</v>
      </c>
      <c r="U70" s="100">
        <v>1516.6325181646027</v>
      </c>
      <c r="V70" s="100">
        <v>4.3245033618954789</v>
      </c>
      <c r="W70" s="100">
        <v>2314.4741992864601</v>
      </c>
      <c r="X70" s="100">
        <v>6.871286190552123</v>
      </c>
      <c r="Y70" s="100">
        <v>3677.5123691834956</v>
      </c>
      <c r="Z70" s="100">
        <v>3.9552010020733142</v>
      </c>
      <c r="AA70" s="100">
        <v>2116.8235763096372</v>
      </c>
      <c r="AB70" s="100">
        <v>6.0483432840142477</v>
      </c>
      <c r="AC70" s="100">
        <v>3237.073325604425</v>
      </c>
      <c r="AD70" s="100">
        <v>10</v>
      </c>
      <c r="AE70" s="100">
        <v>5351.9999999999991</v>
      </c>
      <c r="AF70" s="100">
        <v>3.5380020778205097</v>
      </c>
      <c r="AG70" s="100">
        <v>1893.5387120495366</v>
      </c>
      <c r="AH70" s="100">
        <v>9</v>
      </c>
      <c r="AI70" s="100">
        <v>4816.7999999999993</v>
      </c>
      <c r="AJ70" s="100">
        <v>2.9949261920131427</v>
      </c>
      <c r="AK70" s="100">
        <v>1602.8844979654339</v>
      </c>
      <c r="AL70" s="100">
        <v>10.945175728601479</v>
      </c>
      <c r="AM70" s="100">
        <v>5857.8580499475102</v>
      </c>
      <c r="AN70" s="100">
        <v>8.2739300331171552</v>
      </c>
      <c r="AO70" s="100">
        <v>4428.2073537243014</v>
      </c>
      <c r="AP70" s="100">
        <v>6.8742301529870148E-4</v>
      </c>
      <c r="AQ70" s="100">
        <v>0.36790879778786501</v>
      </c>
      <c r="AR70" s="100">
        <v>7.1194853340465531</v>
      </c>
      <c r="AS70" s="100">
        <v>3810.3485507817149</v>
      </c>
      <c r="AT70" s="100">
        <v>11.917195451906704</v>
      </c>
      <c r="AU70" s="100">
        <v>6378.083005860467</v>
      </c>
      <c r="AV70" s="100">
        <v>6.3671301249984271</v>
      </c>
      <c r="AW70" s="100">
        <v>3407.6880428991576</v>
      </c>
      <c r="AX70" s="100">
        <v>5.3423233333404227E-4</v>
      </c>
      <c r="AY70" s="100">
        <v>0.28592114480037939</v>
      </c>
      <c r="AZ70" s="100">
        <v>8.7080609892606766</v>
      </c>
      <c r="BA70" s="100">
        <v>4660.5542414523134</v>
      </c>
      <c r="BB70" s="100">
        <v>3.0487292069129355</v>
      </c>
      <c r="BC70" s="100">
        <v>1631.6798715398029</v>
      </c>
      <c r="BD70" s="100">
        <v>10.369956691855299</v>
      </c>
      <c r="BE70" s="100">
        <v>5550.000821480955</v>
      </c>
      <c r="BF70" s="100">
        <v>5.8471291151957994</v>
      </c>
      <c r="BG70" s="100">
        <v>3129.3835024527916</v>
      </c>
      <c r="BH70" s="100">
        <v>6.7281507896447295</v>
      </c>
      <c r="BI70" s="100">
        <v>3600.9063026178587</v>
      </c>
      <c r="BJ70" s="100">
        <v>11.664455037650653</v>
      </c>
      <c r="BK70" s="100">
        <v>6242.8163361506286</v>
      </c>
      <c r="BL70" s="100">
        <v>10</v>
      </c>
      <c r="BM70" s="100">
        <v>5351.9999999999991</v>
      </c>
      <c r="BN70" s="100">
        <v>7.8063028958415224</v>
      </c>
      <c r="BO70" s="100">
        <v>4177.9333098543821</v>
      </c>
      <c r="BP70" s="100">
        <v>1.8263761017098215</v>
      </c>
      <c r="BQ70" s="100">
        <v>977.4764896350963</v>
      </c>
      <c r="BR70" s="100">
        <v>5.5206544252164424E-4</v>
      </c>
      <c r="BS70" s="100">
        <v>0.29546542483758398</v>
      </c>
      <c r="BT70" s="100">
        <v>11.000293868462698</v>
      </c>
      <c r="BU70" s="100">
        <v>5887.3572784012358</v>
      </c>
      <c r="BV70" s="100">
        <v>4.3516073369637036</v>
      </c>
      <c r="BW70" s="100">
        <v>2328.980246742974</v>
      </c>
      <c r="BX70" s="100">
        <v>6.7042851084093149</v>
      </c>
      <c r="BY70" s="100">
        <v>3588.133390020665</v>
      </c>
      <c r="BZ70" s="100">
        <v>10</v>
      </c>
      <c r="CA70" s="100">
        <v>5351.9999999999991</v>
      </c>
      <c r="CB70" s="100">
        <v>3.0733318819985995</v>
      </c>
      <c r="CC70" s="100">
        <v>1644.8472232456502</v>
      </c>
      <c r="CD70" s="100">
        <v>4.997932102245576E-4</v>
      </c>
      <c r="CE70" s="100">
        <v>0.26748932611218318</v>
      </c>
      <c r="CF70" s="100">
        <v>8.1056421858942205</v>
      </c>
      <c r="CG70" s="100">
        <v>4338.1396978905859</v>
      </c>
      <c r="CH70" s="100">
        <v>4.7638500235056558</v>
      </c>
      <c r="CI70" s="100">
        <v>2549.6125325802268</v>
      </c>
      <c r="CJ70" s="100">
        <v>7</v>
      </c>
      <c r="CK70" s="100">
        <v>3746.3999999999996</v>
      </c>
      <c r="CL70" s="100">
        <v>3.3622314600757148</v>
      </c>
      <c r="CM70" s="100">
        <v>1799.4662774325222</v>
      </c>
      <c r="CN70" s="100">
        <v>8.7362685215171343</v>
      </c>
      <c r="CO70" s="100">
        <v>4675.6509127159698</v>
      </c>
      <c r="CP70" s="100">
        <v>9</v>
      </c>
      <c r="CQ70" s="100">
        <v>4816.7999999999993</v>
      </c>
      <c r="CR70" s="100">
        <v>8.1397325692802784</v>
      </c>
      <c r="CS70" s="100">
        <v>4356.3848710788043</v>
      </c>
      <c r="CT70" s="100">
        <v>5.7903480853076648</v>
      </c>
      <c r="CU70" s="100">
        <v>3098.9942952566616</v>
      </c>
    </row>
    <row r="71" spans="2:99">
      <c r="B71" s="99" t="s">
        <v>130</v>
      </c>
      <c r="C71" s="99" t="s">
        <v>237</v>
      </c>
      <c r="D71" s="100">
        <v>5.3195313365721244</v>
      </c>
      <c r="E71" s="100">
        <v>3000.2156738266781</v>
      </c>
      <c r="F71" s="100">
        <v>4.6195821148855502E-4</v>
      </c>
      <c r="G71" s="100">
        <v>0.26054443127954502</v>
      </c>
      <c r="H71" s="100">
        <v>8.4254114119883443</v>
      </c>
      <c r="I71" s="100">
        <v>4751.9320363614261</v>
      </c>
      <c r="J71" s="100">
        <v>3.6250301475325735</v>
      </c>
      <c r="K71" s="100">
        <v>2044.5170032083715</v>
      </c>
      <c r="L71" s="100">
        <v>7.7042290043973392</v>
      </c>
      <c r="M71" s="100">
        <v>4345.1851584800988</v>
      </c>
      <c r="N71" s="100">
        <v>1.5521947518064023</v>
      </c>
      <c r="O71" s="100">
        <v>875.4378400188109</v>
      </c>
      <c r="P71" s="100">
        <v>6.7982788766417617</v>
      </c>
      <c r="Q71" s="100">
        <v>3834.2292864259534</v>
      </c>
      <c r="R71" s="100">
        <v>4.7163412728333958</v>
      </c>
      <c r="S71" s="100">
        <v>2660.0164778780354</v>
      </c>
      <c r="T71" s="100">
        <v>6.8093776049903356</v>
      </c>
      <c r="U71" s="100">
        <v>3840.4889692145493</v>
      </c>
      <c r="V71" s="100">
        <v>1.8188643321215496</v>
      </c>
      <c r="W71" s="100">
        <v>1025.8394833165539</v>
      </c>
      <c r="X71" s="100">
        <v>6.4615057948082173</v>
      </c>
      <c r="Y71" s="100">
        <v>3644.2892682718348</v>
      </c>
      <c r="Z71" s="100">
        <v>7.2095255258065087</v>
      </c>
      <c r="AA71" s="100">
        <v>4066.1723965548708</v>
      </c>
      <c r="AB71" s="100">
        <v>6</v>
      </c>
      <c r="AC71" s="100">
        <v>3384</v>
      </c>
      <c r="AD71" s="100">
        <v>5.0692948814774885</v>
      </c>
      <c r="AE71" s="100">
        <v>2859.0823131533034</v>
      </c>
      <c r="AF71" s="100">
        <v>6</v>
      </c>
      <c r="AG71" s="100">
        <v>3384</v>
      </c>
      <c r="AH71" s="100">
        <v>6.7470501580415263</v>
      </c>
      <c r="AI71" s="100">
        <v>3805.3362891354209</v>
      </c>
      <c r="AJ71" s="100">
        <v>5.1181353271482894</v>
      </c>
      <c r="AK71" s="100">
        <v>2886.6283245116351</v>
      </c>
      <c r="AL71" s="100">
        <v>5.4669904895029342</v>
      </c>
      <c r="AM71" s="100">
        <v>3083.3826360796547</v>
      </c>
      <c r="AN71" s="100">
        <v>3.6032772503734756</v>
      </c>
      <c r="AO71" s="100">
        <v>2032.2483692106402</v>
      </c>
      <c r="AP71" s="100">
        <v>1.7829396477533062</v>
      </c>
      <c r="AQ71" s="100">
        <v>1005.5779613328647</v>
      </c>
      <c r="AR71" s="100">
        <v>1.8632614858632337</v>
      </c>
      <c r="AS71" s="100">
        <v>1050.8794780268638</v>
      </c>
      <c r="AT71" s="100">
        <v>8.7344506373345308</v>
      </c>
      <c r="AU71" s="100">
        <v>4926.2301594566752</v>
      </c>
      <c r="AV71" s="100">
        <v>3.2467101542599703</v>
      </c>
      <c r="AW71" s="100">
        <v>1831.1445270026234</v>
      </c>
      <c r="AX71" s="100">
        <v>1.3879678391514878</v>
      </c>
      <c r="AY71" s="100">
        <v>782.81386128143913</v>
      </c>
      <c r="AZ71" s="100">
        <v>4.9036166162114201</v>
      </c>
      <c r="BA71" s="100">
        <v>2765.6397715432408</v>
      </c>
      <c r="BB71" s="100">
        <v>5.6086756068054466</v>
      </c>
      <c r="BC71" s="100">
        <v>3163.2930422382719</v>
      </c>
      <c r="BD71" s="100">
        <v>4.8130446937476785</v>
      </c>
      <c r="BE71" s="100">
        <v>2714.5572072736909</v>
      </c>
      <c r="BF71" s="100">
        <v>2.5969452859412154</v>
      </c>
      <c r="BG71" s="100">
        <v>1464.6771412708456</v>
      </c>
      <c r="BH71" s="100">
        <v>6.6593392596697516</v>
      </c>
      <c r="BI71" s="100">
        <v>3755.8673424537401</v>
      </c>
      <c r="BJ71" s="100">
        <v>5</v>
      </c>
      <c r="BK71" s="100">
        <v>2820</v>
      </c>
      <c r="BL71" s="100">
        <v>2.2149047351208151</v>
      </c>
      <c r="BM71" s="100">
        <v>1249.2062706081397</v>
      </c>
      <c r="BN71" s="100">
        <v>6.1894182892486924</v>
      </c>
      <c r="BO71" s="100">
        <v>3490.8319151362625</v>
      </c>
      <c r="BP71" s="100">
        <v>1.0332748815422308</v>
      </c>
      <c r="BQ71" s="100">
        <v>582.76703318981822</v>
      </c>
      <c r="BR71" s="100">
        <v>5.2920020881374521</v>
      </c>
      <c r="BS71" s="100">
        <v>2984.6891777095229</v>
      </c>
      <c r="BT71" s="100">
        <v>8</v>
      </c>
      <c r="BU71" s="100">
        <v>4512</v>
      </c>
      <c r="BV71" s="100">
        <v>3.061187073492182</v>
      </c>
      <c r="BW71" s="100">
        <v>1726.5095094495907</v>
      </c>
      <c r="BX71" s="100">
        <v>5</v>
      </c>
      <c r="BY71" s="100">
        <v>2820</v>
      </c>
      <c r="BZ71" s="100">
        <v>7</v>
      </c>
      <c r="CA71" s="100">
        <v>3948</v>
      </c>
      <c r="CB71" s="100">
        <v>4.1627315880514075</v>
      </c>
      <c r="CC71" s="100">
        <v>2347.780615660994</v>
      </c>
      <c r="CD71" s="100">
        <v>2.6746138036276581</v>
      </c>
      <c r="CE71" s="100">
        <v>1508.4821852459991</v>
      </c>
      <c r="CF71" s="100">
        <v>7.6963543719588294</v>
      </c>
      <c r="CG71" s="100">
        <v>4340.7438657847797</v>
      </c>
      <c r="CH71" s="100">
        <v>6.8032488371182467</v>
      </c>
      <c r="CI71" s="100">
        <v>3837.0323441346909</v>
      </c>
      <c r="CJ71" s="100">
        <v>2.1497669685127399</v>
      </c>
      <c r="CK71" s="100">
        <v>1212.4685702411853</v>
      </c>
      <c r="CL71" s="100">
        <v>4.7492518000612778</v>
      </c>
      <c r="CM71" s="100">
        <v>2678.5780152345606</v>
      </c>
      <c r="CN71" s="100">
        <v>8.7783617118164692</v>
      </c>
      <c r="CO71" s="100">
        <v>4950.9960054644889</v>
      </c>
      <c r="CP71" s="100">
        <v>5</v>
      </c>
      <c r="CQ71" s="100">
        <v>2820</v>
      </c>
      <c r="CR71" s="100">
        <v>6</v>
      </c>
      <c r="CS71" s="100">
        <v>3384</v>
      </c>
      <c r="CT71" s="100">
        <v>5.5393447792109525</v>
      </c>
      <c r="CU71" s="100">
        <v>3124.1904554749772</v>
      </c>
    </row>
    <row r="72" spans="2:99">
      <c r="C72" s="99" t="s">
        <v>238</v>
      </c>
      <c r="D72" s="100">
        <v>5.3195313365721244</v>
      </c>
      <c r="E72" s="100">
        <v>395.77313144096598</v>
      </c>
      <c r="F72" s="100">
        <v>5.3651924823322353E-4</v>
      </c>
      <c r="G72" s="100">
        <v>3.9917032068551829E-2</v>
      </c>
      <c r="H72" s="100">
        <v>8.4254114119883443</v>
      </c>
      <c r="I72" s="100">
        <v>626.85060905193279</v>
      </c>
      <c r="J72" s="100">
        <v>4.0781589159741456</v>
      </c>
      <c r="K72" s="100">
        <v>303.41502334847638</v>
      </c>
      <c r="L72" s="100">
        <v>7.7042290043973392</v>
      </c>
      <c r="M72" s="100">
        <v>573.19463792716192</v>
      </c>
      <c r="N72" s="100">
        <v>1.7151924402422425</v>
      </c>
      <c r="O72" s="100">
        <v>127.61031755402283</v>
      </c>
      <c r="P72" s="100">
        <v>6.7982788766417617</v>
      </c>
      <c r="Q72" s="100">
        <v>505.79194842214702</v>
      </c>
      <c r="R72" s="100">
        <v>5.5023981516389622</v>
      </c>
      <c r="S72" s="100">
        <v>409.37842248193874</v>
      </c>
      <c r="T72" s="100">
        <v>7.7821458342746697</v>
      </c>
      <c r="U72" s="100">
        <v>578.99165007003535</v>
      </c>
      <c r="V72" s="100">
        <v>2.0787020938531997</v>
      </c>
      <c r="W72" s="100">
        <v>154.65543578267804</v>
      </c>
      <c r="X72" s="100">
        <v>7.6153410597442894</v>
      </c>
      <c r="Y72" s="100">
        <v>566.58137484497502</v>
      </c>
      <c r="Z72" s="100">
        <v>7.2514306309678105</v>
      </c>
      <c r="AA72" s="100">
        <v>539.50643894400503</v>
      </c>
      <c r="AB72" s="100">
        <v>7</v>
      </c>
      <c r="AC72" s="100">
        <v>520.79999999999995</v>
      </c>
      <c r="AD72" s="100">
        <v>5.0692948814774885</v>
      </c>
      <c r="AE72" s="100">
        <v>377.15553918192512</v>
      </c>
      <c r="AF72" s="100">
        <v>7</v>
      </c>
      <c r="AG72" s="100">
        <v>520.79999999999995</v>
      </c>
      <c r="AH72" s="100">
        <v>5.9973779182591347</v>
      </c>
      <c r="AI72" s="100">
        <v>446.20491711847956</v>
      </c>
      <c r="AJ72" s="100">
        <v>6.5804597063335155</v>
      </c>
      <c r="AK72" s="100">
        <v>489.58620215121351</v>
      </c>
      <c r="AL72" s="100">
        <v>6.1503643006908009</v>
      </c>
      <c r="AM72" s="100">
        <v>457.58710397139555</v>
      </c>
      <c r="AN72" s="100">
        <v>4.1180311432839725</v>
      </c>
      <c r="AO72" s="100">
        <v>306.3815170603275</v>
      </c>
      <c r="AP72" s="100">
        <v>1.7743177592183728</v>
      </c>
      <c r="AQ72" s="100">
        <v>132.00924128584691</v>
      </c>
      <c r="AR72" s="100">
        <v>1.8632614858632337</v>
      </c>
      <c r="AS72" s="100">
        <v>138.62665454822456</v>
      </c>
      <c r="AT72" s="100">
        <v>10.734450637334531</v>
      </c>
      <c r="AU72" s="100">
        <v>798.64312741768902</v>
      </c>
      <c r="AV72" s="100">
        <v>3.7878285133032987</v>
      </c>
      <c r="AW72" s="100">
        <v>281.81444138976542</v>
      </c>
      <c r="AX72" s="100">
        <v>1.5595277545609372</v>
      </c>
      <c r="AY72" s="100">
        <v>116.02886493933372</v>
      </c>
      <c r="AZ72" s="100">
        <v>5.7757201908607829</v>
      </c>
      <c r="BA72" s="100">
        <v>429.7135822000422</v>
      </c>
      <c r="BB72" s="100">
        <v>5.7350120622425438</v>
      </c>
      <c r="BC72" s="100">
        <v>426.68489743084518</v>
      </c>
      <c r="BD72" s="100">
        <v>6.7473461086207029</v>
      </c>
      <c r="BE72" s="100">
        <v>502.00255048138024</v>
      </c>
      <c r="BF72" s="100">
        <v>2.1641210716176791</v>
      </c>
      <c r="BG72" s="100">
        <v>161.0106077283553</v>
      </c>
      <c r="BH72" s="100">
        <v>7.6593392596697516</v>
      </c>
      <c r="BI72" s="100">
        <v>569.85484091942942</v>
      </c>
      <c r="BJ72" s="100">
        <v>6</v>
      </c>
      <c r="BK72" s="100">
        <v>446.4</v>
      </c>
      <c r="BL72" s="100">
        <v>2.2149047351208151</v>
      </c>
      <c r="BM72" s="100">
        <v>164.78891229298861</v>
      </c>
      <c r="BN72" s="100">
        <v>7.0195013907845931</v>
      </c>
      <c r="BO72" s="100">
        <v>522.25090347437367</v>
      </c>
      <c r="BP72" s="100">
        <v>1.0370996245841941</v>
      </c>
      <c r="BQ72" s="100">
        <v>77.160212069064031</v>
      </c>
      <c r="BR72" s="100">
        <v>6.0010825328694644</v>
      </c>
      <c r="BS72" s="100">
        <v>446.48054044548809</v>
      </c>
      <c r="BT72" s="100">
        <v>10</v>
      </c>
      <c r="BU72" s="100">
        <v>743.99999999999989</v>
      </c>
      <c r="BV72" s="100">
        <v>3.061187073492182</v>
      </c>
      <c r="BW72" s="100">
        <v>227.75231826781831</v>
      </c>
      <c r="BX72" s="100">
        <v>5</v>
      </c>
      <c r="BY72" s="100">
        <v>371.99999999999994</v>
      </c>
      <c r="BZ72" s="100">
        <v>8</v>
      </c>
      <c r="CA72" s="100">
        <v>595.19999999999993</v>
      </c>
      <c r="CB72" s="100">
        <v>4.6830730365578326</v>
      </c>
      <c r="CC72" s="100">
        <v>348.42063391990268</v>
      </c>
      <c r="CD72" s="100">
        <v>2.9905176172215047</v>
      </c>
      <c r="CE72" s="100">
        <v>222.49451072127991</v>
      </c>
      <c r="CF72" s="100">
        <v>7.6963543719588294</v>
      </c>
      <c r="CG72" s="100">
        <v>572.60876527373682</v>
      </c>
      <c r="CH72" s="100">
        <v>7.5591653745758292</v>
      </c>
      <c r="CI72" s="100">
        <v>562.40190386844165</v>
      </c>
      <c r="CJ72" s="100">
        <v>1.8426574015823485</v>
      </c>
      <c r="CK72" s="100">
        <v>137.0937106777267</v>
      </c>
      <c r="CL72" s="100">
        <v>4.7492518000612778</v>
      </c>
      <c r="CM72" s="100">
        <v>353.34433392455901</v>
      </c>
      <c r="CN72" s="100">
        <v>9.9340340541797616</v>
      </c>
      <c r="CO72" s="100">
        <v>739.09213363097422</v>
      </c>
      <c r="CP72" s="100">
        <v>5</v>
      </c>
      <c r="CQ72" s="100">
        <v>371.99999999999994</v>
      </c>
      <c r="CR72" s="100">
        <v>7</v>
      </c>
      <c r="CS72" s="100">
        <v>520.79999999999995</v>
      </c>
      <c r="CT72" s="100">
        <v>5.5393447792109525</v>
      </c>
      <c r="CU72" s="100">
        <v>412.12725157329481</v>
      </c>
    </row>
    <row r="73" spans="2:99">
      <c r="C73" s="99" t="s">
        <v>239</v>
      </c>
      <c r="D73" s="100">
        <v>5.3195313365721244</v>
      </c>
      <c r="E73" s="100">
        <v>2974.6819234111317</v>
      </c>
      <c r="F73" s="100">
        <v>4.632847561267863E-4</v>
      </c>
      <c r="G73" s="100">
        <v>0.25906883562609889</v>
      </c>
      <c r="H73" s="100">
        <v>9.4254114119883443</v>
      </c>
      <c r="I73" s="100">
        <v>5270.6900615838813</v>
      </c>
      <c r="J73" s="100">
        <v>3.6250301475325735</v>
      </c>
      <c r="K73" s="100">
        <v>2027.1168585002149</v>
      </c>
      <c r="L73" s="100">
        <v>7.7042290043973392</v>
      </c>
      <c r="M73" s="100">
        <v>4308.2048592589917</v>
      </c>
      <c r="N73" s="100">
        <v>1.5521947518064023</v>
      </c>
      <c r="O73" s="100">
        <v>867.98730521014011</v>
      </c>
      <c r="P73" s="100">
        <v>6.7982788766417617</v>
      </c>
      <c r="Q73" s="100">
        <v>3801.5975478180726</v>
      </c>
      <c r="R73" s="100">
        <v>5.5023981516389622</v>
      </c>
      <c r="S73" s="100">
        <v>3076.9410463965073</v>
      </c>
      <c r="T73" s="100">
        <v>7.7821458342746697</v>
      </c>
      <c r="U73" s="100">
        <v>4351.7759505263948</v>
      </c>
      <c r="V73" s="100">
        <v>2.0787020938531997</v>
      </c>
      <c r="W73" s="100">
        <v>1162.4102108827092</v>
      </c>
      <c r="X73" s="100">
        <v>6.4615057948082173</v>
      </c>
      <c r="Y73" s="100">
        <v>3613.2740404567548</v>
      </c>
      <c r="Z73" s="100">
        <v>6.2514306309678105</v>
      </c>
      <c r="AA73" s="100">
        <v>3495.8000088371991</v>
      </c>
      <c r="AB73" s="100">
        <v>7</v>
      </c>
      <c r="AC73" s="100">
        <v>3914.3999999999996</v>
      </c>
      <c r="AD73" s="100">
        <v>4.3451098984092758</v>
      </c>
      <c r="AE73" s="100">
        <v>2429.7854551904666</v>
      </c>
      <c r="AF73" s="100">
        <v>6</v>
      </c>
      <c r="AG73" s="100">
        <v>3355.2</v>
      </c>
      <c r="AH73" s="100">
        <v>5.9973779182591347</v>
      </c>
      <c r="AI73" s="100">
        <v>3353.7337318905079</v>
      </c>
      <c r="AJ73" s="100">
        <v>5.8492975167409025</v>
      </c>
      <c r="AK73" s="100">
        <v>3270.9271713615121</v>
      </c>
      <c r="AL73" s="100">
        <v>5.4669904895029342</v>
      </c>
      <c r="AM73" s="100">
        <v>3057.1410817300402</v>
      </c>
      <c r="AN73" s="100">
        <v>3.6032772503734756</v>
      </c>
      <c r="AO73" s="100">
        <v>2014.9526384088474</v>
      </c>
      <c r="AP73" s="100">
        <v>2.0117796461132635</v>
      </c>
      <c r="AQ73" s="100">
        <v>1124.9871781065369</v>
      </c>
      <c r="AR73" s="100">
        <v>1.8225058091292712</v>
      </c>
      <c r="AS73" s="100">
        <v>1019.1452484650883</v>
      </c>
      <c r="AT73" s="100">
        <v>8.7344506373345308</v>
      </c>
      <c r="AU73" s="100">
        <v>4884.3047963974686</v>
      </c>
      <c r="AV73" s="100">
        <v>3.2467101542599703</v>
      </c>
      <c r="AW73" s="100">
        <v>1815.5603182621751</v>
      </c>
      <c r="AX73" s="100">
        <v>1.556182136759438</v>
      </c>
      <c r="AY73" s="100">
        <v>870.21705087587759</v>
      </c>
      <c r="AZ73" s="100">
        <v>5.0132848934396721</v>
      </c>
      <c r="BA73" s="100">
        <v>2803.4289124114644</v>
      </c>
      <c r="BB73" s="100">
        <v>5.4823391513683486</v>
      </c>
      <c r="BC73" s="100">
        <v>3065.7240534451803</v>
      </c>
      <c r="BD73" s="100">
        <v>5.6227884238505856</v>
      </c>
      <c r="BE73" s="100">
        <v>3144.2632866172471</v>
      </c>
      <c r="BF73" s="100">
        <v>2.1641210716176791</v>
      </c>
      <c r="BG73" s="100">
        <v>1210.176503248606</v>
      </c>
      <c r="BH73" s="100">
        <v>6.6593392596697516</v>
      </c>
      <c r="BI73" s="100">
        <v>3723.9025140073245</v>
      </c>
      <c r="BJ73" s="100">
        <v>6</v>
      </c>
      <c r="BK73" s="100">
        <v>3355.2</v>
      </c>
      <c r="BL73" s="100">
        <v>2.2149047351208151</v>
      </c>
      <c r="BM73" s="100">
        <v>1238.5747278795598</v>
      </c>
      <c r="BN73" s="100">
        <v>6.0195013907845931</v>
      </c>
      <c r="BO73" s="100">
        <v>3366.1051777267439</v>
      </c>
      <c r="BP73" s="100">
        <v>1.0294501385002677</v>
      </c>
      <c r="BQ73" s="100">
        <v>575.66851744934957</v>
      </c>
      <c r="BR73" s="100">
        <v>5.2920020881374521</v>
      </c>
      <c r="BS73" s="100">
        <v>2959.2875676864628</v>
      </c>
      <c r="BT73" s="100">
        <v>10</v>
      </c>
      <c r="BU73" s="100">
        <v>5591.9999999999991</v>
      </c>
      <c r="BV73" s="100">
        <v>3.061187073492182</v>
      </c>
      <c r="BW73" s="100">
        <v>1711.815811496828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4.6830730365578326</v>
      </c>
      <c r="CC73" s="100">
        <v>2618.7744420431395</v>
      </c>
      <c r="CD73" s="100">
        <v>2.6746138036276581</v>
      </c>
      <c r="CE73" s="100">
        <v>1495.6440389885863</v>
      </c>
      <c r="CF73" s="100">
        <v>7.8704429649485359</v>
      </c>
      <c r="CG73" s="100">
        <v>4401.1517059992211</v>
      </c>
      <c r="CH73" s="100">
        <v>7.5591653745758292</v>
      </c>
      <c r="CI73" s="100">
        <v>4227.0852774628029</v>
      </c>
      <c r="CJ73" s="100">
        <v>1.8426574015823485</v>
      </c>
      <c r="CK73" s="100">
        <v>1030.4140189648492</v>
      </c>
      <c r="CL73" s="100">
        <v>5.5407937667381573</v>
      </c>
      <c r="CM73" s="100">
        <v>3098.411874359977</v>
      </c>
      <c r="CN73" s="100">
        <v>7.7783617118164683</v>
      </c>
      <c r="CO73" s="100">
        <v>4349.6598692477683</v>
      </c>
      <c r="CP73" s="100">
        <v>5</v>
      </c>
      <c r="CQ73" s="100">
        <v>2795.9999999999995</v>
      </c>
      <c r="CR73" s="100">
        <v>6</v>
      </c>
      <c r="CS73" s="100">
        <v>3355.2</v>
      </c>
      <c r="CT73" s="100">
        <v>4.6796996352378688</v>
      </c>
      <c r="CU73" s="100">
        <v>2616.8880360250159</v>
      </c>
    </row>
    <row r="74" spans="2:99">
      <c r="C74" s="99" t="s">
        <v>240</v>
      </c>
      <c r="D74" s="100">
        <v>6.2061198926674788</v>
      </c>
      <c r="E74" s="100">
        <v>2502.3075407235274</v>
      </c>
      <c r="F74" s="100">
        <v>4.6195821148855502E-4</v>
      </c>
      <c r="G74" s="100">
        <v>0.18626155087218538</v>
      </c>
      <c r="H74" s="100">
        <v>8.4254114119883443</v>
      </c>
      <c r="I74" s="100">
        <v>3397.1258813137001</v>
      </c>
      <c r="J74" s="100">
        <v>4.0781589159741456</v>
      </c>
      <c r="K74" s="100">
        <v>1644.3136749207754</v>
      </c>
      <c r="L74" s="100">
        <v>7.7042290043973392</v>
      </c>
      <c r="M74" s="100">
        <v>3106.3451345730073</v>
      </c>
      <c r="N74" s="100">
        <v>1.5444478830896895</v>
      </c>
      <c r="O74" s="100">
        <v>622.72138646176279</v>
      </c>
      <c r="P74" s="100">
        <v>6.7982788766417617</v>
      </c>
      <c r="Q74" s="100">
        <v>2741.0660430619582</v>
      </c>
      <c r="R74" s="100">
        <v>5.5023981516389622</v>
      </c>
      <c r="S74" s="100">
        <v>2218.5669347408293</v>
      </c>
      <c r="T74" s="100">
        <v>8.7549140635590046</v>
      </c>
      <c r="U74" s="100">
        <v>3529.9813504269905</v>
      </c>
      <c r="V74" s="100">
        <v>2.0787020938531997</v>
      </c>
      <c r="W74" s="100">
        <v>838.13268424161015</v>
      </c>
      <c r="X74" s="100">
        <v>7.6153410597442894</v>
      </c>
      <c r="Y74" s="100">
        <v>3070.5055152888972</v>
      </c>
      <c r="Z74" s="100">
        <v>7.2095255258065087</v>
      </c>
      <c r="AA74" s="100">
        <v>2906.8806920051843</v>
      </c>
      <c r="AB74" s="100">
        <v>7</v>
      </c>
      <c r="AC74" s="100">
        <v>2822.4</v>
      </c>
      <c r="AD74" s="100">
        <v>5.0692948814774885</v>
      </c>
      <c r="AE74" s="100">
        <v>2043.9396962117232</v>
      </c>
      <c r="AF74" s="100">
        <v>6</v>
      </c>
      <c r="AG74" s="100">
        <v>2419.1999999999998</v>
      </c>
      <c r="AH74" s="100">
        <v>5.9973779182591347</v>
      </c>
      <c r="AI74" s="100">
        <v>2418.1427766420829</v>
      </c>
      <c r="AJ74" s="100">
        <v>6.5804597063335155</v>
      </c>
      <c r="AK74" s="100">
        <v>2653.2413535936735</v>
      </c>
      <c r="AL74" s="100">
        <v>6.1503643006908009</v>
      </c>
      <c r="AM74" s="100">
        <v>2479.826886038531</v>
      </c>
      <c r="AN74" s="100">
        <v>3.6032772503734756</v>
      </c>
      <c r="AO74" s="100">
        <v>1452.8413873505854</v>
      </c>
      <c r="AP74" s="100">
        <v>1.7829396477533062</v>
      </c>
      <c r="AQ74" s="100">
        <v>718.88126597413304</v>
      </c>
      <c r="AR74" s="100">
        <v>1.8225058091292712</v>
      </c>
      <c r="AS74" s="100">
        <v>734.83434224092207</v>
      </c>
      <c r="AT74" s="100">
        <v>9.7344506373345308</v>
      </c>
      <c r="AU74" s="100">
        <v>3924.9304969732825</v>
      </c>
      <c r="AV74" s="100">
        <v>3.7878285133032987</v>
      </c>
      <c r="AW74" s="100">
        <v>1527.2524565638901</v>
      </c>
      <c r="AX74" s="100">
        <v>1.5595277545609372</v>
      </c>
      <c r="AY74" s="100">
        <v>628.80159063896986</v>
      </c>
      <c r="AZ74" s="100">
        <v>4.9036166162114201</v>
      </c>
      <c r="BA74" s="100">
        <v>1977.1382196564446</v>
      </c>
      <c r="BB74" s="100">
        <v>5.4823391513683486</v>
      </c>
      <c r="BC74" s="100">
        <v>2210.4791458317181</v>
      </c>
      <c r="BD74" s="100">
        <v>5.7801954011841907</v>
      </c>
      <c r="BE74" s="100">
        <v>2330.5747857574656</v>
      </c>
      <c r="BF74" s="100">
        <v>2.5554520607645661</v>
      </c>
      <c r="BG74" s="100">
        <v>1030.3582709002731</v>
      </c>
      <c r="BH74" s="100">
        <v>6.6593392596697516</v>
      </c>
      <c r="BI74" s="100">
        <v>2685.0455894988436</v>
      </c>
      <c r="BJ74" s="100">
        <v>6</v>
      </c>
      <c r="BK74" s="100">
        <v>2419.1999999999998</v>
      </c>
      <c r="BL74" s="100">
        <v>1.9688042089962805</v>
      </c>
      <c r="BM74" s="100">
        <v>793.82185706730024</v>
      </c>
      <c r="BN74" s="100">
        <v>6.0195013907845931</v>
      </c>
      <c r="BO74" s="100">
        <v>2427.0629607643477</v>
      </c>
      <c r="BP74" s="100">
        <v>1.0370996245841941</v>
      </c>
      <c r="BQ74" s="100">
        <v>418.15856863234706</v>
      </c>
      <c r="BR74" s="100">
        <v>6.0010825328694644</v>
      </c>
      <c r="BS74" s="100">
        <v>2419.6364772529678</v>
      </c>
      <c r="BT74" s="100">
        <v>9</v>
      </c>
      <c r="BU74" s="100">
        <v>3628.7999999999997</v>
      </c>
      <c r="BV74" s="100">
        <v>3.061187073492182</v>
      </c>
      <c r="BW74" s="100">
        <v>1234.2706280320479</v>
      </c>
      <c r="BX74" s="100">
        <v>5</v>
      </c>
      <c r="BY74" s="100">
        <v>2016</v>
      </c>
      <c r="BZ74" s="100">
        <v>7</v>
      </c>
      <c r="CA74" s="100">
        <v>2822.4</v>
      </c>
      <c r="CB74" s="100">
        <v>4.6830730365578326</v>
      </c>
      <c r="CC74" s="100">
        <v>1888.2150483401181</v>
      </c>
      <c r="CD74" s="100">
        <v>3.0660208739916066</v>
      </c>
      <c r="CE74" s="100">
        <v>1236.2196163934157</v>
      </c>
      <c r="CF74" s="100">
        <v>7.8704429649485359</v>
      </c>
      <c r="CG74" s="100">
        <v>3173.3626034672498</v>
      </c>
      <c r="CH74" s="100">
        <v>7.5591653745758292</v>
      </c>
      <c r="CI74" s="100">
        <v>3047.8554790289741</v>
      </c>
      <c r="CJ74" s="100">
        <v>1.8426574015823485</v>
      </c>
      <c r="CK74" s="100">
        <v>742.95946431800292</v>
      </c>
      <c r="CL74" s="100">
        <v>4.7492518000612778</v>
      </c>
      <c r="CM74" s="100">
        <v>1914.8983257847071</v>
      </c>
      <c r="CN74" s="100">
        <v>8.7783617118164692</v>
      </c>
      <c r="CO74" s="100">
        <v>3539.4354422044003</v>
      </c>
      <c r="CP74" s="100">
        <v>5</v>
      </c>
      <c r="CQ74" s="100">
        <v>2016</v>
      </c>
      <c r="CR74" s="100">
        <v>7</v>
      </c>
      <c r="CS74" s="100">
        <v>2822.4</v>
      </c>
      <c r="CT74" s="100">
        <v>5.5711342721586572</v>
      </c>
      <c r="CU74" s="100">
        <v>2246.2813385343707</v>
      </c>
    </row>
    <row r="75" spans="2:99">
      <c r="C75" s="99" t="s">
        <v>241</v>
      </c>
      <c r="D75" s="100">
        <v>6.2061198926674788</v>
      </c>
      <c r="E75" s="100">
        <v>3991.7763149637221</v>
      </c>
      <c r="F75" s="100">
        <v>4.6195821148855502E-4</v>
      </c>
      <c r="G75" s="100">
        <v>0.29713152162943857</v>
      </c>
      <c r="H75" s="100">
        <v>8.4254114119883443</v>
      </c>
      <c r="I75" s="100">
        <v>5419.2246201909029</v>
      </c>
      <c r="J75" s="100">
        <v>4.0781589159741456</v>
      </c>
      <c r="K75" s="100">
        <v>2623.0718147545704</v>
      </c>
      <c r="L75" s="100">
        <v>6.7042290043973392</v>
      </c>
      <c r="M75" s="100">
        <v>4312.1600956283683</v>
      </c>
      <c r="N75" s="100">
        <v>1.5367010143729769</v>
      </c>
      <c r="O75" s="100">
        <v>988.40609244469863</v>
      </c>
      <c r="P75" s="100">
        <v>6.6386231013134092</v>
      </c>
      <c r="Q75" s="100">
        <v>4269.9623787647843</v>
      </c>
      <c r="R75" s="100">
        <v>4.7163412728333958</v>
      </c>
      <c r="S75" s="100">
        <v>3033.5507066864398</v>
      </c>
      <c r="T75" s="100">
        <v>7.7821458342746697</v>
      </c>
      <c r="U75" s="100">
        <v>5005.4762006054671</v>
      </c>
      <c r="V75" s="100">
        <v>1.8188643321215496</v>
      </c>
      <c r="W75" s="100">
        <v>1169.8935384205806</v>
      </c>
      <c r="X75" s="100">
        <v>6.4615057948082173</v>
      </c>
      <c r="Y75" s="100">
        <v>4156.0405272206453</v>
      </c>
      <c r="Z75" s="100">
        <v>7.2514306309678105</v>
      </c>
      <c r="AA75" s="100">
        <v>4664.1201818384952</v>
      </c>
      <c r="AB75" s="100">
        <v>7</v>
      </c>
      <c r="AC75" s="100">
        <v>4502.3999999999996</v>
      </c>
      <c r="AD75" s="100">
        <v>4.3451098984092758</v>
      </c>
      <c r="AE75" s="100">
        <v>2794.7746866568459</v>
      </c>
      <c r="AF75" s="100">
        <v>6</v>
      </c>
      <c r="AG75" s="100">
        <v>3859.2</v>
      </c>
      <c r="AH75" s="100">
        <v>6.7470501580415263</v>
      </c>
      <c r="AI75" s="100">
        <v>4339.702661652309</v>
      </c>
      <c r="AJ75" s="100">
        <v>5.8492975167409025</v>
      </c>
      <c r="AK75" s="100">
        <v>3762.268162767748</v>
      </c>
      <c r="AL75" s="100">
        <v>6.1503643006908009</v>
      </c>
      <c r="AM75" s="100">
        <v>3955.9143182043226</v>
      </c>
      <c r="AN75" s="100">
        <v>3.6032772503734756</v>
      </c>
      <c r="AO75" s="100">
        <v>2317.6279274402191</v>
      </c>
      <c r="AP75" s="100">
        <v>1.7915615362882398</v>
      </c>
      <c r="AQ75" s="100">
        <v>1152.3323801405957</v>
      </c>
      <c r="AR75" s="100">
        <v>1.8632614858632337</v>
      </c>
      <c r="AS75" s="100">
        <v>1198.4497877072317</v>
      </c>
      <c r="AT75" s="100">
        <v>8.7344506373345308</v>
      </c>
      <c r="AU75" s="100">
        <v>5617.9986499335691</v>
      </c>
      <c r="AV75" s="100">
        <v>3.2467101542599703</v>
      </c>
      <c r="AW75" s="100">
        <v>2088.2839712200125</v>
      </c>
      <c r="AX75" s="100">
        <v>1.3858617944815912</v>
      </c>
      <c r="AY75" s="100">
        <v>891.38630621055938</v>
      </c>
      <c r="AZ75" s="100">
        <v>4.9036166162114201</v>
      </c>
      <c r="BA75" s="100">
        <v>3154.0062075471851</v>
      </c>
      <c r="BB75" s="100">
        <v>4.8002327944416363</v>
      </c>
      <c r="BC75" s="100">
        <v>3087.5097333848603</v>
      </c>
      <c r="BD75" s="100">
        <v>5.7801954011841907</v>
      </c>
      <c r="BE75" s="100">
        <v>3717.821682041671</v>
      </c>
      <c r="BF75" s="100">
        <v>2.205614296794328</v>
      </c>
      <c r="BG75" s="100">
        <v>1418.6511156981117</v>
      </c>
      <c r="BH75" s="100">
        <v>7.6593392596697516</v>
      </c>
      <c r="BI75" s="100">
        <v>4926.487011819584</v>
      </c>
      <c r="BJ75" s="100">
        <v>5</v>
      </c>
      <c r="BK75" s="100">
        <v>3215.9999999999995</v>
      </c>
      <c r="BL75" s="100">
        <v>1.9688042089962805</v>
      </c>
      <c r="BM75" s="100">
        <v>1266.3348672264076</v>
      </c>
      <c r="BN75" s="100">
        <v>6.0195013907845931</v>
      </c>
      <c r="BO75" s="100">
        <v>3871.7432945526498</v>
      </c>
      <c r="BP75" s="100">
        <v>0.87317408758474258</v>
      </c>
      <c r="BQ75" s="100">
        <v>561.62557313450634</v>
      </c>
      <c r="BR75" s="100">
        <v>6.0010825328694644</v>
      </c>
      <c r="BS75" s="100">
        <v>3859.8962851416391</v>
      </c>
      <c r="BT75" s="100">
        <v>9</v>
      </c>
      <c r="BU75" s="100">
        <v>5788.7999999999993</v>
      </c>
      <c r="BV75" s="100">
        <v>3.061187073492182</v>
      </c>
      <c r="BW75" s="100">
        <v>1968.9555256701713</v>
      </c>
      <c r="BX75" s="100">
        <v>5</v>
      </c>
      <c r="BY75" s="100">
        <v>3215.9999999999995</v>
      </c>
      <c r="BZ75" s="100">
        <v>8</v>
      </c>
      <c r="CA75" s="100">
        <v>5145.5999999999995</v>
      </c>
      <c r="CB75" s="100">
        <v>4.1627315880514075</v>
      </c>
      <c r="CC75" s="100">
        <v>2677.4689574346648</v>
      </c>
      <c r="CD75" s="100">
        <v>2.6954069114102355</v>
      </c>
      <c r="CE75" s="100">
        <v>1733.6857254190634</v>
      </c>
      <c r="CF75" s="100">
        <v>8.6963543719588294</v>
      </c>
      <c r="CG75" s="100">
        <v>5593.4951320439186</v>
      </c>
      <c r="CH75" s="100">
        <v>6.8032488371182467</v>
      </c>
      <c r="CI75" s="100">
        <v>4375.8496520344561</v>
      </c>
      <c r="CJ75" s="100">
        <v>1.8426574015823485</v>
      </c>
      <c r="CK75" s="100">
        <v>1185.1972406977663</v>
      </c>
      <c r="CL75" s="100">
        <v>5.5407937667381573</v>
      </c>
      <c r="CM75" s="100">
        <v>3563.8385507659823</v>
      </c>
      <c r="CN75" s="100">
        <v>7.9340340541797616</v>
      </c>
      <c r="CO75" s="100">
        <v>5103.1707036484222</v>
      </c>
      <c r="CP75" s="100">
        <v>5</v>
      </c>
      <c r="CQ75" s="100">
        <v>3215.9999999999995</v>
      </c>
      <c r="CR75" s="100">
        <v>7</v>
      </c>
      <c r="CS75" s="100">
        <v>4502.3999999999996</v>
      </c>
      <c r="CT75" s="100">
        <v>4.6479101422901641</v>
      </c>
      <c r="CU75" s="100">
        <v>2989.5358035210334</v>
      </c>
    </row>
    <row r="76" spans="2:99">
      <c r="C76" s="99" t="s">
        <v>242</v>
      </c>
      <c r="D76" s="100">
        <v>5.3195313365721244</v>
      </c>
      <c r="E76" s="100">
        <v>4142.8510049223705</v>
      </c>
      <c r="F76" s="100">
        <v>4.6195821148855502E-4</v>
      </c>
      <c r="G76" s="100">
        <v>0.35977305510728663</v>
      </c>
      <c r="H76" s="100">
        <v>8.4254114119883443</v>
      </c>
      <c r="I76" s="100">
        <v>6561.710407656522</v>
      </c>
      <c r="J76" s="100">
        <v>4.0781589159741456</v>
      </c>
      <c r="K76" s="100">
        <v>3176.0701637606644</v>
      </c>
      <c r="L76" s="100">
        <v>7.7042290043973392</v>
      </c>
      <c r="M76" s="100">
        <v>6000.0535486246472</v>
      </c>
      <c r="N76" s="100">
        <v>1.5444478830896895</v>
      </c>
      <c r="O76" s="100">
        <v>1202.8160113502502</v>
      </c>
      <c r="P76" s="100">
        <v>6.7982788766417617</v>
      </c>
      <c r="Q76" s="100">
        <v>5294.4995891286035</v>
      </c>
      <c r="R76" s="100">
        <v>4.7163412728333958</v>
      </c>
      <c r="S76" s="100">
        <v>3673.0865832826485</v>
      </c>
      <c r="T76" s="100">
        <v>7.7821458342746697</v>
      </c>
      <c r="U76" s="100">
        <v>6060.7351757331126</v>
      </c>
      <c r="V76" s="100">
        <v>1.8188643321215496</v>
      </c>
      <c r="W76" s="100">
        <v>1416.5315418562627</v>
      </c>
      <c r="X76" s="100">
        <v>6.6153410597442894</v>
      </c>
      <c r="Y76" s="100">
        <v>5152.0276173288521</v>
      </c>
      <c r="Z76" s="100">
        <v>7.2514306309678105</v>
      </c>
      <c r="AA76" s="100">
        <v>5647.4141753977301</v>
      </c>
      <c r="AB76" s="100">
        <v>6</v>
      </c>
      <c r="AC76" s="100">
        <v>4672.7999999999993</v>
      </c>
      <c r="AD76" s="100">
        <v>4.3451098984092758</v>
      </c>
      <c r="AE76" s="100">
        <v>3383.9715888811438</v>
      </c>
      <c r="AF76" s="100">
        <v>7</v>
      </c>
      <c r="AG76" s="100">
        <v>5451.5999999999995</v>
      </c>
      <c r="AH76" s="100">
        <v>5.9973779182591347</v>
      </c>
      <c r="AI76" s="100">
        <v>4670.7579227402139</v>
      </c>
      <c r="AJ76" s="100">
        <v>5.8492975167409025</v>
      </c>
      <c r="AK76" s="100">
        <v>4555.432906037815</v>
      </c>
      <c r="AL76" s="100">
        <v>5.4669904895029342</v>
      </c>
      <c r="AM76" s="100">
        <v>4257.6921932248852</v>
      </c>
      <c r="AN76" s="100">
        <v>3.6032772503734756</v>
      </c>
      <c r="AO76" s="100">
        <v>2806.2323225908626</v>
      </c>
      <c r="AP76" s="100">
        <v>2.0031577575783301</v>
      </c>
      <c r="AQ76" s="100">
        <v>1560.0592616020035</v>
      </c>
      <c r="AR76" s="100">
        <v>1.8599543002508416</v>
      </c>
      <c r="AS76" s="100">
        <v>1448.5324090353554</v>
      </c>
      <c r="AT76" s="100">
        <v>8.7344506373345308</v>
      </c>
      <c r="AU76" s="100">
        <v>6802.3901563561321</v>
      </c>
      <c r="AV76" s="100">
        <v>3.7878285133032987</v>
      </c>
      <c r="AW76" s="100">
        <v>2949.960846160609</v>
      </c>
      <c r="AX76" s="100">
        <v>1.556182136759438</v>
      </c>
      <c r="AY76" s="100">
        <v>1211.9546481082502</v>
      </c>
      <c r="AZ76" s="100">
        <v>4.9036166162114201</v>
      </c>
      <c r="BA76" s="100">
        <v>3818.9366207054536</v>
      </c>
      <c r="BB76" s="100">
        <v>4.8002327944416363</v>
      </c>
      <c r="BC76" s="100">
        <v>3738.4213003111463</v>
      </c>
      <c r="BD76" s="100">
        <v>5.7801954011841907</v>
      </c>
      <c r="BE76" s="100">
        <v>4501.6161784422475</v>
      </c>
      <c r="BF76" s="100">
        <v>2.1641210716176791</v>
      </c>
      <c r="BG76" s="100">
        <v>1685.4174905758484</v>
      </c>
      <c r="BH76" s="100">
        <v>7.6593392596697516</v>
      </c>
      <c r="BI76" s="100">
        <v>5965.0934154308025</v>
      </c>
      <c r="BJ76" s="100">
        <v>6</v>
      </c>
      <c r="BK76" s="100">
        <v>4672.7999999999993</v>
      </c>
      <c r="BL76" s="100">
        <v>1.9688042089962805</v>
      </c>
      <c r="BM76" s="100">
        <v>1533.3047179663031</v>
      </c>
      <c r="BN76" s="100">
        <v>6.0195013907845931</v>
      </c>
      <c r="BO76" s="100">
        <v>4687.9876831430411</v>
      </c>
      <c r="BP76" s="100">
        <v>0.87317408758474258</v>
      </c>
      <c r="BQ76" s="100">
        <v>680.02797941099743</v>
      </c>
      <c r="BR76" s="100">
        <v>5.2920020881374521</v>
      </c>
      <c r="BS76" s="100">
        <v>4121.4112262414474</v>
      </c>
      <c r="BT76" s="100">
        <v>8</v>
      </c>
      <c r="BU76" s="100">
        <v>6230.4</v>
      </c>
      <c r="BV76" s="100">
        <v>3.061187073492182</v>
      </c>
      <c r="BW76" s="100">
        <v>2384.0524928357113</v>
      </c>
      <c r="BX76" s="100">
        <v>5</v>
      </c>
      <c r="BY76" s="100">
        <v>3894</v>
      </c>
      <c r="BZ76" s="100">
        <v>7</v>
      </c>
      <c r="CA76" s="100">
        <v>5451.5999999999995</v>
      </c>
      <c r="CB76" s="100">
        <v>4.6830730365578326</v>
      </c>
      <c r="CC76" s="100">
        <v>3647.1772808712399</v>
      </c>
      <c r="CD76" s="100">
        <v>2.6375794965391446</v>
      </c>
      <c r="CE76" s="100">
        <v>2054.1469119046856</v>
      </c>
      <c r="CF76" s="100">
        <v>6.6963543719588294</v>
      </c>
      <c r="CG76" s="100">
        <v>5215.1207848815357</v>
      </c>
      <c r="CH76" s="100">
        <v>6.8032488371182467</v>
      </c>
      <c r="CI76" s="100">
        <v>5298.3701943476899</v>
      </c>
      <c r="CJ76" s="100">
        <v>2.1497669685127399</v>
      </c>
      <c r="CK76" s="100">
        <v>1674.2385150777218</v>
      </c>
      <c r="CL76" s="100">
        <v>4.7492518000612778</v>
      </c>
      <c r="CM76" s="100">
        <v>3698.7173018877229</v>
      </c>
      <c r="CN76" s="100">
        <v>7.9340340541797616</v>
      </c>
      <c r="CO76" s="100">
        <v>6179.0257213951982</v>
      </c>
      <c r="CP76" s="100">
        <v>5</v>
      </c>
      <c r="CQ76" s="100">
        <v>3894</v>
      </c>
      <c r="CR76" s="100">
        <v>6</v>
      </c>
      <c r="CS76" s="100">
        <v>4672.7999999999993</v>
      </c>
      <c r="CT76" s="100">
        <v>4.6479101422901641</v>
      </c>
      <c r="CU76" s="100">
        <v>3619.7924188155794</v>
      </c>
    </row>
    <row r="77" spans="2:99">
      <c r="C77" s="99" t="s">
        <v>243</v>
      </c>
      <c r="D77" s="100">
        <v>5.3195313365721244</v>
      </c>
      <c r="E77" s="100">
        <v>1480.9575241016794</v>
      </c>
      <c r="F77" s="100">
        <v>4.6195821148855502E-4</v>
      </c>
      <c r="G77" s="100">
        <v>0.12860916607841372</v>
      </c>
      <c r="H77" s="100">
        <v>9.4254114119883443</v>
      </c>
      <c r="I77" s="100">
        <v>2624.0345370975547</v>
      </c>
      <c r="J77" s="100">
        <v>3.6250301475325735</v>
      </c>
      <c r="K77" s="100">
        <v>1009.2083930730684</v>
      </c>
      <c r="L77" s="100">
        <v>7.7042290043973392</v>
      </c>
      <c r="M77" s="100">
        <v>2144.8573548242189</v>
      </c>
      <c r="N77" s="100">
        <v>1.5444478830896895</v>
      </c>
      <c r="O77" s="100">
        <v>429.97429065216954</v>
      </c>
      <c r="P77" s="100">
        <v>6.7982788766417617</v>
      </c>
      <c r="Q77" s="100">
        <v>1892.6408392570663</v>
      </c>
      <c r="R77" s="100">
        <v>5.5023981516389622</v>
      </c>
      <c r="S77" s="100">
        <v>1531.8676454162869</v>
      </c>
      <c r="T77" s="100">
        <v>6.8093776049903356</v>
      </c>
      <c r="U77" s="100">
        <v>1895.7307252293092</v>
      </c>
      <c r="V77" s="100">
        <v>2.0787020938531997</v>
      </c>
      <c r="W77" s="100">
        <v>578.7106629287307</v>
      </c>
      <c r="X77" s="100">
        <v>6.6153410597442894</v>
      </c>
      <c r="Y77" s="100">
        <v>1841.71095103281</v>
      </c>
      <c r="Z77" s="100">
        <v>6.2514306309678105</v>
      </c>
      <c r="AA77" s="100">
        <v>1740.3982876614382</v>
      </c>
      <c r="AB77" s="100">
        <v>7</v>
      </c>
      <c r="AC77" s="100">
        <v>1948.7999999999997</v>
      </c>
      <c r="AD77" s="100">
        <v>5.0692948814774885</v>
      </c>
      <c r="AE77" s="100">
        <v>1411.2916950033327</v>
      </c>
      <c r="AF77" s="100">
        <v>7</v>
      </c>
      <c r="AG77" s="100">
        <v>1948.7999999999997</v>
      </c>
      <c r="AH77" s="100">
        <v>6.7470501580415263</v>
      </c>
      <c r="AI77" s="100">
        <v>1878.3787639987609</v>
      </c>
      <c r="AJ77" s="100">
        <v>6.5804597063335155</v>
      </c>
      <c r="AK77" s="100">
        <v>1831.9999822432505</v>
      </c>
      <c r="AL77" s="100">
        <v>5.4669904895029342</v>
      </c>
      <c r="AM77" s="100">
        <v>1522.0101522776167</v>
      </c>
      <c r="AN77" s="100">
        <v>4.1180311432839725</v>
      </c>
      <c r="AO77" s="100">
        <v>1146.4598702902579</v>
      </c>
      <c r="AP77" s="100">
        <v>2.0204015346481969</v>
      </c>
      <c r="AQ77" s="100">
        <v>562.47978724605798</v>
      </c>
      <c r="AR77" s="100">
        <v>1.5492324777094264</v>
      </c>
      <c r="AS77" s="100">
        <v>431.30632179430427</v>
      </c>
      <c r="AT77" s="100">
        <v>8.7344506373345308</v>
      </c>
      <c r="AU77" s="100">
        <v>2431.6710574339331</v>
      </c>
      <c r="AV77" s="100">
        <v>3.2467101542599703</v>
      </c>
      <c r="AW77" s="100">
        <v>903.88410694597565</v>
      </c>
      <c r="AX77" s="100">
        <v>1.3879678391514878</v>
      </c>
      <c r="AY77" s="100">
        <v>386.41024641977418</v>
      </c>
      <c r="AZ77" s="100">
        <v>4.9036166162114201</v>
      </c>
      <c r="BA77" s="100">
        <v>1365.1668659532593</v>
      </c>
      <c r="BB77" s="100">
        <v>5.6086756068054466</v>
      </c>
      <c r="BC77" s="100">
        <v>1561.4552889346362</v>
      </c>
      <c r="BD77" s="100">
        <v>5.7801954011841907</v>
      </c>
      <c r="BE77" s="100">
        <v>1609.2063996896786</v>
      </c>
      <c r="BF77" s="100">
        <v>2.5969452859412154</v>
      </c>
      <c r="BG77" s="100">
        <v>722.98956760603437</v>
      </c>
      <c r="BH77" s="100">
        <v>7.6593392596697516</v>
      </c>
      <c r="BI77" s="100">
        <v>2132.3600498920587</v>
      </c>
      <c r="BJ77" s="100">
        <v>6</v>
      </c>
      <c r="BK77" s="100">
        <v>1670.3999999999999</v>
      </c>
      <c r="BL77" s="100">
        <v>2.2149047351208151</v>
      </c>
      <c r="BM77" s="100">
        <v>616.6294782576349</v>
      </c>
      <c r="BN77" s="100">
        <v>6.0195013907845931</v>
      </c>
      <c r="BO77" s="100">
        <v>1675.8291871944307</v>
      </c>
      <c r="BP77" s="100">
        <v>1.0370996245841941</v>
      </c>
      <c r="BQ77" s="100">
        <v>288.72853548423961</v>
      </c>
      <c r="BR77" s="100">
        <v>5.2920020881374521</v>
      </c>
      <c r="BS77" s="100">
        <v>1473.2933813374666</v>
      </c>
      <c r="BT77" s="100">
        <v>9</v>
      </c>
      <c r="BU77" s="100">
        <v>2505.6</v>
      </c>
      <c r="BV77" s="100">
        <v>3.061187073492182</v>
      </c>
      <c r="BW77" s="100">
        <v>852.23448126022345</v>
      </c>
      <c r="BX77" s="100">
        <v>6</v>
      </c>
      <c r="BY77" s="100">
        <v>1670.3999999999999</v>
      </c>
      <c r="BZ77" s="100">
        <v>7</v>
      </c>
      <c r="CA77" s="100">
        <v>1948.7999999999997</v>
      </c>
      <c r="CB77" s="100">
        <v>4.1627315880514075</v>
      </c>
      <c r="CC77" s="100">
        <v>1158.9044741135117</v>
      </c>
      <c r="CD77" s="100">
        <v>2.6772591112768382</v>
      </c>
      <c r="CE77" s="100">
        <v>745.34893657947168</v>
      </c>
      <c r="CF77" s="100">
        <v>7.6963543719588294</v>
      </c>
      <c r="CG77" s="100">
        <v>2142.6650571533378</v>
      </c>
      <c r="CH77" s="100">
        <v>6.8032488371182467</v>
      </c>
      <c r="CI77" s="100">
        <v>1894.0244762537197</v>
      </c>
      <c r="CJ77" s="100">
        <v>2.1497669685127399</v>
      </c>
      <c r="CK77" s="100">
        <v>598.49512403394669</v>
      </c>
      <c r="CL77" s="100">
        <v>5.5407937667381573</v>
      </c>
      <c r="CM77" s="100">
        <v>1542.5569846599028</v>
      </c>
      <c r="CN77" s="100">
        <v>7.9340340541797616</v>
      </c>
      <c r="CO77" s="100">
        <v>2208.8350806836456</v>
      </c>
      <c r="CP77" s="100">
        <v>5</v>
      </c>
      <c r="CQ77" s="100">
        <v>1392</v>
      </c>
      <c r="CR77" s="100">
        <v>7</v>
      </c>
      <c r="CS77" s="100">
        <v>1948.7999999999997</v>
      </c>
      <c r="CT77" s="100">
        <v>5.5393447792109525</v>
      </c>
      <c r="CU77" s="100">
        <v>1542.153586532329</v>
      </c>
    </row>
    <row r="78" spans="2:99">
      <c r="C78" s="99" t="s">
        <v>244</v>
      </c>
      <c r="D78" s="100">
        <v>5.3195313365721244</v>
      </c>
      <c r="E78" s="100">
        <v>2936.3812977878129</v>
      </c>
      <c r="F78" s="100">
        <v>4.6195821148855502E-4</v>
      </c>
      <c r="G78" s="100">
        <v>0.2550009327416824</v>
      </c>
      <c r="H78" s="100">
        <v>8.3403291295906765</v>
      </c>
      <c r="I78" s="100">
        <v>4603.8616795340531</v>
      </c>
      <c r="J78" s="100">
        <v>4.0781589159741456</v>
      </c>
      <c r="K78" s="100">
        <v>2251.1437216177283</v>
      </c>
      <c r="L78" s="100">
        <v>7.586857503664449</v>
      </c>
      <c r="M78" s="100">
        <v>4187.9453420227755</v>
      </c>
      <c r="N78" s="100">
        <v>1.5521947518064023</v>
      </c>
      <c r="O78" s="100">
        <v>856.81150299713408</v>
      </c>
      <c r="P78" s="100">
        <v>6.7982788766417617</v>
      </c>
      <c r="Q78" s="100">
        <v>3752.6499399062523</v>
      </c>
      <c r="R78" s="100">
        <v>4.7163412728333958</v>
      </c>
      <c r="S78" s="100">
        <v>2603.4203826040343</v>
      </c>
      <c r="T78" s="100">
        <v>6.8093776049903356</v>
      </c>
      <c r="U78" s="100">
        <v>3758.7764379546652</v>
      </c>
      <c r="V78" s="100">
        <v>1.8188643321215496</v>
      </c>
      <c r="W78" s="100">
        <v>1004.0131113310954</v>
      </c>
      <c r="X78" s="100">
        <v>7.6153410597442894</v>
      </c>
      <c r="Y78" s="100">
        <v>4203.6682649788481</v>
      </c>
      <c r="Z78" s="100">
        <v>6.2514306309678105</v>
      </c>
      <c r="AA78" s="100">
        <v>3450.7897082942313</v>
      </c>
      <c r="AB78" s="100">
        <v>6</v>
      </c>
      <c r="AC78" s="100">
        <v>3312</v>
      </c>
      <c r="AD78" s="100">
        <v>5.0692948814774885</v>
      </c>
      <c r="AE78" s="100">
        <v>2798.2507745755738</v>
      </c>
      <c r="AF78" s="100">
        <v>6</v>
      </c>
      <c r="AG78" s="100">
        <v>3312</v>
      </c>
      <c r="AH78" s="100">
        <v>5.9973779182591347</v>
      </c>
      <c r="AI78" s="100">
        <v>3310.5526108790423</v>
      </c>
      <c r="AJ78" s="100">
        <v>6.5804597063335155</v>
      </c>
      <c r="AK78" s="100">
        <v>3632.4137578961004</v>
      </c>
      <c r="AL78" s="100">
        <v>5.4669904895029342</v>
      </c>
      <c r="AM78" s="100">
        <v>3017.7787502056199</v>
      </c>
      <c r="AN78" s="100">
        <v>3.6032772503734756</v>
      </c>
      <c r="AO78" s="100">
        <v>1989.0090422061585</v>
      </c>
      <c r="AP78" s="100">
        <v>2.0290234231831308</v>
      </c>
      <c r="AQ78" s="100">
        <v>1120.0209295970883</v>
      </c>
      <c r="AR78" s="100">
        <v>1.5899881544433889</v>
      </c>
      <c r="AS78" s="100">
        <v>877.67346125275071</v>
      </c>
      <c r="AT78" s="100">
        <v>9.7344506373345308</v>
      </c>
      <c r="AU78" s="100">
        <v>5373.4167518086606</v>
      </c>
      <c r="AV78" s="100">
        <v>3.2467101542599703</v>
      </c>
      <c r="AW78" s="100">
        <v>1792.1840051515037</v>
      </c>
      <c r="AX78" s="100">
        <v>1.3879678391514878</v>
      </c>
      <c r="AY78" s="100">
        <v>766.1582472116213</v>
      </c>
      <c r="AZ78" s="100">
        <v>5.0132848934396721</v>
      </c>
      <c r="BA78" s="100">
        <v>2767.3332611786991</v>
      </c>
      <c r="BB78" s="100">
        <v>5.6086756068054466</v>
      </c>
      <c r="BC78" s="100">
        <v>3095.9889349566065</v>
      </c>
      <c r="BD78" s="100">
        <v>5.7801954011841907</v>
      </c>
      <c r="BE78" s="100">
        <v>3190.6678614536731</v>
      </c>
      <c r="BF78" s="100">
        <v>2.1641210716176791</v>
      </c>
      <c r="BG78" s="100">
        <v>1194.5948315329588</v>
      </c>
      <c r="BH78" s="100">
        <v>7.6593392596697516</v>
      </c>
      <c r="BI78" s="100">
        <v>4227.9552713377025</v>
      </c>
      <c r="BJ78" s="100">
        <v>5</v>
      </c>
      <c r="BK78" s="100">
        <v>2760</v>
      </c>
      <c r="BL78" s="100">
        <v>2.2149047351208151</v>
      </c>
      <c r="BM78" s="100">
        <v>1222.6274137866899</v>
      </c>
      <c r="BN78" s="100">
        <v>6.0195013907845931</v>
      </c>
      <c r="BO78" s="100">
        <v>3322.7647677130954</v>
      </c>
      <c r="BP78" s="100">
        <v>1.0332748815422308</v>
      </c>
      <c r="BQ78" s="100">
        <v>570.36773461131145</v>
      </c>
      <c r="BR78" s="100">
        <v>6.0010825328694644</v>
      </c>
      <c r="BS78" s="100">
        <v>3312.5975581439443</v>
      </c>
      <c r="BT78" s="100">
        <v>9</v>
      </c>
      <c r="BU78" s="100">
        <v>4968</v>
      </c>
      <c r="BV78" s="100">
        <v>3.061187073492182</v>
      </c>
      <c r="BW78" s="100">
        <v>1689.7752645676844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4.6830730365578326</v>
      </c>
      <c r="CC78" s="100">
        <v>2585.0563161799237</v>
      </c>
      <c r="CD78" s="100">
        <v>3.0289865669030935</v>
      </c>
      <c r="CE78" s="100">
        <v>1672.0005849305076</v>
      </c>
      <c r="CF78" s="100">
        <v>7.6963543719588294</v>
      </c>
      <c r="CG78" s="100">
        <v>4248.3876133212734</v>
      </c>
      <c r="CH78" s="100">
        <v>6.8032488371182467</v>
      </c>
      <c r="CI78" s="100">
        <v>3755.3933580892722</v>
      </c>
      <c r="CJ78" s="100">
        <v>2.1497669685127399</v>
      </c>
      <c r="CK78" s="100">
        <v>1186.6713666190324</v>
      </c>
      <c r="CL78" s="100">
        <v>5.5407937667381573</v>
      </c>
      <c r="CM78" s="100">
        <v>3058.5181592394629</v>
      </c>
      <c r="CN78" s="100">
        <v>7.9340340541797616</v>
      </c>
      <c r="CO78" s="100">
        <v>4379.5867979072282</v>
      </c>
      <c r="CP78" s="100">
        <v>5</v>
      </c>
      <c r="CQ78" s="100">
        <v>2760</v>
      </c>
      <c r="CR78" s="100">
        <v>6</v>
      </c>
      <c r="CS78" s="100">
        <v>3312</v>
      </c>
      <c r="CT78" s="100">
        <v>5.5393447792109525</v>
      </c>
      <c r="CU78" s="100">
        <v>3057.7183181244459</v>
      </c>
    </row>
    <row r="79" spans="2:99">
      <c r="C79" s="99" t="s">
        <v>245</v>
      </c>
      <c r="D79" s="100">
        <v>5.3195313365721244</v>
      </c>
      <c r="E79" s="100">
        <v>4027.9491280524121</v>
      </c>
      <c r="F79" s="100">
        <v>4.6195821148855502E-4</v>
      </c>
      <c r="G79" s="100">
        <v>0.34979475773913382</v>
      </c>
      <c r="H79" s="100">
        <v>9.4254114119883443</v>
      </c>
      <c r="I79" s="100">
        <v>7136.9215211575738</v>
      </c>
      <c r="J79" s="100">
        <v>3.6250301475325735</v>
      </c>
      <c r="K79" s="100">
        <v>2744.8728277116643</v>
      </c>
      <c r="L79" s="100">
        <v>6.7042290043973392</v>
      </c>
      <c r="M79" s="100">
        <v>5076.442202129665</v>
      </c>
      <c r="N79" s="100">
        <v>1.5521947518064023</v>
      </c>
      <c r="O79" s="100">
        <v>1175.3218660678078</v>
      </c>
      <c r="P79" s="100">
        <v>6.7982788766417617</v>
      </c>
      <c r="Q79" s="100">
        <v>5147.6567653931415</v>
      </c>
      <c r="R79" s="100">
        <v>5.5023981516389622</v>
      </c>
      <c r="S79" s="100">
        <v>4166.4158804210219</v>
      </c>
      <c r="T79" s="100">
        <v>6.8093776049903356</v>
      </c>
      <c r="U79" s="100">
        <v>5156.0607224986816</v>
      </c>
      <c r="V79" s="100">
        <v>1.8188643321215496</v>
      </c>
      <c r="W79" s="100">
        <v>1377.2440722824372</v>
      </c>
      <c r="X79" s="100">
        <v>6.6153410597442894</v>
      </c>
      <c r="Y79" s="100">
        <v>5009.1362504383751</v>
      </c>
      <c r="Z79" s="100">
        <v>6.2514306309678105</v>
      </c>
      <c r="AA79" s="100">
        <v>4733.5832737688261</v>
      </c>
      <c r="AB79" s="100">
        <v>6</v>
      </c>
      <c r="AC79" s="100">
        <v>4543.2</v>
      </c>
      <c r="AD79" s="100">
        <v>4.3451098984092758</v>
      </c>
      <c r="AE79" s="100">
        <v>3290.1172150755033</v>
      </c>
      <c r="AF79" s="100">
        <v>6</v>
      </c>
      <c r="AG79" s="100">
        <v>4543.2</v>
      </c>
      <c r="AH79" s="100">
        <v>5.9973779182591347</v>
      </c>
      <c r="AI79" s="100">
        <v>4541.2145597058161</v>
      </c>
      <c r="AJ79" s="100">
        <v>5.8492975167409025</v>
      </c>
      <c r="AK79" s="100">
        <v>4429.0880796762112</v>
      </c>
      <c r="AL79" s="100">
        <v>5.4669904895029342</v>
      </c>
      <c r="AM79" s="100">
        <v>4139.6051986516213</v>
      </c>
      <c r="AN79" s="100">
        <v>3.6032772503734756</v>
      </c>
      <c r="AO79" s="100">
        <v>2728.4015339827956</v>
      </c>
      <c r="AP79" s="100">
        <v>1.7743177592183728</v>
      </c>
      <c r="AQ79" s="100">
        <v>1343.5134072801518</v>
      </c>
      <c r="AR79" s="100">
        <v>1.5883345616371927</v>
      </c>
      <c r="AS79" s="100">
        <v>1202.6869300716821</v>
      </c>
      <c r="AT79" s="100">
        <v>8.7344506373345308</v>
      </c>
      <c r="AU79" s="100">
        <v>6613.7260225897062</v>
      </c>
      <c r="AV79" s="100">
        <v>3.7878285133032987</v>
      </c>
      <c r="AW79" s="100">
        <v>2868.1437502732574</v>
      </c>
      <c r="AX79" s="100">
        <v>1.5596897579970832</v>
      </c>
      <c r="AY79" s="100">
        <v>1180.9970847553914</v>
      </c>
      <c r="AZ79" s="100">
        <v>5.6660519136325309</v>
      </c>
      <c r="BA79" s="100">
        <v>4290.3345090025523</v>
      </c>
      <c r="BB79" s="100">
        <v>4.6738963390045383</v>
      </c>
      <c r="BC79" s="100">
        <v>3539.074307894236</v>
      </c>
      <c r="BD79" s="100">
        <v>5.7801954011841907</v>
      </c>
      <c r="BE79" s="100">
        <v>4376.7639577766686</v>
      </c>
      <c r="BF79" s="100">
        <v>2.1641210716176791</v>
      </c>
      <c r="BG79" s="100">
        <v>1638.6724754289064</v>
      </c>
      <c r="BH79" s="100">
        <v>6.6593392596697516</v>
      </c>
      <c r="BI79" s="100">
        <v>5042.4516874219353</v>
      </c>
      <c r="BJ79" s="100">
        <v>6</v>
      </c>
      <c r="BK79" s="100">
        <v>4543.2</v>
      </c>
      <c r="BL79" s="100">
        <v>2.2149047351208151</v>
      </c>
      <c r="BM79" s="100">
        <v>1677.1258654334811</v>
      </c>
      <c r="BN79" s="100">
        <v>6.0195013907845931</v>
      </c>
      <c r="BO79" s="100">
        <v>4557.9664531020935</v>
      </c>
      <c r="BP79" s="100">
        <v>1.0332748815422308</v>
      </c>
      <c r="BQ79" s="100">
        <v>782.39574030377707</v>
      </c>
      <c r="BR79" s="100">
        <v>5.2920020881374521</v>
      </c>
      <c r="BS79" s="100">
        <v>4007.1039811376781</v>
      </c>
      <c r="BT79" s="100">
        <v>9</v>
      </c>
      <c r="BU79" s="100">
        <v>6814.7999999999993</v>
      </c>
      <c r="BV79" s="100">
        <v>3.061187073492182</v>
      </c>
      <c r="BW79" s="100">
        <v>2317.93085204828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4.6830730365578326</v>
      </c>
      <c r="CC79" s="100">
        <v>3546.0229032815905</v>
      </c>
      <c r="CD79" s="100">
        <v>2.6375794965391446</v>
      </c>
      <c r="CE79" s="100">
        <v>1997.1751947794401</v>
      </c>
      <c r="CF79" s="100">
        <v>7.6963543719588294</v>
      </c>
      <c r="CG79" s="100">
        <v>5827.6795304472253</v>
      </c>
      <c r="CH79" s="100">
        <v>7.5591653745758292</v>
      </c>
      <c r="CI79" s="100">
        <v>5723.8000216288174</v>
      </c>
      <c r="CJ79" s="100">
        <v>2.1497669685127399</v>
      </c>
      <c r="CK79" s="100">
        <v>1627.8035485578464</v>
      </c>
      <c r="CL79" s="100">
        <v>4.7492518000612778</v>
      </c>
      <c r="CM79" s="100">
        <v>3596.1334630063993</v>
      </c>
      <c r="CN79" s="100">
        <v>7.9340340541797616</v>
      </c>
      <c r="CO79" s="100">
        <v>6007.6505858249147</v>
      </c>
      <c r="CP79" s="100">
        <v>4</v>
      </c>
      <c r="CQ79" s="100">
        <v>3028.7999999999997</v>
      </c>
      <c r="CR79" s="100">
        <v>7</v>
      </c>
      <c r="CS79" s="100">
        <v>5300.4</v>
      </c>
      <c r="CT79" s="100">
        <v>5.5393447792109525</v>
      </c>
      <c r="CU79" s="100">
        <v>4194.3918668185324</v>
      </c>
    </row>
    <row r="80" spans="2:99">
      <c r="C80" s="99" t="s">
        <v>246</v>
      </c>
      <c r="D80" s="100">
        <v>5.3195313365721244</v>
      </c>
      <c r="E80" s="100">
        <v>4283.2866322078744</v>
      </c>
      <c r="F80" s="100">
        <v>4.6195821148855502E-4</v>
      </c>
      <c r="G80" s="100">
        <v>0.37196875189058448</v>
      </c>
      <c r="H80" s="100">
        <v>8.4254114119883443</v>
      </c>
      <c r="I80" s="100">
        <v>6784.1412689330145</v>
      </c>
      <c r="J80" s="100">
        <v>3.6250301475325735</v>
      </c>
      <c r="K80" s="100">
        <v>2918.8742747932279</v>
      </c>
      <c r="L80" s="100">
        <v>6.7042290043973392</v>
      </c>
      <c r="M80" s="100">
        <v>5398.2451943407368</v>
      </c>
      <c r="N80" s="100">
        <v>1.5444478830896895</v>
      </c>
      <c r="O80" s="100">
        <v>1243.5894354638178</v>
      </c>
      <c r="P80" s="100">
        <v>6.7982788766417617</v>
      </c>
      <c r="Q80" s="100">
        <v>5473.9741514719462</v>
      </c>
      <c r="R80" s="100">
        <v>5.5023981516389622</v>
      </c>
      <c r="S80" s="100">
        <v>4430.5309916996921</v>
      </c>
      <c r="T80" s="100">
        <v>7.7821458342746697</v>
      </c>
      <c r="U80" s="100">
        <v>6266.1838257579639</v>
      </c>
      <c r="V80" s="100">
        <v>1.8188643321215496</v>
      </c>
      <c r="W80" s="100">
        <v>1464.5495602242715</v>
      </c>
      <c r="X80" s="100">
        <v>7.4615057948082173</v>
      </c>
      <c r="Y80" s="100">
        <v>6008.0044659795758</v>
      </c>
      <c r="Z80" s="100">
        <v>7.2095255258065087</v>
      </c>
      <c r="AA80" s="100">
        <v>5805.1099533794004</v>
      </c>
      <c r="AB80" s="100">
        <v>7</v>
      </c>
      <c r="AC80" s="100">
        <v>5636.4</v>
      </c>
      <c r="AD80" s="100">
        <v>5.0692948814774885</v>
      </c>
      <c r="AE80" s="100">
        <v>4081.7962385656733</v>
      </c>
      <c r="AF80" s="100">
        <v>7</v>
      </c>
      <c r="AG80" s="100">
        <v>5636.4</v>
      </c>
      <c r="AH80" s="100">
        <v>6.7470501580415263</v>
      </c>
      <c r="AI80" s="100">
        <v>5432.724787255037</v>
      </c>
      <c r="AJ80" s="100">
        <v>5.1181353271482894</v>
      </c>
      <c r="AK80" s="100">
        <v>4121.1225654198024</v>
      </c>
      <c r="AL80" s="100">
        <v>6.1503643006908009</v>
      </c>
      <c r="AM80" s="100">
        <v>4952.2733349162327</v>
      </c>
      <c r="AN80" s="100">
        <v>3.6032772503734756</v>
      </c>
      <c r="AO80" s="100">
        <v>2901.3588420007222</v>
      </c>
      <c r="AP80" s="100">
        <v>1.7743177592183728</v>
      </c>
      <c r="AQ80" s="100">
        <v>1428.6806597226337</v>
      </c>
      <c r="AR80" s="100">
        <v>1.8616078930570377</v>
      </c>
      <c r="AS80" s="100">
        <v>1498.9666754895266</v>
      </c>
      <c r="AT80" s="100">
        <v>8.7344506373345308</v>
      </c>
      <c r="AU80" s="100">
        <v>7032.9796531817638</v>
      </c>
      <c r="AV80" s="100">
        <v>3.2467101542599703</v>
      </c>
      <c r="AW80" s="100">
        <v>2614.251016210128</v>
      </c>
      <c r="AX80" s="100">
        <v>1.5540760920895413</v>
      </c>
      <c r="AY80" s="100">
        <v>1251.3420693504986</v>
      </c>
      <c r="AZ80" s="100">
        <v>4.9036166162114201</v>
      </c>
      <c r="BA80" s="100">
        <v>3948.392099373435</v>
      </c>
      <c r="BB80" s="100">
        <v>4.6738963390045383</v>
      </c>
      <c r="BC80" s="100">
        <v>3763.4213321664538</v>
      </c>
      <c r="BD80" s="100">
        <v>5.6227884238505856</v>
      </c>
      <c r="BE80" s="100">
        <v>4527.4692388844915</v>
      </c>
      <c r="BF80" s="100">
        <v>2.1641210716176791</v>
      </c>
      <c r="BG80" s="100">
        <v>1742.5502868665551</v>
      </c>
      <c r="BH80" s="100">
        <v>6.6593392596697516</v>
      </c>
      <c r="BI80" s="100">
        <v>5362.0999718860839</v>
      </c>
      <c r="BJ80" s="100">
        <v>5</v>
      </c>
      <c r="BK80" s="100">
        <v>4025.9999999999995</v>
      </c>
      <c r="BL80" s="100">
        <v>1.9688042089962805</v>
      </c>
      <c r="BM80" s="100">
        <v>1585.2811490838048</v>
      </c>
      <c r="BN80" s="100">
        <v>5.0195013907845931</v>
      </c>
      <c r="BO80" s="100">
        <v>4041.7025198597539</v>
      </c>
      <c r="BP80" s="100">
        <v>0.86934934454277935</v>
      </c>
      <c r="BQ80" s="100">
        <v>700.00009222584583</v>
      </c>
      <c r="BR80" s="100">
        <v>5.2920020881374521</v>
      </c>
      <c r="BS80" s="100">
        <v>4261.1200813682763</v>
      </c>
      <c r="BT80" s="100">
        <v>9</v>
      </c>
      <c r="BU80" s="100">
        <v>7246.7999999999993</v>
      </c>
      <c r="BV80" s="100">
        <v>3.061187073492182</v>
      </c>
      <c r="BW80" s="100">
        <v>2464.8678315759048</v>
      </c>
      <c r="BX80" s="100">
        <v>5</v>
      </c>
      <c r="BY80" s="100">
        <v>4025.9999999999995</v>
      </c>
      <c r="BZ80" s="100">
        <v>6</v>
      </c>
      <c r="CA80" s="100">
        <v>4831.2</v>
      </c>
      <c r="CB80" s="100">
        <v>4.1627315880514075</v>
      </c>
      <c r="CC80" s="100">
        <v>3351.8314746989931</v>
      </c>
      <c r="CD80" s="100">
        <v>2.6375794965391446</v>
      </c>
      <c r="CE80" s="100">
        <v>2123.7790106133189</v>
      </c>
      <c r="CF80" s="100">
        <v>7.8704429649485359</v>
      </c>
      <c r="CG80" s="100">
        <v>6337.2806753765608</v>
      </c>
      <c r="CH80" s="100">
        <v>6.8032488371182467</v>
      </c>
      <c r="CI80" s="100">
        <v>5477.9759636476119</v>
      </c>
      <c r="CJ80" s="100">
        <v>1.8426574015823485</v>
      </c>
      <c r="CK80" s="100">
        <v>1483.7077397541068</v>
      </c>
      <c r="CL80" s="100">
        <v>4.7492518000612778</v>
      </c>
      <c r="CM80" s="100">
        <v>3824.0975494093404</v>
      </c>
      <c r="CN80" s="100">
        <v>7.7783617118164683</v>
      </c>
      <c r="CO80" s="100">
        <v>6263.13685035462</v>
      </c>
      <c r="CP80" s="100">
        <v>4</v>
      </c>
      <c r="CQ80" s="100">
        <v>3220.7999999999997</v>
      </c>
      <c r="CR80" s="100">
        <v>6</v>
      </c>
      <c r="CS80" s="100">
        <v>4831.2</v>
      </c>
      <c r="CT80" s="100">
        <v>5.5711342721586572</v>
      </c>
      <c r="CU80" s="100">
        <v>4485.8773159421507</v>
      </c>
    </row>
    <row r="81" spans="2:99">
      <c r="C81" s="99" t="s">
        <v>247</v>
      </c>
      <c r="D81" s="100">
        <v>6.2061198926674788</v>
      </c>
      <c r="E81" s="100">
        <v>4676.9319511142121</v>
      </c>
      <c r="F81" s="100">
        <v>4.632847561267863E-4</v>
      </c>
      <c r="G81" s="100">
        <v>0.34913139221714617</v>
      </c>
      <c r="H81" s="100">
        <v>8.3403291295906765</v>
      </c>
      <c r="I81" s="100">
        <v>6285.2720320595336</v>
      </c>
      <c r="J81" s="100">
        <v>4.0781589159741456</v>
      </c>
      <c r="K81" s="100">
        <v>3073.3005590781163</v>
      </c>
      <c r="L81" s="100">
        <v>6.7042290043973392</v>
      </c>
      <c r="M81" s="100">
        <v>5052.3069777138353</v>
      </c>
      <c r="N81" s="100">
        <v>1.3737033259371367</v>
      </c>
      <c r="O81" s="100">
        <v>1035.2228264262262</v>
      </c>
      <c r="P81" s="100">
        <v>6.6386231013134092</v>
      </c>
      <c r="Q81" s="100">
        <v>5002.866369149785</v>
      </c>
      <c r="R81" s="100">
        <v>4.7163412728333958</v>
      </c>
      <c r="S81" s="100">
        <v>3554.2347832072473</v>
      </c>
      <c r="T81" s="100">
        <v>7.7821458342746697</v>
      </c>
      <c r="U81" s="100">
        <v>5864.6251007093915</v>
      </c>
      <c r="V81" s="100">
        <v>2.0787020938531997</v>
      </c>
      <c r="W81" s="100">
        <v>1566.5098979277714</v>
      </c>
      <c r="X81" s="100">
        <v>6.4615057948082173</v>
      </c>
      <c r="Y81" s="100">
        <v>4869.3907669674727</v>
      </c>
      <c r="Z81" s="100">
        <v>7.2514306309678105</v>
      </c>
      <c r="AA81" s="100">
        <v>5464.6781234973423</v>
      </c>
      <c r="AB81" s="100">
        <v>7</v>
      </c>
      <c r="AC81" s="100">
        <v>5275.2</v>
      </c>
      <c r="AD81" s="100">
        <v>4.3451098984092758</v>
      </c>
      <c r="AE81" s="100">
        <v>3274.4748194412305</v>
      </c>
      <c r="AF81" s="100">
        <v>7</v>
      </c>
      <c r="AG81" s="100">
        <v>5275.2</v>
      </c>
      <c r="AH81" s="100">
        <v>6.7470501580415263</v>
      </c>
      <c r="AI81" s="100">
        <v>5084.5769991000943</v>
      </c>
      <c r="AJ81" s="100">
        <v>5.8492975167409025</v>
      </c>
      <c r="AK81" s="100">
        <v>4408.0306086159444</v>
      </c>
      <c r="AL81" s="100">
        <v>5.4669904895029342</v>
      </c>
      <c r="AM81" s="100">
        <v>4119.9240328894111</v>
      </c>
      <c r="AN81" s="100">
        <v>3.6032772503734756</v>
      </c>
      <c r="AO81" s="100">
        <v>2715.4297358814511</v>
      </c>
      <c r="AP81" s="100">
        <v>1.7743177592183728</v>
      </c>
      <c r="AQ81" s="100">
        <v>1337.1258633469658</v>
      </c>
      <c r="AR81" s="100">
        <v>1.8225058091292712</v>
      </c>
      <c r="AS81" s="100">
        <v>1373.4403777598188</v>
      </c>
      <c r="AT81" s="100">
        <v>9.7344506373345308</v>
      </c>
      <c r="AU81" s="100">
        <v>7335.8820002953025</v>
      </c>
      <c r="AV81" s="100">
        <v>3.2467101542599703</v>
      </c>
      <c r="AW81" s="100">
        <v>2446.7207722503135</v>
      </c>
      <c r="AX81" s="100">
        <v>1.559851761433229</v>
      </c>
      <c r="AY81" s="100">
        <v>1175.5042874160815</v>
      </c>
      <c r="AZ81" s="100">
        <v>5.0132848934396721</v>
      </c>
      <c r="BA81" s="100">
        <v>3778.011495696137</v>
      </c>
      <c r="BB81" s="100">
        <v>5.6086756068054466</v>
      </c>
      <c r="BC81" s="100">
        <v>4226.6979372885844</v>
      </c>
      <c r="BD81" s="100">
        <v>5.7801954011841907</v>
      </c>
      <c r="BE81" s="100">
        <v>4355.9552543324062</v>
      </c>
      <c r="BF81" s="100">
        <v>2.1641210716176791</v>
      </c>
      <c r="BG81" s="100">
        <v>1630.881639571083</v>
      </c>
      <c r="BH81" s="100">
        <v>7.6593392596697516</v>
      </c>
      <c r="BI81" s="100">
        <v>5772.0780660871251</v>
      </c>
      <c r="BJ81" s="100">
        <v>5</v>
      </c>
      <c r="BK81" s="100">
        <v>3768</v>
      </c>
      <c r="BL81" s="100">
        <v>2.2149047351208151</v>
      </c>
      <c r="BM81" s="100">
        <v>1669.1522083870464</v>
      </c>
      <c r="BN81" s="100">
        <v>6.0195013907845931</v>
      </c>
      <c r="BO81" s="100">
        <v>4536.2962480952692</v>
      </c>
      <c r="BP81" s="100">
        <v>1.0332748815422308</v>
      </c>
      <c r="BQ81" s="100">
        <v>778.67595073022517</v>
      </c>
      <c r="BR81" s="100">
        <v>5.2920020881374521</v>
      </c>
      <c r="BS81" s="100">
        <v>3988.052773620384</v>
      </c>
      <c r="BT81" s="100">
        <v>9</v>
      </c>
      <c r="BU81" s="100">
        <v>6782.4000000000005</v>
      </c>
      <c r="BV81" s="100">
        <v>2.5509892279101516</v>
      </c>
      <c r="BW81" s="100">
        <v>1922.4254821530903</v>
      </c>
      <c r="BX81" s="100">
        <v>5</v>
      </c>
      <c r="BY81" s="100">
        <v>3768</v>
      </c>
      <c r="BZ81" s="100">
        <v>7</v>
      </c>
      <c r="CA81" s="100">
        <v>5275.2</v>
      </c>
      <c r="CB81" s="100">
        <v>4.6830730365578326</v>
      </c>
      <c r="CC81" s="100">
        <v>3529.1638403499828</v>
      </c>
      <c r="CD81" s="100">
        <v>2.6746138036276581</v>
      </c>
      <c r="CE81" s="100">
        <v>2015.5889624138033</v>
      </c>
      <c r="CF81" s="100">
        <v>6.6963543719588294</v>
      </c>
      <c r="CG81" s="100">
        <v>5046.3726547081742</v>
      </c>
      <c r="CH81" s="100">
        <v>6.8032488371182467</v>
      </c>
      <c r="CI81" s="100">
        <v>5126.9283236523106</v>
      </c>
      <c r="CJ81" s="100">
        <v>1.8426574015823485</v>
      </c>
      <c r="CK81" s="100">
        <v>1388.6266178324579</v>
      </c>
      <c r="CL81" s="100">
        <v>3.9577098333843987</v>
      </c>
      <c r="CM81" s="100">
        <v>2982.530130438483</v>
      </c>
      <c r="CN81" s="100">
        <v>7.7783617118164683</v>
      </c>
      <c r="CO81" s="100">
        <v>5861.7733860248909</v>
      </c>
      <c r="CP81" s="100">
        <v>5</v>
      </c>
      <c r="CQ81" s="100">
        <v>3768</v>
      </c>
      <c r="CR81" s="100">
        <v>7</v>
      </c>
      <c r="CS81" s="100">
        <v>5275.2</v>
      </c>
      <c r="CT81" s="100">
        <v>5.5711342721586572</v>
      </c>
      <c r="CU81" s="100">
        <v>4198.4067874987641</v>
      </c>
    </row>
    <row r="82" spans="2:99">
      <c r="C82" s="99" t="s">
        <v>248</v>
      </c>
      <c r="D82" s="100">
        <v>6.2061198926674788</v>
      </c>
      <c r="E82" s="100">
        <v>3157.6738013892127</v>
      </c>
      <c r="F82" s="100">
        <v>4.632847561267863E-4</v>
      </c>
      <c r="G82" s="100">
        <v>0.23571928391730881</v>
      </c>
      <c r="H82" s="100">
        <v>9.3403291295906765</v>
      </c>
      <c r="I82" s="100">
        <v>4752.3594611357348</v>
      </c>
      <c r="J82" s="100">
        <v>4.0781589159741456</v>
      </c>
      <c r="K82" s="100">
        <v>2074.967256447645</v>
      </c>
      <c r="L82" s="100">
        <v>6.7042290043973392</v>
      </c>
      <c r="M82" s="100">
        <v>3411.1117174373653</v>
      </c>
      <c r="N82" s="100">
        <v>1.5521947518064023</v>
      </c>
      <c r="O82" s="100">
        <v>789.75668971909738</v>
      </c>
      <c r="P82" s="100">
        <v>6.7982788766417617</v>
      </c>
      <c r="Q82" s="100">
        <v>3458.9642924353275</v>
      </c>
      <c r="R82" s="100">
        <v>4.7163412728333958</v>
      </c>
      <c r="S82" s="100">
        <v>2399.6744396176314</v>
      </c>
      <c r="T82" s="100">
        <v>7.7821458342746697</v>
      </c>
      <c r="U82" s="100">
        <v>3959.5558004789509</v>
      </c>
      <c r="V82" s="100">
        <v>1.8188643321215496</v>
      </c>
      <c r="W82" s="100">
        <v>925.43817218344429</v>
      </c>
      <c r="X82" s="100">
        <v>6.4615057948082173</v>
      </c>
      <c r="Y82" s="100">
        <v>3287.6141483984202</v>
      </c>
      <c r="Z82" s="100">
        <v>6.2514306309678105</v>
      </c>
      <c r="AA82" s="100">
        <v>3180.7279050364214</v>
      </c>
      <c r="AB82" s="100">
        <v>7</v>
      </c>
      <c r="AC82" s="100">
        <v>3561.5999999999995</v>
      </c>
      <c r="AD82" s="100">
        <v>5.0692948814774885</v>
      </c>
      <c r="AE82" s="100">
        <v>2579.2572356957457</v>
      </c>
      <c r="AF82" s="100">
        <v>7</v>
      </c>
      <c r="AG82" s="100">
        <v>3561.5999999999995</v>
      </c>
      <c r="AH82" s="100">
        <v>5.9973779182591347</v>
      </c>
      <c r="AI82" s="100">
        <v>3051.4658848102472</v>
      </c>
      <c r="AJ82" s="100">
        <v>5.8492975167409025</v>
      </c>
      <c r="AK82" s="100">
        <v>2976.1225765177705</v>
      </c>
      <c r="AL82" s="100">
        <v>6.1503643006908009</v>
      </c>
      <c r="AM82" s="100">
        <v>3129.3053561914789</v>
      </c>
      <c r="AN82" s="100">
        <v>4.1180311432839725</v>
      </c>
      <c r="AO82" s="100">
        <v>2095.2542457028849</v>
      </c>
      <c r="AP82" s="100">
        <v>1.7829396477533062</v>
      </c>
      <c r="AQ82" s="100">
        <v>907.15969277688203</v>
      </c>
      <c r="AR82" s="100">
        <v>1.5492324777094264</v>
      </c>
      <c r="AS82" s="100">
        <v>788.24948465855596</v>
      </c>
      <c r="AT82" s="100">
        <v>9.7344506373345308</v>
      </c>
      <c r="AU82" s="100">
        <v>4952.888484275808</v>
      </c>
      <c r="AV82" s="100">
        <v>3.7878285133032987</v>
      </c>
      <c r="AW82" s="100">
        <v>1927.247147568718</v>
      </c>
      <c r="AX82" s="100">
        <v>1.5595277545609372</v>
      </c>
      <c r="AY82" s="100">
        <v>793.48772152060462</v>
      </c>
      <c r="AZ82" s="100">
        <v>5.0132848934396721</v>
      </c>
      <c r="BA82" s="100">
        <v>2550.7593537821044</v>
      </c>
      <c r="BB82" s="100">
        <v>5.6086756068054466</v>
      </c>
      <c r="BC82" s="100">
        <v>2853.6941487426107</v>
      </c>
      <c r="BD82" s="100">
        <v>4.8130446937476785</v>
      </c>
      <c r="BE82" s="100">
        <v>2448.8771401788185</v>
      </c>
      <c r="BF82" s="100">
        <v>2.5554520607645661</v>
      </c>
      <c r="BG82" s="100">
        <v>1300.2140085170111</v>
      </c>
      <c r="BH82" s="100">
        <v>6.6593392596697516</v>
      </c>
      <c r="BI82" s="100">
        <v>3388.2718153199689</v>
      </c>
      <c r="BJ82" s="100">
        <v>6</v>
      </c>
      <c r="BK82" s="100">
        <v>3052.7999999999993</v>
      </c>
      <c r="BL82" s="100">
        <v>2.2149047351208151</v>
      </c>
      <c r="BM82" s="100">
        <v>1126.9435292294704</v>
      </c>
      <c r="BN82" s="100">
        <v>6.0195013907845931</v>
      </c>
      <c r="BO82" s="100">
        <v>3062.7223076312002</v>
      </c>
      <c r="BP82" s="100">
        <v>1.0370996245841941</v>
      </c>
      <c r="BQ82" s="100">
        <v>527.67628898843782</v>
      </c>
      <c r="BR82" s="100">
        <v>6.0010825328694644</v>
      </c>
      <c r="BS82" s="100">
        <v>3053.350792723983</v>
      </c>
      <c r="BT82" s="100">
        <v>9</v>
      </c>
      <c r="BU82" s="100">
        <v>4579.1999999999989</v>
      </c>
      <c r="BV82" s="100">
        <v>3.061187073492182</v>
      </c>
      <c r="BW82" s="100">
        <v>1557.5319829928219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4.6830730365578326</v>
      </c>
      <c r="CC82" s="100">
        <v>2382.747561000625</v>
      </c>
      <c r="CD82" s="100">
        <v>2.5812056808094228</v>
      </c>
      <c r="CE82" s="100">
        <v>1313.3174503958342</v>
      </c>
      <c r="CF82" s="100">
        <v>7.6963543719588294</v>
      </c>
      <c r="CG82" s="100">
        <v>3915.9051044526518</v>
      </c>
      <c r="CH82" s="100">
        <v>6.8032488371182467</v>
      </c>
      <c r="CI82" s="100">
        <v>3461.4930083257632</v>
      </c>
      <c r="CJ82" s="100">
        <v>2.1497669685127399</v>
      </c>
      <c r="CK82" s="100">
        <v>1093.8014335792818</v>
      </c>
      <c r="CL82" s="100">
        <v>4.7492518000612778</v>
      </c>
      <c r="CM82" s="100">
        <v>2416.4193158711778</v>
      </c>
      <c r="CN82" s="100">
        <v>8.7783617118164692</v>
      </c>
      <c r="CO82" s="100">
        <v>4466.4304389722183</v>
      </c>
      <c r="CP82" s="100">
        <v>5</v>
      </c>
      <c r="CQ82" s="100">
        <v>2543.9999999999995</v>
      </c>
      <c r="CR82" s="100">
        <v>7</v>
      </c>
      <c r="CS82" s="100">
        <v>3561.5999999999995</v>
      </c>
      <c r="CT82" s="100">
        <v>4.6479101422901641</v>
      </c>
      <c r="CU82" s="100">
        <v>2364.8566803972349</v>
      </c>
    </row>
    <row r="83" spans="2:99">
      <c r="C83" s="99" t="s">
        <v>249</v>
      </c>
      <c r="D83" s="100">
        <v>6.2061198926674788</v>
      </c>
      <c r="E83" s="100">
        <v>5339.7455556510986</v>
      </c>
      <c r="F83" s="100">
        <v>4.6063166685032374E-4</v>
      </c>
      <c r="G83" s="100">
        <v>0.39632748615801855</v>
      </c>
      <c r="H83" s="100">
        <v>7.3403291295906765</v>
      </c>
      <c r="I83" s="100">
        <v>6315.6191830998177</v>
      </c>
      <c r="J83" s="100">
        <v>3.6250301475325735</v>
      </c>
      <c r="K83" s="100">
        <v>3118.9759389370261</v>
      </c>
      <c r="L83" s="100">
        <v>6.7042290043973392</v>
      </c>
      <c r="M83" s="100">
        <v>5768.3186353834708</v>
      </c>
      <c r="N83" s="100">
        <v>1.5444478830896895</v>
      </c>
      <c r="O83" s="100">
        <v>1328.8429586103689</v>
      </c>
      <c r="P83" s="100">
        <v>6.7982788766417617</v>
      </c>
      <c r="Q83" s="100">
        <v>5849.2391454625713</v>
      </c>
      <c r="R83" s="100">
        <v>5.5023981516389622</v>
      </c>
      <c r="S83" s="100">
        <v>4734.2633696701632</v>
      </c>
      <c r="T83" s="100">
        <v>6.8093776049903356</v>
      </c>
      <c r="U83" s="100">
        <v>5858.7884913336848</v>
      </c>
      <c r="V83" s="100">
        <v>1.8188643321215496</v>
      </c>
      <c r="W83" s="100">
        <v>1564.9508713573812</v>
      </c>
      <c r="X83" s="100">
        <v>6.6153410597442894</v>
      </c>
      <c r="Y83" s="100">
        <v>5691.8394478039863</v>
      </c>
      <c r="Z83" s="100">
        <v>7.2095255258065087</v>
      </c>
      <c r="AA83" s="100">
        <v>6203.0757624039197</v>
      </c>
      <c r="AB83" s="100">
        <v>6</v>
      </c>
      <c r="AC83" s="100">
        <v>5162.3999999999996</v>
      </c>
      <c r="AD83" s="100">
        <v>4.3451098984092758</v>
      </c>
      <c r="AE83" s="100">
        <v>3738.5325565913408</v>
      </c>
      <c r="AF83" s="100">
        <v>6</v>
      </c>
      <c r="AG83" s="100">
        <v>5162.3999999999996</v>
      </c>
      <c r="AH83" s="100">
        <v>6.7470501580415263</v>
      </c>
      <c r="AI83" s="100">
        <v>5805.1619559789287</v>
      </c>
      <c r="AJ83" s="100">
        <v>5.8492975167409025</v>
      </c>
      <c r="AK83" s="100">
        <v>5032.7355834038726</v>
      </c>
      <c r="AL83" s="100">
        <v>6.1503643006908009</v>
      </c>
      <c r="AM83" s="100">
        <v>5291.7734443143645</v>
      </c>
      <c r="AN83" s="100">
        <v>4.1180311432839725</v>
      </c>
      <c r="AO83" s="100">
        <v>3543.15399568153</v>
      </c>
      <c r="AP83" s="100">
        <v>1.7743177592183728</v>
      </c>
      <c r="AQ83" s="100">
        <v>1526.6230000314879</v>
      </c>
      <c r="AR83" s="100">
        <v>1.8208522163230751</v>
      </c>
      <c r="AS83" s="100">
        <v>1566.6612469243739</v>
      </c>
      <c r="AT83" s="100">
        <v>8.7344506373345308</v>
      </c>
      <c r="AU83" s="100">
        <v>7515.1213283626303</v>
      </c>
      <c r="AV83" s="100">
        <v>3.2467101542599703</v>
      </c>
      <c r="AW83" s="100">
        <v>2793.4694167252783</v>
      </c>
      <c r="AX83" s="100">
        <v>1.4721678021763569</v>
      </c>
      <c r="AY83" s="100">
        <v>1266.6531769925375</v>
      </c>
      <c r="AZ83" s="100">
        <v>4.9036166162114201</v>
      </c>
      <c r="BA83" s="100">
        <v>4219.0717365883056</v>
      </c>
      <c r="BB83" s="100">
        <v>5.6086756068054466</v>
      </c>
      <c r="BC83" s="100">
        <v>4825.7044920954058</v>
      </c>
      <c r="BD83" s="100">
        <v>4.8130446937476785</v>
      </c>
      <c r="BE83" s="100">
        <v>4141.1436545005026</v>
      </c>
      <c r="BF83" s="100">
        <v>2.1641210716176791</v>
      </c>
      <c r="BG83" s="100">
        <v>1862.009770019851</v>
      </c>
      <c r="BH83" s="100">
        <v>6.6593392596697516</v>
      </c>
      <c r="BI83" s="100">
        <v>5729.6954990198537</v>
      </c>
      <c r="BJ83" s="100">
        <v>5</v>
      </c>
      <c r="BK83" s="100">
        <v>4302</v>
      </c>
      <c r="BL83" s="100">
        <v>2.2149047351208151</v>
      </c>
      <c r="BM83" s="100">
        <v>1905.7040340979493</v>
      </c>
      <c r="BN83" s="100">
        <v>5.0195013907845931</v>
      </c>
      <c r="BO83" s="100">
        <v>4318.7789966310638</v>
      </c>
      <c r="BP83" s="100">
        <v>0.86552460150081612</v>
      </c>
      <c r="BQ83" s="100">
        <v>744.69736713130214</v>
      </c>
      <c r="BR83" s="100">
        <v>6.0010825328694644</v>
      </c>
      <c r="BS83" s="100">
        <v>5163.3314112808866</v>
      </c>
      <c r="BT83" s="100">
        <v>8</v>
      </c>
      <c r="BU83" s="100">
        <v>6883.2</v>
      </c>
      <c r="BV83" s="100">
        <v>3.061187073492182</v>
      </c>
      <c r="BW83" s="100">
        <v>2633.8453580326732</v>
      </c>
      <c r="BX83" s="100">
        <v>5</v>
      </c>
      <c r="BY83" s="100">
        <v>4302</v>
      </c>
      <c r="BZ83" s="100">
        <v>7</v>
      </c>
      <c r="CA83" s="100">
        <v>6022.8</v>
      </c>
      <c r="CB83" s="100">
        <v>4.6830730365578326</v>
      </c>
      <c r="CC83" s="100">
        <v>4029.3160406543589</v>
      </c>
      <c r="CD83" s="100">
        <v>2.6375794965391446</v>
      </c>
      <c r="CE83" s="100">
        <v>2269.3733988222798</v>
      </c>
      <c r="CF83" s="100">
        <v>6.6963543719588294</v>
      </c>
      <c r="CG83" s="100">
        <v>5761.5433016333764</v>
      </c>
      <c r="CH83" s="100">
        <v>6.8032488371182467</v>
      </c>
      <c r="CI83" s="100">
        <v>5853.5152994565397</v>
      </c>
      <c r="CJ83" s="100">
        <v>1.8426574015823485</v>
      </c>
      <c r="CK83" s="100">
        <v>1585.4224283214526</v>
      </c>
      <c r="CL83" s="100">
        <v>4.7492518000612778</v>
      </c>
      <c r="CM83" s="100">
        <v>4086.2562487727232</v>
      </c>
      <c r="CN83" s="100">
        <v>7.7783617118164683</v>
      </c>
      <c r="CO83" s="100">
        <v>6692.502416846889</v>
      </c>
      <c r="CP83" s="100">
        <v>5</v>
      </c>
      <c r="CQ83" s="100">
        <v>4302</v>
      </c>
      <c r="CR83" s="100">
        <v>6</v>
      </c>
      <c r="CS83" s="100">
        <v>5162.3999999999996</v>
      </c>
      <c r="CT83" s="100">
        <v>4.6796996352378688</v>
      </c>
      <c r="CU83" s="100">
        <v>4026.4135661586624</v>
      </c>
    </row>
    <row r="84" spans="2:99">
      <c r="C84" s="99" t="s">
        <v>250</v>
      </c>
      <c r="D84" s="100">
        <v>5.3195313365721244</v>
      </c>
      <c r="E84" s="100">
        <v>4155.617880130143</v>
      </c>
      <c r="F84" s="100">
        <v>3.8739717474388651E-4</v>
      </c>
      <c r="G84" s="100">
        <v>0.30263467290992413</v>
      </c>
      <c r="H84" s="100">
        <v>9.4254114119883443</v>
      </c>
      <c r="I84" s="100">
        <v>7363.1313950452941</v>
      </c>
      <c r="J84" s="100">
        <v>3.6250301475325735</v>
      </c>
      <c r="K84" s="100">
        <v>2831.8735512524463</v>
      </c>
      <c r="L84" s="100">
        <v>6.7042290043973392</v>
      </c>
      <c r="M84" s="100">
        <v>5237.3436982352005</v>
      </c>
      <c r="N84" s="100">
        <v>1.3814501946538496</v>
      </c>
      <c r="O84" s="100">
        <v>1079.1888920635872</v>
      </c>
      <c r="P84" s="100">
        <v>5.7982788766417617</v>
      </c>
      <c r="Q84" s="100">
        <v>4529.6154584325441</v>
      </c>
      <c r="R84" s="100">
        <v>4.7163412728333958</v>
      </c>
      <c r="S84" s="100">
        <v>3684.4058023374487</v>
      </c>
      <c r="T84" s="100">
        <v>7.7821458342746697</v>
      </c>
      <c r="U84" s="100">
        <v>6079.4123257353713</v>
      </c>
      <c r="V84" s="100">
        <v>2.0787020938531997</v>
      </c>
      <c r="W84" s="100">
        <v>1623.8820757181195</v>
      </c>
      <c r="X84" s="100">
        <v>6.6153410597442894</v>
      </c>
      <c r="Y84" s="100">
        <v>5167.9044358722385</v>
      </c>
      <c r="Z84" s="100">
        <v>6.2514306309678105</v>
      </c>
      <c r="AA84" s="100">
        <v>4883.6176089120527</v>
      </c>
      <c r="AB84" s="100">
        <v>6</v>
      </c>
      <c r="AC84" s="100">
        <v>4687.2</v>
      </c>
      <c r="AD84" s="100">
        <v>4.3451098984092758</v>
      </c>
      <c r="AE84" s="100">
        <v>3394.3998526373257</v>
      </c>
      <c r="AF84" s="100">
        <v>6</v>
      </c>
      <c r="AG84" s="100">
        <v>4687.2</v>
      </c>
      <c r="AH84" s="100">
        <v>5.9973779182591347</v>
      </c>
      <c r="AI84" s="100">
        <v>4685.1516297440357</v>
      </c>
      <c r="AJ84" s="100">
        <v>5.8492975167409025</v>
      </c>
      <c r="AK84" s="100">
        <v>4569.4712200779923</v>
      </c>
      <c r="AL84" s="100">
        <v>5.4669904895029342</v>
      </c>
      <c r="AM84" s="100">
        <v>4270.8129703996919</v>
      </c>
      <c r="AN84" s="100">
        <v>4.1180311432839725</v>
      </c>
      <c r="AO84" s="100">
        <v>3217.0059291334392</v>
      </c>
      <c r="AP84" s="100">
        <v>1.7743177592183728</v>
      </c>
      <c r="AQ84" s="100">
        <v>1386.0970335013926</v>
      </c>
      <c r="AR84" s="100">
        <v>1.8616078930570377</v>
      </c>
      <c r="AS84" s="100">
        <v>1454.2880860561577</v>
      </c>
      <c r="AT84" s="100">
        <v>9.6120421977787753</v>
      </c>
      <c r="AU84" s="100">
        <v>7508.9273649047782</v>
      </c>
      <c r="AV84" s="100">
        <v>3.2467101542599703</v>
      </c>
      <c r="AW84" s="100">
        <v>2536.3299725078887</v>
      </c>
      <c r="AX84" s="100">
        <v>1.6437277175858063</v>
      </c>
      <c r="AY84" s="100">
        <v>1284.0800929780316</v>
      </c>
      <c r="AZ84" s="100">
        <v>5.0132848934396721</v>
      </c>
      <c r="BA84" s="100">
        <v>3916.3781587550716</v>
      </c>
      <c r="BB84" s="100">
        <v>5.6086756068054466</v>
      </c>
      <c r="BC84" s="100">
        <v>4381.4973840364146</v>
      </c>
      <c r="BD84" s="100">
        <v>5.7801954011841907</v>
      </c>
      <c r="BE84" s="100">
        <v>4515.4886474050891</v>
      </c>
      <c r="BF84" s="100">
        <v>2.1641210716176791</v>
      </c>
      <c r="BG84" s="100">
        <v>1690.6113811477308</v>
      </c>
      <c r="BH84" s="100">
        <v>6.6593392596697516</v>
      </c>
      <c r="BI84" s="100">
        <v>5202.2758296540096</v>
      </c>
      <c r="BJ84" s="100">
        <v>6</v>
      </c>
      <c r="BK84" s="100">
        <v>4687.2</v>
      </c>
      <c r="BL84" s="100">
        <v>1.9688042089962805</v>
      </c>
      <c r="BM84" s="100">
        <v>1538.0298480678941</v>
      </c>
      <c r="BN84" s="100">
        <v>6.0195013907845931</v>
      </c>
      <c r="BO84" s="100">
        <v>4702.4344864809236</v>
      </c>
      <c r="BP84" s="100">
        <v>1.0332748815422308</v>
      </c>
      <c r="BQ84" s="100">
        <v>807.19433746079062</v>
      </c>
      <c r="BR84" s="100">
        <v>5.2920020881374521</v>
      </c>
      <c r="BS84" s="100">
        <v>4134.1120312529774</v>
      </c>
      <c r="BT84" s="100">
        <v>9</v>
      </c>
      <c r="BU84" s="100">
        <v>7030.7999999999993</v>
      </c>
      <c r="BV84" s="100">
        <v>3.061187073492182</v>
      </c>
      <c r="BW84" s="100">
        <v>2391.3993418120922</v>
      </c>
      <c r="BX84" s="100">
        <v>5</v>
      </c>
      <c r="BY84" s="100">
        <v>3905.9999999999995</v>
      </c>
      <c r="BZ84" s="100">
        <v>7</v>
      </c>
      <c r="CA84" s="100">
        <v>5468.4</v>
      </c>
      <c r="CB84" s="100">
        <v>4.1627315880514075</v>
      </c>
      <c r="CC84" s="100">
        <v>3251.9259165857593</v>
      </c>
      <c r="CD84" s="100">
        <v>2.6746138036276581</v>
      </c>
      <c r="CE84" s="100">
        <v>2089.4083033939264</v>
      </c>
      <c r="CF84" s="100">
        <v>6.8704429649485359</v>
      </c>
      <c r="CG84" s="100">
        <v>5367.1900442177957</v>
      </c>
      <c r="CH84" s="100">
        <v>6.8032488371182467</v>
      </c>
      <c r="CI84" s="100">
        <v>5314.6979915567736</v>
      </c>
      <c r="CJ84" s="100">
        <v>1.8426574015823485</v>
      </c>
      <c r="CK84" s="100">
        <v>1439.4839621161304</v>
      </c>
      <c r="CL84" s="100">
        <v>4.7492518000612778</v>
      </c>
      <c r="CM84" s="100">
        <v>3710.1155062078697</v>
      </c>
      <c r="CN84" s="100">
        <v>7.7783617118164683</v>
      </c>
      <c r="CO84" s="100">
        <v>6076.4561692710249</v>
      </c>
      <c r="CP84" s="100">
        <v>5</v>
      </c>
      <c r="CQ84" s="100">
        <v>3905.9999999999995</v>
      </c>
      <c r="CR84" s="100">
        <v>7</v>
      </c>
      <c r="CS84" s="100">
        <v>5468.4</v>
      </c>
      <c r="CT84" s="100">
        <v>5.5393447792109525</v>
      </c>
      <c r="CU84" s="100">
        <v>4327.3361415195959</v>
      </c>
    </row>
    <row r="85" spans="2:99">
      <c r="C85" s="99" t="s">
        <v>251</v>
      </c>
      <c r="D85" s="100">
        <v>5.3195313365721244</v>
      </c>
      <c r="E85" s="100">
        <v>797.92970048581867</v>
      </c>
      <c r="F85" s="100">
        <v>4.6195821148855502E-4</v>
      </c>
      <c r="G85" s="100">
        <v>6.929373172328325E-2</v>
      </c>
      <c r="H85" s="100">
        <v>9.3403291295906765</v>
      </c>
      <c r="I85" s="100">
        <v>1401.0493694386014</v>
      </c>
      <c r="J85" s="100">
        <v>4.0781589159741456</v>
      </c>
      <c r="K85" s="100">
        <v>611.72383739612189</v>
      </c>
      <c r="L85" s="100">
        <v>6.7042290043973392</v>
      </c>
      <c r="M85" s="100">
        <v>1005.6343506596008</v>
      </c>
      <c r="N85" s="100">
        <v>1.5599416205231156</v>
      </c>
      <c r="O85" s="100">
        <v>233.99124307846733</v>
      </c>
      <c r="P85" s="100">
        <v>6.7982788766417617</v>
      </c>
      <c r="Q85" s="100">
        <v>1019.7418314962642</v>
      </c>
      <c r="R85" s="100">
        <v>5.5023981516389622</v>
      </c>
      <c r="S85" s="100">
        <v>825.35972274584435</v>
      </c>
      <c r="T85" s="100">
        <v>8.7549140635590046</v>
      </c>
      <c r="U85" s="100">
        <v>1313.2371095338508</v>
      </c>
      <c r="V85" s="100">
        <v>1.8188643321215496</v>
      </c>
      <c r="W85" s="100">
        <v>272.82964981823244</v>
      </c>
      <c r="X85" s="100">
        <v>7.6153410597442894</v>
      </c>
      <c r="Y85" s="100">
        <v>1142.3011589616435</v>
      </c>
      <c r="Z85" s="100">
        <v>7.2095255258065087</v>
      </c>
      <c r="AA85" s="100">
        <v>1081.4288288709763</v>
      </c>
      <c r="AB85" s="100">
        <v>7</v>
      </c>
      <c r="AC85" s="100">
        <v>1050</v>
      </c>
      <c r="AD85" s="100">
        <v>5.7934798645457013</v>
      </c>
      <c r="AE85" s="100">
        <v>869.02197968185521</v>
      </c>
      <c r="AF85" s="100">
        <v>6</v>
      </c>
      <c r="AG85" s="100">
        <v>900</v>
      </c>
      <c r="AH85" s="100">
        <v>6.7470501580415263</v>
      </c>
      <c r="AI85" s="100">
        <v>1012.0575237062289</v>
      </c>
      <c r="AJ85" s="100">
        <v>5.8492975167409025</v>
      </c>
      <c r="AK85" s="100">
        <v>877.39462751113535</v>
      </c>
      <c r="AL85" s="100">
        <v>6.1503643006908009</v>
      </c>
      <c r="AM85" s="100">
        <v>922.55464510362015</v>
      </c>
      <c r="AN85" s="100">
        <v>4.1180311432839725</v>
      </c>
      <c r="AO85" s="100">
        <v>617.70467149259582</v>
      </c>
      <c r="AP85" s="100">
        <v>2.0290234231831308</v>
      </c>
      <c r="AQ85" s="100">
        <v>304.35351347746962</v>
      </c>
      <c r="AR85" s="100">
        <v>1.5883345616371927</v>
      </c>
      <c r="AS85" s="100">
        <v>238.25018424557891</v>
      </c>
      <c r="AT85" s="100">
        <v>10.734450637334531</v>
      </c>
      <c r="AU85" s="100">
        <v>1610.1675956001795</v>
      </c>
      <c r="AV85" s="100">
        <v>3.2467101542599703</v>
      </c>
      <c r="AW85" s="100">
        <v>487.00652313899553</v>
      </c>
      <c r="AX85" s="100">
        <v>1.559851761433229</v>
      </c>
      <c r="AY85" s="100">
        <v>233.97776421498435</v>
      </c>
      <c r="AZ85" s="100">
        <v>5.0132848934396721</v>
      </c>
      <c r="BA85" s="100">
        <v>751.99273401595076</v>
      </c>
      <c r="BB85" s="100">
        <v>5.6086756068054466</v>
      </c>
      <c r="BC85" s="100">
        <v>841.30134102081695</v>
      </c>
      <c r="BD85" s="100">
        <v>5.6227884238505856</v>
      </c>
      <c r="BE85" s="100">
        <v>843.41826357758782</v>
      </c>
      <c r="BF85" s="100">
        <v>2.205614296794328</v>
      </c>
      <c r="BG85" s="100">
        <v>330.8421445191492</v>
      </c>
      <c r="BH85" s="100">
        <v>7.6593392596697516</v>
      </c>
      <c r="BI85" s="100">
        <v>1148.9008889504628</v>
      </c>
      <c r="BJ85" s="100">
        <v>6</v>
      </c>
      <c r="BK85" s="100">
        <v>900</v>
      </c>
      <c r="BL85" s="100">
        <v>2.2149047351208151</v>
      </c>
      <c r="BM85" s="100">
        <v>332.23571026812226</v>
      </c>
      <c r="BN85" s="100">
        <v>6.0195013907845931</v>
      </c>
      <c r="BO85" s="100">
        <v>902.92520861768901</v>
      </c>
      <c r="BP85" s="100">
        <v>1.0370996245841941</v>
      </c>
      <c r="BQ85" s="100">
        <v>155.56494368762912</v>
      </c>
      <c r="BR85" s="100">
        <v>6.0010825328694644</v>
      </c>
      <c r="BS85" s="100">
        <v>900.16237993041966</v>
      </c>
      <c r="BT85" s="100">
        <v>10</v>
      </c>
      <c r="BU85" s="100">
        <v>1500</v>
      </c>
      <c r="BV85" s="100">
        <v>3.061187073492182</v>
      </c>
      <c r="BW85" s="100">
        <v>459.1780610238273</v>
      </c>
      <c r="BX85" s="100">
        <v>5</v>
      </c>
      <c r="BY85" s="100">
        <v>750</v>
      </c>
      <c r="BZ85" s="100">
        <v>8</v>
      </c>
      <c r="CA85" s="100">
        <v>1200</v>
      </c>
      <c r="CB85" s="100">
        <v>4.6830730365578326</v>
      </c>
      <c r="CC85" s="100">
        <v>702.46095548367487</v>
      </c>
      <c r="CD85" s="100">
        <v>2.9905176172215047</v>
      </c>
      <c r="CE85" s="100">
        <v>448.57764258322572</v>
      </c>
      <c r="CF85" s="100">
        <v>7.8704429649485359</v>
      </c>
      <c r="CG85" s="100">
        <v>1180.5664447422803</v>
      </c>
      <c r="CH85" s="100">
        <v>6.8032488371182467</v>
      </c>
      <c r="CI85" s="100">
        <v>1020.487325567737</v>
      </c>
      <c r="CJ85" s="100">
        <v>2.1497669685127399</v>
      </c>
      <c r="CK85" s="100">
        <v>322.46504527691098</v>
      </c>
      <c r="CL85" s="100">
        <v>5.5407937667381573</v>
      </c>
      <c r="CM85" s="100">
        <v>831.1190650107236</v>
      </c>
      <c r="CN85" s="100">
        <v>8.9340340541797616</v>
      </c>
      <c r="CO85" s="100">
        <v>1340.1051081269643</v>
      </c>
      <c r="CP85" s="100">
        <v>5</v>
      </c>
      <c r="CQ85" s="100">
        <v>750</v>
      </c>
      <c r="CR85" s="100">
        <v>6</v>
      </c>
      <c r="CS85" s="100">
        <v>900</v>
      </c>
      <c r="CT85" s="100">
        <v>5.5393447792109525</v>
      </c>
      <c r="CU85" s="100">
        <v>830.90171688164287</v>
      </c>
    </row>
    <row r="86" spans="2:99">
      <c r="C86" s="99" t="s">
        <v>252</v>
      </c>
      <c r="D86" s="100">
        <v>6.2061198926674788</v>
      </c>
      <c r="E86" s="100">
        <v>3351.3047420404387</v>
      </c>
      <c r="F86" s="100">
        <v>4.632847561267863E-4</v>
      </c>
      <c r="G86" s="100">
        <v>0.25017376830846461</v>
      </c>
      <c r="H86" s="100">
        <v>9.4254114119883443</v>
      </c>
      <c r="I86" s="100">
        <v>5089.7221624737058</v>
      </c>
      <c r="J86" s="100">
        <v>3.6250301475325735</v>
      </c>
      <c r="K86" s="100">
        <v>1957.5162796675897</v>
      </c>
      <c r="L86" s="100">
        <v>7.8216005051302293</v>
      </c>
      <c r="M86" s="100">
        <v>4223.6642727703238</v>
      </c>
      <c r="N86" s="100">
        <v>1.5444478830896895</v>
      </c>
      <c r="O86" s="100">
        <v>834.00185686843236</v>
      </c>
      <c r="P86" s="100">
        <v>6.7982788766417617</v>
      </c>
      <c r="Q86" s="100">
        <v>3671.0705933865511</v>
      </c>
      <c r="R86" s="100">
        <v>4.7163412728333958</v>
      </c>
      <c r="S86" s="100">
        <v>2546.8242873300337</v>
      </c>
      <c r="T86" s="100">
        <v>7.7821458342746697</v>
      </c>
      <c r="U86" s="100">
        <v>4202.3587505083215</v>
      </c>
      <c r="V86" s="100">
        <v>2.0787020938531997</v>
      </c>
      <c r="W86" s="100">
        <v>1122.4991306807278</v>
      </c>
      <c r="X86" s="100">
        <v>7.6153410597442894</v>
      </c>
      <c r="Y86" s="100">
        <v>4112.284172261916</v>
      </c>
      <c r="Z86" s="100">
        <v>7.2514306309678105</v>
      </c>
      <c r="AA86" s="100">
        <v>3915.7725407226176</v>
      </c>
      <c r="AB86" s="100">
        <v>7</v>
      </c>
      <c r="AC86" s="100">
        <v>3780</v>
      </c>
      <c r="AD86" s="100">
        <v>5.0692948814774885</v>
      </c>
      <c r="AE86" s="100">
        <v>2737.4192359978438</v>
      </c>
      <c r="AF86" s="100">
        <v>7</v>
      </c>
      <c r="AG86" s="100">
        <v>3780</v>
      </c>
      <c r="AH86" s="100">
        <v>5.9973779182591347</v>
      </c>
      <c r="AI86" s="100">
        <v>3238.5840758599329</v>
      </c>
      <c r="AJ86" s="100">
        <v>5.1181353271482894</v>
      </c>
      <c r="AK86" s="100">
        <v>2763.7930766600762</v>
      </c>
      <c r="AL86" s="100">
        <v>6.1503643006908009</v>
      </c>
      <c r="AM86" s="100">
        <v>3321.1967223730326</v>
      </c>
      <c r="AN86" s="100">
        <v>3.6032772503734756</v>
      </c>
      <c r="AO86" s="100">
        <v>1945.7697152016767</v>
      </c>
      <c r="AP86" s="100">
        <v>1.7743177592183728</v>
      </c>
      <c r="AQ86" s="100">
        <v>958.13158997792129</v>
      </c>
      <c r="AR86" s="100">
        <v>1.8208522163230751</v>
      </c>
      <c r="AS86" s="100">
        <v>983.26019681446053</v>
      </c>
      <c r="AT86" s="100">
        <v>9.7344506373345308</v>
      </c>
      <c r="AU86" s="100">
        <v>5256.6033441606469</v>
      </c>
      <c r="AV86" s="100">
        <v>3.7878285133032987</v>
      </c>
      <c r="AW86" s="100">
        <v>2045.4273971837813</v>
      </c>
      <c r="AX86" s="100">
        <v>1.3879678391514878</v>
      </c>
      <c r="AY86" s="100">
        <v>749.50263314180336</v>
      </c>
      <c r="AZ86" s="100">
        <v>5.6660519136325309</v>
      </c>
      <c r="BA86" s="100">
        <v>3059.6680333615668</v>
      </c>
      <c r="BB86" s="100">
        <v>5.6086756068054466</v>
      </c>
      <c r="BC86" s="100">
        <v>3028.6848276749411</v>
      </c>
      <c r="BD86" s="100">
        <v>5.7801954011841907</v>
      </c>
      <c r="BE86" s="100">
        <v>3121.3055166394629</v>
      </c>
      <c r="BF86" s="100">
        <v>2.5554520607645661</v>
      </c>
      <c r="BG86" s="100">
        <v>1379.9441128128658</v>
      </c>
      <c r="BH86" s="100">
        <v>7.6593392596697516</v>
      </c>
      <c r="BI86" s="100">
        <v>4136.0432002216658</v>
      </c>
      <c r="BJ86" s="100">
        <v>6</v>
      </c>
      <c r="BK86" s="100">
        <v>3240</v>
      </c>
      <c r="BL86" s="100">
        <v>1.9688042089962805</v>
      </c>
      <c r="BM86" s="100">
        <v>1063.1542728579914</v>
      </c>
      <c r="BN86" s="100">
        <v>6.0195013907845931</v>
      </c>
      <c r="BO86" s="100">
        <v>3250.5307510236803</v>
      </c>
      <c r="BP86" s="100">
        <v>1.0370996245841941</v>
      </c>
      <c r="BQ86" s="100">
        <v>560.03379727546485</v>
      </c>
      <c r="BR86" s="100">
        <v>6.0010825328694644</v>
      </c>
      <c r="BS86" s="100">
        <v>3240.5845677495108</v>
      </c>
      <c r="BT86" s="100">
        <v>9</v>
      </c>
      <c r="BU86" s="100">
        <v>4860</v>
      </c>
      <c r="BV86" s="100">
        <v>3.061187073492182</v>
      </c>
      <c r="BW86" s="100">
        <v>1653.0410196857783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4.6830730365578326</v>
      </c>
      <c r="CC86" s="100">
        <v>2528.8594397412294</v>
      </c>
      <c r="CD86" s="100">
        <v>2.6954069114102355</v>
      </c>
      <c r="CE86" s="100">
        <v>1455.5197321615271</v>
      </c>
      <c r="CF86" s="100">
        <v>7.6963543719588294</v>
      </c>
      <c r="CG86" s="100">
        <v>4156.031360857768</v>
      </c>
      <c r="CH86" s="100">
        <v>6.8032488371182467</v>
      </c>
      <c r="CI86" s="100">
        <v>3673.7543720438534</v>
      </c>
      <c r="CJ86" s="100">
        <v>2.1497669685127399</v>
      </c>
      <c r="CK86" s="100">
        <v>1160.8741629968795</v>
      </c>
      <c r="CL86" s="100">
        <v>4.7492518000612778</v>
      </c>
      <c r="CM86" s="100">
        <v>2564.5959720330902</v>
      </c>
      <c r="CN86" s="100">
        <v>8.7783617118164692</v>
      </c>
      <c r="CO86" s="100">
        <v>4740.3153243808938</v>
      </c>
      <c r="CP86" s="100">
        <v>5</v>
      </c>
      <c r="CQ86" s="100">
        <v>2700</v>
      </c>
      <c r="CR86" s="100">
        <v>6</v>
      </c>
      <c r="CS86" s="100">
        <v>3240</v>
      </c>
      <c r="CT86" s="100">
        <v>5.5393447792109525</v>
      </c>
      <c r="CU86" s="100">
        <v>2991.2461807739141</v>
      </c>
    </row>
    <row r="87" spans="2:99">
      <c r="B87" s="99" t="s">
        <v>131</v>
      </c>
      <c r="C87" s="99" t="s">
        <v>253</v>
      </c>
      <c r="D87" s="100">
        <v>9.0476706245087453</v>
      </c>
      <c r="E87" s="100">
        <v>9717.1982507223929</v>
      </c>
      <c r="F87" s="100">
        <v>5.7075493902311649</v>
      </c>
      <c r="G87" s="100">
        <v>6129.9080451082709</v>
      </c>
      <c r="H87" s="100">
        <v>5.7153244930836591</v>
      </c>
      <c r="I87" s="100">
        <v>6138.25850557185</v>
      </c>
      <c r="J87" s="100">
        <v>0.37132429207739304</v>
      </c>
      <c r="K87" s="100">
        <v>398.80228969112011</v>
      </c>
      <c r="L87" s="100">
        <v>6.1417389427672786</v>
      </c>
      <c r="M87" s="100">
        <v>6596.2276245320572</v>
      </c>
      <c r="N87" s="100">
        <v>7.4998291498749428</v>
      </c>
      <c r="O87" s="100">
        <v>8054.8165069656889</v>
      </c>
      <c r="P87" s="100">
        <v>4.8783452465689132</v>
      </c>
      <c r="Q87" s="100">
        <v>5239.3427948150129</v>
      </c>
      <c r="R87" s="100">
        <v>0.36492246361656105</v>
      </c>
      <c r="S87" s="100">
        <v>391.9267259241866</v>
      </c>
      <c r="T87" s="100">
        <v>7.1697323467181162</v>
      </c>
      <c r="U87" s="100">
        <v>7700.292540375257</v>
      </c>
      <c r="V87" s="100">
        <v>5</v>
      </c>
      <c r="W87" s="100">
        <v>5370</v>
      </c>
      <c r="X87" s="100">
        <v>3.509001852764579</v>
      </c>
      <c r="Y87" s="100">
        <v>3768.6679898691577</v>
      </c>
      <c r="Z87" s="100">
        <v>0.42459382462353018</v>
      </c>
      <c r="AA87" s="100">
        <v>456.01376764567141</v>
      </c>
      <c r="AB87" s="100">
        <v>6.2028487620466217</v>
      </c>
      <c r="AC87" s="100">
        <v>6661.8595704380714</v>
      </c>
      <c r="AD87" s="100">
        <v>2.3183446087541282</v>
      </c>
      <c r="AE87" s="100">
        <v>2489.9021098019339</v>
      </c>
      <c r="AF87" s="100">
        <v>6.8366260925599454</v>
      </c>
      <c r="AG87" s="100">
        <v>7342.5364234093813</v>
      </c>
      <c r="AH87" s="100">
        <v>1.7728599633491968</v>
      </c>
      <c r="AI87" s="100">
        <v>1904.0516006370374</v>
      </c>
      <c r="AJ87" s="100">
        <v>4.9860893843308665</v>
      </c>
      <c r="AK87" s="100">
        <v>5355.0599987713504</v>
      </c>
      <c r="AL87" s="100">
        <v>1.6387712494920956</v>
      </c>
      <c r="AM87" s="100">
        <v>1760.0403219545108</v>
      </c>
      <c r="AN87" s="100">
        <v>6.0464509179690102</v>
      </c>
      <c r="AO87" s="100">
        <v>6493.8882858987172</v>
      </c>
      <c r="AP87" s="100">
        <v>4.8188597316439132</v>
      </c>
      <c r="AQ87" s="100">
        <v>5175.4553517855629</v>
      </c>
      <c r="AR87" s="100">
        <v>4.1729597747855256E-4</v>
      </c>
      <c r="AS87" s="100">
        <v>0.44817587981196544</v>
      </c>
      <c r="AT87" s="100">
        <v>4.8490546895725339</v>
      </c>
      <c r="AU87" s="100">
        <v>5207.8847366009013</v>
      </c>
      <c r="AV87" s="100">
        <v>4.7834613753254594E-4</v>
      </c>
      <c r="AW87" s="100">
        <v>0.51374375170995434</v>
      </c>
      <c r="AX87" s="100">
        <v>4.6558022805365544E-4</v>
      </c>
      <c r="AY87" s="100">
        <v>0.50003316492962591</v>
      </c>
      <c r="AZ87" s="100">
        <v>4.6259107678080795</v>
      </c>
      <c r="BA87" s="100">
        <v>4968.2281646258771</v>
      </c>
      <c r="BB87" s="100">
        <v>0.29392197721514224</v>
      </c>
      <c r="BC87" s="100">
        <v>315.67220352906276</v>
      </c>
      <c r="BD87" s="100">
        <v>6.1180940698607422</v>
      </c>
      <c r="BE87" s="100">
        <v>6570.8330310304373</v>
      </c>
      <c r="BF87" s="100">
        <v>2.3497792683842387</v>
      </c>
      <c r="BG87" s="100">
        <v>2523.6629342446722</v>
      </c>
      <c r="BH87" s="100">
        <v>6.5234305309283256</v>
      </c>
      <c r="BI87" s="100">
        <v>7006.1643902170217</v>
      </c>
      <c r="BJ87" s="100">
        <v>4.7141696685009293</v>
      </c>
      <c r="BK87" s="100">
        <v>5063.018223969998</v>
      </c>
      <c r="BL87" s="100">
        <v>4.3347528196838262E-4</v>
      </c>
      <c r="BM87" s="100">
        <v>0.46555245283404295</v>
      </c>
      <c r="BN87" s="100">
        <v>4.2038147254215144</v>
      </c>
      <c r="BO87" s="100">
        <v>4514.8970151027061</v>
      </c>
      <c r="BP87" s="100">
        <v>3.4366818296074206</v>
      </c>
      <c r="BQ87" s="100">
        <v>3690.9962849983699</v>
      </c>
      <c r="BR87" s="100">
        <v>3.7564794121129634</v>
      </c>
      <c r="BS87" s="100">
        <v>4034.4588886093229</v>
      </c>
      <c r="BT87" s="100">
        <v>0.31571558297216551</v>
      </c>
      <c r="BU87" s="100">
        <v>339.07853611210578</v>
      </c>
      <c r="BV87" s="100">
        <v>10.223906050519355</v>
      </c>
      <c r="BW87" s="100">
        <v>10980.475098257788</v>
      </c>
      <c r="BX87" s="100">
        <v>3.8604151262536641</v>
      </c>
      <c r="BY87" s="100">
        <v>4146.0858455964353</v>
      </c>
      <c r="BZ87" s="100">
        <v>5.9717257587084944</v>
      </c>
      <c r="CA87" s="100">
        <v>6413.6334648529228</v>
      </c>
      <c r="CB87" s="100">
        <v>5.0279750852333729</v>
      </c>
      <c r="CC87" s="100">
        <v>5400.0452415406426</v>
      </c>
      <c r="CD87" s="100">
        <v>3.5715346945344901</v>
      </c>
      <c r="CE87" s="100">
        <v>3835.8282619300426</v>
      </c>
      <c r="CF87" s="100">
        <v>3.7249754878679444</v>
      </c>
      <c r="CG87" s="100">
        <v>4000.6236739701721</v>
      </c>
      <c r="CH87" s="100">
        <v>5.9568947137020523</v>
      </c>
      <c r="CI87" s="100">
        <v>6397.7049225160044</v>
      </c>
      <c r="CJ87" s="100">
        <v>6.8366449430611285</v>
      </c>
      <c r="CK87" s="100">
        <v>7342.556668847652</v>
      </c>
      <c r="CL87" s="100">
        <v>6.77382724480126</v>
      </c>
      <c r="CM87" s="100">
        <v>7275.0904609165536</v>
      </c>
      <c r="CN87" s="100">
        <v>4.8681751999843845</v>
      </c>
      <c r="CO87" s="100">
        <v>5228.4201647832288</v>
      </c>
      <c r="CP87" s="100">
        <v>2.7723575411894212</v>
      </c>
      <c r="CQ87" s="100">
        <v>2977.5119992374384</v>
      </c>
      <c r="CR87" s="100">
        <v>2.5211842828533371</v>
      </c>
      <c r="CS87" s="100">
        <v>2707.751919784484</v>
      </c>
      <c r="CT87" s="100">
        <v>4.3868689718837404</v>
      </c>
      <c r="CU87" s="100">
        <v>4711.4972758031372</v>
      </c>
    </row>
    <row r="88" spans="2:99">
      <c r="C88" s="99" t="s">
        <v>254</v>
      </c>
      <c r="D88" s="100">
        <v>7.8730588537572874</v>
      </c>
      <c r="E88" s="100">
        <v>7813.2236064687322</v>
      </c>
      <c r="F88" s="100">
        <v>5.7075493902311649</v>
      </c>
      <c r="G88" s="100">
        <v>5664.1720148654076</v>
      </c>
      <c r="H88" s="100">
        <v>6.3536952683000019</v>
      </c>
      <c r="I88" s="100">
        <v>6305.4071842609219</v>
      </c>
      <c r="J88" s="100">
        <v>0.43185293939168501</v>
      </c>
      <c r="K88" s="100">
        <v>428.57085705230821</v>
      </c>
      <c r="L88" s="100">
        <v>6.1700867313207342</v>
      </c>
      <c r="M88" s="100">
        <v>6123.1940721626961</v>
      </c>
      <c r="N88" s="100">
        <v>7.4998291498749428</v>
      </c>
      <c r="O88" s="100">
        <v>7442.8304483358934</v>
      </c>
      <c r="P88" s="100">
        <v>4.8783452465689132</v>
      </c>
      <c r="Q88" s="100">
        <v>4841.2698226949897</v>
      </c>
      <c r="R88" s="100">
        <v>0.36392641495604289</v>
      </c>
      <c r="S88" s="100">
        <v>361.16057420237695</v>
      </c>
      <c r="T88" s="100">
        <v>8.2036788160617391</v>
      </c>
      <c r="U88" s="100">
        <v>8141.3308570596701</v>
      </c>
      <c r="V88" s="100">
        <v>5</v>
      </c>
      <c r="W88" s="100">
        <v>4962</v>
      </c>
      <c r="X88" s="100">
        <v>3.509001852764579</v>
      </c>
      <c r="Y88" s="100">
        <v>3482.3334386835681</v>
      </c>
      <c r="Z88" s="100">
        <v>0.47744027114543791</v>
      </c>
      <c r="AA88" s="100">
        <v>473.81172508473259</v>
      </c>
      <c r="AB88" s="100">
        <v>5.2434185144559464</v>
      </c>
      <c r="AC88" s="100">
        <v>5203.5685337460809</v>
      </c>
      <c r="AD88" s="100">
        <v>2.3183446087541282</v>
      </c>
      <c r="AE88" s="100">
        <v>2300.7251897275969</v>
      </c>
      <c r="AF88" s="100">
        <v>5.8366260925599454</v>
      </c>
      <c r="AG88" s="100">
        <v>5792.2677342564893</v>
      </c>
      <c r="AH88" s="100">
        <v>1.9723055679396635</v>
      </c>
      <c r="AI88" s="100">
        <v>1957.316045623322</v>
      </c>
      <c r="AJ88" s="100">
        <v>5.8217411536090555</v>
      </c>
      <c r="AK88" s="100">
        <v>5777.4959208416267</v>
      </c>
      <c r="AL88" s="100">
        <v>1.6625179313906102</v>
      </c>
      <c r="AM88" s="100">
        <v>1649.8827951120415</v>
      </c>
      <c r="AN88" s="100">
        <v>6.2208594042971788</v>
      </c>
      <c r="AO88" s="100">
        <v>6173.5808728245202</v>
      </c>
      <c r="AP88" s="100">
        <v>3.8550877853151309</v>
      </c>
      <c r="AQ88" s="100">
        <v>3825.7891181467357</v>
      </c>
      <c r="AR88" s="100">
        <v>4.1729597747855256E-4</v>
      </c>
      <c r="AS88" s="100">
        <v>0.41412452804971556</v>
      </c>
      <c r="AT88" s="100">
        <v>4.849073570105408</v>
      </c>
      <c r="AU88" s="100">
        <v>4812.2206109726067</v>
      </c>
      <c r="AV88" s="100">
        <v>4.7834613753254594E-4</v>
      </c>
      <c r="AW88" s="100">
        <v>0.47471070688729861</v>
      </c>
      <c r="AX88" s="100">
        <v>4.073826995469485E-4</v>
      </c>
      <c r="AY88" s="100">
        <v>0.40428659103039166</v>
      </c>
      <c r="AZ88" s="100">
        <v>3.8549505031740332</v>
      </c>
      <c r="BA88" s="100">
        <v>3825.6528793499106</v>
      </c>
      <c r="BB88" s="100">
        <v>0.29292967337757458</v>
      </c>
      <c r="BC88" s="100">
        <v>290.70340785990498</v>
      </c>
      <c r="BD88" s="100">
        <v>6.1180940698607422</v>
      </c>
      <c r="BE88" s="100">
        <v>6071.5965549298007</v>
      </c>
      <c r="BF88" s="100">
        <v>2.3497792683842387</v>
      </c>
      <c r="BG88" s="100">
        <v>2331.9209459445183</v>
      </c>
      <c r="BH88" s="100">
        <v>7.6979073745711011</v>
      </c>
      <c r="BI88" s="100">
        <v>7639.4032785243608</v>
      </c>
      <c r="BJ88" s="100">
        <v>4.7141696685009293</v>
      </c>
      <c r="BK88" s="100">
        <v>4678.3419790203225</v>
      </c>
      <c r="BL88" s="100">
        <v>4.167250890552017E-4</v>
      </c>
      <c r="BM88" s="100">
        <v>0.41355797837838215</v>
      </c>
      <c r="BN88" s="100">
        <v>4.2038147254215144</v>
      </c>
      <c r="BO88" s="100">
        <v>4171.8657335083108</v>
      </c>
      <c r="BP88" s="100">
        <v>4.1593582568517835</v>
      </c>
      <c r="BQ88" s="100">
        <v>4127.7471340997099</v>
      </c>
      <c r="BR88" s="100">
        <v>4.3094277078140122</v>
      </c>
      <c r="BS88" s="100">
        <v>4276.6760572346257</v>
      </c>
      <c r="BT88" s="100">
        <v>0.36746665936639772</v>
      </c>
      <c r="BU88" s="100">
        <v>364.67391275521311</v>
      </c>
      <c r="BV88" s="100">
        <v>10.255892629164977</v>
      </c>
      <c r="BW88" s="100">
        <v>10177.947845183324</v>
      </c>
      <c r="BX88" s="100">
        <v>3.8026459940732007</v>
      </c>
      <c r="BY88" s="100">
        <v>3773.7458845182441</v>
      </c>
      <c r="BZ88" s="100">
        <v>5.116991451779028</v>
      </c>
      <c r="CA88" s="100">
        <v>5078.1023167455069</v>
      </c>
      <c r="CB88" s="100">
        <v>5.0279750852333729</v>
      </c>
      <c r="CC88" s="100">
        <v>4989.7624745855992</v>
      </c>
      <c r="CD88" s="100">
        <v>3.4965775129579346</v>
      </c>
      <c r="CE88" s="100">
        <v>3470.0035238594542</v>
      </c>
      <c r="CF88" s="100">
        <v>4.5180467502188089</v>
      </c>
      <c r="CG88" s="100">
        <v>4483.7095949171462</v>
      </c>
      <c r="CH88" s="100">
        <v>5.3251465096271673</v>
      </c>
      <c r="CI88" s="100">
        <v>5284.6753961540007</v>
      </c>
      <c r="CJ88" s="100">
        <v>7.5452101676490626</v>
      </c>
      <c r="CK88" s="100">
        <v>7487.8665703749293</v>
      </c>
      <c r="CL88" s="100">
        <v>6.77382724480126</v>
      </c>
      <c r="CM88" s="100">
        <v>6722.3461577407706</v>
      </c>
      <c r="CN88" s="100">
        <v>4.8681751999843845</v>
      </c>
      <c r="CO88" s="100">
        <v>4831.1770684645035</v>
      </c>
      <c r="CP88" s="100">
        <v>3.4974212689325679</v>
      </c>
      <c r="CQ88" s="100">
        <v>3470.8408672886803</v>
      </c>
      <c r="CR88" s="100">
        <v>2.9574262829212348</v>
      </c>
      <c r="CS88" s="100">
        <v>2934.9498431710335</v>
      </c>
      <c r="CT88" s="100">
        <v>4.3868689718837404</v>
      </c>
      <c r="CU88" s="100">
        <v>4353.528767697424</v>
      </c>
    </row>
    <row r="89" spans="2:99">
      <c r="C89" s="99" t="s">
        <v>255</v>
      </c>
      <c r="D89" s="100">
        <v>8.0476706245087453</v>
      </c>
      <c r="E89" s="100">
        <v>8546.6262032282866</v>
      </c>
      <c r="F89" s="100">
        <v>5.7075493902311649</v>
      </c>
      <c r="G89" s="100">
        <v>6061.4174524254968</v>
      </c>
      <c r="H89" s="100">
        <v>6.4495975041899447</v>
      </c>
      <c r="I89" s="100">
        <v>6849.4725494497216</v>
      </c>
      <c r="J89" s="100">
        <v>0.43275876252408957</v>
      </c>
      <c r="K89" s="100">
        <v>459.58980580058312</v>
      </c>
      <c r="L89" s="100">
        <v>6.1417389427672786</v>
      </c>
      <c r="M89" s="100">
        <v>6522.5267572188495</v>
      </c>
      <c r="N89" s="100">
        <v>7.4998291498749428</v>
      </c>
      <c r="O89" s="100">
        <v>7964.8185571671893</v>
      </c>
      <c r="P89" s="100">
        <v>4.8783452465689132</v>
      </c>
      <c r="Q89" s="100">
        <v>5180.8026518561855</v>
      </c>
      <c r="R89" s="100">
        <v>0.35434596467011148</v>
      </c>
      <c r="S89" s="100">
        <v>376.31541447965839</v>
      </c>
      <c r="T89" s="100">
        <v>7.1697323467181162</v>
      </c>
      <c r="U89" s="100">
        <v>7614.2557522146399</v>
      </c>
      <c r="V89" s="100">
        <v>5</v>
      </c>
      <c r="W89" s="100">
        <v>5310</v>
      </c>
      <c r="X89" s="100">
        <v>3.509001852764579</v>
      </c>
      <c r="Y89" s="100">
        <v>3726.559967635983</v>
      </c>
      <c r="Z89" s="100">
        <v>0.42459382462353018</v>
      </c>
      <c r="AA89" s="100">
        <v>450.91864175018907</v>
      </c>
      <c r="AB89" s="100">
        <v>5.2434185144559464</v>
      </c>
      <c r="AC89" s="100">
        <v>5568.5104623522147</v>
      </c>
      <c r="AD89" s="100">
        <v>2.3183446087541282</v>
      </c>
      <c r="AE89" s="100">
        <v>2462.081974496884</v>
      </c>
      <c r="AF89" s="100">
        <v>6.8366260925599454</v>
      </c>
      <c r="AG89" s="100">
        <v>7260.4969102986615</v>
      </c>
      <c r="AH89" s="100">
        <v>1.95014494520739</v>
      </c>
      <c r="AI89" s="100">
        <v>2071.0539318102483</v>
      </c>
      <c r="AJ89" s="100">
        <v>5.9860893843308665</v>
      </c>
      <c r="AK89" s="100">
        <v>6357.2269261593801</v>
      </c>
      <c r="AL89" s="100">
        <v>1.6625179313906102</v>
      </c>
      <c r="AM89" s="100">
        <v>1765.5940431368281</v>
      </c>
      <c r="AN89" s="100">
        <v>6.2208594042971788</v>
      </c>
      <c r="AO89" s="100">
        <v>6606.5526873636036</v>
      </c>
      <c r="AP89" s="100">
        <v>3.8550877853151309</v>
      </c>
      <c r="AQ89" s="100">
        <v>4094.1032280046688</v>
      </c>
      <c r="AR89" s="100">
        <v>4.1976778095901478E-4</v>
      </c>
      <c r="AS89" s="100">
        <v>0.44579338337847368</v>
      </c>
      <c r="AT89" s="100">
        <v>4.8490743464957866</v>
      </c>
      <c r="AU89" s="100">
        <v>5149.7169559785252</v>
      </c>
      <c r="AV89" s="100">
        <v>4.7834613753254594E-4</v>
      </c>
      <c r="AW89" s="100">
        <v>0.50800359805956374</v>
      </c>
      <c r="AX89" s="100">
        <v>4.073826995469485E-4</v>
      </c>
      <c r="AY89" s="100">
        <v>0.43264042691885929</v>
      </c>
      <c r="AZ89" s="100">
        <v>3.8549132081730817</v>
      </c>
      <c r="BA89" s="100">
        <v>4093.9178270798129</v>
      </c>
      <c r="BB89" s="100">
        <v>0.23732065021476265</v>
      </c>
      <c r="BC89" s="100">
        <v>252.03453052807794</v>
      </c>
      <c r="BD89" s="100">
        <v>6.0885705523955567</v>
      </c>
      <c r="BE89" s="100">
        <v>6466.0619266440808</v>
      </c>
      <c r="BF89" s="100">
        <v>2.3312904012493862</v>
      </c>
      <c r="BG89" s="100">
        <v>2475.8304061268482</v>
      </c>
      <c r="BH89" s="100">
        <v>7.6979073745711011</v>
      </c>
      <c r="BI89" s="100">
        <v>8175.1776317945096</v>
      </c>
      <c r="BJ89" s="100">
        <v>4.7141696685009293</v>
      </c>
      <c r="BK89" s="100">
        <v>5006.4481879479872</v>
      </c>
      <c r="BL89" s="100">
        <v>4.167250890552017E-4</v>
      </c>
      <c r="BM89" s="100">
        <v>0.44256204457662418</v>
      </c>
      <c r="BN89" s="100">
        <v>4.2038352909255883</v>
      </c>
      <c r="BO89" s="100">
        <v>4464.4730789629748</v>
      </c>
      <c r="BP89" s="100">
        <v>3.5370955373492725</v>
      </c>
      <c r="BQ89" s="100">
        <v>3756.3954606649272</v>
      </c>
      <c r="BR89" s="100">
        <v>4.3068844922330216</v>
      </c>
      <c r="BS89" s="100">
        <v>4573.911330751469</v>
      </c>
      <c r="BT89" s="100">
        <v>0.31571558297216551</v>
      </c>
      <c r="BU89" s="100">
        <v>335.28994911643974</v>
      </c>
      <c r="BV89" s="100">
        <v>9.2239060505193553</v>
      </c>
      <c r="BW89" s="100">
        <v>9795.788225651555</v>
      </c>
      <c r="BX89" s="100">
        <v>3.3595944611784736</v>
      </c>
      <c r="BY89" s="100">
        <v>3567.889317771539</v>
      </c>
      <c r="BZ89" s="100">
        <v>5.116991451779028</v>
      </c>
      <c r="CA89" s="100">
        <v>5434.2449217893281</v>
      </c>
      <c r="CB89" s="100">
        <v>5.0279750852333729</v>
      </c>
      <c r="CC89" s="100">
        <v>5339.7095405178416</v>
      </c>
      <c r="CD89" s="100">
        <v>3.5754268477283997</v>
      </c>
      <c r="CE89" s="100">
        <v>3797.1033122875606</v>
      </c>
      <c r="CF89" s="100">
        <v>4.3916745678827489</v>
      </c>
      <c r="CG89" s="100">
        <v>4663.9583910914789</v>
      </c>
      <c r="CH89" s="100">
        <v>4.7835451373139808</v>
      </c>
      <c r="CI89" s="100">
        <v>5080.1249358274472</v>
      </c>
      <c r="CJ89" s="100">
        <v>7.5452101676490626</v>
      </c>
      <c r="CK89" s="100">
        <v>8013.0131980433043</v>
      </c>
      <c r="CL89" s="100">
        <v>5.9164835020024196</v>
      </c>
      <c r="CM89" s="100">
        <v>6283.3054791265695</v>
      </c>
      <c r="CN89" s="100">
        <v>4.2654970355429409</v>
      </c>
      <c r="CO89" s="100">
        <v>4529.9578517466034</v>
      </c>
      <c r="CP89" s="100">
        <v>3.0674041733110178</v>
      </c>
      <c r="CQ89" s="100">
        <v>3257.5832320563009</v>
      </c>
      <c r="CR89" s="100">
        <v>2.5211842828533371</v>
      </c>
      <c r="CS89" s="100">
        <v>2677.497708390244</v>
      </c>
      <c r="CT89" s="100">
        <v>3.837958469169739</v>
      </c>
      <c r="CU89" s="100">
        <v>4075.9118942582627</v>
      </c>
    </row>
    <row r="90" spans="2:99">
      <c r="C90" s="99" t="s">
        <v>256</v>
      </c>
      <c r="D90" s="100">
        <v>8.0476706245087453</v>
      </c>
      <c r="E90" s="100">
        <v>8923.2571884552963</v>
      </c>
      <c r="F90" s="100">
        <v>5.7075493902311649</v>
      </c>
      <c r="G90" s="100">
        <v>6328.5307638883151</v>
      </c>
      <c r="H90" s="100">
        <v>5.7153244930836591</v>
      </c>
      <c r="I90" s="100">
        <v>6337.1517979311611</v>
      </c>
      <c r="J90" s="100">
        <v>0.37041846894498848</v>
      </c>
      <c r="K90" s="100">
        <v>410.71999836620319</v>
      </c>
      <c r="L90" s="100">
        <v>6.1700867313207342</v>
      </c>
      <c r="M90" s="100">
        <v>6841.3921676884302</v>
      </c>
      <c r="N90" s="100">
        <v>7.4998291498749428</v>
      </c>
      <c r="O90" s="100">
        <v>8315.8105613813368</v>
      </c>
      <c r="P90" s="100">
        <v>5.5082896152339886</v>
      </c>
      <c r="Q90" s="100">
        <v>6107.5915253714466</v>
      </c>
      <c r="R90" s="100">
        <v>0.36442443928630197</v>
      </c>
      <c r="S90" s="100">
        <v>404.07381828065161</v>
      </c>
      <c r="T90" s="100">
        <v>8.1697323467181171</v>
      </c>
      <c r="U90" s="100">
        <v>9058.5992260410476</v>
      </c>
      <c r="V90" s="100">
        <v>5</v>
      </c>
      <c r="W90" s="100">
        <v>5544</v>
      </c>
      <c r="X90" s="100">
        <v>3.509001852764579</v>
      </c>
      <c r="Y90" s="100">
        <v>3890.7812543453651</v>
      </c>
      <c r="Z90" s="100">
        <v>0.42459382462353018</v>
      </c>
      <c r="AA90" s="100">
        <v>470.78963274257023</v>
      </c>
      <c r="AB90" s="100">
        <v>6.2028487620466217</v>
      </c>
      <c r="AC90" s="100">
        <v>6877.7187073572941</v>
      </c>
      <c r="AD90" s="100">
        <v>2.3183446087541282</v>
      </c>
      <c r="AE90" s="100">
        <v>2570.5805021865772</v>
      </c>
      <c r="AF90" s="100">
        <v>6.8366260925599454</v>
      </c>
      <c r="AG90" s="100">
        <v>7580.4510114304667</v>
      </c>
      <c r="AH90" s="100">
        <v>1.7728599633491968</v>
      </c>
      <c r="AI90" s="100">
        <v>1965.7471273615893</v>
      </c>
      <c r="AJ90" s="100">
        <v>4.9860893843308665</v>
      </c>
      <c r="AK90" s="100">
        <v>5528.5759093460647</v>
      </c>
      <c r="AL90" s="100">
        <v>1.6506445904413529</v>
      </c>
      <c r="AM90" s="100">
        <v>1830.234721881372</v>
      </c>
      <c r="AN90" s="100">
        <v>6.0464509179690102</v>
      </c>
      <c r="AO90" s="100">
        <v>6704.3047778440387</v>
      </c>
      <c r="AP90" s="100">
        <v>4.8188597316439132</v>
      </c>
      <c r="AQ90" s="100">
        <v>5343.1516704467704</v>
      </c>
      <c r="AR90" s="100">
        <v>4.1729597747855256E-4</v>
      </c>
      <c r="AS90" s="100">
        <v>0.46269777982821908</v>
      </c>
      <c r="AT90" s="100">
        <v>4.849073570105408</v>
      </c>
      <c r="AU90" s="100">
        <v>5376.6527745328758</v>
      </c>
      <c r="AV90" s="100">
        <v>4.7834613753254594E-4</v>
      </c>
      <c r="AW90" s="100">
        <v>0.53039019729608694</v>
      </c>
      <c r="AX90" s="100">
        <v>4.6558022805365544E-4</v>
      </c>
      <c r="AY90" s="100">
        <v>0.51623535686589317</v>
      </c>
      <c r="AZ90" s="100">
        <v>3.8549505031740332</v>
      </c>
      <c r="BA90" s="100">
        <v>4274.3691179193675</v>
      </c>
      <c r="BB90" s="100">
        <v>0.23732065021476265</v>
      </c>
      <c r="BC90" s="100">
        <v>263.14113695812881</v>
      </c>
      <c r="BD90" s="100">
        <v>6.0885705523955567</v>
      </c>
      <c r="BE90" s="100">
        <v>6751.007028496193</v>
      </c>
      <c r="BF90" s="100">
        <v>2.3497792683842387</v>
      </c>
      <c r="BG90" s="100">
        <v>2605.4352527844439</v>
      </c>
      <c r="BH90" s="100">
        <v>7.6979073745711011</v>
      </c>
      <c r="BI90" s="100">
        <v>8535.4396969244372</v>
      </c>
      <c r="BJ90" s="100">
        <v>4.7141696685009293</v>
      </c>
      <c r="BK90" s="100">
        <v>5227.0713284338299</v>
      </c>
      <c r="BL90" s="100">
        <v>4.4116460754925469E-4</v>
      </c>
      <c r="BM90" s="100">
        <v>0.48916331685061359</v>
      </c>
      <c r="BN90" s="100">
        <v>4.2038156210061155</v>
      </c>
      <c r="BO90" s="100">
        <v>4661.1907605715805</v>
      </c>
      <c r="BP90" s="100">
        <v>3.5344147474749037</v>
      </c>
      <c r="BQ90" s="100">
        <v>3918.9590720001729</v>
      </c>
      <c r="BR90" s="100">
        <v>4.3068844922330216</v>
      </c>
      <c r="BS90" s="100">
        <v>4775.4735249879741</v>
      </c>
      <c r="BT90" s="100">
        <v>0.36804545098937241</v>
      </c>
      <c r="BU90" s="100">
        <v>408.08879605701611</v>
      </c>
      <c r="BV90" s="100">
        <v>9.2239060505193553</v>
      </c>
      <c r="BW90" s="100">
        <v>10227.467028815861</v>
      </c>
      <c r="BX90" s="100">
        <v>2.9147324481375119</v>
      </c>
      <c r="BY90" s="100">
        <v>3231.8553384948732</v>
      </c>
      <c r="BZ90" s="100">
        <v>4.9764381322570781</v>
      </c>
      <c r="CA90" s="100">
        <v>5517.8746010466475</v>
      </c>
      <c r="CB90" s="100">
        <v>5.7265347362903523</v>
      </c>
      <c r="CC90" s="100">
        <v>6349.5817155987424</v>
      </c>
      <c r="CD90" s="100">
        <v>3.5676425413405801</v>
      </c>
      <c r="CE90" s="100">
        <v>3955.8020498384349</v>
      </c>
      <c r="CF90" s="100">
        <v>3.7286063885695024</v>
      </c>
      <c r="CG90" s="100">
        <v>4134.2787636458643</v>
      </c>
      <c r="CH90" s="100">
        <v>5.4152933413888658</v>
      </c>
      <c r="CI90" s="100">
        <v>6004.4772569319739</v>
      </c>
      <c r="CJ90" s="100">
        <v>6.8735243311253154</v>
      </c>
      <c r="CK90" s="100">
        <v>7621.3637783517497</v>
      </c>
      <c r="CL90" s="100">
        <v>6.77382724480126</v>
      </c>
      <c r="CM90" s="100">
        <v>7510.8196490356368</v>
      </c>
      <c r="CN90" s="100">
        <v>4.8681751999843845</v>
      </c>
      <c r="CO90" s="100">
        <v>5397.8326617426856</v>
      </c>
      <c r="CP90" s="100">
        <v>3.4974212689325679</v>
      </c>
      <c r="CQ90" s="100">
        <v>3877.9407029924309</v>
      </c>
      <c r="CR90" s="100">
        <v>2.9612545447173586</v>
      </c>
      <c r="CS90" s="100">
        <v>3283.4390391826073</v>
      </c>
      <c r="CT90" s="100">
        <v>3.7512392371197785</v>
      </c>
      <c r="CU90" s="100">
        <v>4159.3740661184102</v>
      </c>
    </row>
    <row r="91" spans="2:99">
      <c r="C91" s="99" t="s">
        <v>257</v>
      </c>
      <c r="D91" s="100">
        <v>8.0476706245087453</v>
      </c>
      <c r="E91" s="100">
        <v>9145.3728976917373</v>
      </c>
      <c r="F91" s="100">
        <v>6.5229135888356167</v>
      </c>
      <c r="G91" s="100">
        <v>7412.6390023527938</v>
      </c>
      <c r="H91" s="100">
        <v>5.7153244930836591</v>
      </c>
      <c r="I91" s="100">
        <v>6494.8947539402698</v>
      </c>
      <c r="J91" s="100">
        <v>0.37132429207739304</v>
      </c>
      <c r="K91" s="100">
        <v>421.9729255167494</v>
      </c>
      <c r="L91" s="100">
        <v>6.1700867313207342</v>
      </c>
      <c r="M91" s="100">
        <v>7011.6865614728813</v>
      </c>
      <c r="N91" s="100">
        <v>6.5623505061405742</v>
      </c>
      <c r="O91" s="100">
        <v>7457.4551151781479</v>
      </c>
      <c r="P91" s="100">
        <v>4.8783452465689132</v>
      </c>
      <c r="Q91" s="100">
        <v>5543.7515382009124</v>
      </c>
      <c r="R91" s="100">
        <v>0.29032069543421801</v>
      </c>
      <c r="S91" s="100">
        <v>329.92043829144529</v>
      </c>
      <c r="T91" s="100">
        <v>8.1697323467181171</v>
      </c>
      <c r="U91" s="100">
        <v>9284.0838388104676</v>
      </c>
      <c r="V91" s="100">
        <v>5</v>
      </c>
      <c r="W91" s="100">
        <v>5681.9999999999991</v>
      </c>
      <c r="X91" s="100">
        <v>3.509001852764579</v>
      </c>
      <c r="Y91" s="100">
        <v>3987.6297054816669</v>
      </c>
      <c r="Z91" s="100">
        <v>0.37539188299815957</v>
      </c>
      <c r="AA91" s="100">
        <v>426.59533583910849</v>
      </c>
      <c r="AB91" s="100">
        <v>6.2028487620466217</v>
      </c>
      <c r="AC91" s="100">
        <v>7048.91733318978</v>
      </c>
      <c r="AD91" s="100">
        <v>2.7047353768798161</v>
      </c>
      <c r="AE91" s="100">
        <v>3073.6612822862226</v>
      </c>
      <c r="AF91" s="100">
        <v>5.9760637746532694</v>
      </c>
      <c r="AG91" s="100">
        <v>6791.1988735159748</v>
      </c>
      <c r="AH91" s="100">
        <v>1.7728599633491968</v>
      </c>
      <c r="AI91" s="100">
        <v>2014.6780623500269</v>
      </c>
      <c r="AJ91" s="100">
        <v>5.9860893843308665</v>
      </c>
      <c r="AK91" s="100">
        <v>6802.5919763535958</v>
      </c>
      <c r="AL91" s="100">
        <v>1.6625179313906102</v>
      </c>
      <c r="AM91" s="100">
        <v>1889.2853772322892</v>
      </c>
      <c r="AN91" s="100">
        <v>6.2208594042971788</v>
      </c>
      <c r="AO91" s="100">
        <v>7069.3846270433132</v>
      </c>
      <c r="AP91" s="100">
        <v>4.8188597316439132</v>
      </c>
      <c r="AQ91" s="100">
        <v>5476.1521990401425</v>
      </c>
      <c r="AR91" s="100">
        <v>4.8313760183761796E-4</v>
      </c>
      <c r="AS91" s="100">
        <v>0.54903757072826898</v>
      </c>
      <c r="AT91" s="100">
        <v>4.8490539131821544</v>
      </c>
      <c r="AU91" s="100">
        <v>5510.4648669401995</v>
      </c>
      <c r="AV91" s="100">
        <v>5.4668130003719543E-4</v>
      </c>
      <c r="AW91" s="100">
        <v>0.62124862936226877</v>
      </c>
      <c r="AX91" s="100">
        <v>4.6558022805365544E-4</v>
      </c>
      <c r="AY91" s="100">
        <v>0.52908537116017396</v>
      </c>
      <c r="AZ91" s="100">
        <v>4.6258734728071271</v>
      </c>
      <c r="BA91" s="100">
        <v>5256.8426144980185</v>
      </c>
      <c r="BB91" s="100">
        <v>0.29392197721514224</v>
      </c>
      <c r="BC91" s="100">
        <v>334.01293490728762</v>
      </c>
      <c r="BD91" s="100">
        <v>6.1180940698607422</v>
      </c>
      <c r="BE91" s="100">
        <v>6952.6021009897468</v>
      </c>
      <c r="BF91" s="100">
        <v>2.3312904012493862</v>
      </c>
      <c r="BG91" s="100">
        <v>2649.2784119798021</v>
      </c>
      <c r="BH91" s="100">
        <v>6.5234305309283256</v>
      </c>
      <c r="BI91" s="100">
        <v>7413.2264553469486</v>
      </c>
      <c r="BJ91" s="100">
        <v>4.7141696685009293</v>
      </c>
      <c r="BK91" s="100">
        <v>5357.1824112844552</v>
      </c>
      <c r="BL91" s="100">
        <v>4.1922041054946849E-4</v>
      </c>
      <c r="BM91" s="100">
        <v>0.47640207454841593</v>
      </c>
      <c r="BN91" s="100">
        <v>4.2038433511870128</v>
      </c>
      <c r="BO91" s="100">
        <v>4777.2475842889207</v>
      </c>
      <c r="BP91" s="100">
        <v>3.5370955373492725</v>
      </c>
      <c r="BQ91" s="100">
        <v>4019.5553686437129</v>
      </c>
      <c r="BR91" s="100">
        <v>4.3068844922330216</v>
      </c>
      <c r="BS91" s="100">
        <v>4894.3435369736053</v>
      </c>
      <c r="BT91" s="100">
        <v>0.31513679134919081</v>
      </c>
      <c r="BU91" s="100">
        <v>358.12144968922041</v>
      </c>
      <c r="BV91" s="100">
        <v>9.2239060505193553</v>
      </c>
      <c r="BW91" s="100">
        <v>10482.046835810193</v>
      </c>
      <c r="BX91" s="100">
        <v>3.357783981032239</v>
      </c>
      <c r="BY91" s="100">
        <v>3815.7857160450358</v>
      </c>
      <c r="BZ91" s="100">
        <v>4.9764381322570781</v>
      </c>
      <c r="CA91" s="100">
        <v>5655.2242934969427</v>
      </c>
      <c r="CB91" s="100">
        <v>5.147491825075015</v>
      </c>
      <c r="CC91" s="100">
        <v>5849.6097100152465</v>
      </c>
      <c r="CD91" s="100">
        <v>3.0482394431374966</v>
      </c>
      <c r="CE91" s="100">
        <v>3464.0193031814506</v>
      </c>
      <c r="CF91" s="100">
        <v>4.5180467502188089</v>
      </c>
      <c r="CG91" s="100">
        <v>5134.3083269486542</v>
      </c>
      <c r="CH91" s="100">
        <v>5.3251465096271673</v>
      </c>
      <c r="CI91" s="100">
        <v>6051.4964935403123</v>
      </c>
      <c r="CJ91" s="100">
        <v>6.8366449430611285</v>
      </c>
      <c r="CK91" s="100">
        <v>7769.1633132946654</v>
      </c>
      <c r="CL91" s="100">
        <v>6.77382724480126</v>
      </c>
      <c r="CM91" s="100">
        <v>7697.7772809921507</v>
      </c>
      <c r="CN91" s="100">
        <v>4.2654970355429409</v>
      </c>
      <c r="CO91" s="100">
        <v>4847.3108311909973</v>
      </c>
      <c r="CP91" s="100">
        <v>3.0674041733110178</v>
      </c>
      <c r="CQ91" s="100">
        <v>3485.7981025506401</v>
      </c>
      <c r="CR91" s="100">
        <v>2.5250125446494618</v>
      </c>
      <c r="CS91" s="100">
        <v>2869.4242557396478</v>
      </c>
      <c r="CT91" s="100">
        <v>4.3001497398337793</v>
      </c>
      <c r="CU91" s="100">
        <v>4886.6901643471065</v>
      </c>
    </row>
    <row r="92" spans="2:99">
      <c r="C92" s="99" t="s">
        <v>258</v>
      </c>
      <c r="D92" s="100">
        <v>8.0476706245087453</v>
      </c>
      <c r="E92" s="100">
        <v>6315.8119061144625</v>
      </c>
      <c r="F92" s="100">
        <v>5.7075493902311649</v>
      </c>
      <c r="G92" s="100">
        <v>4479.2847614534176</v>
      </c>
      <c r="H92" s="100">
        <v>5.7153244930836591</v>
      </c>
      <c r="I92" s="100">
        <v>4485.3866621720554</v>
      </c>
      <c r="J92" s="100">
        <v>0.43185293939168501</v>
      </c>
      <c r="K92" s="100">
        <v>338.91818683459439</v>
      </c>
      <c r="L92" s="100">
        <v>6.1417389427672786</v>
      </c>
      <c r="M92" s="100">
        <v>4820.0367222837604</v>
      </c>
      <c r="N92" s="100">
        <v>6.5623505061405742</v>
      </c>
      <c r="O92" s="100">
        <v>5150.1326772191223</v>
      </c>
      <c r="P92" s="100">
        <v>4.8783452465689132</v>
      </c>
      <c r="Q92" s="100">
        <v>3828.525349507283</v>
      </c>
      <c r="R92" s="100">
        <v>0.2908187197644771</v>
      </c>
      <c r="S92" s="100">
        <v>228.23453127116161</v>
      </c>
      <c r="T92" s="100">
        <v>7.1697323467181162</v>
      </c>
      <c r="U92" s="100">
        <v>5626.8059457043773</v>
      </c>
      <c r="V92" s="100">
        <v>5</v>
      </c>
      <c r="W92" s="100">
        <v>3924</v>
      </c>
      <c r="X92" s="100">
        <v>3.509001852764579</v>
      </c>
      <c r="Y92" s="100">
        <v>2753.8646540496416</v>
      </c>
      <c r="Z92" s="100">
        <v>0.42459382462353018</v>
      </c>
      <c r="AA92" s="100">
        <v>333.22123356454648</v>
      </c>
      <c r="AB92" s="100">
        <v>6.2434185144559464</v>
      </c>
      <c r="AC92" s="100">
        <v>4899.8348501450264</v>
      </c>
      <c r="AD92" s="100">
        <v>2.3183446087541282</v>
      </c>
      <c r="AE92" s="100">
        <v>1819.4368489502397</v>
      </c>
      <c r="AF92" s="100">
        <v>5.8366260925599454</v>
      </c>
      <c r="AG92" s="100">
        <v>4580.5841574410451</v>
      </c>
      <c r="AH92" s="100">
        <v>1.9723055679396635</v>
      </c>
      <c r="AI92" s="100">
        <v>1547.8654097190479</v>
      </c>
      <c r="AJ92" s="100">
        <v>5.9860893843308665</v>
      </c>
      <c r="AK92" s="100">
        <v>4697.8829488228639</v>
      </c>
      <c r="AL92" s="100">
        <v>1.8940897796502254</v>
      </c>
      <c r="AM92" s="100">
        <v>1486.4816590694968</v>
      </c>
      <c r="AN92" s="100">
        <v>6.2208594042971788</v>
      </c>
      <c r="AO92" s="100">
        <v>4882.1304604924253</v>
      </c>
      <c r="AP92" s="100">
        <v>4.8188597316439132</v>
      </c>
      <c r="AQ92" s="100">
        <v>3781.8411173941431</v>
      </c>
      <c r="AR92" s="100">
        <v>4.8560940531808017E-4</v>
      </c>
      <c r="AS92" s="100">
        <v>0.38110626129362929</v>
      </c>
      <c r="AT92" s="100">
        <v>5.5417583865107787</v>
      </c>
      <c r="AU92" s="100">
        <v>4349.1719817336589</v>
      </c>
      <c r="AV92" s="100">
        <v>4.7834613753254594E-4</v>
      </c>
      <c r="AW92" s="100">
        <v>0.37540604873554201</v>
      </c>
      <c r="AX92" s="100">
        <v>5.2377775656036233E-4</v>
      </c>
      <c r="AY92" s="100">
        <v>0.41106078334857232</v>
      </c>
      <c r="AZ92" s="100">
        <v>4.6259107678080795</v>
      </c>
      <c r="BA92" s="100">
        <v>3630.4147705757805</v>
      </c>
      <c r="BB92" s="100">
        <v>0.29292967337757458</v>
      </c>
      <c r="BC92" s="100">
        <v>229.89120766672053</v>
      </c>
      <c r="BD92" s="100">
        <v>6.1180940698607422</v>
      </c>
      <c r="BE92" s="100">
        <v>4801.4802260267106</v>
      </c>
      <c r="BF92" s="100">
        <v>2.3682681355190915</v>
      </c>
      <c r="BG92" s="100">
        <v>1858.616832755383</v>
      </c>
      <c r="BH92" s="100">
        <v>7.6979073745711011</v>
      </c>
      <c r="BI92" s="100">
        <v>6041.3177075633994</v>
      </c>
      <c r="BJ92" s="100">
        <v>4.7141696685009293</v>
      </c>
      <c r="BK92" s="100">
        <v>3699.6803558395291</v>
      </c>
      <c r="BL92" s="100">
        <v>4.4116460754925469E-4</v>
      </c>
      <c r="BM92" s="100">
        <v>0.34622598400465504</v>
      </c>
      <c r="BN92" s="100">
        <v>4.2038156210061155</v>
      </c>
      <c r="BO92" s="100">
        <v>3299.1544993655993</v>
      </c>
      <c r="BP92" s="100">
        <v>4.1566774669774142</v>
      </c>
      <c r="BQ92" s="100">
        <v>3262.1604760838745</v>
      </c>
      <c r="BR92" s="100">
        <v>4.9175807716597131</v>
      </c>
      <c r="BS92" s="100">
        <v>3859.3173895985424</v>
      </c>
      <c r="BT92" s="100">
        <v>0.36804545098937241</v>
      </c>
      <c r="BU92" s="100">
        <v>288.84206993645944</v>
      </c>
      <c r="BV92" s="100">
        <v>9.2239060505193553</v>
      </c>
      <c r="BW92" s="100">
        <v>7238.9214684475892</v>
      </c>
      <c r="BX92" s="100">
        <v>3.4155531132127033</v>
      </c>
      <c r="BY92" s="100">
        <v>2680.5260832493295</v>
      </c>
      <c r="BZ92" s="100">
        <v>4.9764381322570781</v>
      </c>
      <c r="CA92" s="100">
        <v>3905.5086461953547</v>
      </c>
      <c r="CB92" s="100">
        <v>5.7265347362903523</v>
      </c>
      <c r="CC92" s="100">
        <v>4494.1844610406679</v>
      </c>
      <c r="CD92" s="100">
        <v>3.5754268477283997</v>
      </c>
      <c r="CE92" s="100">
        <v>2805.9949900972479</v>
      </c>
      <c r="CF92" s="100">
        <v>4.521677650920366</v>
      </c>
      <c r="CG92" s="100">
        <v>3548.6126204423031</v>
      </c>
      <c r="CH92" s="100">
        <v>5.348076965156503</v>
      </c>
      <c r="CI92" s="100">
        <v>4197.1708022548237</v>
      </c>
      <c r="CJ92" s="100">
        <v>6.1280797184731934</v>
      </c>
      <c r="CK92" s="100">
        <v>4809.3169630577622</v>
      </c>
      <c r="CL92" s="100">
        <v>6.77382724480126</v>
      </c>
      <c r="CM92" s="100">
        <v>5316.0996217200282</v>
      </c>
      <c r="CN92" s="100">
        <v>5.5704076908170546</v>
      </c>
      <c r="CO92" s="100">
        <v>4371.6559557532246</v>
      </c>
      <c r="CP92" s="100">
        <v>3.5011473315084842</v>
      </c>
      <c r="CQ92" s="100">
        <v>2747.7004257678582</v>
      </c>
      <c r="CR92" s="100">
        <v>2.9574262829212348</v>
      </c>
      <c r="CS92" s="100">
        <v>2320.9881468365847</v>
      </c>
      <c r="CT92" s="100">
        <v>4.3036040342032038</v>
      </c>
      <c r="CU92" s="100">
        <v>3377.4684460426743</v>
      </c>
    </row>
    <row r="93" spans="2:99">
      <c r="C93" s="99" t="s">
        <v>259</v>
      </c>
      <c r="D93" s="100">
        <v>9.2222823952602013</v>
      </c>
      <c r="E93" s="100">
        <v>6396.575069352476</v>
      </c>
      <c r="F93" s="100">
        <v>6.5229135888356167</v>
      </c>
      <c r="G93" s="100">
        <v>4524.2928652163837</v>
      </c>
      <c r="H93" s="100">
        <v>5.7153244930836591</v>
      </c>
      <c r="I93" s="100">
        <v>3964.1490684028263</v>
      </c>
      <c r="J93" s="100">
        <v>0.43094711625928039</v>
      </c>
      <c r="K93" s="100">
        <v>298.90491983743686</v>
      </c>
      <c r="L93" s="100">
        <v>7.1700867313207342</v>
      </c>
      <c r="M93" s="100">
        <v>4973.1721568440616</v>
      </c>
      <c r="N93" s="100">
        <v>6.5623505061405742</v>
      </c>
      <c r="O93" s="100">
        <v>4551.6463110591021</v>
      </c>
      <c r="P93" s="100">
        <v>4.8783452465689132</v>
      </c>
      <c r="Q93" s="100">
        <v>3383.6202630201983</v>
      </c>
      <c r="R93" s="100">
        <v>0.29032069543421801</v>
      </c>
      <c r="S93" s="100">
        <v>201.36643435317362</v>
      </c>
      <c r="T93" s="100">
        <v>7.20367881606174</v>
      </c>
      <c r="U93" s="100">
        <v>4996.4716268204229</v>
      </c>
      <c r="V93" s="100">
        <v>5</v>
      </c>
      <c r="W93" s="100">
        <v>3468</v>
      </c>
      <c r="X93" s="100">
        <v>3.509001852764579</v>
      </c>
      <c r="Y93" s="100">
        <v>2433.843685077512</v>
      </c>
      <c r="Z93" s="100">
        <v>0.42641607707179874</v>
      </c>
      <c r="AA93" s="100">
        <v>295.7621910569996</v>
      </c>
      <c r="AB93" s="100">
        <v>6.2434185144559464</v>
      </c>
      <c r="AC93" s="100">
        <v>4330.4350816266442</v>
      </c>
      <c r="AD93" s="100">
        <v>2.3183446087541282</v>
      </c>
      <c r="AE93" s="100">
        <v>1608.0038206318634</v>
      </c>
      <c r="AF93" s="100">
        <v>6.8366260925599454</v>
      </c>
      <c r="AG93" s="100">
        <v>4741.8838577995784</v>
      </c>
      <c r="AH93" s="100">
        <v>1.9723055679396635</v>
      </c>
      <c r="AI93" s="100">
        <v>1367.9911419229506</v>
      </c>
      <c r="AJ93" s="100">
        <v>5.9860893843308665</v>
      </c>
      <c r="AK93" s="100">
        <v>4151.9515969718896</v>
      </c>
      <c r="AL93" s="100">
        <v>1.9059631205994829</v>
      </c>
      <c r="AM93" s="100">
        <v>1321.9760204478014</v>
      </c>
      <c r="AN93" s="100">
        <v>6.0464509179690102</v>
      </c>
      <c r="AO93" s="100">
        <v>4193.8183567033057</v>
      </c>
      <c r="AP93" s="100">
        <v>4.8188597316439132</v>
      </c>
      <c r="AQ93" s="100">
        <v>3342.3611098682181</v>
      </c>
      <c r="AR93" s="100">
        <v>4.1976778095901478E-4</v>
      </c>
      <c r="AS93" s="100">
        <v>0.29115093287317267</v>
      </c>
      <c r="AT93" s="100">
        <v>5.5417591629011573</v>
      </c>
      <c r="AU93" s="100">
        <v>3843.7641553882427</v>
      </c>
      <c r="AV93" s="100">
        <v>4.7834613753254594E-4</v>
      </c>
      <c r="AW93" s="100">
        <v>0.33178088099257386</v>
      </c>
      <c r="AX93" s="100">
        <v>5.2377775656036233E-4</v>
      </c>
      <c r="AY93" s="100">
        <v>0.36329225195026732</v>
      </c>
      <c r="AZ93" s="100">
        <v>3.8549132081730817</v>
      </c>
      <c r="BA93" s="100">
        <v>2673.7678011888497</v>
      </c>
      <c r="BB93" s="100">
        <v>0.23732065021476265</v>
      </c>
      <c r="BC93" s="100">
        <v>164.60560298895939</v>
      </c>
      <c r="BD93" s="100">
        <v>7.1180940698607422</v>
      </c>
      <c r="BE93" s="100">
        <v>4937.1100468554114</v>
      </c>
      <c r="BF93" s="100">
        <v>2.3497792683842387</v>
      </c>
      <c r="BG93" s="100">
        <v>1629.806900551308</v>
      </c>
      <c r="BH93" s="100">
        <v>7.6979073745711011</v>
      </c>
      <c r="BI93" s="100">
        <v>5339.2685550025162</v>
      </c>
      <c r="BJ93" s="100">
        <v>4.7141696685009293</v>
      </c>
      <c r="BK93" s="100">
        <v>3269.7480820722449</v>
      </c>
      <c r="BL93" s="100">
        <v>3.6931318072505164E-4</v>
      </c>
      <c r="BM93" s="100">
        <v>0.25615562215089582</v>
      </c>
      <c r="BN93" s="100">
        <v>4.2038433511870128</v>
      </c>
      <c r="BO93" s="100">
        <v>2915.7857483833122</v>
      </c>
      <c r="BP93" s="100">
        <v>3.5370955373492725</v>
      </c>
      <c r="BQ93" s="100">
        <v>2453.3294647054554</v>
      </c>
      <c r="BR93" s="100">
        <v>4.3094277078140122</v>
      </c>
      <c r="BS93" s="100">
        <v>2989.0190581397987</v>
      </c>
      <c r="BT93" s="100">
        <v>0.36804545098937241</v>
      </c>
      <c r="BU93" s="100">
        <v>255.2763248062287</v>
      </c>
      <c r="BV93" s="100">
        <v>9.2239060505193553</v>
      </c>
      <c r="BW93" s="100">
        <v>6397.701236640225</v>
      </c>
      <c r="BX93" s="100">
        <v>3.8604151262536641</v>
      </c>
      <c r="BY93" s="100">
        <v>2677.5839315695416</v>
      </c>
      <c r="BZ93" s="100">
        <v>4.9764381322570781</v>
      </c>
      <c r="CA93" s="100">
        <v>3451.6574885335094</v>
      </c>
      <c r="CB93" s="100">
        <v>5.0279750852333729</v>
      </c>
      <c r="CC93" s="100">
        <v>3487.4035191178677</v>
      </c>
      <c r="CD93" s="100">
        <v>3.1270887779079621</v>
      </c>
      <c r="CE93" s="100">
        <v>2168.9487763569628</v>
      </c>
      <c r="CF93" s="100">
        <v>4.521677650920366</v>
      </c>
      <c r="CG93" s="100">
        <v>3136.2356186783659</v>
      </c>
      <c r="CH93" s="100">
        <v>5.9568947137020523</v>
      </c>
      <c r="CI93" s="100">
        <v>4131.7021734237433</v>
      </c>
      <c r="CJ93" s="100">
        <v>7.5820895557132504</v>
      </c>
      <c r="CK93" s="100">
        <v>5258.9373158427106</v>
      </c>
      <c r="CL93" s="100">
        <v>6.9025640856694892</v>
      </c>
      <c r="CM93" s="100">
        <v>4787.6184498203575</v>
      </c>
      <c r="CN93" s="100">
        <v>4.9629929726895279</v>
      </c>
      <c r="CO93" s="100">
        <v>3442.3319258574566</v>
      </c>
      <c r="CP93" s="100">
        <v>3.4974212689325679</v>
      </c>
      <c r="CQ93" s="100">
        <v>2425.811392131629</v>
      </c>
      <c r="CR93" s="100">
        <v>2.9574262829212348</v>
      </c>
      <c r="CS93" s="100">
        <v>2051.2708698341685</v>
      </c>
      <c r="CT93" s="100">
        <v>4.3868689718837404</v>
      </c>
      <c r="CU93" s="100">
        <v>3042.7323188985624</v>
      </c>
    </row>
    <row r="94" spans="2:99">
      <c r="C94" s="99" t="s">
        <v>260</v>
      </c>
      <c r="D94" s="100">
        <v>7.8730588537572874</v>
      </c>
      <c r="E94" s="100">
        <v>9390.9846007616925</v>
      </c>
      <c r="F94" s="100">
        <v>6.5229135888356167</v>
      </c>
      <c r="G94" s="100">
        <v>7780.5313287631234</v>
      </c>
      <c r="H94" s="100">
        <v>6.4495975041899447</v>
      </c>
      <c r="I94" s="100">
        <v>7693.0799029977661</v>
      </c>
      <c r="J94" s="100">
        <v>0.37132429207739304</v>
      </c>
      <c r="K94" s="100">
        <v>442.91561558991441</v>
      </c>
      <c r="L94" s="100">
        <v>5.1700867313207342</v>
      </c>
      <c r="M94" s="100">
        <v>6166.8794531193716</v>
      </c>
      <c r="N94" s="100">
        <v>6.5623505061405742</v>
      </c>
      <c r="O94" s="100">
        <v>7827.5716837244763</v>
      </c>
      <c r="P94" s="100">
        <v>4.8783452465689132</v>
      </c>
      <c r="Q94" s="100">
        <v>5818.8902101073991</v>
      </c>
      <c r="R94" s="100">
        <v>0.35434596467011148</v>
      </c>
      <c r="S94" s="100">
        <v>422.66386665850894</v>
      </c>
      <c r="T94" s="100">
        <v>8.2036788160617391</v>
      </c>
      <c r="U94" s="100">
        <v>9785.3480917984416</v>
      </c>
      <c r="V94" s="100">
        <v>5</v>
      </c>
      <c r="W94" s="100">
        <v>5964</v>
      </c>
      <c r="X94" s="100">
        <v>3.509001852764579</v>
      </c>
      <c r="Y94" s="100">
        <v>4185.53740997759</v>
      </c>
      <c r="Z94" s="100">
        <v>0.42459382462353018</v>
      </c>
      <c r="AA94" s="100">
        <v>506.45551401094679</v>
      </c>
      <c r="AB94" s="100">
        <v>6.2028487620466217</v>
      </c>
      <c r="AC94" s="100">
        <v>7398.7580033692102</v>
      </c>
      <c r="AD94" s="100">
        <v>2.7047353768798161</v>
      </c>
      <c r="AE94" s="100">
        <v>3226.2083575422444</v>
      </c>
      <c r="AF94" s="100">
        <v>6.8366260925599454</v>
      </c>
      <c r="AG94" s="100">
        <v>8154.7276032055024</v>
      </c>
      <c r="AH94" s="100">
        <v>1.7728599633491968</v>
      </c>
      <c r="AI94" s="100">
        <v>2114.6673642829219</v>
      </c>
      <c r="AJ94" s="100">
        <v>5.9860893843308665</v>
      </c>
      <c r="AK94" s="100">
        <v>7140.2074176298574</v>
      </c>
      <c r="AL94" s="100">
        <v>1.9059631205994829</v>
      </c>
      <c r="AM94" s="100">
        <v>2273.4328102510631</v>
      </c>
      <c r="AN94" s="100">
        <v>6.2208594042971788</v>
      </c>
      <c r="AO94" s="100">
        <v>7420.2410974456743</v>
      </c>
      <c r="AP94" s="100">
        <v>4.8188597316439132</v>
      </c>
      <c r="AQ94" s="100">
        <v>5747.9358879048596</v>
      </c>
      <c r="AR94" s="100">
        <v>4.8560940531808017E-4</v>
      </c>
      <c r="AS94" s="100">
        <v>0.57923489866340605</v>
      </c>
      <c r="AT94" s="100">
        <v>4.8490539131821544</v>
      </c>
      <c r="AU94" s="100">
        <v>5783.9515076436737</v>
      </c>
      <c r="AV94" s="100">
        <v>4.7834613753254594E-4</v>
      </c>
      <c r="AW94" s="100">
        <v>0.57057127284882081</v>
      </c>
      <c r="AX94" s="100">
        <v>4.6558022805365544E-4</v>
      </c>
      <c r="AY94" s="100">
        <v>0.5553440960224002</v>
      </c>
      <c r="AZ94" s="100">
        <v>4.6258734728071271</v>
      </c>
      <c r="BA94" s="100">
        <v>5517.7418783643407</v>
      </c>
      <c r="BB94" s="100">
        <v>0.23632834637719496</v>
      </c>
      <c r="BC94" s="100">
        <v>281.89245155871816</v>
      </c>
      <c r="BD94" s="100">
        <v>6.1180940698607422</v>
      </c>
      <c r="BE94" s="100">
        <v>7297.6626065298933</v>
      </c>
      <c r="BF94" s="100">
        <v>2.3312904012493862</v>
      </c>
      <c r="BG94" s="100">
        <v>2780.7631906102679</v>
      </c>
      <c r="BH94" s="100">
        <v>7.6979073745711011</v>
      </c>
      <c r="BI94" s="100">
        <v>9182.0639163884098</v>
      </c>
      <c r="BJ94" s="100">
        <v>4.7141696685009293</v>
      </c>
      <c r="BK94" s="100">
        <v>5623.0615805879079</v>
      </c>
      <c r="BL94" s="100">
        <v>4.3309082185176483E-4</v>
      </c>
      <c r="BM94" s="100">
        <v>0.51659073230478503</v>
      </c>
      <c r="BN94" s="100">
        <v>4.2038147254215144</v>
      </c>
      <c r="BO94" s="100">
        <v>5014.310204482782</v>
      </c>
      <c r="BP94" s="100">
        <v>3.5344147474749037</v>
      </c>
      <c r="BQ94" s="100">
        <v>4215.8499107880652</v>
      </c>
      <c r="BR94" s="100">
        <v>3.7564794121129634</v>
      </c>
      <c r="BS94" s="100">
        <v>4480.728642768343</v>
      </c>
      <c r="BT94" s="100">
        <v>0.36746665936639772</v>
      </c>
      <c r="BU94" s="100">
        <v>438.31423129223919</v>
      </c>
      <c r="BV94" s="100">
        <v>9.2239060505193553</v>
      </c>
      <c r="BW94" s="100">
        <v>11002.275137059487</v>
      </c>
      <c r="BX94" s="100">
        <v>3.8044564742194362</v>
      </c>
      <c r="BY94" s="100">
        <v>4537.9556824489437</v>
      </c>
      <c r="BZ94" s="100">
        <v>5.116991451779028</v>
      </c>
      <c r="CA94" s="100">
        <v>6103.5474036820242</v>
      </c>
      <c r="CB94" s="100">
        <v>5.0279750852333729</v>
      </c>
      <c r="CC94" s="100">
        <v>5997.3686816663667</v>
      </c>
      <c r="CD94" s="100">
        <v>3.1270887779079621</v>
      </c>
      <c r="CE94" s="100">
        <v>3729.9914942886171</v>
      </c>
      <c r="CF94" s="100">
        <v>4.5180467502188089</v>
      </c>
      <c r="CG94" s="100">
        <v>5389.1261636609952</v>
      </c>
      <c r="CH94" s="100">
        <v>5.3251465096271673</v>
      </c>
      <c r="CI94" s="100">
        <v>6351.8347566832845</v>
      </c>
      <c r="CJ94" s="100">
        <v>6.8366449430611285</v>
      </c>
      <c r="CK94" s="100">
        <v>8154.750088083314</v>
      </c>
      <c r="CL94" s="100">
        <v>6.77382724480126</v>
      </c>
      <c r="CM94" s="100">
        <v>8079.8211375989422</v>
      </c>
      <c r="CN94" s="100">
        <v>4.8681751999843845</v>
      </c>
      <c r="CO94" s="100">
        <v>5806.7593785413737</v>
      </c>
      <c r="CP94" s="100">
        <v>3.4974212689325679</v>
      </c>
      <c r="CQ94" s="100">
        <v>4171.7240895827672</v>
      </c>
      <c r="CR94" s="100">
        <v>2.9612545447173586</v>
      </c>
      <c r="CS94" s="100">
        <v>3532.1844209388651</v>
      </c>
      <c r="CT94" s="100">
        <v>3.7512392371197785</v>
      </c>
      <c r="CU94" s="100">
        <v>4474.478162036472</v>
      </c>
    </row>
    <row r="95" spans="2:99">
      <c r="B95" s="99" t="s">
        <v>132</v>
      </c>
      <c r="C95" s="99" t="s">
        <v>261</v>
      </c>
      <c r="D95" s="100">
        <v>10.746117707514575</v>
      </c>
      <c r="E95" s="100">
        <v>3533.3235022307922</v>
      </c>
      <c r="F95" s="100">
        <v>8.1536419860445211</v>
      </c>
      <c r="G95" s="100">
        <v>2680.9174850114387</v>
      </c>
      <c r="H95" s="100">
        <v>6.7373042118597759</v>
      </c>
      <c r="I95" s="100">
        <v>2215.2256248594945</v>
      </c>
      <c r="J95" s="100">
        <v>0.6116272350697517</v>
      </c>
      <c r="K95" s="100">
        <v>201.10303489093437</v>
      </c>
      <c r="L95" s="100">
        <v>13.311825674088013</v>
      </c>
      <c r="M95" s="100">
        <v>4376.9282816401392</v>
      </c>
      <c r="N95" s="100">
        <v>8.4373077936093104</v>
      </c>
      <c r="O95" s="100">
        <v>2774.1868025387412</v>
      </c>
      <c r="P95" s="100">
        <v>7.0025456855208335</v>
      </c>
      <c r="Q95" s="100">
        <v>2302.4370213992502</v>
      </c>
      <c r="R95" s="100">
        <v>0.58822974383333115</v>
      </c>
      <c r="S95" s="100">
        <v>193.4099397723993</v>
      </c>
      <c r="T95" s="100">
        <v>10.271571754748987</v>
      </c>
      <c r="U95" s="100">
        <v>3377.2927929614671</v>
      </c>
      <c r="V95" s="100">
        <v>8</v>
      </c>
      <c r="W95" s="100">
        <v>2630.4</v>
      </c>
      <c r="X95" s="100">
        <v>10.527005558293736</v>
      </c>
      <c r="Y95" s="100">
        <v>3461.2794275669803</v>
      </c>
      <c r="Z95" s="100">
        <v>0.52117545542600285</v>
      </c>
      <c r="AA95" s="100">
        <v>171.36248974406973</v>
      </c>
      <c r="AB95" s="100">
        <v>10.243418514455946</v>
      </c>
      <c r="AC95" s="100">
        <v>3368.0360075531153</v>
      </c>
      <c r="AD95" s="100">
        <v>2.7047353768798161</v>
      </c>
      <c r="AE95" s="100">
        <v>889.31699191808354</v>
      </c>
      <c r="AF95" s="100">
        <v>8.1155014567465944</v>
      </c>
      <c r="AG95" s="100">
        <v>2668.3768789782803</v>
      </c>
      <c r="AH95" s="100">
        <v>3.3684324086483839</v>
      </c>
      <c r="AI95" s="100">
        <v>1107.5405759635887</v>
      </c>
      <c r="AJ95" s="100">
        <v>12.314785845774489</v>
      </c>
      <c r="AK95" s="100">
        <v>4049.1015860906523</v>
      </c>
      <c r="AL95" s="100">
        <v>2.4047268399664854</v>
      </c>
      <c r="AM95" s="100">
        <v>790.67418498098039</v>
      </c>
      <c r="AN95" s="100">
        <v>10.395267890625348</v>
      </c>
      <c r="AO95" s="100">
        <v>3417.9640824376147</v>
      </c>
      <c r="AP95" s="100">
        <v>9.6377194632878265</v>
      </c>
      <c r="AQ95" s="100">
        <v>3168.8821595290374</v>
      </c>
      <c r="AR95" s="100">
        <v>6.1234904707528637E-4</v>
      </c>
      <c r="AS95" s="100">
        <v>0.20134036667835417</v>
      </c>
      <c r="AT95" s="100">
        <v>6.2345368291901355</v>
      </c>
      <c r="AU95" s="100">
        <v>2049.9157094377165</v>
      </c>
      <c r="AV95" s="100">
        <v>4.7834613753254594E-4</v>
      </c>
      <c r="AW95" s="100">
        <v>0.15728021002070111</v>
      </c>
      <c r="AX95" s="100">
        <v>5.8197528506706922E-4</v>
      </c>
      <c r="AY95" s="100">
        <v>0.19135347373005238</v>
      </c>
      <c r="AZ95" s="100">
        <v>6.9388661517121184</v>
      </c>
      <c r="BA95" s="100">
        <v>2281.4991906829446</v>
      </c>
      <c r="BB95" s="100">
        <v>0.74276337786790836</v>
      </c>
      <c r="BC95" s="100">
        <v>244.22059864296827</v>
      </c>
      <c r="BD95" s="100">
        <v>8.3542822095822267</v>
      </c>
      <c r="BE95" s="100">
        <v>2746.8879905106364</v>
      </c>
      <c r="BF95" s="100">
        <v>3.533913336143784</v>
      </c>
      <c r="BG95" s="100">
        <v>1161.9507049240763</v>
      </c>
      <c r="BH95" s="100">
        <v>10.570291592784976</v>
      </c>
      <c r="BI95" s="100">
        <v>3475.5118757077003</v>
      </c>
      <c r="BJ95" s="100">
        <v>9.4283393370018587</v>
      </c>
      <c r="BK95" s="100">
        <v>3100.0379740062112</v>
      </c>
      <c r="BL95" s="100">
        <v>5.6894210002271886E-4</v>
      </c>
      <c r="BM95" s="100">
        <v>0.18706816248746996</v>
      </c>
      <c r="BN95" s="100">
        <v>6.7260754590829688</v>
      </c>
      <c r="BO95" s="100">
        <v>2211.5336109464802</v>
      </c>
      <c r="BP95" s="100">
        <v>7.6481995764624244</v>
      </c>
      <c r="BQ95" s="100">
        <v>2514.7280207408453</v>
      </c>
      <c r="BR95" s="100">
        <v>7.6874086813269376</v>
      </c>
      <c r="BS95" s="100">
        <v>2527.6199744202972</v>
      </c>
      <c r="BT95" s="100">
        <v>0.5762073398122507</v>
      </c>
      <c r="BU95" s="100">
        <v>189.45697333026803</v>
      </c>
      <c r="BV95" s="100">
        <v>8.2558926291649772</v>
      </c>
      <c r="BW95" s="100">
        <v>2714.5374964694447</v>
      </c>
      <c r="BX95" s="100">
        <v>4.9685423200337979</v>
      </c>
      <c r="BY95" s="100">
        <v>1633.6567148271129</v>
      </c>
      <c r="BZ95" s="100">
        <v>9.3792485966285888</v>
      </c>
      <c r="CA95" s="100">
        <v>3083.89693857148</v>
      </c>
      <c r="CB95" s="100">
        <v>6.3869776190617857</v>
      </c>
      <c r="CC95" s="100">
        <v>2100.0382411475152</v>
      </c>
      <c r="CD95" s="100">
        <v>3.3596746907060631</v>
      </c>
      <c r="CE95" s="100">
        <v>1104.6610383041536</v>
      </c>
      <c r="CF95" s="100">
        <v>6.7505737894070643</v>
      </c>
      <c r="CG95" s="100">
        <v>2219.5886619570429</v>
      </c>
      <c r="CH95" s="100">
        <v>7.2490541912634905</v>
      </c>
      <c r="CI95" s="100">
        <v>2383.4890180874359</v>
      </c>
      <c r="CJ95" s="100">
        <v>8.1196575698612072</v>
      </c>
      <c r="CK95" s="100">
        <v>2669.7434089703652</v>
      </c>
      <c r="CL95" s="100">
        <v>8.7506815159846969</v>
      </c>
      <c r="CM95" s="100">
        <v>2877.2240824557684</v>
      </c>
      <c r="CN95" s="100">
        <v>6.8847914534633361</v>
      </c>
      <c r="CO95" s="100">
        <v>2263.7194298987451</v>
      </c>
      <c r="CP95" s="100">
        <v>3.6110300693813975</v>
      </c>
      <c r="CQ95" s="100">
        <v>1187.3066868126036</v>
      </c>
      <c r="CR95" s="100">
        <v>4.594641780250404</v>
      </c>
      <c r="CS95" s="100">
        <v>1510.7182173463329</v>
      </c>
      <c r="CT95" s="100">
        <v>8.1764673198815405</v>
      </c>
      <c r="CU95" s="100">
        <v>2688.4224547770505</v>
      </c>
    </row>
    <row r="96" spans="2:99">
      <c r="C96" s="99" t="s">
        <v>262</v>
      </c>
      <c r="D96" s="100">
        <v>10.920729478266033</v>
      </c>
      <c r="E96" s="100">
        <v>7587.7228414992387</v>
      </c>
      <c r="F96" s="100">
        <v>8.1536419860445211</v>
      </c>
      <c r="G96" s="100">
        <v>5665.1504519037326</v>
      </c>
      <c r="H96" s="100">
        <v>5.8112267289736037</v>
      </c>
      <c r="I96" s="100">
        <v>4037.6403312908596</v>
      </c>
      <c r="J96" s="100">
        <v>0.6116272350697517</v>
      </c>
      <c r="K96" s="100">
        <v>424.95860292646347</v>
      </c>
      <c r="L96" s="100">
        <v>12.283477885534557</v>
      </c>
      <c r="M96" s="100">
        <v>8534.5604348694105</v>
      </c>
      <c r="N96" s="100">
        <v>8.4373077936093104</v>
      </c>
      <c r="O96" s="100">
        <v>5862.2414549997484</v>
      </c>
      <c r="P96" s="100">
        <v>6.372601316855758</v>
      </c>
      <c r="Q96" s="100">
        <v>4427.6833949513803</v>
      </c>
      <c r="R96" s="100">
        <v>0.47981474955160308</v>
      </c>
      <c r="S96" s="100">
        <v>333.37528798845381</v>
      </c>
      <c r="T96" s="100">
        <v>11.271571754748987</v>
      </c>
      <c r="U96" s="100">
        <v>7831.4880551995957</v>
      </c>
      <c r="V96" s="100">
        <v>8</v>
      </c>
      <c r="W96" s="100">
        <v>5558.4</v>
      </c>
      <c r="X96" s="100">
        <v>8.7725046319114455</v>
      </c>
      <c r="Y96" s="100">
        <v>6095.1362182520716</v>
      </c>
      <c r="Z96" s="100">
        <v>0.52481996032253997</v>
      </c>
      <c r="AA96" s="100">
        <v>364.64490843210075</v>
      </c>
      <c r="AB96" s="100">
        <v>9.2028487620466226</v>
      </c>
      <c r="AC96" s="100">
        <v>6394.1393198699934</v>
      </c>
      <c r="AD96" s="100">
        <v>2.4654759135569826</v>
      </c>
      <c r="AE96" s="100">
        <v>1713.0126647393913</v>
      </c>
      <c r="AF96" s="100">
        <v>7.9760637746532694</v>
      </c>
      <c r="AG96" s="100">
        <v>5541.7691106290913</v>
      </c>
      <c r="AH96" s="100">
        <v>2.9252174178110844</v>
      </c>
      <c r="AI96" s="100">
        <v>2032.4410618951413</v>
      </c>
      <c r="AJ96" s="100">
        <v>12.314785845774489</v>
      </c>
      <c r="AK96" s="100">
        <v>8556.3132056441154</v>
      </c>
      <c r="AL96" s="100">
        <v>2.1494083098083556</v>
      </c>
      <c r="AM96" s="100">
        <v>1493.4088936548453</v>
      </c>
      <c r="AN96" s="100">
        <v>9.2208594042971779</v>
      </c>
      <c r="AO96" s="100">
        <v>6406.6531141056785</v>
      </c>
      <c r="AP96" s="100">
        <v>10.60149140961661</v>
      </c>
      <c r="AQ96" s="100">
        <v>7365.9162314016203</v>
      </c>
      <c r="AR96" s="100">
        <v>5.4897922619668324E-4</v>
      </c>
      <c r="AS96" s="100">
        <v>0.38143076636145551</v>
      </c>
      <c r="AT96" s="100">
        <v>6.2345368291901355</v>
      </c>
      <c r="AU96" s="100">
        <v>4331.7561889213057</v>
      </c>
      <c r="AV96" s="100">
        <v>4.7834613753254594E-4</v>
      </c>
      <c r="AW96" s="100">
        <v>0.33235489635761289</v>
      </c>
      <c r="AX96" s="100">
        <v>5.2377775656036233E-4</v>
      </c>
      <c r="AY96" s="100">
        <v>0.3639207852581397</v>
      </c>
      <c r="AZ96" s="100">
        <v>7.7098264163461634</v>
      </c>
      <c r="BA96" s="100">
        <v>5356.7873940773143</v>
      </c>
      <c r="BB96" s="100">
        <v>0.62956072386714923</v>
      </c>
      <c r="BC96" s="100">
        <v>437.41879094289527</v>
      </c>
      <c r="BD96" s="100">
        <v>8.2952351746518556</v>
      </c>
      <c r="BE96" s="100">
        <v>5763.5293993481091</v>
      </c>
      <c r="BF96" s="100">
        <v>3.5524022032786369</v>
      </c>
      <c r="BG96" s="100">
        <v>2468.2090508379965</v>
      </c>
      <c r="BH96" s="100">
        <v>10.570291592784976</v>
      </c>
      <c r="BI96" s="100">
        <v>7344.2385986670006</v>
      </c>
      <c r="BJ96" s="100">
        <v>10.371173270702045</v>
      </c>
      <c r="BK96" s="100">
        <v>7205.8911884837798</v>
      </c>
      <c r="BL96" s="100">
        <v>5.1653954870403533E-4</v>
      </c>
      <c r="BM96" s="100">
        <v>0.35889167843956371</v>
      </c>
      <c r="BN96" s="100">
        <v>6.7260477289020724</v>
      </c>
      <c r="BO96" s="100">
        <v>4673.2579620411598</v>
      </c>
      <c r="BP96" s="100">
        <v>7.6696458954573714</v>
      </c>
      <c r="BQ96" s="100">
        <v>5328.8699681637809</v>
      </c>
      <c r="BR96" s="100">
        <v>6.5891417366678136</v>
      </c>
      <c r="BS96" s="100">
        <v>4578.1356786367969</v>
      </c>
      <c r="BT96" s="100">
        <v>0.62737962458350827</v>
      </c>
      <c r="BU96" s="100">
        <v>435.9033631606215</v>
      </c>
      <c r="BV96" s="100">
        <v>7.2239060505193553</v>
      </c>
      <c r="BW96" s="100">
        <v>5019.1699239008476</v>
      </c>
      <c r="BX96" s="100">
        <v>5.4134043330747597</v>
      </c>
      <c r="BY96" s="100">
        <v>3761.2333306203427</v>
      </c>
      <c r="BZ96" s="100">
        <v>9.0981419575846907</v>
      </c>
      <c r="CA96" s="100">
        <v>6321.3890321298422</v>
      </c>
      <c r="CB96" s="100">
        <v>6.3869776190617857</v>
      </c>
      <c r="CC96" s="100">
        <v>4437.6720497241286</v>
      </c>
      <c r="CD96" s="100">
        <v>3.3154130503134636</v>
      </c>
      <c r="CE96" s="100">
        <v>2303.5489873577944</v>
      </c>
      <c r="CF96" s="100">
        <v>6.7542046901086223</v>
      </c>
      <c r="CG96" s="100">
        <v>4692.8214186874702</v>
      </c>
      <c r="CH96" s="100">
        <v>6.1658514466371175</v>
      </c>
      <c r="CI96" s="100">
        <v>4284.0335851234686</v>
      </c>
      <c r="CJ96" s="100">
        <v>6.6282049671135157</v>
      </c>
      <c r="CK96" s="100">
        <v>4605.2768111504702</v>
      </c>
      <c r="CL96" s="100">
        <v>9.6033321549342396</v>
      </c>
      <c r="CM96" s="100">
        <v>6672.3951812483092</v>
      </c>
      <c r="CN96" s="100">
        <v>6.8232162555442484</v>
      </c>
      <c r="CO96" s="100">
        <v>4740.7706543521435</v>
      </c>
      <c r="CP96" s="100">
        <v>3.2023746368109718</v>
      </c>
      <c r="CQ96" s="100">
        <v>2225.0098976562631</v>
      </c>
      <c r="CR96" s="100">
        <v>4.1545715183863816</v>
      </c>
      <c r="CS96" s="100">
        <v>2886.5962909748578</v>
      </c>
      <c r="CT96" s="100">
        <v>7.4541183530676189</v>
      </c>
      <c r="CU96" s="100">
        <v>5179.1214317113809</v>
      </c>
    </row>
    <row r="97" spans="2:99">
      <c r="C97" s="99" t="s">
        <v>263</v>
      </c>
      <c r="D97" s="100">
        <v>10.571505936763117</v>
      </c>
      <c r="E97" s="100">
        <v>4148.258929585847</v>
      </c>
      <c r="F97" s="100">
        <v>8.1536419860445211</v>
      </c>
      <c r="G97" s="100">
        <v>3199.48911532387</v>
      </c>
      <c r="H97" s="100">
        <v>6.6414019759698331</v>
      </c>
      <c r="I97" s="100">
        <v>2606.0861353705623</v>
      </c>
      <c r="J97" s="100">
        <v>0.6116272350697517</v>
      </c>
      <c r="K97" s="100">
        <v>240.00252704137054</v>
      </c>
      <c r="L97" s="100">
        <v>12.311825674088013</v>
      </c>
      <c r="M97" s="100">
        <v>4831.160394512136</v>
      </c>
      <c r="N97" s="100">
        <v>8.4373077936093104</v>
      </c>
      <c r="O97" s="100">
        <v>3310.799578212293</v>
      </c>
      <c r="P97" s="100">
        <v>6.4507237611746557</v>
      </c>
      <c r="Q97" s="100">
        <v>2531.2640038849349</v>
      </c>
      <c r="R97" s="100">
        <v>0.57765324488688152</v>
      </c>
      <c r="S97" s="100">
        <v>226.67113329361229</v>
      </c>
      <c r="T97" s="100">
        <v>11.271571754748987</v>
      </c>
      <c r="U97" s="100">
        <v>4422.9647565635023</v>
      </c>
      <c r="V97" s="100">
        <v>9</v>
      </c>
      <c r="W97" s="100">
        <v>3531.6</v>
      </c>
      <c r="X97" s="100">
        <v>8.7725046319114455</v>
      </c>
      <c r="Y97" s="100">
        <v>3442.3308175620509</v>
      </c>
      <c r="Z97" s="100">
        <v>0.52299770787427147</v>
      </c>
      <c r="AA97" s="100">
        <v>205.22430056986411</v>
      </c>
      <c r="AB97" s="100">
        <v>10.243418514455946</v>
      </c>
      <c r="AC97" s="100">
        <v>4019.5174250725131</v>
      </c>
      <c r="AD97" s="100">
        <v>2.7047353768798161</v>
      </c>
      <c r="AE97" s="100">
        <v>1061.3381618876399</v>
      </c>
      <c r="AF97" s="100">
        <v>8.1155014567465944</v>
      </c>
      <c r="AG97" s="100">
        <v>3184.5227716273635</v>
      </c>
      <c r="AH97" s="100">
        <v>3.3462717859161097</v>
      </c>
      <c r="AI97" s="100">
        <v>1313.0770487934815</v>
      </c>
      <c r="AJ97" s="100">
        <v>11.314785845774489</v>
      </c>
      <c r="AK97" s="100">
        <v>4439.9219658819093</v>
      </c>
      <c r="AL97" s="100">
        <v>2.1375349688590983</v>
      </c>
      <c r="AM97" s="100">
        <v>838.7687217803101</v>
      </c>
      <c r="AN97" s="100">
        <v>11.220859404297178</v>
      </c>
      <c r="AO97" s="100">
        <v>4403.0652302462122</v>
      </c>
      <c r="AP97" s="100">
        <v>10.60149140961661</v>
      </c>
      <c r="AQ97" s="100">
        <v>4160.0252291335573</v>
      </c>
      <c r="AR97" s="100">
        <v>6.1234904707528637E-4</v>
      </c>
      <c r="AS97" s="100">
        <v>0.24028576607234237</v>
      </c>
      <c r="AT97" s="100">
        <v>7.6199457758473823</v>
      </c>
      <c r="AU97" s="100">
        <v>2990.0667224425129</v>
      </c>
      <c r="AV97" s="100">
        <v>5.4668130003719543E-4</v>
      </c>
      <c r="AW97" s="100">
        <v>0.21451774213459548</v>
      </c>
      <c r="AX97" s="100">
        <v>5.8197528506706922E-4</v>
      </c>
      <c r="AY97" s="100">
        <v>0.22836710186031794</v>
      </c>
      <c r="AZ97" s="100">
        <v>7.7098264163461634</v>
      </c>
      <c r="BA97" s="100">
        <v>3025.3358857742342</v>
      </c>
      <c r="BB97" s="100">
        <v>0.74375568170547601</v>
      </c>
      <c r="BC97" s="100">
        <v>291.84972950122875</v>
      </c>
      <c r="BD97" s="100">
        <v>8.3247586921170402</v>
      </c>
      <c r="BE97" s="100">
        <v>3266.6353107867262</v>
      </c>
      <c r="BF97" s="100">
        <v>3.533913336143784</v>
      </c>
      <c r="BG97" s="100">
        <v>1386.7075931028207</v>
      </c>
      <c r="BH97" s="100">
        <v>10.570291592784976</v>
      </c>
      <c r="BI97" s="100">
        <v>4147.7824210088247</v>
      </c>
      <c r="BJ97" s="100">
        <v>9.4283393370018587</v>
      </c>
      <c r="BK97" s="100">
        <v>3699.6803558395291</v>
      </c>
      <c r="BL97" s="100">
        <v>5.1903487019830201E-4</v>
      </c>
      <c r="BM97" s="100">
        <v>0.20366928306581369</v>
      </c>
      <c r="BN97" s="100">
        <v>6.7260477289020724</v>
      </c>
      <c r="BO97" s="100">
        <v>2639.3011288211728</v>
      </c>
      <c r="BP97" s="100">
        <v>7.6481995764624244</v>
      </c>
      <c r="BQ97" s="100">
        <v>3001.1535138038553</v>
      </c>
      <c r="BR97" s="100">
        <v>7.2252701719044126</v>
      </c>
      <c r="BS97" s="100">
        <v>2835.1960154552912</v>
      </c>
      <c r="BT97" s="100">
        <v>0.67913070097774053</v>
      </c>
      <c r="BU97" s="100">
        <v>266.49088706366535</v>
      </c>
      <c r="BV97" s="100">
        <v>7.2558926291649772</v>
      </c>
      <c r="BW97" s="100">
        <v>2847.2122676843369</v>
      </c>
      <c r="BX97" s="100">
        <v>5.9160354782961866</v>
      </c>
      <c r="BY97" s="100">
        <v>2321.4523216834236</v>
      </c>
      <c r="BZ97" s="100">
        <v>10.093429584036105</v>
      </c>
      <c r="CA97" s="100">
        <v>3960.6617687757675</v>
      </c>
      <c r="CB97" s="100">
        <v>6.3744850241181652</v>
      </c>
      <c r="CC97" s="100">
        <v>2501.3479234639681</v>
      </c>
      <c r="CD97" s="100">
        <v>3.3596746907060631</v>
      </c>
      <c r="CE97" s="100">
        <v>1318.3363486330591</v>
      </c>
      <c r="CF97" s="100">
        <v>7.5145978461454659</v>
      </c>
      <c r="CG97" s="100">
        <v>2948.7281948274808</v>
      </c>
      <c r="CH97" s="100">
        <v>6.6144396802474388</v>
      </c>
      <c r="CI97" s="100">
        <v>2595.5061305290947</v>
      </c>
      <c r="CJ97" s="100">
        <v>7.4516596721438786</v>
      </c>
      <c r="CK97" s="100">
        <v>2924.0312553492577</v>
      </c>
      <c r="CL97" s="100">
        <v>8.8789490464679961</v>
      </c>
      <c r="CM97" s="100">
        <v>3484.0996058340415</v>
      </c>
      <c r="CN97" s="100">
        <v>6.2821132890218925</v>
      </c>
      <c r="CO97" s="100">
        <v>2465.1012546121906</v>
      </c>
      <c r="CP97" s="100">
        <v>3.6110300693813975</v>
      </c>
      <c r="CQ97" s="100">
        <v>1416.9681992252604</v>
      </c>
      <c r="CR97" s="100">
        <v>4.594641780250404</v>
      </c>
      <c r="CS97" s="100">
        <v>1802.9374345702583</v>
      </c>
      <c r="CT97" s="100">
        <v>7.5408375851175791</v>
      </c>
      <c r="CU97" s="100">
        <v>2959.0246684001377</v>
      </c>
    </row>
    <row r="98" spans="2:99">
      <c r="C98" s="99" t="s">
        <v>264</v>
      </c>
      <c r="D98" s="100">
        <v>11.920729478266033</v>
      </c>
      <c r="E98" s="100">
        <v>6265.5354137766271</v>
      </c>
      <c r="F98" s="100">
        <v>8.9690061846489737</v>
      </c>
      <c r="G98" s="100">
        <v>4714.1096506515005</v>
      </c>
      <c r="H98" s="100">
        <v>5.9071289648635483</v>
      </c>
      <c r="I98" s="100">
        <v>3104.7869839322811</v>
      </c>
      <c r="J98" s="100">
        <v>0.61072141193734719</v>
      </c>
      <c r="K98" s="100">
        <v>320.99517411426967</v>
      </c>
      <c r="L98" s="100">
        <v>12.311825674088013</v>
      </c>
      <c r="M98" s="100">
        <v>6471.0955743006598</v>
      </c>
      <c r="N98" s="100">
        <v>7.4998291498749428</v>
      </c>
      <c r="O98" s="100">
        <v>3941.9102011742702</v>
      </c>
      <c r="P98" s="100">
        <v>6.4507237611746557</v>
      </c>
      <c r="Q98" s="100">
        <v>3390.500408873399</v>
      </c>
      <c r="R98" s="100">
        <v>0.60786528802339002</v>
      </c>
      <c r="S98" s="100">
        <v>319.4939953850938</v>
      </c>
      <c r="T98" s="100">
        <v>10.271571754748987</v>
      </c>
      <c r="U98" s="100">
        <v>5398.7381142960676</v>
      </c>
      <c r="V98" s="100">
        <v>8</v>
      </c>
      <c r="W98" s="100">
        <v>4204.8</v>
      </c>
      <c r="X98" s="100">
        <v>8.7725046319114455</v>
      </c>
      <c r="Y98" s="100">
        <v>4610.8284345326556</v>
      </c>
      <c r="Z98" s="100">
        <v>0.57219964949964208</v>
      </c>
      <c r="AA98" s="100">
        <v>300.7481357770119</v>
      </c>
      <c r="AB98" s="100">
        <v>10.243418514455946</v>
      </c>
      <c r="AC98" s="100">
        <v>5383.9407711980457</v>
      </c>
      <c r="AD98" s="100">
        <v>2.851866681682671</v>
      </c>
      <c r="AE98" s="100">
        <v>1498.9411278924119</v>
      </c>
      <c r="AF98" s="100">
        <v>9.1155014567465944</v>
      </c>
      <c r="AG98" s="100">
        <v>4791.1075656660105</v>
      </c>
      <c r="AH98" s="100">
        <v>3.3684324086483839</v>
      </c>
      <c r="AI98" s="100">
        <v>1770.4480739855906</v>
      </c>
      <c r="AJ98" s="100">
        <v>12.150437615052677</v>
      </c>
      <c r="AK98" s="100">
        <v>6386.2700104716878</v>
      </c>
      <c r="AL98" s="100">
        <v>2.1375349688590983</v>
      </c>
      <c r="AM98" s="100">
        <v>1123.4883796323422</v>
      </c>
      <c r="AN98" s="100">
        <v>10.220859404297178</v>
      </c>
      <c r="AO98" s="100">
        <v>5372.083702898597</v>
      </c>
      <c r="AP98" s="100">
        <v>9.6377194632878265</v>
      </c>
      <c r="AQ98" s="100">
        <v>5065.5853499040822</v>
      </c>
      <c r="AR98" s="100">
        <v>6.1234904707528637E-4</v>
      </c>
      <c r="AS98" s="100">
        <v>0.3218506591427705</v>
      </c>
      <c r="AT98" s="100">
        <v>6.2345564861133882</v>
      </c>
      <c r="AU98" s="100">
        <v>3276.8828891011972</v>
      </c>
      <c r="AV98" s="100">
        <v>5.4668130003719543E-4</v>
      </c>
      <c r="AW98" s="100">
        <v>0.28733569129954994</v>
      </c>
      <c r="AX98" s="100">
        <v>5.2377775656036233E-4</v>
      </c>
      <c r="AY98" s="100">
        <v>0.27529758884812644</v>
      </c>
      <c r="AZ98" s="100">
        <v>6.9388661517121184</v>
      </c>
      <c r="BA98" s="100">
        <v>3647.0680493398895</v>
      </c>
      <c r="BB98" s="100">
        <v>0.74276337786790836</v>
      </c>
      <c r="BC98" s="100">
        <v>390.39643140737263</v>
      </c>
      <c r="BD98" s="100">
        <v>7.3247586921170411</v>
      </c>
      <c r="BE98" s="100">
        <v>3849.893168576717</v>
      </c>
      <c r="BF98" s="100">
        <v>3.5708910704134893</v>
      </c>
      <c r="BG98" s="100">
        <v>1876.86034660933</v>
      </c>
      <c r="BH98" s="100">
        <v>10.570291592784976</v>
      </c>
      <c r="BI98" s="100">
        <v>5555.7452611677836</v>
      </c>
      <c r="BJ98" s="100">
        <v>10.371173270702045</v>
      </c>
      <c r="BK98" s="100">
        <v>5451.0886710809946</v>
      </c>
      <c r="BL98" s="100">
        <v>5.6894210002271886E-4</v>
      </c>
      <c r="BM98" s="100">
        <v>0.29903596777194102</v>
      </c>
      <c r="BN98" s="100">
        <v>6.7260754590829688</v>
      </c>
      <c r="BO98" s="100">
        <v>3535.2252612940088</v>
      </c>
      <c r="BP98" s="100">
        <v>8.7923113077255923</v>
      </c>
      <c r="BQ98" s="100">
        <v>4621.2388233405718</v>
      </c>
      <c r="BR98" s="100">
        <v>7.1395468167878713</v>
      </c>
      <c r="BS98" s="100">
        <v>3752.5458069037054</v>
      </c>
      <c r="BT98" s="100">
        <v>0.62680083296053368</v>
      </c>
      <c r="BU98" s="100">
        <v>329.4465178040565</v>
      </c>
      <c r="BV98" s="100">
        <v>7.2239060505193553</v>
      </c>
      <c r="BW98" s="100">
        <v>3796.8850201529735</v>
      </c>
      <c r="BX98" s="100">
        <v>4.9685423200337979</v>
      </c>
      <c r="BY98" s="100">
        <v>2611.4658434097641</v>
      </c>
      <c r="BZ98" s="100">
        <v>10.233982903558056</v>
      </c>
      <c r="CA98" s="100">
        <v>5378.9814141101142</v>
      </c>
      <c r="CB98" s="100">
        <v>7.0730446751751455</v>
      </c>
      <c r="CC98" s="100">
        <v>3717.5922812720564</v>
      </c>
      <c r="CD98" s="100">
        <v>2.8892058006893251</v>
      </c>
      <c r="CE98" s="100">
        <v>1518.5665688423094</v>
      </c>
      <c r="CF98" s="100">
        <v>7.5145978461454659</v>
      </c>
      <c r="CG98" s="100">
        <v>3949.6726279340569</v>
      </c>
      <c r="CH98" s="100">
        <v>6.7045865120091372</v>
      </c>
      <c r="CI98" s="100">
        <v>3523.9306707120027</v>
      </c>
      <c r="CJ98" s="100">
        <v>7.3404581305078693</v>
      </c>
      <c r="CK98" s="100">
        <v>3858.1447933949362</v>
      </c>
      <c r="CL98" s="100">
        <v>9.478349797145448</v>
      </c>
      <c r="CM98" s="100">
        <v>4981.8206533796474</v>
      </c>
      <c r="CN98" s="100">
        <v>6.9890823335406456</v>
      </c>
      <c r="CO98" s="100">
        <v>3673.4616745089634</v>
      </c>
      <c r="CP98" s="100">
        <v>3.6323917324325219</v>
      </c>
      <c r="CQ98" s="100">
        <v>1909.1850945665335</v>
      </c>
      <c r="CR98" s="100">
        <v>4.0810627331462923</v>
      </c>
      <c r="CS98" s="100">
        <v>2145.0065725416912</v>
      </c>
      <c r="CT98" s="100">
        <v>6.9919270824035786</v>
      </c>
      <c r="CU98" s="100">
        <v>3674.9568745113211</v>
      </c>
    </row>
    <row r="99" spans="2:99">
      <c r="C99" s="99" t="s">
        <v>265</v>
      </c>
      <c r="D99" s="100">
        <v>7.571505936763117</v>
      </c>
      <c r="E99" s="100">
        <v>31863.9255842739</v>
      </c>
      <c r="F99" s="100">
        <v>5.7075493902311649</v>
      </c>
      <c r="G99" s="100">
        <v>24019.650853848831</v>
      </c>
      <c r="H99" s="100">
        <v>4.9810514819773744</v>
      </c>
      <c r="I99" s="100">
        <v>20962.25705675358</v>
      </c>
      <c r="J99" s="100">
        <v>0.42822964686206666</v>
      </c>
      <c r="K99" s="100">
        <v>1802.1616458543213</v>
      </c>
      <c r="L99" s="100">
        <v>8.2551300969811017</v>
      </c>
      <c r="M99" s="100">
        <v>34740.889500135265</v>
      </c>
      <c r="N99" s="100">
        <v>5.6248718624062066</v>
      </c>
      <c r="O99" s="100">
        <v>23671.710745750279</v>
      </c>
      <c r="P99" s="100">
        <v>4.9564676908878118</v>
      </c>
      <c r="Q99" s="100">
        <v>20858.798630332265</v>
      </c>
      <c r="R99" s="100">
        <v>0.41262569382567466</v>
      </c>
      <c r="S99" s="100">
        <v>1736.493969895969</v>
      </c>
      <c r="T99" s="100">
        <v>8.2376252854053629</v>
      </c>
      <c r="U99" s="100">
        <v>34667.222251099927</v>
      </c>
      <c r="V99" s="100">
        <v>6</v>
      </c>
      <c r="W99" s="100">
        <v>25250.399999999998</v>
      </c>
      <c r="X99" s="100">
        <v>7.018003705529158</v>
      </c>
      <c r="Y99" s="100">
        <v>29534.566794348906</v>
      </c>
      <c r="Z99" s="100">
        <v>0.41912706727872456</v>
      </c>
      <c r="AA99" s="100">
        <v>1763.8543499357843</v>
      </c>
      <c r="AB99" s="100">
        <v>8.2028487620466226</v>
      </c>
      <c r="AC99" s="100">
        <v>34520.868730197006</v>
      </c>
      <c r="AD99" s="100">
        <v>2.0349457539904385</v>
      </c>
      <c r="AE99" s="100">
        <v>8563.86571109336</v>
      </c>
      <c r="AF99" s="100">
        <v>5.8366260925599454</v>
      </c>
      <c r="AG99" s="100">
        <v>24562.857247929271</v>
      </c>
      <c r="AH99" s="100">
        <v>2.4155205587769628</v>
      </c>
      <c r="AI99" s="100">
        <v>10165.476719556969</v>
      </c>
      <c r="AJ99" s="100">
        <v>7.8217411536090555</v>
      </c>
      <c r="AK99" s="100">
        <v>32917.015470848346</v>
      </c>
      <c r="AL99" s="100">
        <v>1.8703430977517108</v>
      </c>
      <c r="AM99" s="100">
        <v>7871.1518925782993</v>
      </c>
      <c r="AN99" s="100">
        <v>8.0464509179690111</v>
      </c>
      <c r="AO99" s="100">
        <v>33862.684043180787</v>
      </c>
      <c r="AP99" s="100">
        <v>7.7101755706302617</v>
      </c>
      <c r="AQ99" s="100">
        <v>32447.502871440389</v>
      </c>
      <c r="AR99" s="100">
        <v>3.4651074615856263E-4</v>
      </c>
      <c r="AS99" s="100">
        <v>1.4582558241336949</v>
      </c>
      <c r="AT99" s="100">
        <v>4.8491278825328887</v>
      </c>
      <c r="AU99" s="100">
        <v>20407.069780851409</v>
      </c>
      <c r="AV99" s="100">
        <v>3.4167581252324709E-4</v>
      </c>
      <c r="AW99" s="100">
        <v>1.4379084894228329</v>
      </c>
      <c r="AX99" s="100">
        <v>4.073826995469485E-4</v>
      </c>
      <c r="AY99" s="100">
        <v>1.7144293527733778</v>
      </c>
      <c r="AZ99" s="100">
        <v>5.3969083274430751</v>
      </c>
      <c r="BA99" s="100">
        <v>22712.349005211436</v>
      </c>
      <c r="BB99" s="100">
        <v>0.51635806986638999</v>
      </c>
      <c r="BC99" s="100">
        <v>2173.0413012257154</v>
      </c>
      <c r="BD99" s="100">
        <v>5.2952351746518556</v>
      </c>
      <c r="BE99" s="100">
        <v>22284.467709004868</v>
      </c>
      <c r="BF99" s="100">
        <v>2.7753054028621751</v>
      </c>
      <c r="BG99" s="100">
        <v>11679.595257405177</v>
      </c>
      <c r="BH99" s="100">
        <v>8.2213379054994267</v>
      </c>
      <c r="BI99" s="100">
        <v>34598.678441503784</v>
      </c>
      <c r="BJ99" s="100">
        <v>6.599837535901302</v>
      </c>
      <c r="BK99" s="100">
        <v>27774.756286087038</v>
      </c>
      <c r="BL99" s="100">
        <v>4.142297675609349E-4</v>
      </c>
      <c r="BM99" s="100">
        <v>1.7432445538034382</v>
      </c>
      <c r="BN99" s="100">
        <v>5.0445635268574502</v>
      </c>
      <c r="BO99" s="100">
        <v>21229.541146426891</v>
      </c>
      <c r="BP99" s="100">
        <v>6.3032604297155519</v>
      </c>
      <c r="BQ99" s="100">
        <v>26526.641192414925</v>
      </c>
      <c r="BR99" s="100">
        <v>4.8496599256101076</v>
      </c>
      <c r="BS99" s="100">
        <v>20409.308830937574</v>
      </c>
      <c r="BT99" s="100">
        <v>0.41979652738360468</v>
      </c>
      <c r="BU99" s="100">
        <v>1766.6717058411618</v>
      </c>
      <c r="BV99" s="100">
        <v>5.1919194718737325</v>
      </c>
      <c r="BW99" s="100">
        <v>21849.673905433414</v>
      </c>
      <c r="BX99" s="100">
        <v>4.4659111748123719</v>
      </c>
      <c r="BY99" s="100">
        <v>18794.340588080384</v>
      </c>
      <c r="BZ99" s="100">
        <v>7.2481200242038089</v>
      </c>
      <c r="CA99" s="100">
        <v>30502.988309859305</v>
      </c>
      <c r="CB99" s="100">
        <v>4.964873127060585</v>
      </c>
      <c r="CC99" s="100">
        <v>20894.172067921765</v>
      </c>
      <c r="CD99" s="100">
        <v>2.396606090476288</v>
      </c>
      <c r="CE99" s="100">
        <v>10085.87707116041</v>
      </c>
      <c r="CF99" s="100">
        <v>5.8238685433170252</v>
      </c>
      <c r="CG99" s="100">
        <v>24509.168377695365</v>
      </c>
      <c r="CH99" s="100">
        <v>4.8736919690756793</v>
      </c>
      <c r="CI99" s="100">
        <v>20510.445282658085</v>
      </c>
      <c r="CJ99" s="100">
        <v>4.9407282301821818</v>
      </c>
      <c r="CK99" s="100">
        <v>20792.560683898693</v>
      </c>
      <c r="CL99" s="100">
        <v>6.7771124174957675</v>
      </c>
      <c r="CM99" s="100">
        <v>28520.799897789184</v>
      </c>
      <c r="CN99" s="100">
        <v>4.9677295263756109</v>
      </c>
      <c r="CO99" s="100">
        <v>20906.192938799119</v>
      </c>
      <c r="CP99" s="100">
        <v>2.2782554564144979</v>
      </c>
      <c r="CQ99" s="100">
        <v>9587.8102627747721</v>
      </c>
      <c r="CR99" s="100">
        <v>3.6371642094861465</v>
      </c>
      <c r="CS99" s="100">
        <v>15306.641859201498</v>
      </c>
      <c r="CT99" s="100">
        <v>5.1717571101616535</v>
      </c>
      <c r="CU99" s="100">
        <v>21764.822622404299</v>
      </c>
    </row>
    <row r="100" spans="2:99">
      <c r="C100" s="99" t="s">
        <v>266</v>
      </c>
      <c r="D100" s="100">
        <v>11.920729478266033</v>
      </c>
      <c r="E100" s="100">
        <v>3862.3163509581946</v>
      </c>
      <c r="F100" s="100">
        <v>8.1536419860445211</v>
      </c>
      <c r="G100" s="100">
        <v>2641.780003478425</v>
      </c>
      <c r="H100" s="100">
        <v>6.0030312007534903</v>
      </c>
      <c r="I100" s="100">
        <v>1944.9821090441308</v>
      </c>
      <c r="J100" s="100">
        <v>0.55019276462305522</v>
      </c>
      <c r="K100" s="100">
        <v>178.26245573786989</v>
      </c>
      <c r="L100" s="100">
        <v>13.283477885534557</v>
      </c>
      <c r="M100" s="100">
        <v>4303.8468349131963</v>
      </c>
      <c r="N100" s="100">
        <v>8.4373077936093104</v>
      </c>
      <c r="O100" s="100">
        <v>2733.6877251294168</v>
      </c>
      <c r="P100" s="100">
        <v>7.0025456855208335</v>
      </c>
      <c r="Q100" s="100">
        <v>2268.8248021087502</v>
      </c>
      <c r="R100" s="100">
        <v>0.54384001878749644</v>
      </c>
      <c r="S100" s="100">
        <v>176.20416608714885</v>
      </c>
      <c r="T100" s="100">
        <v>10.271571754748987</v>
      </c>
      <c r="U100" s="100">
        <v>3327.9892485386717</v>
      </c>
      <c r="V100" s="100">
        <v>9</v>
      </c>
      <c r="W100" s="100">
        <v>2916</v>
      </c>
      <c r="X100" s="100">
        <v>8.7725046319114455</v>
      </c>
      <c r="Y100" s="100">
        <v>2842.2915007393085</v>
      </c>
      <c r="Z100" s="100">
        <v>0.57584415439617909</v>
      </c>
      <c r="AA100" s="100">
        <v>186.57350602436202</v>
      </c>
      <c r="AB100" s="100">
        <v>10.243418514455946</v>
      </c>
      <c r="AC100" s="100">
        <v>3318.8675986837266</v>
      </c>
      <c r="AD100" s="100">
        <v>2.7047353768798161</v>
      </c>
      <c r="AE100" s="100">
        <v>876.33426210906043</v>
      </c>
      <c r="AF100" s="100">
        <v>9.1155014567465944</v>
      </c>
      <c r="AG100" s="100">
        <v>2953.4224719858967</v>
      </c>
      <c r="AH100" s="100">
        <v>3.3462717859161097</v>
      </c>
      <c r="AI100" s="100">
        <v>1084.1920586368196</v>
      </c>
      <c r="AJ100" s="100">
        <v>12.314785845774489</v>
      </c>
      <c r="AK100" s="100">
        <v>3989.9906140309345</v>
      </c>
      <c r="AL100" s="100">
        <v>2.3928534990172285</v>
      </c>
      <c r="AM100" s="100">
        <v>775.28453368158205</v>
      </c>
      <c r="AN100" s="100">
        <v>9.2208594042971779</v>
      </c>
      <c r="AO100" s="100">
        <v>2987.5584469922856</v>
      </c>
      <c r="AP100" s="100">
        <v>10.60149140961661</v>
      </c>
      <c r="AQ100" s="100">
        <v>3434.8832167157816</v>
      </c>
      <c r="AR100" s="100">
        <v>6.1482085055574853E-4</v>
      </c>
      <c r="AS100" s="100">
        <v>0.19920195558006251</v>
      </c>
      <c r="AT100" s="100">
        <v>6.9272609594420116</v>
      </c>
      <c r="AU100" s="100">
        <v>2244.4325508592119</v>
      </c>
      <c r="AV100" s="100">
        <v>5.4668130003719543E-4</v>
      </c>
      <c r="AW100" s="100">
        <v>0.17712474121205132</v>
      </c>
      <c r="AX100" s="100">
        <v>5.8197528506706922E-4</v>
      </c>
      <c r="AY100" s="100">
        <v>0.18855999236173043</v>
      </c>
      <c r="AZ100" s="100">
        <v>6.9388661517121184</v>
      </c>
      <c r="BA100" s="100">
        <v>2248.1926331547265</v>
      </c>
      <c r="BB100" s="100">
        <v>0.63055302770471677</v>
      </c>
      <c r="BC100" s="100">
        <v>204.29918097632824</v>
      </c>
      <c r="BD100" s="100">
        <v>8.3247586921170402</v>
      </c>
      <c r="BE100" s="100">
        <v>2697.2218162459212</v>
      </c>
      <c r="BF100" s="100">
        <v>3.1823426702052586</v>
      </c>
      <c r="BG100" s="100">
        <v>1031.0790251465037</v>
      </c>
      <c r="BH100" s="100">
        <v>9.5702915927849759</v>
      </c>
      <c r="BI100" s="100">
        <v>3100.7744760623323</v>
      </c>
      <c r="BJ100" s="100">
        <v>9.4283393370018587</v>
      </c>
      <c r="BK100" s="100">
        <v>3054.7819451886021</v>
      </c>
      <c r="BL100" s="100">
        <v>6.188493298471357E-4</v>
      </c>
      <c r="BM100" s="100">
        <v>0.20050718287047198</v>
      </c>
      <c r="BN100" s="100">
        <v>7.5667759648339343</v>
      </c>
      <c r="BO100" s="100">
        <v>2451.6354126061947</v>
      </c>
      <c r="BP100" s="100">
        <v>8.3708760037067851</v>
      </c>
      <c r="BQ100" s="100">
        <v>2712.1638252009984</v>
      </c>
      <c r="BR100" s="100">
        <v>8.3235371165635375</v>
      </c>
      <c r="BS100" s="100">
        <v>2696.8260257665861</v>
      </c>
      <c r="BT100" s="100">
        <v>0.62795841620648307</v>
      </c>
      <c r="BU100" s="100">
        <v>203.45852685090051</v>
      </c>
      <c r="BV100" s="100">
        <v>7.2558926291649772</v>
      </c>
      <c r="BW100" s="100">
        <v>2350.9092118494527</v>
      </c>
      <c r="BX100" s="100">
        <v>5.9160354782961866</v>
      </c>
      <c r="BY100" s="100">
        <v>1916.7954949679645</v>
      </c>
      <c r="BZ100" s="100">
        <v>9.3792485966285888</v>
      </c>
      <c r="CA100" s="100">
        <v>3038.8765453076626</v>
      </c>
      <c r="CB100" s="100">
        <v>7.7716043262321248</v>
      </c>
      <c r="CC100" s="100">
        <v>2517.9998016992085</v>
      </c>
      <c r="CD100" s="100">
        <v>3.3154130503134636</v>
      </c>
      <c r="CE100" s="100">
        <v>1074.1938283015622</v>
      </c>
      <c r="CF100" s="100">
        <v>6.7542046901086223</v>
      </c>
      <c r="CG100" s="100">
        <v>2188.3623195951936</v>
      </c>
      <c r="CH100" s="100">
        <v>6.075704614875419</v>
      </c>
      <c r="CI100" s="100">
        <v>1968.5282952196358</v>
      </c>
      <c r="CJ100" s="100">
        <v>7.3367701917014498</v>
      </c>
      <c r="CK100" s="100">
        <v>2377.1135421112699</v>
      </c>
      <c r="CL100" s="100">
        <v>9.4745953140660113</v>
      </c>
      <c r="CM100" s="100">
        <v>3069.7688817573876</v>
      </c>
      <c r="CN100" s="100">
        <v>6.18729551631675</v>
      </c>
      <c r="CO100" s="100">
        <v>2004.6837472866271</v>
      </c>
      <c r="CP100" s="100">
        <v>3.1810129737598474</v>
      </c>
      <c r="CQ100" s="100">
        <v>1030.6482034981905</v>
      </c>
      <c r="CR100" s="100">
        <v>4.51730473321419</v>
      </c>
      <c r="CS100" s="100">
        <v>1463.6067335613975</v>
      </c>
      <c r="CT100" s="100">
        <v>7.6275568171675401</v>
      </c>
      <c r="CU100" s="100">
        <v>2471.3284087622828</v>
      </c>
    </row>
    <row r="101" spans="2:99">
      <c r="C101" s="99" t="s">
        <v>267</v>
      </c>
      <c r="D101" s="100">
        <v>10.746117707514575</v>
      </c>
      <c r="E101" s="100">
        <v>7775.8907731575464</v>
      </c>
      <c r="F101" s="100">
        <v>8.1536419860445211</v>
      </c>
      <c r="G101" s="100">
        <v>5899.9753411018155</v>
      </c>
      <c r="H101" s="100">
        <v>6.6414019759698331</v>
      </c>
      <c r="I101" s="100">
        <v>4805.7184698117717</v>
      </c>
      <c r="J101" s="100">
        <v>0.6116272350697517</v>
      </c>
      <c r="K101" s="100">
        <v>442.57346729647236</v>
      </c>
      <c r="L101" s="100">
        <v>12.311825674088013</v>
      </c>
      <c r="M101" s="100">
        <v>8908.8370577700862</v>
      </c>
      <c r="N101" s="100">
        <v>8.4373077936093104</v>
      </c>
      <c r="O101" s="100">
        <v>6105.2359194556975</v>
      </c>
      <c r="P101" s="100">
        <v>6.372601316855758</v>
      </c>
      <c r="Q101" s="100">
        <v>4611.2143128768266</v>
      </c>
      <c r="R101" s="100">
        <v>0.57765324488688152</v>
      </c>
      <c r="S101" s="100">
        <v>417.98988800014746</v>
      </c>
      <c r="T101" s="100">
        <v>11.271571754748987</v>
      </c>
      <c r="U101" s="100">
        <v>8156.1093217363668</v>
      </c>
      <c r="V101" s="100">
        <v>8</v>
      </c>
      <c r="W101" s="100">
        <v>5788.8</v>
      </c>
      <c r="X101" s="100">
        <v>8.7725046319114455</v>
      </c>
      <c r="Y101" s="100">
        <v>6347.7843516511221</v>
      </c>
      <c r="Z101" s="100">
        <v>0.57219964949964208</v>
      </c>
      <c r="AA101" s="100">
        <v>414.04366637794101</v>
      </c>
      <c r="AB101" s="100">
        <v>10.243418514455946</v>
      </c>
      <c r="AC101" s="100">
        <v>7412.137637060323</v>
      </c>
      <c r="AD101" s="100">
        <v>2.3183446087541282</v>
      </c>
      <c r="AE101" s="100">
        <v>1677.5541588944873</v>
      </c>
      <c r="AF101" s="100">
        <v>7.9760637746532694</v>
      </c>
      <c r="AG101" s="100">
        <v>5771.4797473391063</v>
      </c>
      <c r="AH101" s="100">
        <v>3.3684324086483839</v>
      </c>
      <c r="AI101" s="100">
        <v>2437.3976908979707</v>
      </c>
      <c r="AJ101" s="100">
        <v>11.150437615052677</v>
      </c>
      <c r="AK101" s="100">
        <v>8068.4566582521174</v>
      </c>
      <c r="AL101" s="100">
        <v>2.1375349688590983</v>
      </c>
      <c r="AM101" s="100">
        <v>1546.7203034664435</v>
      </c>
      <c r="AN101" s="100">
        <v>9.3952678906253482</v>
      </c>
      <c r="AO101" s="100">
        <v>6798.4158456565019</v>
      </c>
      <c r="AP101" s="100">
        <v>11.565263355945392</v>
      </c>
      <c r="AQ101" s="100">
        <v>8368.6245643620859</v>
      </c>
      <c r="AR101" s="100">
        <v>6.1482085055574853E-4</v>
      </c>
      <c r="AS101" s="100">
        <v>0.44488436746213966</v>
      </c>
      <c r="AT101" s="100">
        <v>6.9272806163652634</v>
      </c>
      <c r="AU101" s="100">
        <v>5012.5802540019049</v>
      </c>
      <c r="AV101" s="100">
        <v>5.4668130003719543E-4</v>
      </c>
      <c r="AW101" s="100">
        <v>0.39557858870691465</v>
      </c>
      <c r="AX101" s="100">
        <v>5.8197528506706922E-4</v>
      </c>
      <c r="AY101" s="100">
        <v>0.42111731627453131</v>
      </c>
      <c r="AZ101" s="100">
        <v>6.938903446713069</v>
      </c>
      <c r="BA101" s="100">
        <v>5020.9905340415771</v>
      </c>
      <c r="BB101" s="100">
        <v>0.62956072386714923</v>
      </c>
      <c r="BC101" s="100">
        <v>455.55013979026921</v>
      </c>
      <c r="BD101" s="100">
        <v>8.2952351746518556</v>
      </c>
      <c r="BE101" s="100">
        <v>6002.4321723780831</v>
      </c>
      <c r="BF101" s="100">
        <v>3.1453649359355529</v>
      </c>
      <c r="BG101" s="100">
        <v>2275.9860676429662</v>
      </c>
      <c r="BH101" s="100">
        <v>10.570291592784976</v>
      </c>
      <c r="BI101" s="100">
        <v>7648.6629965392085</v>
      </c>
      <c r="BJ101" s="100">
        <v>10.371173270702045</v>
      </c>
      <c r="BK101" s="100">
        <v>7504.58097868</v>
      </c>
      <c r="BL101" s="100">
        <v>5.6894210002271886E-4</v>
      </c>
      <c r="BM101" s="100">
        <v>0.41168650357643938</v>
      </c>
      <c r="BN101" s="100">
        <v>6.7260477289020724</v>
      </c>
      <c r="BO101" s="100">
        <v>4866.9681366335399</v>
      </c>
      <c r="BP101" s="100">
        <v>7.6481995764624244</v>
      </c>
      <c r="BQ101" s="100">
        <v>5534.2372135282103</v>
      </c>
      <c r="BR101" s="100">
        <v>7.689951896907929</v>
      </c>
      <c r="BS101" s="100">
        <v>5564.4491926025776</v>
      </c>
      <c r="BT101" s="100">
        <v>0.57504975656630142</v>
      </c>
      <c r="BU101" s="100">
        <v>416.1060038513757</v>
      </c>
      <c r="BV101" s="100">
        <v>6.2239060505193553</v>
      </c>
      <c r="BW101" s="100">
        <v>4503.6184181558056</v>
      </c>
      <c r="BX101" s="100">
        <v>5.0263114522142622</v>
      </c>
      <c r="BY101" s="100">
        <v>3637.0389668222401</v>
      </c>
      <c r="BZ101" s="100">
        <v>8.5245142896991215</v>
      </c>
      <c r="CA101" s="100">
        <v>6168.3385400262841</v>
      </c>
      <c r="CB101" s="100">
        <v>7.0730446751751455</v>
      </c>
      <c r="CC101" s="100">
        <v>5118.055126956735</v>
      </c>
      <c r="CD101" s="100">
        <v>3.3375438705097631</v>
      </c>
      <c r="CE101" s="100">
        <v>2415.0467447008646</v>
      </c>
      <c r="CF101" s="100">
        <v>6.721526583794601</v>
      </c>
      <c r="CG101" s="100">
        <v>4863.6966360337738</v>
      </c>
      <c r="CH101" s="100">
        <v>7.2461878843223237</v>
      </c>
      <c r="CI101" s="100">
        <v>5243.3415530956336</v>
      </c>
      <c r="CJ101" s="100">
        <v>6.5876376402429093</v>
      </c>
      <c r="CK101" s="100">
        <v>4766.8145964797695</v>
      </c>
      <c r="CL101" s="100">
        <v>7.8886446693365597</v>
      </c>
      <c r="CM101" s="100">
        <v>5708.2232827319349</v>
      </c>
      <c r="CN101" s="100">
        <v>6.8800548997772522</v>
      </c>
      <c r="CO101" s="100">
        <v>4978.4077254788199</v>
      </c>
      <c r="CP101" s="100">
        <v>3.6110300693813975</v>
      </c>
      <c r="CQ101" s="100">
        <v>2612.9413582043794</v>
      </c>
      <c r="CR101" s="100">
        <v>4.1507432565902569</v>
      </c>
      <c r="CS101" s="100">
        <v>3003.47782046871</v>
      </c>
      <c r="CT101" s="100">
        <v>7.4541183530676189</v>
      </c>
      <c r="CU101" s="100">
        <v>5393.8000402797288</v>
      </c>
    </row>
    <row r="102" spans="2:99">
      <c r="C102" s="99" t="s">
        <v>268</v>
      </c>
      <c r="D102" s="100">
        <v>10.571505936763117</v>
      </c>
      <c r="E102" s="100">
        <v>5619.8125559832733</v>
      </c>
      <c r="F102" s="100">
        <v>8.1536419860445211</v>
      </c>
      <c r="G102" s="100">
        <v>4334.4760797812678</v>
      </c>
      <c r="H102" s="100">
        <v>6.6414019759698331</v>
      </c>
      <c r="I102" s="100">
        <v>3530.5692904255634</v>
      </c>
      <c r="J102" s="100">
        <v>0.6116272350697517</v>
      </c>
      <c r="K102" s="100">
        <v>325.14103816308</v>
      </c>
      <c r="L102" s="100">
        <v>13.283477885534557</v>
      </c>
      <c r="M102" s="100">
        <v>7061.4968439501708</v>
      </c>
      <c r="N102" s="100">
        <v>7.4998291498749428</v>
      </c>
      <c r="O102" s="100">
        <v>3986.9091760735196</v>
      </c>
      <c r="P102" s="100">
        <v>7.7887349428237052</v>
      </c>
      <c r="Q102" s="100">
        <v>4140.4914956050816</v>
      </c>
      <c r="R102" s="100">
        <v>0.60470150153335511</v>
      </c>
      <c r="S102" s="100">
        <v>321.45931821513159</v>
      </c>
      <c r="T102" s="100">
        <v>10.271571754748987</v>
      </c>
      <c r="U102" s="100">
        <v>5460.3675448245613</v>
      </c>
      <c r="V102" s="100">
        <v>9</v>
      </c>
      <c r="W102" s="100">
        <v>4784.4000000000005</v>
      </c>
      <c r="X102" s="100">
        <v>8.7725046319114455</v>
      </c>
      <c r="Y102" s="100">
        <v>4663.4634623241245</v>
      </c>
      <c r="Z102" s="100">
        <v>0.57584415439617909</v>
      </c>
      <c r="AA102" s="100">
        <v>306.1187524770088</v>
      </c>
      <c r="AB102" s="100">
        <v>9.2434185144559464</v>
      </c>
      <c r="AC102" s="100">
        <v>4913.8012822847813</v>
      </c>
      <c r="AD102" s="100">
        <v>2.3183446087541282</v>
      </c>
      <c r="AE102" s="100">
        <v>1232.4319940136945</v>
      </c>
      <c r="AF102" s="100">
        <v>7.9760637746532694</v>
      </c>
      <c r="AG102" s="100">
        <v>4240.0755026056786</v>
      </c>
      <c r="AH102" s="100">
        <v>3.3241111631838351</v>
      </c>
      <c r="AI102" s="100">
        <v>1767.0974943485269</v>
      </c>
      <c r="AJ102" s="100">
        <v>12.314785845774489</v>
      </c>
      <c r="AK102" s="100">
        <v>6546.5401556137185</v>
      </c>
      <c r="AL102" s="100">
        <v>2.4047268399664854</v>
      </c>
      <c r="AM102" s="100">
        <v>1278.3527881261837</v>
      </c>
      <c r="AN102" s="100">
        <v>9.2208594042971779</v>
      </c>
      <c r="AO102" s="100">
        <v>4901.8088593243801</v>
      </c>
      <c r="AP102" s="100">
        <v>9.6377194632878265</v>
      </c>
      <c r="AQ102" s="100">
        <v>5123.411666683809</v>
      </c>
      <c r="AR102" s="100">
        <v>5.4897922619668324E-4</v>
      </c>
      <c r="AS102" s="100">
        <v>0.29183735664615684</v>
      </c>
      <c r="AT102" s="100">
        <v>6.2345564861133882</v>
      </c>
      <c r="AU102" s="100">
        <v>3314.2902280178773</v>
      </c>
      <c r="AV102" s="100">
        <v>5.4668130003719543E-4</v>
      </c>
      <c r="AW102" s="100">
        <v>0.2906157790997731</v>
      </c>
      <c r="AX102" s="100">
        <v>6.4017281357377622E-4</v>
      </c>
      <c r="AY102" s="100">
        <v>0.34031586769581945</v>
      </c>
      <c r="AZ102" s="100">
        <v>7.7098637113471158</v>
      </c>
      <c r="BA102" s="100">
        <v>4098.5635489521273</v>
      </c>
      <c r="BB102" s="100">
        <v>0.74375568170547601</v>
      </c>
      <c r="BC102" s="100">
        <v>395.38052039463105</v>
      </c>
      <c r="BD102" s="100">
        <v>8.2952351746518556</v>
      </c>
      <c r="BE102" s="100">
        <v>4409.747018844927</v>
      </c>
      <c r="BF102" s="100">
        <v>3.5524022032786369</v>
      </c>
      <c r="BG102" s="100">
        <v>1888.4570112629235</v>
      </c>
      <c r="BH102" s="100">
        <v>10.570291592784976</v>
      </c>
      <c r="BI102" s="100">
        <v>5619.1670107244936</v>
      </c>
      <c r="BJ102" s="100">
        <v>10.371173270702045</v>
      </c>
      <c r="BK102" s="100">
        <v>5513.3157107052075</v>
      </c>
      <c r="BL102" s="100">
        <v>6.188493298471357E-4</v>
      </c>
      <c r="BM102" s="100">
        <v>0.32898030374673737</v>
      </c>
      <c r="BN102" s="100">
        <v>7.5667759648339343</v>
      </c>
      <c r="BO102" s="100">
        <v>4022.4981029057199</v>
      </c>
      <c r="BP102" s="100">
        <v>8.3708760037067851</v>
      </c>
      <c r="BQ102" s="100">
        <v>4449.9576835705275</v>
      </c>
      <c r="BR102" s="100">
        <v>7.2252701719044126</v>
      </c>
      <c r="BS102" s="100">
        <v>3840.953623384386</v>
      </c>
      <c r="BT102" s="100">
        <v>0.57562854818927611</v>
      </c>
      <c r="BU102" s="100">
        <v>306.00413621741922</v>
      </c>
      <c r="BV102" s="100">
        <v>6.2239060505193553</v>
      </c>
      <c r="BW102" s="100">
        <v>3308.6284564560892</v>
      </c>
      <c r="BX102" s="100">
        <v>5.8582663461157214</v>
      </c>
      <c r="BY102" s="100">
        <v>3114.2543895951176</v>
      </c>
      <c r="BZ102" s="100">
        <v>9.0981419575846907</v>
      </c>
      <c r="CA102" s="100">
        <v>4836.5722646520217</v>
      </c>
      <c r="CB102" s="100">
        <v>7.085537270118766</v>
      </c>
      <c r="CC102" s="100">
        <v>3766.6716127951363</v>
      </c>
      <c r="CD102" s="100">
        <v>3.3375438705097631</v>
      </c>
      <c r="CE102" s="100">
        <v>1774.2383215629902</v>
      </c>
      <c r="CF102" s="100">
        <v>7.4136419687203103</v>
      </c>
      <c r="CG102" s="100">
        <v>3941.0920705717172</v>
      </c>
      <c r="CH102" s="100">
        <v>6.1658514466371175</v>
      </c>
      <c r="CI102" s="100">
        <v>3277.7666290322918</v>
      </c>
      <c r="CJ102" s="100">
        <v>7.3367701917014498</v>
      </c>
      <c r="CK102" s="100">
        <v>3900.2270339084907</v>
      </c>
      <c r="CL102" s="100">
        <v>7.8923991524159964</v>
      </c>
      <c r="CM102" s="100">
        <v>4195.5993894243438</v>
      </c>
      <c r="CN102" s="100">
        <v>6.8800548997772522</v>
      </c>
      <c r="CO102" s="100">
        <v>3657.4371847215875</v>
      </c>
      <c r="CP102" s="100">
        <v>3.2023746368109718</v>
      </c>
      <c r="CQ102" s="100">
        <v>1702.3823569287126</v>
      </c>
      <c r="CR102" s="100">
        <v>4.0810627331462923</v>
      </c>
      <c r="CS102" s="100">
        <v>2169.492948940569</v>
      </c>
      <c r="CT102" s="100">
        <v>7.0786463144535388</v>
      </c>
      <c r="CU102" s="100">
        <v>3763.0083807635015</v>
      </c>
    </row>
    <row r="103" spans="2:99">
      <c r="C103" s="99" t="s">
        <v>269</v>
      </c>
      <c r="D103" s="100">
        <v>9.9207294782660327</v>
      </c>
      <c r="E103" s="100">
        <v>5845.293808594346</v>
      </c>
      <c r="F103" s="100">
        <v>8.1536419860445211</v>
      </c>
      <c r="G103" s="100">
        <v>4804.1258581774309</v>
      </c>
      <c r="H103" s="100">
        <v>6.0030312007534903</v>
      </c>
      <c r="I103" s="100">
        <v>3536.9859834839563</v>
      </c>
      <c r="J103" s="100">
        <v>0.6116272350697517</v>
      </c>
      <c r="K103" s="100">
        <v>360.37076690309766</v>
      </c>
      <c r="L103" s="100">
        <v>11.311825674088013</v>
      </c>
      <c r="M103" s="100">
        <v>6664.9276871726561</v>
      </c>
      <c r="N103" s="100">
        <v>8.4373077936093104</v>
      </c>
      <c r="O103" s="100">
        <v>4971.2617519946052</v>
      </c>
      <c r="P103" s="100">
        <v>7.0806681298397312</v>
      </c>
      <c r="Q103" s="100">
        <v>4171.9296621015692</v>
      </c>
      <c r="R103" s="100">
        <v>0.58822974383333115</v>
      </c>
      <c r="S103" s="100">
        <v>346.58496506659867</v>
      </c>
      <c r="T103" s="100">
        <v>10.237625285405363</v>
      </c>
      <c r="U103" s="100">
        <v>6032.0088181608389</v>
      </c>
      <c r="V103" s="100">
        <v>8</v>
      </c>
      <c r="W103" s="100">
        <v>4713.5999999999995</v>
      </c>
      <c r="X103" s="100">
        <v>9.6497550951025914</v>
      </c>
      <c r="Y103" s="100">
        <v>5685.6357020344458</v>
      </c>
      <c r="Z103" s="100">
        <v>0.6268683484698182</v>
      </c>
      <c r="AA103" s="100">
        <v>369.35083091841682</v>
      </c>
      <c r="AB103" s="100">
        <v>9.2434185144559464</v>
      </c>
      <c r="AC103" s="100">
        <v>5446.2221887174428</v>
      </c>
      <c r="AD103" s="100">
        <v>2.7047353768798161</v>
      </c>
      <c r="AE103" s="100">
        <v>1593.6300840575875</v>
      </c>
      <c r="AF103" s="100">
        <v>7.9760637746532694</v>
      </c>
      <c r="AG103" s="100">
        <v>4699.4967760257059</v>
      </c>
      <c r="AH103" s="100">
        <v>2.9252174178110844</v>
      </c>
      <c r="AI103" s="100">
        <v>1723.5381025742906</v>
      </c>
      <c r="AJ103" s="100">
        <v>11.150437615052677</v>
      </c>
      <c r="AK103" s="100">
        <v>6569.8378427890366</v>
      </c>
      <c r="AL103" s="100">
        <v>2.1494083098083556</v>
      </c>
      <c r="AM103" s="100">
        <v>1266.4313761390829</v>
      </c>
      <c r="AN103" s="100">
        <v>11.220859404297178</v>
      </c>
      <c r="AO103" s="100">
        <v>6611.3303610118965</v>
      </c>
      <c r="AP103" s="100">
        <v>9.6377194632878265</v>
      </c>
      <c r="AQ103" s="100">
        <v>5678.5443077691871</v>
      </c>
      <c r="AR103" s="100">
        <v>5.4650742271622097E-4</v>
      </c>
      <c r="AS103" s="100">
        <v>0.32200217346439736</v>
      </c>
      <c r="AT103" s="100">
        <v>6.23457614303664</v>
      </c>
      <c r="AU103" s="100">
        <v>3673.4122634771879</v>
      </c>
      <c r="AV103" s="100">
        <v>4.7834613753254594E-4</v>
      </c>
      <c r="AW103" s="100">
        <v>0.28184154423417601</v>
      </c>
      <c r="AX103" s="100">
        <v>5.8197528506706922E-4</v>
      </c>
      <c r="AY103" s="100">
        <v>0.34289983796151713</v>
      </c>
      <c r="AZ103" s="100">
        <v>6.9388661517121184</v>
      </c>
      <c r="BA103" s="100">
        <v>4088.3799365887799</v>
      </c>
      <c r="BB103" s="100">
        <v>0.62956072386714923</v>
      </c>
      <c r="BC103" s="100">
        <v>370.93717850252426</v>
      </c>
      <c r="BD103" s="100">
        <v>8.3542822095822267</v>
      </c>
      <c r="BE103" s="100">
        <v>4922.3430778858474</v>
      </c>
      <c r="BF103" s="100">
        <v>3.1823426702052586</v>
      </c>
      <c r="BG103" s="100">
        <v>1875.0363012849382</v>
      </c>
      <c r="BH103" s="100">
        <v>10.570291592784976</v>
      </c>
      <c r="BI103" s="100">
        <v>6228.0158064689067</v>
      </c>
      <c r="BJ103" s="100">
        <v>9.4283393370018587</v>
      </c>
      <c r="BK103" s="100">
        <v>5555.1775373614946</v>
      </c>
      <c r="BL103" s="100">
        <v>6.1635400835286891E-4</v>
      </c>
      <c r="BM103" s="100">
        <v>0.36315578172151031</v>
      </c>
      <c r="BN103" s="100">
        <v>6.7260477289020724</v>
      </c>
      <c r="BO103" s="100">
        <v>3962.9873218691005</v>
      </c>
      <c r="BP103" s="100">
        <v>8.3923223227017338</v>
      </c>
      <c r="BQ103" s="100">
        <v>4944.7563125358611</v>
      </c>
      <c r="BR103" s="100">
        <v>7.1370036012068798</v>
      </c>
      <c r="BS103" s="100">
        <v>4205.1225218310929</v>
      </c>
      <c r="BT103" s="100">
        <v>0.62737962458350827</v>
      </c>
      <c r="BU103" s="100">
        <v>369.65207480460305</v>
      </c>
      <c r="BV103" s="100">
        <v>7.2239060505193553</v>
      </c>
      <c r="BW103" s="100">
        <v>4256.3254449660035</v>
      </c>
      <c r="BX103" s="100">
        <v>5.471173465255224</v>
      </c>
      <c r="BY103" s="100">
        <v>3223.6154057283775</v>
      </c>
      <c r="BZ103" s="100">
        <v>9.238695277106638</v>
      </c>
      <c r="CA103" s="100">
        <v>5443.4392572712304</v>
      </c>
      <c r="CB103" s="100">
        <v>7.085537270118766</v>
      </c>
      <c r="CC103" s="100">
        <v>4174.7985595539767</v>
      </c>
      <c r="CD103" s="100">
        <v>3.3154130503134636</v>
      </c>
      <c r="CE103" s="100">
        <v>1953.4413692446924</v>
      </c>
      <c r="CF103" s="100">
        <v>6.8842077731462386</v>
      </c>
      <c r="CG103" s="100">
        <v>4056.1752199377634</v>
      </c>
      <c r="CH103" s="100">
        <v>6.7045865120091372</v>
      </c>
      <c r="CI103" s="100">
        <v>3950.342372875783</v>
      </c>
      <c r="CJ103" s="100">
        <v>7.9304459358469552</v>
      </c>
      <c r="CK103" s="100">
        <v>4672.6187454010251</v>
      </c>
      <c r="CL103" s="100">
        <v>8.6214753647315376</v>
      </c>
      <c r="CM103" s="100">
        <v>5079.7732848998212</v>
      </c>
      <c r="CN103" s="100">
        <v>6.2868498427079755</v>
      </c>
      <c r="CO103" s="100">
        <v>3704.2119273235389</v>
      </c>
      <c r="CP103" s="100">
        <v>3.6323917324325219</v>
      </c>
      <c r="CQ103" s="100">
        <v>2140.2052087492416</v>
      </c>
      <c r="CR103" s="100">
        <v>4.5908135184542784</v>
      </c>
      <c r="CS103" s="100">
        <v>2704.9073250732604</v>
      </c>
      <c r="CT103" s="100">
        <v>6.9919270824035786</v>
      </c>
      <c r="CU103" s="100">
        <v>4119.6434369521885</v>
      </c>
    </row>
    <row r="104" spans="2:99">
      <c r="C104" s="99" t="s">
        <v>270</v>
      </c>
      <c r="D104" s="100">
        <v>10.571505936763117</v>
      </c>
      <c r="E104" s="100">
        <v>6685.4203544089951</v>
      </c>
      <c r="F104" s="100">
        <v>8.1536419860445211</v>
      </c>
      <c r="G104" s="100">
        <v>5156.3631919745549</v>
      </c>
      <c r="H104" s="100">
        <v>6.6414019759698331</v>
      </c>
      <c r="I104" s="100">
        <v>4200.0226096033221</v>
      </c>
      <c r="J104" s="100">
        <v>0.61072141193734719</v>
      </c>
      <c r="K104" s="100">
        <v>386.22022090917835</v>
      </c>
      <c r="L104" s="100">
        <v>11.255130096981102</v>
      </c>
      <c r="M104" s="100">
        <v>7117.744273330848</v>
      </c>
      <c r="N104" s="100">
        <v>7.4998291498749428</v>
      </c>
      <c r="O104" s="100">
        <v>4742.8919543809134</v>
      </c>
      <c r="P104" s="100">
        <v>7.0806681298397312</v>
      </c>
      <c r="Q104" s="100">
        <v>4477.8145253106459</v>
      </c>
      <c r="R104" s="100">
        <v>0.54384001878749644</v>
      </c>
      <c r="S104" s="100">
        <v>343.92442788121275</v>
      </c>
      <c r="T104" s="100">
        <v>10.30551822409261</v>
      </c>
      <c r="U104" s="100">
        <v>6517.209724916167</v>
      </c>
      <c r="V104" s="100">
        <v>8</v>
      </c>
      <c r="W104" s="100">
        <v>5059.2</v>
      </c>
      <c r="X104" s="100">
        <v>8.7725046319114455</v>
      </c>
      <c r="Y104" s="100">
        <v>5547.7319292207976</v>
      </c>
      <c r="Z104" s="100">
        <v>0.57584415439617909</v>
      </c>
      <c r="AA104" s="100">
        <v>364.16384324014365</v>
      </c>
      <c r="AB104" s="100">
        <v>11.243418514455946</v>
      </c>
      <c r="AC104" s="100">
        <v>7110.3378685419402</v>
      </c>
      <c r="AD104" s="100">
        <v>2.7047353768798161</v>
      </c>
      <c r="AE104" s="100">
        <v>1710.4746523387957</v>
      </c>
      <c r="AF104" s="100">
        <v>9.1155014567465944</v>
      </c>
      <c r="AG104" s="100">
        <v>5764.6431212465459</v>
      </c>
      <c r="AH104" s="100">
        <v>2.9252174178110844</v>
      </c>
      <c r="AI104" s="100">
        <v>1849.9074950237298</v>
      </c>
      <c r="AJ104" s="100">
        <v>11.150437615052677</v>
      </c>
      <c r="AK104" s="100">
        <v>7051.5367477593127</v>
      </c>
      <c r="AL104" s="100">
        <v>2.1375349688590983</v>
      </c>
      <c r="AM104" s="100">
        <v>1351.7771143064938</v>
      </c>
      <c r="AN104" s="100">
        <v>10.220859404297178</v>
      </c>
      <c r="AO104" s="100">
        <v>6463.6714872775347</v>
      </c>
      <c r="AP104" s="100">
        <v>11.565263355945392</v>
      </c>
      <c r="AQ104" s="100">
        <v>7313.8725462998655</v>
      </c>
      <c r="AR104" s="100">
        <v>5.4897922619668324E-4</v>
      </c>
      <c r="AS104" s="100">
        <v>0.34717446264678248</v>
      </c>
      <c r="AT104" s="100">
        <v>6.2345368291901355</v>
      </c>
      <c r="AU104" s="100">
        <v>3942.7210907798417</v>
      </c>
      <c r="AV104" s="100">
        <v>5.4668130003719543E-4</v>
      </c>
      <c r="AW104" s="100">
        <v>0.34572125414352239</v>
      </c>
      <c r="AX104" s="100">
        <v>5.8197528506706922E-4</v>
      </c>
      <c r="AY104" s="100">
        <v>0.36804117027641459</v>
      </c>
      <c r="AZ104" s="100">
        <v>7.7098264163461634</v>
      </c>
      <c r="BA104" s="100">
        <v>4875.6942256973134</v>
      </c>
      <c r="BB104" s="100">
        <v>0.68616205086752879</v>
      </c>
      <c r="BC104" s="100">
        <v>433.92888096862521</v>
      </c>
      <c r="BD104" s="100">
        <v>8.3247586921170402</v>
      </c>
      <c r="BE104" s="100">
        <v>5264.577396894816</v>
      </c>
      <c r="BF104" s="100">
        <v>3.5708910704134893</v>
      </c>
      <c r="BG104" s="100">
        <v>2258.2315129294907</v>
      </c>
      <c r="BH104" s="100">
        <v>10.570291592784976</v>
      </c>
      <c r="BI104" s="100">
        <v>6684.6524032772186</v>
      </c>
      <c r="BJ104" s="100">
        <v>8.4855054033016746</v>
      </c>
      <c r="BK104" s="100">
        <v>5366.2336170479784</v>
      </c>
      <c r="BL104" s="100">
        <v>5.1903487019830201E-4</v>
      </c>
      <c r="BM104" s="100">
        <v>0.3282376519134062</v>
      </c>
      <c r="BN104" s="100">
        <v>7.5668036950148307</v>
      </c>
      <c r="BO104" s="100">
        <v>4785.2466567273786</v>
      </c>
      <c r="BP104" s="100">
        <v>7.7700596031992228</v>
      </c>
      <c r="BQ104" s="100">
        <v>4913.7856930631888</v>
      </c>
      <c r="BR104" s="100">
        <v>7.7731320364434797</v>
      </c>
      <c r="BS104" s="100">
        <v>4915.7286998468562</v>
      </c>
      <c r="BT104" s="100">
        <v>0.62737962458350827</v>
      </c>
      <c r="BU104" s="100">
        <v>396.75487458661064</v>
      </c>
      <c r="BV104" s="100">
        <v>7.2558926291649772</v>
      </c>
      <c r="BW104" s="100">
        <v>4588.6264986839315</v>
      </c>
      <c r="BX104" s="100">
        <v>5.471173465255224</v>
      </c>
      <c r="BY104" s="100">
        <v>3459.9700994274035</v>
      </c>
      <c r="BZ104" s="100">
        <v>8.3839609701771725</v>
      </c>
      <c r="CA104" s="100">
        <v>5302.0169175400433</v>
      </c>
      <c r="CB104" s="100">
        <v>8.197862797736116</v>
      </c>
      <c r="CC104" s="100">
        <v>5184.3284332883195</v>
      </c>
      <c r="CD104" s="100">
        <v>3.3375438705097631</v>
      </c>
      <c r="CE104" s="100">
        <v>2110.6627437103739</v>
      </c>
      <c r="CF104" s="100">
        <v>6.8842077731462386</v>
      </c>
      <c r="CG104" s="100">
        <v>4353.5729957376807</v>
      </c>
      <c r="CH104" s="100">
        <v>7.1617736664429588</v>
      </c>
      <c r="CI104" s="100">
        <v>4529.1056666585273</v>
      </c>
      <c r="CJ104" s="100">
        <v>8.0047680894187785</v>
      </c>
      <c r="CK104" s="100">
        <v>5062.2153397484353</v>
      </c>
      <c r="CL104" s="100">
        <v>8.7459884121354001</v>
      </c>
      <c r="CM104" s="100">
        <v>5530.963071834427</v>
      </c>
      <c r="CN104" s="100">
        <v>6.3911407227852859</v>
      </c>
      <c r="CO104" s="100">
        <v>4041.7573930894146</v>
      </c>
      <c r="CP104" s="100">
        <v>3.2023746368109718</v>
      </c>
      <c r="CQ104" s="100">
        <v>2025.1817203192584</v>
      </c>
      <c r="CR104" s="100">
        <v>4.1583997801825063</v>
      </c>
      <c r="CS104" s="100">
        <v>2629.7720209874169</v>
      </c>
      <c r="CT104" s="100">
        <v>6.9052078503536176</v>
      </c>
      <c r="CU104" s="100">
        <v>4366.8534445636278</v>
      </c>
    </row>
    <row r="105" spans="2:99">
      <c r="C105" s="99" t="s">
        <v>271</v>
      </c>
      <c r="D105" s="100">
        <v>9.9207294782660327</v>
      </c>
      <c r="E105" s="100">
        <v>5523.8621734985263</v>
      </c>
      <c r="F105" s="100">
        <v>8.9690061846489737</v>
      </c>
      <c r="G105" s="100">
        <v>4993.9426436125477</v>
      </c>
      <c r="H105" s="100">
        <v>6.6414019759698331</v>
      </c>
      <c r="I105" s="100">
        <v>3697.9326202200027</v>
      </c>
      <c r="J105" s="100">
        <v>0.6116272350697517</v>
      </c>
      <c r="K105" s="100">
        <v>340.55404448683771</v>
      </c>
      <c r="L105" s="100">
        <v>11.311825674088013</v>
      </c>
      <c r="M105" s="100">
        <v>6298.4245353322049</v>
      </c>
      <c r="N105" s="100">
        <v>8.4373077936093104</v>
      </c>
      <c r="O105" s="100">
        <v>4697.892979481664</v>
      </c>
      <c r="P105" s="100">
        <v>7.0025456855208335</v>
      </c>
      <c r="Q105" s="100">
        <v>3899.0174376979999</v>
      </c>
      <c r="R105" s="100">
        <v>0.58822974383333115</v>
      </c>
      <c r="S105" s="100">
        <v>327.52632136639875</v>
      </c>
      <c r="T105" s="100">
        <v>9.2715717547489866</v>
      </c>
      <c r="U105" s="100">
        <v>5162.4111530442351</v>
      </c>
      <c r="V105" s="100">
        <v>9</v>
      </c>
      <c r="W105" s="100">
        <v>5011.2</v>
      </c>
      <c r="X105" s="100">
        <v>8.7725046319114455</v>
      </c>
      <c r="Y105" s="100">
        <v>4884.5305790482926</v>
      </c>
      <c r="Z105" s="100">
        <v>0.52299770787427147</v>
      </c>
      <c r="AA105" s="100">
        <v>291.20512374439431</v>
      </c>
      <c r="AB105" s="100">
        <v>9.2434185144559464</v>
      </c>
      <c r="AC105" s="100">
        <v>5146.7354288490706</v>
      </c>
      <c r="AD105" s="100">
        <v>2.4654759135569826</v>
      </c>
      <c r="AE105" s="100">
        <v>1372.7769886685278</v>
      </c>
      <c r="AF105" s="100">
        <v>9.1155014567465944</v>
      </c>
      <c r="AG105" s="100">
        <v>5075.5112111165035</v>
      </c>
      <c r="AH105" s="100">
        <v>3.3462717859161097</v>
      </c>
      <c r="AI105" s="100">
        <v>1863.2041303980898</v>
      </c>
      <c r="AJ105" s="100">
        <v>12.150437615052677</v>
      </c>
      <c r="AK105" s="100">
        <v>6765.3636640613304</v>
      </c>
      <c r="AL105" s="100">
        <v>2.3928534990172285</v>
      </c>
      <c r="AM105" s="100">
        <v>1332.3408282527928</v>
      </c>
      <c r="AN105" s="100">
        <v>10.220859404297178</v>
      </c>
      <c r="AO105" s="100">
        <v>5690.9745163126681</v>
      </c>
      <c r="AP105" s="100">
        <v>10.60149140961661</v>
      </c>
      <c r="AQ105" s="100">
        <v>5902.910416874528</v>
      </c>
      <c r="AR105" s="100">
        <v>5.4897922619668324E-4</v>
      </c>
      <c r="AS105" s="100">
        <v>0.30567163314631318</v>
      </c>
      <c r="AT105" s="100">
        <v>6.2345564861133882</v>
      </c>
      <c r="AU105" s="100">
        <v>3471.4010514679344</v>
      </c>
      <c r="AV105" s="100">
        <v>5.4668130003719543E-4</v>
      </c>
      <c r="AW105" s="100">
        <v>0.30439214786071039</v>
      </c>
      <c r="AX105" s="100">
        <v>5.2377775656036233E-4</v>
      </c>
      <c r="AY105" s="100">
        <v>0.29163945485280973</v>
      </c>
      <c r="AZ105" s="100">
        <v>6.9388661517121184</v>
      </c>
      <c r="BA105" s="100">
        <v>3863.5606732733072</v>
      </c>
      <c r="BB105" s="100">
        <v>0.74375568170547601</v>
      </c>
      <c r="BC105" s="100">
        <v>414.12316357360902</v>
      </c>
      <c r="BD105" s="100">
        <v>7.3247586921170411</v>
      </c>
      <c r="BE105" s="100">
        <v>4078.4256397707682</v>
      </c>
      <c r="BF105" s="100">
        <v>3.5524022032786369</v>
      </c>
      <c r="BG105" s="100">
        <v>1977.9775467855447</v>
      </c>
      <c r="BH105" s="100">
        <v>9.5702915927849759</v>
      </c>
      <c r="BI105" s="100">
        <v>5328.7383588626744</v>
      </c>
      <c r="BJ105" s="100">
        <v>9.4283393370018587</v>
      </c>
      <c r="BK105" s="100">
        <v>5249.6993428426349</v>
      </c>
      <c r="BL105" s="100">
        <v>5.6644677852845206E-4</v>
      </c>
      <c r="BM105" s="100">
        <v>0.31539756628464211</v>
      </c>
      <c r="BN105" s="100">
        <v>7.5667759648339343</v>
      </c>
      <c r="BO105" s="100">
        <v>4213.1808572195341</v>
      </c>
      <c r="BP105" s="100">
        <v>7.748613284204275</v>
      </c>
      <c r="BQ105" s="100">
        <v>4314.4278766449397</v>
      </c>
      <c r="BR105" s="100">
        <v>7.2252701719044126</v>
      </c>
      <c r="BS105" s="100">
        <v>4023.0304317163764</v>
      </c>
      <c r="BT105" s="100">
        <v>0.5762073398122507</v>
      </c>
      <c r="BU105" s="100">
        <v>320.83224680746116</v>
      </c>
      <c r="BV105" s="100">
        <v>7.2239060505193553</v>
      </c>
      <c r="BW105" s="100">
        <v>4022.2708889291766</v>
      </c>
      <c r="BX105" s="100">
        <v>5.4134043330747597</v>
      </c>
      <c r="BY105" s="100">
        <v>3014.1835326560258</v>
      </c>
      <c r="BZ105" s="100">
        <v>9.0981419575846907</v>
      </c>
      <c r="CA105" s="100">
        <v>5065.8454419831551</v>
      </c>
      <c r="CB105" s="100">
        <v>6.3744850241181652</v>
      </c>
      <c r="CC105" s="100">
        <v>3549.3132614289939</v>
      </c>
      <c r="CD105" s="100">
        <v>3.3375438705097631</v>
      </c>
      <c r="CE105" s="100">
        <v>1858.3444270998359</v>
      </c>
      <c r="CF105" s="100">
        <v>7.5145978461454659</v>
      </c>
      <c r="CG105" s="100">
        <v>4184.1280807337953</v>
      </c>
      <c r="CH105" s="100">
        <v>7.1560410525606253</v>
      </c>
      <c r="CI105" s="100">
        <v>3984.4836580657557</v>
      </c>
      <c r="CJ105" s="100">
        <v>7.2962028648308443</v>
      </c>
      <c r="CK105" s="100">
        <v>4062.5257551378136</v>
      </c>
      <c r="CL105" s="100">
        <v>8.7459884121354001</v>
      </c>
      <c r="CM105" s="100">
        <v>4869.76634787699</v>
      </c>
      <c r="CN105" s="100">
        <v>5.6841716782665319</v>
      </c>
      <c r="CO105" s="100">
        <v>3164.9467904588046</v>
      </c>
      <c r="CP105" s="100">
        <v>3.6323917324325219</v>
      </c>
      <c r="CQ105" s="100">
        <v>2022.5157166184281</v>
      </c>
      <c r="CR105" s="100">
        <v>4.5211329950103147</v>
      </c>
      <c r="CS105" s="100">
        <v>2517.3668516217431</v>
      </c>
      <c r="CT105" s="100">
        <v>8.0030288557816185</v>
      </c>
      <c r="CU105" s="100">
        <v>4456.0864668992044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289.89826033628026</v>
      </c>
      <c r="E109" s="100">
        <f>SUM(L$6:L$19)+SUM(N$6:N$19)+SUM(P$6:P$19)+SUM(R$6:R$19)</f>
        <v>409.54913954909398</v>
      </c>
      <c r="F109" s="100">
        <f>SUM(T$6:T$19)+SUM(V$6:V$19)+SUM(X$6:X$19)+SUM(Z$6:Z$19)</f>
        <v>195.52706502213363</v>
      </c>
      <c r="G109" s="100">
        <f>SUM(AB$6:AB$19)+SUM(AD$6:AD$19)+SUM(AF$6:AF$19)+SUM(AH$6:AH$19)</f>
        <v>295.39239660987676</v>
      </c>
      <c r="H109" s="100">
        <f>SUM(AJ$6:AJ$19)+SUM(AL$6:AL$19)+SUM(AN$6:AN$19)+SUM(AP$6:AP$19)</f>
        <v>239.33688961094296</v>
      </c>
      <c r="I109" s="100">
        <f>SUM(AR$6:AR$19)+SUM(AT$6:AT$19)+SUM(AV$6:AV$19)+SUM(AX$6:AX$19)</f>
        <v>308.23354551153699</v>
      </c>
      <c r="J109" s="100">
        <f>SUM(AZ$6:AZ$19)+SUM(BB$6:BB$19)+SUM(BD$6:BD$19)+SUM(BF$6:BF$19)</f>
        <v>256.96122064709135</v>
      </c>
      <c r="K109" s="100">
        <f>SUM(BH$6:BH$19)+SUM(BJ$6:BJ$19)+SUM(BL$6:BL$19)+SUM(BN$6:BN$19)</f>
        <v>427.18336854644781</v>
      </c>
      <c r="L109" s="100">
        <f>SUM(BP$6:BP$19)+SUM(BR$6:BR$19)+SUM(BT$6:BT$19)+SUM(BV$6:BV$19)</f>
        <v>225.56826361777507</v>
      </c>
      <c r="M109" s="100">
        <f>SUM(BX$6:BX$19)+SUM(BZ$6:BZ$19)+SUM(CB$6:CB$19)+SUM(CD$6:CD$19)</f>
        <v>243.0745020502294</v>
      </c>
      <c r="N109" s="100">
        <f>SUM(CF$6:CF$19)+SUM(CH$6:CH$19)+SUM(CJ$6:CJ$19)+SUM(CL$6:CL$19)</f>
        <v>324.92066111382894</v>
      </c>
      <c r="O109" s="100">
        <f>SUM(CN$6:CN$19)+SUM(CP$6:CP$19)+SUM(CR$6:CR$19)+SUM(CT$6:CT$19)</f>
        <v>422.98083481766236</v>
      </c>
    </row>
    <row r="110" spans="2:99">
      <c r="C110" s="99" t="s">
        <v>127</v>
      </c>
      <c r="D110" s="100">
        <f>SUM(D$20:D$36)+SUM(F$20:F$36)+SUM(H$20:H$36)+SUM(J$20:J$36)</f>
        <v>294.46948878261185</v>
      </c>
      <c r="E110" s="100">
        <f>SUM(L$20:L$36)+SUM(N$20:N$36)+SUM(P$20:P$36)+SUM(R$20:R$36)</f>
        <v>490.60118915437494</v>
      </c>
      <c r="F110" s="100">
        <f>SUM(T$20:T$36)+SUM(V$20:V$36)+SUM(X$20:X$36)+SUM(Z$20:Z$36)</f>
        <v>345.32878499155998</v>
      </c>
      <c r="G110" s="100">
        <f>SUM(AB$20:AB$36)+SUM(AD$20:AD$36)+SUM(AF$20:AF$36)+SUM(AH$20:AH$36)</f>
        <v>507.45425002608937</v>
      </c>
      <c r="H110" s="100">
        <f>SUM(AJ$20:AJ$36)+SUM(AL$20:AL$36)+SUM(AN$20:AN$36)+SUM(AP$20:AP$36)</f>
        <v>382.95615869941167</v>
      </c>
      <c r="I110" s="100">
        <f>SUM(AR$20:AR$36)+SUM(AT$20:AT$36)+SUM(AV$20:AV$36)+SUM(AX$20:AX$36)</f>
        <v>490.67533110742767</v>
      </c>
      <c r="J110" s="100">
        <f>SUM(AZ$20:AZ$36)+SUM(BB$20:BB$36)+SUM(BD$20:BD$36)+SUM(BF$20:BF$36)</f>
        <v>405.25983048686339</v>
      </c>
      <c r="K110" s="100">
        <f>SUM(BH$20:BH$36)+SUM(BJ$20:BJ$36)+SUM(BL$20:BL$36)+SUM(BN$20:BN$36)</f>
        <v>590.29272115497588</v>
      </c>
      <c r="L110" s="100">
        <f>SUM(BP$20:BP$36)+SUM(BR$20:BR$36)+SUM(BT$20:BT$36)+SUM(BV$20:BV$36)</f>
        <v>260.7751008761453</v>
      </c>
      <c r="M110" s="100">
        <f>SUM(BX$20:BX$36)+SUM(BZ$20:BZ$36)+SUM(CB$20:CB$36)+SUM(CD$20:CD$36)</f>
        <v>430.58888407401838</v>
      </c>
      <c r="N110" s="100">
        <f>SUM(CF$20:CF$36)+SUM(CH$20:CH$36)+SUM(CJ$20:CJ$36)+SUM(CL$20:CL$36)</f>
        <v>489.38447141557208</v>
      </c>
      <c r="O110" s="100">
        <f>SUM(CN$20:CN$36)+SUM(CP$20:CP$36)+SUM(CR$20:CR$36)+SUM(CT$20:CT$36)</f>
        <v>569.80283656841914</v>
      </c>
    </row>
    <row r="111" spans="2:99">
      <c r="C111" s="99" t="s">
        <v>128</v>
      </c>
      <c r="D111" s="100">
        <f>SUM(D$37:D$48)+SUM(F$37:F$48)+SUM(H$37:H$48)+SUM(J$37:J$48)</f>
        <v>566.56059428673143</v>
      </c>
      <c r="E111" s="100">
        <f>SUM(L$37:L$48)+SUM(N$37:N$48)+SUM(P$37:P$48)+SUM(R$37:R$48)</f>
        <v>668.69674442094492</v>
      </c>
      <c r="F111" s="100">
        <f>SUM(T$37:T$48)+SUM(V$37:V$48)+SUM(X$37:X$48)+SUM(Z$37:Z$48)</f>
        <v>365.92611128050669</v>
      </c>
      <c r="G111" s="100">
        <f>SUM(AB$37:AB$48)+SUM(AD$37:AD$48)+SUM(AF$37:AF$48)+SUM(AH$37:AH$48)</f>
        <v>605.75212233621232</v>
      </c>
      <c r="H111" s="100">
        <f>SUM(AJ$37:AJ$48)+SUM(AL$37:AL$48)+SUM(AN$37:AN$48)+SUM(AP$37:AP$48)</f>
        <v>442.04840345397872</v>
      </c>
      <c r="I111" s="100">
        <f>SUM(AR$37:AR$48)+SUM(AT$37:AT$48)+SUM(AV$37:AV$48)+SUM(AX$37:AX$48)</f>
        <v>429.79195246597521</v>
      </c>
      <c r="J111" s="100">
        <f>SUM(AZ$37:AZ$48)+SUM(BB$37:BB$48)+SUM(BD$37:BD$48)+SUM(BF$37:BF$48)</f>
        <v>522.25217263877869</v>
      </c>
      <c r="K111" s="100">
        <f>SUM(BH$37:BH$48)+SUM(BJ$37:BJ$48)+SUM(BL$37:BL$48)+SUM(BN$37:BN$48)</f>
        <v>734.58219881749869</v>
      </c>
      <c r="L111" s="100">
        <f>SUM(BP$37:BP$48)+SUM(BR$37:BR$48)+SUM(BT$37:BT$48)+SUM(BV$37:BV$48)</f>
        <v>334.6958484469194</v>
      </c>
      <c r="M111" s="100">
        <f>SUM(BX$37:BX$48)+SUM(BZ$37:BZ$48)+SUM(CB$37:CB$48)+SUM(CD$37:CD$48)</f>
        <v>440.78598075196732</v>
      </c>
      <c r="N111" s="100">
        <f>SUM(CF$37:CF$48)+SUM(CH$37:CH$48)+SUM(CJ$37:CJ$48)+SUM(CL$37:CL$48)</f>
        <v>650.1944723580857</v>
      </c>
      <c r="O111" s="100">
        <f>SUM(CN$37:CN$48)+SUM(CP$37:CP$48)+SUM(CR$37:CR$48)+SUM(CT$37:CT$48)</f>
        <v>581.56214625427401</v>
      </c>
    </row>
    <row r="112" spans="2:99">
      <c r="C112" s="99" t="s">
        <v>129</v>
      </c>
      <c r="D112" s="100">
        <f>SUM(D$49:D$70)+SUM(F$49:F$70)+SUM(H$49:H$70)+SUM(J$49:J$70)</f>
        <v>500.59965451857522</v>
      </c>
      <c r="E112" s="100">
        <f>SUM(L$49:L$70)+SUM(N$49:N$70)+SUM(P$49:P$70)+SUM(R$49:R$70)</f>
        <v>611.56082244224751</v>
      </c>
      <c r="F112" s="100">
        <f>SUM(T$49:T$70)+SUM(V$49:V$70)+SUM(X$49:X$70)+SUM(Z$49:Z$70)</f>
        <v>408.5548314810132</v>
      </c>
      <c r="G112" s="100">
        <f>SUM(AB$49:AB$70)+SUM(AD$49:AD$70)+SUM(AF$49:AF$70)+SUM(AH$49:AH$70)</f>
        <v>610.84210947559984</v>
      </c>
      <c r="H112" s="100">
        <f>SUM(AJ$49:AJ$70)+SUM(AL$49:AL$70)+SUM(AN$49:AN$70)+SUM(AP$49:AP$70)</f>
        <v>458.37760804081552</v>
      </c>
      <c r="I112" s="100">
        <f>SUM(AR$49:AR$70)+SUM(AT$49:AT$70)+SUM(AV$49:AV$70)+SUM(AX$49:AX$70)</f>
        <v>501.68974472546813</v>
      </c>
      <c r="J112" s="100">
        <f>SUM(AZ$49:AZ$70)+SUM(BB$49:BB$70)+SUM(BD$49:BD$70)+SUM(BF$49:BF$70)</f>
        <v>557.90770042328086</v>
      </c>
      <c r="K112" s="100">
        <f>SUM(BH$49:BH$70)+SUM(BJ$49:BJ$70)+SUM(BL$49:BL$70)+SUM(BN$49:BN$70)</f>
        <v>736.21918747187044</v>
      </c>
      <c r="L112" s="100">
        <f>SUM(BP$49:BP$70)+SUM(BR$49:BR$70)+SUM(BT$49:BT$70)+SUM(BV$49:BV$70)</f>
        <v>361.49381582845047</v>
      </c>
      <c r="M112" s="100">
        <f>SUM(BX$49:BX$70)+SUM(BZ$49:BZ$70)+SUM(CB$49:CB$70)+SUM(CD$49:CD$70)</f>
        <v>449.14228832999532</v>
      </c>
      <c r="N112" s="100">
        <f>SUM(CF$49:CF$70)+SUM(CH$49:CH$70)+SUM(CJ$49:CJ$70)+SUM(CL$49:CL$70)</f>
        <v>489.86487244843181</v>
      </c>
      <c r="O112" s="100">
        <f>SUM(CN$49:CN$70)+SUM(CP$49:CP$70)+SUM(CR$49:CR$70)+SUM(CT$49:CT$70)</f>
        <v>669.35067572007779</v>
      </c>
    </row>
    <row r="113" spans="2:15">
      <c r="C113" s="99" t="s">
        <v>130</v>
      </c>
      <c r="D113" s="100">
        <f>SUM(D$71:D$86)+SUM(F$71:F$86)+SUM(H$71:H$86)+SUM(J$71:J$86)</f>
        <v>292.44611172062275</v>
      </c>
      <c r="E113" s="100">
        <f>SUM(L$71:L$86)+SUM(N$71:N$86)+SUM(P$71:P$86)+SUM(R$71:R$86)</f>
        <v>329.0653795950472</v>
      </c>
      <c r="F113" s="100">
        <f>SUM(T$71:T$86)+SUM(V$71:V$86)+SUM(X$71:X$86)+SUM(Z$71:Z$86)</f>
        <v>373.25253224257875</v>
      </c>
      <c r="G113" s="100">
        <f>SUM(AB$71:AB$86)+SUM(AD$71:AD$86)+SUM(AF$71:AF$86)+SUM(AH$71:AH$86)</f>
        <v>386.96936057585344</v>
      </c>
      <c r="H113" s="100">
        <f>SUM(AJ$71:AJ$86)+SUM(AL$71:AL$86)+SUM(AN$71:AN$86)+SUM(AP$71:AP$86)</f>
        <v>277.65371072121832</v>
      </c>
      <c r="I113" s="100">
        <f>SUM(AR$71:AR$86)+SUM(AT$71:AT$86)+SUM(AV$71:AV$86)+SUM(AX$71:AX$86)</f>
        <v>257.0482185983459</v>
      </c>
      <c r="J113" s="100">
        <f>SUM(AZ$71:AZ$86)+SUM(BB$71:BB$86)+SUM(BD$71:BD$86)+SUM(BF$71:BF$86)</f>
        <v>294.46404784976158</v>
      </c>
      <c r="K113" s="100">
        <f>SUM(BH$71:BH$86)+SUM(BJ$71:BJ$86)+SUM(BL$71:BL$86)+SUM(BN$71:BN$86)</f>
        <v>333.99323991091944</v>
      </c>
      <c r="L113" s="100">
        <f>SUM(BP$71:BP$86)+SUM(BR$71:BR$86)+SUM(BT$71:BT$86)+SUM(BV$71:BV$86)</f>
        <v>298.71311671327788</v>
      </c>
      <c r="M113" s="100">
        <f>SUM(BX$71:BX$86)+SUM(BZ$71:BZ$86)+SUM(CB$71:CB$86)+SUM(CD$71:CD$86)</f>
        <v>309.30155583330486</v>
      </c>
      <c r="N113" s="100">
        <f>SUM(CF$71:CF$86)+SUM(CH$71:CH$86)+SUM(CJ$71:CJ$86)+SUM(CL$71:CL$86)</f>
        <v>343.98135208846077</v>
      </c>
      <c r="O113" s="100">
        <f>SUM(CN$71:CN$86)+SUM(CP$71:CP$86)+SUM(CR$71:CR$86)+SUM(CT$71:CT$86)</f>
        <v>398.87478453311633</v>
      </c>
    </row>
    <row r="114" spans="2:15">
      <c r="C114" s="99" t="s">
        <v>131</v>
      </c>
      <c r="D114" s="100">
        <f>SUM(D$87:D$94)+SUM(F$87:F$94)+SUM(H$87:H$94)+SUM(J$87:J$94)</f>
        <v>165.35455678782327</v>
      </c>
      <c r="E114" s="100">
        <f>SUM(L$87:L$94)+SUM(N$87:N$94)+SUM(P$87:P$94)+SUM(R$87:R$94)</f>
        <v>147.85450080801601</v>
      </c>
      <c r="F114" s="100">
        <f>SUM(T$87:T$94)+SUM(V$87:V$94)+SUM(X$87:X$94)+SUM(Z$87:Z$94)</f>
        <v>132.9339303582255</v>
      </c>
      <c r="G114" s="100">
        <f>SUM(AB$87:AB$94)+SUM(AD$87:AD$94)+SUM(AF$87:AF$94)+SUM(AH$87:AH$94)</f>
        <v>133.89555543729074</v>
      </c>
      <c r="H114" s="100">
        <f>SUM(AJ$87:AJ$94)+SUM(AL$87:AL$94)+SUM(AN$87:AN$94)+SUM(AP$87:AP$94)</f>
        <v>145.57433623476626</v>
      </c>
      <c r="I114" s="100">
        <f>SUM(AR$87:AR$94)+SUM(AT$87:AT$94)+SUM(AV$87:AV$94)+SUM(AX$87:AX$94)</f>
        <v>40.189067078049405</v>
      </c>
      <c r="J114" s="100">
        <f>SUM(AZ$87:AZ$94)+SUM(BB$87:BB$94)+SUM(BD$87:BD$94)+SUM(BF$87:BF$94)</f>
        <v>104.69225143889133</v>
      </c>
      <c r="K114" s="100">
        <f>SUM(BH$87:BH$94)+SUM(BJ$87:BJ$94)+SUM(BL$87:BL$94)+SUM(BN$87:BN$94)</f>
        <v>130.58163094795538</v>
      </c>
      <c r="L114" s="100">
        <f>SUM(BP$87:BP$94)+SUM(BR$87:BR$94)+SUM(BT$87:BT$94)+SUM(BV$87:BV$94)</f>
        <v>142.01175476044187</v>
      </c>
      <c r="M114" s="100">
        <f>SUM(BX$87:BX$94)+SUM(BZ$87:BZ$94)+SUM(CB$87:CB$94)+SUM(CD$87:CD$94)</f>
        <v>138.43351153450058</v>
      </c>
      <c r="N114" s="100">
        <f>SUM(CF$87:CF$94)+SUM(CH$87:CH$94)+SUM(CJ$87:CJ$94)+SUM(CL$87:CL$94)</f>
        <v>187.52495622323505</v>
      </c>
      <c r="O114" s="100">
        <f>SUM(CN$87:CN$94)+SUM(CP$87:CP$94)+SUM(CR$87:CR$94)+SUM(CT$87:CT$94)</f>
        <v>120.40206051123228</v>
      </c>
    </row>
    <row r="115" spans="2:15">
      <c r="C115" s="99" t="s">
        <v>132</v>
      </c>
      <c r="D115" s="100">
        <f>SUM(D$95:D$105)+SUM(F$95:F$105)+SUM(H$95:H$105)+SUM(J$95:J$105)</f>
        <v>279.38764375117563</v>
      </c>
      <c r="E115" s="100">
        <f>SUM(L$95:L$105)+SUM(N$95:N$105)+SUM(P$95:P$105)+SUM(R$95:R$105)</f>
        <v>298.09067086018723</v>
      </c>
      <c r="F115" s="100">
        <f>SUM(T$95:T$105)+SUM(V$95:V$105)+SUM(X$95:X$105)+SUM(Z$95:Z$105)</f>
        <v>306.33806225654575</v>
      </c>
      <c r="G115" s="100">
        <f>SUM(AB$95:AB$105)+SUM(AD$95:AD$105)+SUM(AF$95:AF$105)+SUM(AH$95:AH$105)</f>
        <v>260.66788100963134</v>
      </c>
      <c r="H115" s="100">
        <f>SUM(AJ$95:AJ$105)+SUM(AL$95:AL$105)+SUM(AN$95:AN$105)+SUM(AP$95:AP$105)</f>
        <v>370.86372643625305</v>
      </c>
      <c r="I115" s="100">
        <f>SUM(AR$95:AR$105)+SUM(AT$95:AT$105)+SUM(AV$95:AV$105)+SUM(AX$95:AX$105)</f>
        <v>69.983341170869338</v>
      </c>
      <c r="J115" s="100">
        <f>SUM(AZ$95:AZ$105)+SUM(BB$95:BB$105)+SUM(BD$95:BD$105)+SUM(BF$95:BF$105)</f>
        <v>208.97350429451046</v>
      </c>
      <c r="K115" s="100">
        <f>SUM(BH$95:BH$105)+SUM(BJ$95:BJ$105)+SUM(BL$95:BL$105)+SUM(BN$95:BN$105)</f>
        <v>291.31011965532122</v>
      </c>
      <c r="L115" s="100">
        <f>SUM(BP$95:BP$105)+SUM(BR$95:BR$105)+SUM(BT$95:BT$105)+SUM(BV$95:BV$105)</f>
        <v>248.32560053434111</v>
      </c>
      <c r="M115" s="100">
        <f>SUM(BX$95:BX$105)+SUM(BZ$95:BZ$105)+SUM(CB$95:CB$105)+SUM(CD$95:CD$105)</f>
        <v>268.74043161478818</v>
      </c>
      <c r="N115" s="100">
        <f>SUM(CF$95:CF$105)+SUM(CH$95:CH$105)+SUM(CJ$95:CJ$105)+SUM(CL$95:CL$105)</f>
        <v>322.47881806666567</v>
      </c>
      <c r="O115" s="100">
        <f>SUM(CN$95:CN$105)+SUM(CP$95:CP$105)+SUM(CR$95:CR$105)+SUM(CT$95:CT$105)</f>
        <v>233.53028992560274</v>
      </c>
    </row>
    <row r="116" spans="2:15">
      <c r="C116" s="99" t="s">
        <v>278</v>
      </c>
      <c r="D116" s="100">
        <f t="shared" ref="D116:O116" si="0">SUM(D$109:D$115)</f>
        <v>2388.7163101838205</v>
      </c>
      <c r="E116" s="100">
        <f t="shared" si="0"/>
        <v>2955.4184468299118</v>
      </c>
      <c r="F116" s="100">
        <f t="shared" si="0"/>
        <v>2127.8613176325634</v>
      </c>
      <c r="G116" s="100">
        <f t="shared" si="0"/>
        <v>2800.9736754705536</v>
      </c>
      <c r="H116" s="100">
        <f t="shared" si="0"/>
        <v>2316.8108331973863</v>
      </c>
      <c r="I116" s="100">
        <f t="shared" si="0"/>
        <v>2097.6112006576727</v>
      </c>
      <c r="J116" s="100">
        <f t="shared" si="0"/>
        <v>2350.5107277791776</v>
      </c>
      <c r="K116" s="100">
        <f t="shared" si="0"/>
        <v>3244.162466504989</v>
      </c>
      <c r="L116" s="100">
        <f t="shared" si="0"/>
        <v>1871.5835007773512</v>
      </c>
      <c r="M116" s="100">
        <f t="shared" si="0"/>
        <v>2280.0671541888041</v>
      </c>
      <c r="N116" s="100">
        <f t="shared" si="0"/>
        <v>2808.3496037142804</v>
      </c>
      <c r="O116" s="100">
        <f t="shared" si="0"/>
        <v>2996.5036283303843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1565450.6058159135</v>
      </c>
      <c r="E120" s="100">
        <f>E109*pricing!E33*2000</f>
        <v>2211565.3535651076</v>
      </c>
      <c r="F120" s="100">
        <f>F109*pricing!F33*2000</f>
        <v>1055846.1511195216</v>
      </c>
      <c r="G120" s="100">
        <f>G109*pricing!G33*2000</f>
        <v>1595118.9416933346</v>
      </c>
      <c r="H120" s="100">
        <f>H109*pricing!H33*2000</f>
        <v>1292419.203899092</v>
      </c>
      <c r="I120" s="100">
        <f>I109*pricing!I33*2000</f>
        <v>1664461.1457622999</v>
      </c>
      <c r="J120" s="100">
        <f>J109*pricing!J33*2000</f>
        <v>1387590.5914942934</v>
      </c>
      <c r="K120" s="100">
        <f>K109*pricing!K33*2000</f>
        <v>2306790.1901508183</v>
      </c>
      <c r="L120" s="100">
        <f>L109*pricing!L33*2000</f>
        <v>1218068.6235359856</v>
      </c>
      <c r="M120" s="100">
        <f>M109*pricing!M33*2000</f>
        <v>1312602.3110712387</v>
      </c>
      <c r="N120" s="100">
        <f>N109*pricing!N33*2000</f>
        <v>1754571.5700146763</v>
      </c>
      <c r="O120" s="100">
        <f>O109*pricing!O33*2000</f>
        <v>2284096.508015377</v>
      </c>
    </row>
    <row r="121" spans="2:15">
      <c r="C121" s="99" t="s">
        <v>127</v>
      </c>
      <c r="D121" s="100">
        <f>D110*pricing!D34*2000</f>
        <v>1413453.5461565368</v>
      </c>
      <c r="E121" s="100">
        <f>E110*pricing!E34*2000</f>
        <v>2354885.7079409994</v>
      </c>
      <c r="F121" s="100">
        <f>F110*pricing!F34*2000</f>
        <v>1657578.167959488</v>
      </c>
      <c r="G121" s="100">
        <f>G110*pricing!G34*2000</f>
        <v>2435780.4001252288</v>
      </c>
      <c r="H121" s="100">
        <f>H110*pricing!H34*2000</f>
        <v>1838189.5617571762</v>
      </c>
      <c r="I121" s="100">
        <f>I110*pricing!I34*2000</f>
        <v>2355241.5893156528</v>
      </c>
      <c r="J121" s="100">
        <f>J110*pricing!J34*2000</f>
        <v>1945247.1863369441</v>
      </c>
      <c r="K121" s="100">
        <f>K110*pricing!K34*2000</f>
        <v>2833405.0615438842</v>
      </c>
      <c r="L121" s="100">
        <f>L110*pricing!L34*2000</f>
        <v>1251720.4842054974</v>
      </c>
      <c r="M121" s="100">
        <f>M110*pricing!M34*2000</f>
        <v>2066826.6435552882</v>
      </c>
      <c r="N121" s="100">
        <f>N110*pricing!N34*2000</f>
        <v>2349045.4627947463</v>
      </c>
      <c r="O121" s="100">
        <f>O110*pricing!O34*2000</f>
        <v>2735053.6155284117</v>
      </c>
    </row>
    <row r="122" spans="2:15">
      <c r="C122" s="99" t="s">
        <v>128</v>
      </c>
      <c r="D122" s="100">
        <f>D111*pricing!D35*2000</f>
        <v>2606178.7337189643</v>
      </c>
      <c r="E122" s="100">
        <f>E111*pricing!E35*2000</f>
        <v>3076005.0243363464</v>
      </c>
      <c r="F122" s="100">
        <f>F111*pricing!F35*2000</f>
        <v>1683260.1118903307</v>
      </c>
      <c r="G122" s="100">
        <f>G111*pricing!G35*2000</f>
        <v>2786459.7627465762</v>
      </c>
      <c r="H122" s="100">
        <f>H111*pricing!H35*2000</f>
        <v>2033422.655888302</v>
      </c>
      <c r="I122" s="100">
        <f>I111*pricing!I35*2000</f>
        <v>1977042.9813434856</v>
      </c>
      <c r="J122" s="100">
        <f>J111*pricing!J35*2000</f>
        <v>2402359.9941383819</v>
      </c>
      <c r="K122" s="100">
        <f>K111*pricing!K35*2000</f>
        <v>3379078.1145604937</v>
      </c>
      <c r="L122" s="100">
        <f>L111*pricing!L35*2000</f>
        <v>1539600.9028558291</v>
      </c>
      <c r="M122" s="100">
        <f>M111*pricing!M35*2000</f>
        <v>2027615.5114590495</v>
      </c>
      <c r="N122" s="100">
        <f>N111*pricing!N35*2000</f>
        <v>2990894.572847194</v>
      </c>
      <c r="O122" s="100">
        <f>O111*pricing!O35*2000</f>
        <v>2675185.8727696603</v>
      </c>
    </row>
    <row r="123" spans="2:15">
      <c r="C123" s="99" t="s">
        <v>129</v>
      </c>
      <c r="D123" s="100">
        <f>D112*pricing!D36*2000</f>
        <v>2502998.2725928761</v>
      </c>
      <c r="E123" s="100">
        <f>E112*pricing!E36*2000</f>
        <v>3057804.1122112377</v>
      </c>
      <c r="F123" s="100">
        <f>F112*pricing!F36*2000</f>
        <v>2042774.1574050661</v>
      </c>
      <c r="G123" s="100">
        <f>G112*pricing!G36*2000</f>
        <v>3054210.5473779994</v>
      </c>
      <c r="H123" s="100">
        <f>H112*pricing!H36*2000</f>
        <v>2291888.0402040775</v>
      </c>
      <c r="I123" s="100">
        <f>I112*pricing!I36*2000</f>
        <v>2508448.723627341</v>
      </c>
      <c r="J123" s="100">
        <f>J112*pricing!J36*2000</f>
        <v>2789538.5021164045</v>
      </c>
      <c r="K123" s="100">
        <f>K112*pricing!K36*2000</f>
        <v>3681095.9373593521</v>
      </c>
      <c r="L123" s="100">
        <f>L112*pricing!L36*2000</f>
        <v>1807469.0791422522</v>
      </c>
      <c r="M123" s="100">
        <f>M112*pricing!M36*2000</f>
        <v>2245711.4416499767</v>
      </c>
      <c r="N123" s="100">
        <f>N112*pricing!N36*2000</f>
        <v>2449324.362242159</v>
      </c>
      <c r="O123" s="100">
        <f>O112*pricing!O36*2000</f>
        <v>3346753.3786003888</v>
      </c>
    </row>
    <row r="124" spans="2:15">
      <c r="C124" s="99" t="s">
        <v>130</v>
      </c>
      <c r="D124" s="100">
        <f>D113*pricing!D37*2000</f>
        <v>1520719.7809472384</v>
      </c>
      <c r="E124" s="100">
        <f>E113*pricing!E37*2000</f>
        <v>1711139.9738942455</v>
      </c>
      <c r="F124" s="100">
        <f>F113*pricing!F37*2000</f>
        <v>1940913.1676614096</v>
      </c>
      <c r="G124" s="100">
        <f>G113*pricing!G37*2000</f>
        <v>2012240.674994438</v>
      </c>
      <c r="H124" s="100">
        <f>H113*pricing!H37*2000</f>
        <v>1443799.2957503351</v>
      </c>
      <c r="I124" s="100">
        <f>I113*pricing!I37*2000</f>
        <v>1336650.7367113987</v>
      </c>
      <c r="J124" s="100">
        <f>J113*pricing!J37*2000</f>
        <v>1531213.0488187603</v>
      </c>
      <c r="K124" s="100">
        <f>K113*pricing!K37*2000</f>
        <v>1736764.8475367811</v>
      </c>
      <c r="L124" s="100">
        <f>L113*pricing!L37*2000</f>
        <v>1553308.2069090451</v>
      </c>
      <c r="M124" s="100">
        <f>M113*pricing!M37*2000</f>
        <v>1608368.0903331854</v>
      </c>
      <c r="N124" s="100">
        <f>N113*pricing!N37*2000</f>
        <v>1788703.0308599961</v>
      </c>
      <c r="O124" s="100">
        <f>O113*pricing!O37*2000</f>
        <v>2074148.8795722048</v>
      </c>
    </row>
    <row r="125" spans="2:15">
      <c r="C125" s="99" t="s">
        <v>131</v>
      </c>
      <c r="D125" s="100">
        <f>D114*pricing!D38*2000</f>
        <v>925985.51801181026</v>
      </c>
      <c r="E125" s="100">
        <f>E114*pricing!E38*2000</f>
        <v>827985.20452488959</v>
      </c>
      <c r="F125" s="100">
        <f>F114*pricing!F38*2000</f>
        <v>744430.01000606269</v>
      </c>
      <c r="G125" s="100">
        <f>G114*pricing!G38*2000</f>
        <v>749815.11044882808</v>
      </c>
      <c r="H125" s="100">
        <f>H114*pricing!H38*2000</f>
        <v>815216.28291469102</v>
      </c>
      <c r="I125" s="100">
        <f>I114*pricing!I38*2000</f>
        <v>225058.77563707664</v>
      </c>
      <c r="J125" s="100">
        <f>J114*pricing!J38*2000</f>
        <v>586276.60805779148</v>
      </c>
      <c r="K125" s="100">
        <f>K114*pricing!K38*2000</f>
        <v>731257.13330854999</v>
      </c>
      <c r="L125" s="100">
        <f>L114*pricing!L38*2000</f>
        <v>795265.8266584744</v>
      </c>
      <c r="M125" s="100">
        <f>M114*pricing!M38*2000</f>
        <v>775227.66459320323</v>
      </c>
      <c r="N125" s="100">
        <f>N114*pricing!N38*2000</f>
        <v>1050139.7548501163</v>
      </c>
      <c r="O125" s="100">
        <f>O114*pricing!O38*2000</f>
        <v>674251.53886290069</v>
      </c>
    </row>
    <row r="126" spans="2:15">
      <c r="C126" s="99" t="s">
        <v>132</v>
      </c>
      <c r="D126" s="100">
        <f>D115*pricing!D39*2000</f>
        <v>1452815.7475061135</v>
      </c>
      <c r="E126" s="100">
        <f>E115*pricing!E39*2000</f>
        <v>1550071.4884729737</v>
      </c>
      <c r="F126" s="100">
        <f>F115*pricing!F39*2000</f>
        <v>1592957.9237340379</v>
      </c>
      <c r="G126" s="100">
        <f>G115*pricing!G39*2000</f>
        <v>1355472.9812500831</v>
      </c>
      <c r="H126" s="100">
        <f>H115*pricing!H39*2000</f>
        <v>1928491.3774685159</v>
      </c>
      <c r="I126" s="100">
        <f>I115*pricing!I39*2000</f>
        <v>363913.37408852059</v>
      </c>
      <c r="J126" s="100">
        <f>J115*pricing!J39*2000</f>
        <v>1086662.2223314543</v>
      </c>
      <c r="K126" s="100">
        <f>K115*pricing!K39*2000</f>
        <v>1514812.6222076702</v>
      </c>
      <c r="L126" s="100">
        <f>L115*pricing!L39*2000</f>
        <v>1291293.122778574</v>
      </c>
      <c r="M126" s="100">
        <f>M115*pricing!M39*2000</f>
        <v>1397450.2443968987</v>
      </c>
      <c r="N126" s="100">
        <f>N115*pricing!N39*2000</f>
        <v>1676889.8539466616</v>
      </c>
      <c r="O126" s="100">
        <f>O115*pricing!O39*2000</f>
        <v>1214357.5076131341</v>
      </c>
    </row>
    <row r="127" spans="2:15">
      <c r="C127" s="99" t="s">
        <v>278</v>
      </c>
      <c r="D127" s="100">
        <f>SUM(D$120:D$126)</f>
        <v>11987602.204749454</v>
      </c>
      <c r="E127" s="100">
        <f t="shared" ref="E127:O127" si="1">SUM(E$120:E$126)</f>
        <v>14789456.864945801</v>
      </c>
      <c r="F127" s="100">
        <f t="shared" si="1"/>
        <v>10717759.689775916</v>
      </c>
      <c r="G127" s="100">
        <f t="shared" si="1"/>
        <v>13989098.41863649</v>
      </c>
      <c r="H127" s="100">
        <f t="shared" si="1"/>
        <v>11643426.417882189</v>
      </c>
      <c r="I127" s="100">
        <f t="shared" si="1"/>
        <v>10430817.326485775</v>
      </c>
      <c r="J127" s="100">
        <f t="shared" si="1"/>
        <v>11728888.153294031</v>
      </c>
      <c r="K127" s="100">
        <f t="shared" si="1"/>
        <v>16183203.906667549</v>
      </c>
      <c r="L127" s="100">
        <f t="shared" si="1"/>
        <v>9456726.2460856568</v>
      </c>
      <c r="M127" s="100">
        <f t="shared" si="1"/>
        <v>11433801.907058841</v>
      </c>
      <c r="N127" s="100">
        <f t="shared" si="1"/>
        <v>14059568.607555548</v>
      </c>
      <c r="O127" s="100">
        <f t="shared" si="1"/>
        <v>15003847.300962077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146062.87031135955</v>
      </c>
      <c r="E131" s="106">
        <f>SUM(M$6:M$19)+SUM(O$6:O$19)+SUM(Q$6:Q$19)+SUM(S$6:S$19)</f>
        <v>206505.04849337196</v>
      </c>
      <c r="F131" s="106">
        <f>SUM(U$6:U$19)+SUM(W$6:W$19)+SUM(Y$6:Y$19)+SUM(AA$6:AA$19)</f>
        <v>99199.741687243761</v>
      </c>
      <c r="G131" s="106">
        <f>SUM(AC$6:AC$19)+SUM(AE$6:AE$19)+SUM(AG$6:AG$19)+SUM(AI$6:AI$19)</f>
        <v>148150.19391047448</v>
      </c>
      <c r="H131" s="106">
        <f>SUM(AK$6:AK$19)+SUM(AM$6:AM$19)+SUM(AO$6:AO$19)+SUM(AQ$6:AQ$19)</f>
        <v>120282.30631806483</v>
      </c>
      <c r="I131" s="106">
        <f>SUM(AS$6:AS$19)+SUM(AU$6:AU$19)+SUM(AW$6:AW$19)+SUM(AY$6:AY$19)</f>
        <v>156149.13418738748</v>
      </c>
      <c r="J131" s="106">
        <f>SUM(BA$6:BA$19)+SUM(BC$6:BC$19)+SUM(BE$6:BE$19)+SUM(BG$6:BG$19)</f>
        <v>129584.65552102291</v>
      </c>
      <c r="K131" s="106">
        <f>SUM(BI$6:BI$19)+SUM(BK$6:BK$19)+SUM(BM$6:BM$19)+SUM(BO$6:BO$19)</f>
        <v>215112.2786933911</v>
      </c>
      <c r="L131" s="106">
        <f>SUM(BQ$6:BQ$19)+SUM(BS$6:BS$19)+SUM(BU$6:BU$19)+SUM(BW$6:BW$19)</f>
        <v>114072.79480458761</v>
      </c>
      <c r="M131" s="106">
        <f>SUM(BY$6:BY$19)+SUM(CA$6:CA$19)+SUM(CC$6:CC$19)+SUM(CE$6:CE$19)</f>
        <v>122880.46065906671</v>
      </c>
      <c r="N131" s="106">
        <f>SUM(CG$6:CG$19)+SUM(CI$6:CI$19)+SUM(CK$6:CK$19)+SUM(CM$6:CM$19)</f>
        <v>164115.8954802792</v>
      </c>
      <c r="O131" s="106">
        <f>SUM(CO$6:CO$19)+SUM(CQ$6:CQ$19)+SUM(CS$6:CS$19)+SUM(CU$6:CU$19)</f>
        <v>213470.89743640984</v>
      </c>
    </row>
    <row r="132" spans="2:15">
      <c r="C132" s="105" t="s">
        <v>127</v>
      </c>
      <c r="D132" s="106">
        <f>SUM(E$20:E$36)+SUM(G$20:G$36)+SUM(I$20:I$36)+SUM(K$20:K$36)</f>
        <v>126601.53124665876</v>
      </c>
      <c r="E132" s="106">
        <f>SUM(M$20:M$36)+SUM(O$20:O$36)+SUM(Q$20:Q$36)+SUM(S$20:S$36)</f>
        <v>209190.2440426441</v>
      </c>
      <c r="F132" s="106">
        <f>SUM(U$20:U$36)+SUM(W$20:W$36)+SUM(Y$20:Y$36)+SUM(AA$20:AA$36)</f>
        <v>146927.1535352584</v>
      </c>
      <c r="G132" s="106">
        <f>SUM(AC$20:AC$36)+SUM(AE$20:AE$36)+SUM(AG$20:AG$36)+SUM(AI$20:AI$36)</f>
        <v>215175.15149519392</v>
      </c>
      <c r="H132" s="106">
        <f>SUM(AK$20:AK$36)+SUM(AM$20:AM$36)+SUM(AO$20:AO$36)+SUM(AQ$20:AQ$36)</f>
        <v>163659.9364700517</v>
      </c>
      <c r="I132" s="106">
        <f>SUM(AS$20:AS$36)+SUM(AU$20:AU$36)+SUM(AW$20:AW$36)+SUM(AY$20:AY$36)</f>
        <v>208578.55315033667</v>
      </c>
      <c r="J132" s="106">
        <f>SUM(BA$20:BA$36)+SUM(BC$20:BC$36)+SUM(BE$20:BE$36)+SUM(BG$20:BG$36)</f>
        <v>173001.35306294862</v>
      </c>
      <c r="K132" s="106">
        <f>SUM(BI$20:BI$36)+SUM(BK$20:BK$36)+SUM(BM$20:BM$36)+SUM(BO$20:BO$36)</f>
        <v>251274.27753817127</v>
      </c>
      <c r="L132" s="106">
        <f>SUM(BQ$20:BQ$36)+SUM(BS$20:BS$36)+SUM(BU$20:BU$36)+SUM(BW$20:BW$36)</f>
        <v>111357.57553102038</v>
      </c>
      <c r="M132" s="106">
        <f>SUM(BY$20:BY$36)+SUM(CA$20:CA$36)+SUM(CC$20:CC$36)+SUM(CE$20:CE$36)</f>
        <v>183491.87698156736</v>
      </c>
      <c r="N132" s="106">
        <f>SUM(CG$20:CG$36)+SUM(CI$20:CI$36)+SUM(CK$20:CK$36)+SUM(CM$20:CM$36)</f>
        <v>209873.10443648708</v>
      </c>
      <c r="O132" s="106">
        <f>SUM(CO$20:CO$36)+SUM(CQ$20:CQ$36)+SUM(CS$20:CS$36)+SUM(CU$20:CU$36)</f>
        <v>242527.1235251739</v>
      </c>
    </row>
    <row r="133" spans="2:15">
      <c r="C133" s="105" t="s">
        <v>128</v>
      </c>
      <c r="D133" s="106">
        <f>SUM(E$37:E$48)+SUM(G$37:G$48)+SUM(I$37:I$48)+SUM(K$37:K$48)</f>
        <v>595772.59700672526</v>
      </c>
      <c r="E133" s="106">
        <f>SUM(M$37:M$48)+SUM(O$37:O$48)+SUM(Q$37:Q$48)+SUM(S$37:S$48)</f>
        <v>699975.8202224439</v>
      </c>
      <c r="F133" s="106">
        <f>SUM(U$37:U$48)+SUM(W$37:W$48)+SUM(Y$37:Y$48)+SUM(AA$37:AA$48)</f>
        <v>383586.00422013161</v>
      </c>
      <c r="G133" s="106">
        <f>SUM(AC$37:AC$48)+SUM(AE$37:AE$48)+SUM(AG$37:AG$48)+SUM(AI$37:AI$48)</f>
        <v>633527.91106072103</v>
      </c>
      <c r="H133" s="106">
        <f>SUM(AK$37:AK$48)+SUM(AM$37:AM$48)+SUM(AO$37:AO$48)+SUM(AQ$37:AQ$48)</f>
        <v>459963.64912169031</v>
      </c>
      <c r="I133" s="106">
        <f>SUM(AS$37:AS$48)+SUM(AU$37:AU$48)+SUM(AW$37:AW$48)+SUM(AY$37:AY$48)</f>
        <v>451099.14428776863</v>
      </c>
      <c r="J133" s="106">
        <f>SUM(BA$37:BA$48)+SUM(BC$37:BC$48)+SUM(BE$37:BE$48)+SUM(BG$37:BG$48)</f>
        <v>547546.37365907512</v>
      </c>
      <c r="K133" s="106">
        <f>SUM(BI$37:BI$48)+SUM(BK$37:BK$48)+SUM(BM$37:BM$48)+SUM(BO$37:BO$48)</f>
        <v>768911.57320545509</v>
      </c>
      <c r="L133" s="106">
        <f>SUM(BQ$37:BQ$48)+SUM(BS$37:BS$48)+SUM(BU$37:BU$48)+SUM(BW$37:BW$48)</f>
        <v>351493.19347271166</v>
      </c>
      <c r="M133" s="106">
        <f>SUM(BY$37:BY$48)+SUM(CA$37:CA$48)+SUM(CC$37:CC$48)+SUM(CE$37:CE$48)</f>
        <v>463490.64526915533</v>
      </c>
      <c r="N133" s="106">
        <f>SUM(CG$37:CG$48)+SUM(CI$37:CI$48)+SUM(CK$37:CK$48)+SUM(CM$37:CM$48)</f>
        <v>679995.13208234648</v>
      </c>
      <c r="O133" s="106">
        <f>SUM(CO$37:CO$48)+SUM(CQ$37:CQ$48)+SUM(CS$37:CS$48)+SUM(CU$37:CU$48)</f>
        <v>606742.85574198957</v>
      </c>
    </row>
    <row r="134" spans="2:15">
      <c r="C134" s="105" t="s">
        <v>129</v>
      </c>
      <c r="D134" s="106">
        <f>SUM(E$49:E$70)+SUM(G$49:G$70)+SUM(I$49:I$70)+SUM(K$49:K$70)</f>
        <v>416952.96668826754</v>
      </c>
      <c r="E134" s="106">
        <f>SUM(M$49:M$70)+SUM(O$49:O$70)+SUM(Q$49:Q$70)+SUM(S$49:S$70)</f>
        <v>503342.49406168354</v>
      </c>
      <c r="F134" s="106">
        <f>SUM(U$49:U$70)+SUM(W$49:W$70)+SUM(Y$49:Y$70)+SUM(AA$49:AA$70)</f>
        <v>351524.93802891509</v>
      </c>
      <c r="G134" s="106">
        <f>SUM(AC$49:AC$70)+SUM(AE$49:AE$70)+SUM(AG$49:AG$70)+SUM(AI$49:AI$70)</f>
        <v>507934.78696162009</v>
      </c>
      <c r="H134" s="106">
        <f>SUM(AK$49:AK$70)+SUM(AM$49:AM$70)+SUM(AO$49:AO$70)+SUM(AQ$49:AQ$70)</f>
        <v>393020.1948074933</v>
      </c>
      <c r="I134" s="106">
        <f>SUM(AS$49:AS$70)+SUM(AU$49:AU$70)+SUM(AW$49:AW$70)+SUM(AY$49:AY$70)</f>
        <v>402389.96758217353</v>
      </c>
      <c r="J134" s="106">
        <f>SUM(BA$49:BA$70)+SUM(BC$49:BC$70)+SUM(BE$49:BE$70)+SUM(BG$49:BG$70)</f>
        <v>462168.36277521355</v>
      </c>
      <c r="K134" s="106">
        <f>SUM(BI$49:BI$70)+SUM(BK$49:BK$70)+SUM(BM$49:BM$70)+SUM(BO$49:BO$70)</f>
        <v>606842.44645830372</v>
      </c>
      <c r="L134" s="106">
        <f>SUM(BQ$49:BQ$70)+SUM(BS$49:BS$70)+SUM(BU$49:BU$70)+SUM(BW$49:BW$70)</f>
        <v>306857.86714931566</v>
      </c>
      <c r="M134" s="106">
        <f>SUM(BY$49:BY$70)+SUM(CA$49:CA$70)+SUM(CC$49:CC$70)+SUM(CE$49:CE$70)</f>
        <v>379019.52280982258</v>
      </c>
      <c r="N134" s="106">
        <f>SUM(CG$49:CG$70)+SUM(CI$49:CI$70)+SUM(CK$49:CK$70)+SUM(CM$49:CM$70)</f>
        <v>410835.22179692739</v>
      </c>
      <c r="O134" s="106">
        <f>SUM(CO$49:CO$70)+SUM(CQ$49:CQ$70)+SUM(CS$49:CS$70)+SUM(CU$49:CU$70)</f>
        <v>551351.51465547259</v>
      </c>
    </row>
    <row r="135" spans="2:15">
      <c r="C135" s="105" t="s">
        <v>130</v>
      </c>
      <c r="D135" s="106">
        <f>SUM(E$71:E$86)+SUM(G$71:G$86)+SUM(I$71:I$86)+SUM(K$71:K$86)</f>
        <v>164014.10255722032</v>
      </c>
      <c r="E135" s="106">
        <f>SUM(M$71:M$86)+SUM(O$71:O$86)+SUM(Q$71:Q$86)+SUM(S$71:S$86)</f>
        <v>183636.79735152505</v>
      </c>
      <c r="F135" s="106">
        <f>SUM(U$71:U$86)+SUM(W$71:W$86)+SUM(Y$71:Y$86)+SUM(AA$71:AA$86)</f>
        <v>208305.91697750133</v>
      </c>
      <c r="G135" s="106">
        <f>SUM(AC$71:AC$86)+SUM(AE$71:AE$86)+SUM(AG$71:AG$86)+SUM(AI$71:AI$86)</f>
        <v>215707.41797275795</v>
      </c>
      <c r="H135" s="106">
        <f>SUM(AK$71:AK$86)+SUM(AM$71:AM$86)+SUM(AO$71:AO$86)+SUM(AQ$71:AQ$86)</f>
        <v>154636.89953405233</v>
      </c>
      <c r="I135" s="106">
        <f>SUM(AS$71:AS$86)+SUM(AU$71:AU$86)+SUM(AW$71:AW$86)+SUM(AY$71:AY$86)</f>
        <v>143089.12818884981</v>
      </c>
      <c r="J135" s="106">
        <f>SUM(BA$71:BA$86)+SUM(BC$71:BC$86)+SUM(BE$71:BE$86)+SUM(BG$71:BG$86)</f>
        <v>163910.33670171988</v>
      </c>
      <c r="K135" s="106">
        <f>SUM(BI$71:BI$86)+SUM(BK$71:BK$86)+SUM(BM$71:BM$86)+SUM(BO$71:BO$86)</f>
        <v>185368.43071757798</v>
      </c>
      <c r="L135" s="106">
        <f>SUM(BQ$71:BQ$86)+SUM(BS$71:BS$86)+SUM(BU$71:BU$86)+SUM(BW$71:BW$86)</f>
        <v>165998.23886571272</v>
      </c>
      <c r="M135" s="106">
        <f>SUM(BY$71:BY$86)+SUM(CA$71:CA$86)+SUM(CC$71:CC$86)+SUM(CE$71:CE$86)</f>
        <v>172331.68810570607</v>
      </c>
      <c r="N135" s="106">
        <f>SUM(CG$71:CG$86)+SUM(CI$71:CI$86)+SUM(CK$71:CK$86)+SUM(CM$71:CM$86)</f>
        <v>191720.62338113232</v>
      </c>
      <c r="O135" s="106">
        <f>SUM(CO$71:CO$86)+SUM(CQ$71:CQ$86)+SUM(CS$71:CS$86)+SUM(CU$71:CU$86)</f>
        <v>221669.48949857606</v>
      </c>
    </row>
    <row r="136" spans="2:15">
      <c r="C136" s="105" t="s">
        <v>131</v>
      </c>
      <c r="D136" s="106">
        <f>SUM(E$87:E$94)+SUM(G$87:G$94)+SUM(I$87:I$94)+SUM(K$87:K$94)</f>
        <v>166098.02098028373</v>
      </c>
      <c r="E136" s="106">
        <f>SUM(M$87:M$94)+SUM(O$87:O$94)+SUM(Q$87:Q$94)+SUM(S$87:S$94)</f>
        <v>148479.65333538767</v>
      </c>
      <c r="F136" s="106">
        <f>SUM(U$87:U$94)+SUM(W$87:W$94)+SUM(Y$87:Y$94)+SUM(AA$87:AA$94)</f>
        <v>134073.97402563959</v>
      </c>
      <c r="G136" s="106">
        <f>SUM(AC$87:AC$94)+SUM(AE$87:AE$94)+SUM(AG$87:AG$94)+SUM(AI$87:AI$94)</f>
        <v>134727.71988291212</v>
      </c>
      <c r="H136" s="106">
        <f>SUM(AK$87:AK$94)+SUM(AM$87:AM$94)+SUM(AO$87:AO$94)+SUM(AQ$87:AQ$94)</f>
        <v>146118.61129218873</v>
      </c>
      <c r="I136" s="106">
        <f>SUM(AS$87:AS$94)+SUM(AU$87:AU$94)+SUM(AW$87:AW$94)+SUM(AY$87:AY$94)</f>
        <v>40045.036744153433</v>
      </c>
      <c r="J136" s="106">
        <f>SUM(BA$87:BA$94)+SUM(BC$87:BC$94)+SUM(BE$87:BE$94)+SUM(BG$87:BG$94)</f>
        <v>105076.55692609833</v>
      </c>
      <c r="K136" s="106">
        <f>SUM(BI$87:BI$94)+SUM(BK$87:BK$94)+SUM(BM$87:BM$94)+SUM(BO$87:BO$94)</f>
        <v>131078.94461578972</v>
      </c>
      <c r="L136" s="106">
        <f>SUM(BQ$87:BQ$94)+SUM(BS$87:BS$94)+SUM(BU$87:BU$94)+SUM(BW$87:BW$94)</f>
        <v>142419.2297466789</v>
      </c>
      <c r="M136" s="106">
        <f>SUM(BY$87:BY$94)+SUM(CA$87:CA$94)+SUM(CC$87:CC$94)+SUM(CE$87:CE$94)</f>
        <v>139126.57799195894</v>
      </c>
      <c r="N136" s="106">
        <f>SUM(CG$87:CG$94)+SUM(CI$87:CI$94)+SUM(CK$87:CK$94)+SUM(CM$87:CM$94)</f>
        <v>188119.88602353368</v>
      </c>
      <c r="O136" s="106">
        <f>SUM(CO$87:CO$94)+SUM(CQ$87:CQ$94)+SUM(CS$87:CS$94)+SUM(CU$87:CU$94)</f>
        <v>120329.5439487675</v>
      </c>
    </row>
    <row r="137" spans="2:15">
      <c r="C137" s="105" t="s">
        <v>132</v>
      </c>
      <c r="D137" s="106">
        <f>SUM(E$95:E$105)+SUM(G$95:G$105)+SUM(I$95:I$105)+SUM(K$95:K$105)</f>
        <v>216485.8931559521</v>
      </c>
      <c r="E137" s="106">
        <f>SUM(M$95:M$105)+SUM(O$95:O$105)+SUM(Q$95:Q$105)+SUM(S$95:S$105)</f>
        <v>227931.7488152122</v>
      </c>
      <c r="F137" s="106">
        <f>SUM(U$95:U$105)+SUM(W$95:W$105)+SUM(Y$95:Y$105)+SUM(AA$95:AA$105)</f>
        <v>241655.47090586327</v>
      </c>
      <c r="G137" s="106">
        <f>SUM(AC$95:AC$105)+SUM(AE$95:AE$105)+SUM(AG$95:AG$105)+SUM(AI$95:AI$105)</f>
        <v>205591.86391286468</v>
      </c>
      <c r="H137" s="106">
        <f>SUM(AK$95:AK$105)+SUM(AM$95:AM$105)+SUM(AO$95:AO$105)+SUM(AQ$95:AQ$105)</f>
        <v>289955.1151876006</v>
      </c>
      <c r="I137" s="106">
        <f>SUM(AS$95:AS$105)+SUM(AU$95:AU$105)+SUM(AW$95:AW$105)+SUM(AY$95:AY$105)</f>
        <v>54727.993277715817</v>
      </c>
      <c r="J137" s="106">
        <f>SUM(BA$95:BA$105)+SUM(BC$95:BC$105)+SUM(BE$95:BE$105)+SUM(BG$95:BG$105)</f>
        <v>162195.81811089901</v>
      </c>
      <c r="K137" s="106">
        <f>SUM(BI$95:BI$105)+SUM(BK$95:BK$105)+SUM(BM$95:BM$105)+SUM(BO$95:BO$105)</f>
        <v>227803.32672944028</v>
      </c>
      <c r="L137" s="106">
        <f>SUM(BQ$95:BQ$105)+SUM(BS$95:BS$105)+SUM(BU$95:BU$105)+SUM(BW$95:BW$105)</f>
        <v>192469.51176750887</v>
      </c>
      <c r="M137" s="106">
        <f>SUM(BY$95:BY$105)+SUM(CA$95:CA$105)+SUM(CC$95:CC$105)+SUM(CE$95:CE$105)</f>
        <v>212069.9199262149</v>
      </c>
      <c r="N137" s="106">
        <f>SUM(CG$95:CG$105)+SUM(CI$95:CI$105)+SUM(CK$95:CK$105)+SUM(CM$95:CM$105)</f>
        <v>252839.68511055145</v>
      </c>
      <c r="O137" s="106">
        <f>SUM(CO$95:CO$105)+SUM(CQ$95:CQ$105)+SUM(CS$95:CS$105)+SUM(CU$95:CU$105)</f>
        <v>182438.43773119603</v>
      </c>
    </row>
    <row r="138" spans="2:15">
      <c r="C138" s="105" t="s">
        <v>278</v>
      </c>
      <c r="D138" s="100">
        <f t="shared" ref="D138:O138" si="2">SUM(D$131:D$137)</f>
        <v>1831987.981946467</v>
      </c>
      <c r="E138" s="100">
        <f t="shared" si="2"/>
        <v>2179061.8063222682</v>
      </c>
      <c r="F138" s="100">
        <f t="shared" si="2"/>
        <v>1565273.1993805529</v>
      </c>
      <c r="G138" s="100">
        <f t="shared" si="2"/>
        <v>2060815.0451965439</v>
      </c>
      <c r="H138" s="100">
        <f t="shared" si="2"/>
        <v>1727636.7127311416</v>
      </c>
      <c r="I138" s="100">
        <f t="shared" si="2"/>
        <v>1456078.9574183854</v>
      </c>
      <c r="J138" s="100">
        <f t="shared" si="2"/>
        <v>1743483.4567569774</v>
      </c>
      <c r="K138" s="100">
        <f t="shared" si="2"/>
        <v>2386391.2779581291</v>
      </c>
      <c r="L138" s="100">
        <f t="shared" si="2"/>
        <v>1384668.4113375358</v>
      </c>
      <c r="M138" s="100">
        <f t="shared" si="2"/>
        <v>1672410.6917434919</v>
      </c>
      <c r="N138" s="100">
        <f t="shared" si="2"/>
        <v>2097499.5483112577</v>
      </c>
      <c r="O138" s="100">
        <f t="shared" si="2"/>
        <v>2138529.8625375857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2015-01-12T20:03:38Z</dcterms:modified>
</cp:coreProperties>
</file>